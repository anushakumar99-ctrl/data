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199017751c47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 data" sheetId="1" r:id="R2de1ebdbf7cc44b9"/>
    <x:sheet xmlns:r="http://schemas.openxmlformats.org/officeDocument/2006/relationships" name="Estimates" sheetId="2" r:id="R0bfb55f670ec41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6">
    <x:font>
      <x:sz val="11"/>
      <x:name val="Carlito"/>
    </x:font>
    <x:font>
      <x:sz val="10"/>
      <x:color rgb="FF222222"/>
      <x:name val="Arial"/>
    </x:font>
    <x:font>
      <x:b/>
      <x:sz val="15"/>
      <x:color rgb="FF003B5C"/>
      <x:name val="Arial"/>
    </x:font>
    <x:font>
      <x:b/>
      <x:sz val="10"/>
      <x:color rgb="FFFFFFFF"/>
      <x:name val="Arial"/>
    </x:font>
    <x:font>
      <x:b/>
      <x:sz val="10"/>
      <x:color rgb="FF222222"/>
      <x:name val="Arial"/>
    </x:font>
    <x:font>
      <x:sz val="10"/>
      <x:color rgb="FF0000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03B5C"/>
      </x:patternFill>
    </x:fill>
    <x:fill>
      <x:patternFill patternType="solid">
        <x:fgColor rgb="FF007C91"/>
      </x:patternFill>
    </x:fill>
    <x:fill>
      <x:patternFill patternType="solid">
        <x:fgColor rgb="FFE8F0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200" fontId="1" fillId="0" borderId="0" xfId="0" applyNumberFormat="1" applyFont="1" applyFill="1" applyBorder="1"/>
    <x:xf numFmtId="200" fontId="4" fillId="4" borderId="0" xfId="0" applyNumberFormat="1" applyFont="1" applyFill="1" applyBorder="1"/>
    <x:xf numFmtId="201" fontId="1" fillId="0" borderId="0" xfId="0" applyNumberFormat="1" applyFont="1" applyFill="1" applyBorder="1"/>
    <x:xf numFmtId="201" fontId="4" fillId="4" borderId="0" xfId="0" applyNumberFormat="1" applyFont="1" applyFill="1" applyBorder="1"/>
    <x:xf numFmtId="200" fontId="3" fillId="2" borderId="0" xfId="0" applyNumberFormat="1" applyFont="1" applyFill="1" applyBorder="1"/>
    <x:xf numFmtId="200" fontId="3" fillId="3" borderId="0" xfId="0" applyNumberFormat="1" applyFont="1" applyFill="1" applyBorder="1" applyAlignment="1">
      <x:alignment horizontal="center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a5e2410e3e4ad4" /><Relationship Type="http://schemas.openxmlformats.org/officeDocument/2006/relationships/theme" Target="/xl/theme/theme1.xml" Id="R3798d03d40c64fca" /><Relationship Type="http://schemas.openxmlformats.org/officeDocument/2006/relationships/sharedStrings" Target="/xl/sharedStrings.xml" Id="R114f50b7c5d94944" /><Relationship Type="http://schemas.openxmlformats.org/officeDocument/2006/relationships/worksheet" Target="/xl/worksheets/sheet1.xml" Id="R2de1ebdbf7cc44b9" /><Relationship Type="http://schemas.openxmlformats.org/officeDocument/2006/relationships/worksheet" Target="/xl/worksheets/sheet2.xml" Id="R0bfb55f670ec41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3B5C"/>
  </x:sheetPr>
  <x:sheetViews>
    <x:sheetView showGridLines="0" workbookViewId="0"/>
  </x:sheetViews>
  <x:sheetFormatPr defaultRowHeight="15"/>
  <x:cols>
    <x:col min="1" max="1" width="3" hidden="0" customWidth="1"/>
    <x:col min="2" max="2" width="37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" hidden="0" customWidth="1"/>
    <x:col min="8" max="8" width="30" hidden="0" customWidth="1"/>
    <x:col min="9" max="9" width="72" hidden="0" customWidth="1"/>
  </x:cols>
  <x:sheetData>
    <x:row r="2" ht="21" customHeight="1">
      <x:c r="B2" s="2" t="str">
        <x:v>Global conventional generics and India's supplier share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1" customHeight="1">
      <x:c r="B3" s="1" t="str">
        <x:v>All therapy-level values and ranks are estimates. Nominal US$bn; value share, not volume share.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1" customHeight="1"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1" customHeight="1">
      <x:c r="B5" s="4" t="str">
        <x:v>GLOBAL GENERIC SPEND (US$bn)</x:v>
      </x:c>
      <x:c r="C5" s="4"/>
      <x:c r="D5" s="4"/>
      <x:c r="E5" s="4"/>
      <x:c r="F5" s="4"/>
      <x:c r="G5" s="1"/>
      <x:c r="H5" s="1"/>
      <x:c r="I5" s="1"/>
      <x:c r="J5" s="1"/>
      <x:c r="K5" s="1"/>
      <x:c r="L5" s="1"/>
    </x:row>
    <x:row r="6" ht="21" customHeight="1">
      <x:c r="B6" s="7" t="str">
        <x:v>Therapy</x:v>
      </x:c>
      <x:c r="C6" s="7" t="str">
        <x:v>CY10E</x:v>
      </x:c>
      <x:c r="D6" s="7" t="str">
        <x:v>CY15E</x:v>
      </x:c>
      <x:c r="E6" s="7" t="str">
        <x:v>CY20E</x:v>
      </x:c>
      <x:c r="F6" s="7" t="str">
        <x:v>CY25E</x:v>
      </x:c>
      <x:c r="G6" s="1"/>
      <x:c r="H6" s="1"/>
      <x:c r="I6" s="1"/>
      <x:c r="J6" s="1"/>
      <x:c r="K6" s="1"/>
      <x:c r="L6" s="1"/>
    </x:row>
    <x:row r="7" ht="21" customHeight="1">
      <x:c r="B7" s="1" t="str">
        <x:v>Central nervous system</x:v>
      </x:c>
      <x:c r="C7" s="10" t="n">
        <x:f>Estimates!C40</x:f>
        <x:v>32</x:v>
      </x:c>
      <x:c r="D7" s="10" t="n">
        <x:f>Estimates!D40</x:f>
        <x:v>45</x:v>
      </x:c>
      <x:c r="E7" s="10" t="n">
        <x:f>Estimates!E40</x:f>
        <x:v>55</x:v>
      </x:c>
      <x:c r="F7" s="10" t="n">
        <x:f>Estimates!F40</x:f>
        <x:v>70</x:v>
      </x:c>
      <x:c r="G7" s="1"/>
      <x:c r="H7" s="1"/>
      <x:c r="I7" s="1"/>
      <x:c r="J7" s="1"/>
      <x:c r="K7" s="1"/>
      <x:c r="L7" s="1"/>
    </x:row>
    <x:row r="8" ht="21" customHeight="1">
      <x:c r="B8" s="1" t="str">
        <x:v>Cardiovascular</x:v>
      </x:c>
      <x:c r="C8" s="10" t="n">
        <x:f>Estimates!C41</x:f>
        <x:v>30</x:v>
      </x:c>
      <x:c r="D8" s="10" t="n">
        <x:f>Estimates!D41</x:f>
        <x:v>45</x:v>
      </x:c>
      <x:c r="E8" s="10" t="n">
        <x:f>Estimates!E41</x:f>
        <x:v>53</x:v>
      </x:c>
      <x:c r="F8" s="10" t="n">
        <x:f>Estimates!F41</x:f>
        <x:v>65</x:v>
      </x:c>
      <x:c r="G8" s="1"/>
      <x:c r="H8" s="1"/>
      <x:c r="I8" s="1"/>
      <x:c r="J8" s="1"/>
      <x:c r="K8" s="1"/>
      <x:c r="L8" s="1"/>
    </x:row>
    <x:row r="9" ht="21" customHeight="1">
      <x:c r="B9" s="1" t="str">
        <x:v>Anti-infectives</x:v>
      </x:c>
      <x:c r="C9" s="10" t="n">
        <x:f>Estimates!C42</x:f>
        <x:v>34</x:v>
      </x:c>
      <x:c r="D9" s="10" t="n">
        <x:f>Estimates!D42</x:f>
        <x:v>39</x:v>
      </x:c>
      <x:c r="E9" s="10" t="n">
        <x:f>Estimates!E42</x:f>
        <x:v>43</x:v>
      </x:c>
      <x:c r="F9" s="10" t="n">
        <x:f>Estimates!F42</x:f>
        <x:v>48</x:v>
      </x:c>
      <x:c r="G9" s="1"/>
      <x:c r="H9" s="1"/>
      <x:c r="I9" s="1"/>
      <x:c r="J9" s="1"/>
      <x:c r="K9" s="1"/>
      <x:c r="L9" s="1"/>
    </x:row>
    <x:row r="10" ht="21" customHeight="1">
      <x:c r="B10" s="1" t="str">
        <x:v>Pain / musculoskeletal</x:v>
      </x:c>
      <x:c r="C10" s="10" t="n">
        <x:f>Estimates!C43</x:f>
        <x:v>20</x:v>
      </x:c>
      <x:c r="D10" s="10" t="n">
        <x:f>Estimates!D43</x:f>
        <x:v>26</x:v>
      </x:c>
      <x:c r="E10" s="10" t="n">
        <x:f>Estimates!E43</x:f>
        <x:v>29</x:v>
      </x:c>
      <x:c r="F10" s="10" t="n">
        <x:f>Estimates!F43</x:f>
        <x:v>35</x:v>
      </x:c>
      <x:c r="G10" s="1"/>
      <x:c r="H10" s="1"/>
      <x:c r="I10" s="1"/>
      <x:c r="J10" s="1"/>
      <x:c r="K10" s="1"/>
      <x:c r="L10" s="1"/>
    </x:row>
    <x:row r="11" ht="21" customHeight="1">
      <x:c r="B11" s="1" t="str">
        <x:v>Gastrointestinal</x:v>
      </x:c>
      <x:c r="C11" s="10" t="n">
        <x:f>Estimates!C44</x:f>
        <x:v>18</x:v>
      </x:c>
      <x:c r="D11" s="10" t="n">
        <x:f>Estimates!D44</x:f>
        <x:v>25</x:v>
      </x:c>
      <x:c r="E11" s="10" t="n">
        <x:f>Estimates!E44</x:f>
        <x:v>27</x:v>
      </x:c>
      <x:c r="F11" s="10" t="n">
        <x:f>Estimates!F44</x:f>
        <x:v>32</x:v>
      </x:c>
      <x:c r="G11" s="1"/>
      <x:c r="H11" s="1"/>
      <x:c r="I11" s="1"/>
      <x:c r="J11" s="1"/>
      <x:c r="K11" s="1"/>
      <x:c r="L11" s="1"/>
    </x:row>
    <x:row r="12" ht="21" customHeight="1">
      <x:c r="B12" s="1" t="str">
        <x:v>Diabetes</x:v>
      </x:c>
      <x:c r="C12" s="10" t="n">
        <x:f>Estimates!C45</x:f>
        <x:v>6</x:v>
      </x:c>
      <x:c r="D12" s="10" t="n">
        <x:f>Estimates!D45</x:f>
        <x:v>12</x:v>
      </x:c>
      <x:c r="E12" s="10" t="n">
        <x:f>Estimates!E45</x:f>
        <x:v>19</x:v>
      </x:c>
      <x:c r="F12" s="10" t="n">
        <x:f>Estimates!F45</x:f>
        <x:v>29</x:v>
      </x:c>
      <x:c r="G12" s="1"/>
      <x:c r="H12" s="1"/>
      <x:c r="I12" s="1"/>
      <x:c r="J12" s="1"/>
      <x:c r="K12" s="1"/>
      <x:c r="L12" s="1"/>
    </x:row>
    <x:row r="13" ht="21" customHeight="1">
      <x:c r="B13" s="1" t="str">
        <x:v>Respiratory / allergy</x:v>
      </x:c>
      <x:c r="C13" s="10" t="n">
        <x:f>Estimates!C46</x:f>
        <x:v>8</x:v>
      </x:c>
      <x:c r="D13" s="10" t="n">
        <x:f>Estimates!D46</x:f>
        <x:v>14</x:v>
      </x:c>
      <x:c r="E13" s="10" t="n">
        <x:f>Estimates!E46</x:f>
        <x:v>20</x:v>
      </x:c>
      <x:c r="F13" s="10" t="n">
        <x:f>Estimates!F46</x:f>
        <x:v>27</x:v>
      </x:c>
      <x:c r="G13" s="1"/>
      <x:c r="H13" s="1"/>
      <x:c r="I13" s="1"/>
      <x:c r="J13" s="1"/>
      <x:c r="K13" s="1"/>
      <x:c r="L13" s="1"/>
    </x:row>
    <x:row r="14" ht="21" customHeight="1">
      <x:c r="B14" s="1" t="str">
        <x:v>Dermatology</x:v>
      </x:c>
      <x:c r="C14" s="10" t="n">
        <x:f>Estimates!C47</x:f>
        <x:v>6</x:v>
      </x:c>
      <x:c r="D14" s="10" t="n">
        <x:f>Estimates!D47</x:f>
        <x:v>9</x:v>
      </x:c>
      <x:c r="E14" s="10" t="n">
        <x:f>Estimates!E47</x:f>
        <x:v>12</x:v>
      </x:c>
      <x:c r="F14" s="10" t="n">
        <x:f>Estimates!F47</x:f>
        <x:v>17</x:v>
      </x:c>
      <x:c r="G14" s="1"/>
      <x:c r="H14" s="1"/>
      <x:c r="I14" s="1"/>
      <x:c r="J14" s="1"/>
      <x:c r="K14" s="1"/>
      <x:c r="L14" s="1"/>
    </x:row>
    <x:row r="15" ht="21" customHeight="1">
      <x:c r="B15" s="1" t="str">
        <x:v>Ophthalmology</x:v>
      </x:c>
      <x:c r="C15" s="10" t="n">
        <x:f>Estimates!C48</x:f>
        <x:v>3</x:v>
      </x:c>
      <x:c r="D15" s="10" t="n">
        <x:f>Estimates!D48</x:f>
        <x:v>6</x:v>
      </x:c>
      <x:c r="E15" s="10" t="n">
        <x:f>Estimates!E48</x:f>
        <x:v>8</x:v>
      </x:c>
      <x:c r="F15" s="10" t="n">
        <x:f>Estimates!F48</x:f>
        <x:v>12</x:v>
      </x:c>
      <x:c r="G15" s="1"/>
      <x:c r="H15" s="1"/>
      <x:c r="I15" s="1"/>
      <x:c r="J15" s="1"/>
      <x:c r="K15" s="1"/>
      <x:c r="L15" s="1"/>
    </x:row>
    <x:row r="16" ht="21" customHeight="1">
      <x:c r="B16" s="1" t="str">
        <x:v>Urology / reproductive hormones</x:v>
      </x:c>
      <x:c r="C16" s="10" t="n">
        <x:f>Estimates!C49</x:f>
        <x:v>3</x:v>
      </x:c>
      <x:c r="D16" s="10" t="n">
        <x:f>Estimates!D49</x:f>
        <x:v>5</x:v>
      </x:c>
      <x:c r="E16" s="10" t="n">
        <x:f>Estimates!E49</x:f>
        <x:v>7</x:v>
      </x:c>
      <x:c r="F16" s="10" t="n">
        <x:f>Estimates!F49</x:f>
        <x:v>11</x:v>
      </x:c>
      <x:c r="G16" s="1"/>
      <x:c r="H16" s="1"/>
      <x:c r="I16" s="1"/>
      <x:c r="J16" s="1"/>
      <x:c r="K16" s="1"/>
      <x:c r="L16" s="1"/>
    </x:row>
    <x:row r="17" ht="21" customHeight="1">
      <x:c r="B17" s="9" t="str">
        <x:v>Top 10 total / weighted share</x:v>
      </x:c>
      <x:c r="C17" s="11" t="n">
        <x:f>SUM(C7:C16)</x:f>
        <x:v>160</x:v>
      </x:c>
      <x:c r="D17" s="11" t="n">
        <x:f>SUM(D7:D16)</x:f>
        <x:v>226</x:v>
      </x:c>
      <x:c r="E17" s="11" t="n">
        <x:f>SUM(E7:E16)</x:f>
        <x:v>273</x:v>
      </x:c>
      <x:c r="F17" s="11" t="n">
        <x:f>SUM(F7:F16)</x:f>
        <x:v>346</x:v>
      </x:c>
      <x:c r="G17" s="1"/>
      <x:c r="H17" s="1"/>
      <x:c r="I17" s="1"/>
      <x:c r="J17" s="1"/>
      <x:c r="K17" s="1"/>
      <x:c r="L17" s="1"/>
    </x:row>
    <x:row r="18" ht="21" customHeight="1">
      <x:c r="B18" s="1" t="str">
        <x:v>All conventional generic therapies</x:v>
      </x:c>
      <x:c r="C18" s="10" t="n">
        <x:f>Estimates!C9</x:f>
        <x:v>182</x:v>
      </x:c>
      <x:c r="D18" s="10" t="n">
        <x:f>Estimates!D9</x:f>
        <x:v>245</x:v>
      </x:c>
      <x:c r="E18" s="10" t="n">
        <x:f>Estimates!E9</x:f>
        <x:v>287</x:v>
      </x:c>
      <x:c r="F18" s="10" t="n">
        <x:f>Estimates!F9</x:f>
        <x:v>370</x:v>
      </x:c>
      <x:c r="G18" s="1"/>
      <x:c r="H18" s="1"/>
      <x:c r="I18" s="1"/>
      <x:c r="J18" s="1"/>
      <x:c r="K18" s="1"/>
      <x:c r="L18" s="1"/>
    </x:row>
    <x:row r="19" ht="21" customHeight="1">
      <x:c r="B19" s="1" t="str">
        <x:v>Other conventional therapies</x:v>
      </x:c>
      <x:c r="C19" s="10" t="n">
        <x:f>C18-C17</x:f>
        <x:v>22</x:v>
      </x:c>
      <x:c r="D19" s="10" t="n">
        <x:f>D18-D17</x:f>
        <x:v>19</x:v>
      </x:c>
      <x:c r="E19" s="10" t="n">
        <x:f>E18-E17</x:f>
        <x:v>14</x:v>
      </x:c>
      <x:c r="F19" s="10" t="n">
        <x:f>F18-F17</x:f>
        <x:v>24</x:v>
      </x:c>
      <x:c r="G19" s="1"/>
      <x:c r="H19" s="1"/>
      <x:c r="I19" s="1"/>
      <x:c r="J19" s="1"/>
      <x:c r="K19" s="1"/>
      <x:c r="L19" s="1"/>
    </x:row>
    <x:row r="20" ht="21" customHeight="1"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1" customHeight="1">
      <x:c r="B21" s="4" t="str">
        <x:v>INDIAN MANUFACTURERS' GLOBAL VALUE SHARE (%)</x:v>
      </x:c>
      <x:c r="C21" s="4"/>
      <x:c r="D21" s="4"/>
      <x:c r="E21" s="4"/>
      <x:c r="F21" s="4"/>
      <x:c r="G21" s="1"/>
      <x:c r="H21" s="1"/>
      <x:c r="I21" s="1"/>
      <x:c r="J21" s="1"/>
      <x:c r="K21" s="1"/>
      <x:c r="L21" s="1"/>
    </x:row>
    <x:row r="22" ht="21" customHeight="1">
      <x:c r="B22" s="7" t="str">
        <x:v>Therapy</x:v>
      </x:c>
      <x:c r="C22" s="7" t="str">
        <x:v>CY10E</x:v>
      </x:c>
      <x:c r="D22" s="7" t="str">
        <x:v>CY15E</x:v>
      </x:c>
      <x:c r="E22" s="7" t="str">
        <x:v>CY20E</x:v>
      </x:c>
      <x:c r="F22" s="7" t="str">
        <x:v>CY25E</x:v>
      </x:c>
      <x:c r="G22" s="1"/>
      <x:c r="H22" s="1"/>
      <x:c r="I22" s="1"/>
      <x:c r="J22" s="1"/>
      <x:c r="K22" s="1"/>
      <x:c r="L22" s="1"/>
    </x:row>
    <x:row r="23" ht="21" customHeight="1">
      <x:c r="B23" s="1" t="str">
        <x:v>Central nervous system</x:v>
      </x:c>
      <x:c r="C23" s="12" t="n">
        <x:f>C39/C7</x:f>
        <x:v>0.044687500000000005</x:v>
      </x:c>
      <x:c r="D23" s="12" t="n">
        <x:f>D39/D7</x:f>
        <x:v>0.066</x:v>
      </x:c>
      <x:c r="E23" s="12" t="n">
        <x:f>E39/E7</x:f>
        <x:v>0.09099636363636364</x:v>
      </x:c>
      <x:c r="F23" s="12" t="n">
        <x:f>F39/F7</x:f>
        <x:v>0.10522285714285713</x:v>
      </x:c>
      <x:c r="G23" s="1"/>
      <x:c r="H23" s="1"/>
      <x:c r="I23" s="1"/>
      <x:c r="J23" s="1"/>
      <x:c r="K23" s="1"/>
      <x:c r="L23" s="1"/>
    </x:row>
    <x:row r="24" ht="21" customHeight="1">
      <x:c r="B24" s="1" t="str">
        <x:v>Cardiovascular</x:v>
      </x:c>
      <x:c r="C24" s="12" t="n">
        <x:f>C40/C8</x:f>
        <x:v>0.055</x:v>
      </x:c>
      <x:c r="D24" s="12" t="n">
        <x:f>D40/D8</x:f>
        <x:v>0.0792</x:v>
      </x:c>
      <x:c r="E24" s="12" t="n">
        <x:f>E40/E8</x:f>
        <x:v>0.10553962264150944</x:v>
      </x:c>
      <x:c r="F24" s="12" t="n">
        <x:f>F40/F8</x:f>
        <x:v>0.12590769230769233</x:v>
      </x:c>
      <x:c r="G24" s="1"/>
      <x:c r="H24" s="1"/>
      <x:c r="I24" s="1"/>
      <x:c r="J24" s="1"/>
      <x:c r="K24" s="1"/>
      <x:c r="L24" s="1"/>
    </x:row>
    <x:row r="25" ht="21" customHeight="1">
      <x:c r="B25" s="1" t="str">
        <x:v>Anti-infectives</x:v>
      </x:c>
      <x:c r="C25" s="12" t="n">
        <x:f>C41/C9</x:f>
        <x:v>0.10029411764705883</x:v>
      </x:c>
      <x:c r="D25" s="12" t="n">
        <x:f>D41/D9</x:f>
        <x:v>0.132</x:v>
      </x:c>
      <x:c r="E25" s="12" t="n">
        <x:f>E41/E9</x:f>
        <x:v>0.15746976744186048</x:v>
      </x:c>
      <x:c r="F25" s="12" t="n">
        <x:f>F41/F9</x:f>
        <x:v>0.1705</x:v>
      </x:c>
      <x:c r="G25" s="1"/>
      <x:c r="H25" s="1"/>
      <x:c r="I25" s="1"/>
      <x:c r="J25" s="1"/>
      <x:c r="K25" s="1"/>
      <x:c r="L25" s="1"/>
    </x:row>
    <x:row r="26" ht="21" customHeight="1">
      <x:c r="B26" s="1" t="str">
        <x:v>Pain / musculoskeletal</x:v>
      </x:c>
      <x:c r="C26" s="12" t="n">
        <x:f>C42/C10</x:f>
        <x:v>0.05500000000000001</x:v>
      </x:c>
      <x:c r="D26" s="12" t="n">
        <x:f>D42/D10</x:f>
        <x:v>0.07615384615384616</x:v>
      </x:c>
      <x:c r="E26" s="12" t="n">
        <x:f>E42/E10</x:f>
        <x:v>0.09136551724137931</x:v>
      </x:c>
      <x:c r="F26" s="12" t="n">
        <x:f>F42/F10</x:f>
        <x:v>0.09353142857142857</x:v>
      </x:c>
      <x:c r="G26" s="1"/>
      <x:c r="H26" s="1"/>
      <x:c r="I26" s="1"/>
      <x:c r="J26" s="1"/>
      <x:c r="K26" s="1"/>
      <x:c r="L26" s="1"/>
    </x:row>
    <x:row r="27" ht="21" customHeight="1">
      <x:c r="B27" s="1" t="str">
        <x:v>Gastrointestinal</x:v>
      </x:c>
      <x:c r="C27" s="12" t="n">
        <x:f>C43/C11</x:f>
        <x:v>0.07944444444444446</x:v>
      </x:c>
      <x:c r="D27" s="12" t="n">
        <x:f>D43/D11</x:f>
        <x:v>0.09504</x:v>
      </x:c>
      <x:c r="E27" s="12" t="n">
        <x:f>E43/E11</x:f>
        <x:v>0.11994074074074074</x:v>
      </x:c>
      <x:c r="F27" s="12" t="n">
        <x:f>F43/F11</x:f>
        <x:v>0.12787500000000002</x:v>
      </x:c>
      <x:c r="G27" s="1"/>
      <x:c r="H27" s="1"/>
      <x:c r="I27" s="1"/>
      <x:c r="J27" s="1"/>
      <x:c r="K27" s="1"/>
      <x:c r="L27" s="1"/>
    </x:row>
    <x:row r="28" ht="21" customHeight="1">
      <x:c r="B28" s="1" t="str">
        <x:v>Diabetes</x:v>
      </x:c>
      <x:c r="C28" s="12" t="n">
        <x:f>C44/C12</x:f>
        <x:v>0.09166666666666667</x:v>
      </x:c>
      <x:c r="D28" s="12" t="n">
        <x:f>D44/D12</x:f>
        <x:v>0.09899999999999999</x:v>
      </x:c>
      <x:c r="E28" s="12" t="n">
        <x:f>E44/E12</x:f>
        <x:v>0.10846315789473686</x:v>
      </x:c>
      <x:c r="F28" s="12" t="n">
        <x:f>F44/F12</x:f>
        <x:v>0.11288275862068965</x:v>
      </x:c>
      <x:c r="G28" s="1"/>
      <x:c r="H28" s="1"/>
      <x:c r="I28" s="1"/>
      <x:c r="J28" s="1"/>
      <x:c r="K28" s="1"/>
      <x:c r="L28" s="1"/>
    </x:row>
    <x:row r="29" ht="21" customHeight="1">
      <x:c r="B29" s="1" t="str">
        <x:v>Respiratory / allergy</x:v>
      </x:c>
      <x:c r="C29" s="12" t="n">
        <x:f>C45/C13</x:f>
        <x:v>0.041249999999999995</x:v>
      </x:c>
      <x:c r="D29" s="12" t="n">
        <x:f>D45/D13</x:f>
        <x:v>0.05657142857142857</x:v>
      </x:c>
      <x:c r="E29" s="12" t="n">
        <x:f>E45/E13</x:f>
        <x:v>0.08832</x:v>
      </x:c>
      <x:c r="F29" s="12" t="n">
        <x:f>F45/F13</x:f>
        <x:v>0.1060888888888889</x:v>
      </x:c>
      <x:c r="G29" s="1"/>
      <x:c r="H29" s="1"/>
      <x:c r="I29" s="1"/>
      <x:c r="J29" s="1"/>
      <x:c r="K29" s="1"/>
      <x:c r="L29" s="1"/>
    </x:row>
    <x:row r="30" ht="21" customHeight="1">
      <x:c r="B30" s="1" t="str">
        <x:v>Dermatology</x:v>
      </x:c>
      <x:c r="C30" s="12" t="n">
        <x:f>C46/C14</x:f>
        <x:v>0.07333333333333333</x:v>
      </x:c>
      <x:c r="D30" s="12" t="n">
        <x:f>D46/D14</x:f>
        <x:v>0.066</x:v>
      </x:c>
      <x:c r="E30" s="12" t="n">
        <x:f>E46/E14</x:f>
        <x:v>0.0736</x:v>
      </x:c>
      <x:c r="F30" s="12" t="n">
        <x:f>F46/F14</x:f>
        <x:v>0.07221176470588235</x:v>
      </x:c>
      <x:c r="G30" s="1"/>
      <x:c r="H30" s="1"/>
      <x:c r="I30" s="1"/>
      <x:c r="J30" s="1"/>
      <x:c r="K30" s="1"/>
      <x:c r="L30" s="1"/>
    </x:row>
    <x:row r="31" ht="21" customHeight="1">
      <x:c r="B31" s="1" t="str">
        <x:v>Ophthalmology</x:v>
      </x:c>
      <x:c r="C31" s="12" t="n">
        <x:f>C47/C15</x:f>
        <x:v>0.07333333333333333</x:v>
      </x:c>
      <x:c r="D31" s="12" t="n">
        <x:f>D47/D15</x:f>
        <x:v>0.066</x:v>
      </x:c>
      <x:c r="E31" s="12" t="n">
        <x:f>E47/E15</x:f>
        <x:v>0.0736</x:v>
      </x:c>
      <x:c r="F31" s="12" t="n">
        <x:f>F47/F15</x:f>
        <x:v>0.0682</x:v>
      </x:c>
      <x:c r="G31" s="1"/>
      <x:c r="H31" s="1"/>
      <x:c r="I31" s="1"/>
      <x:c r="J31" s="1"/>
      <x:c r="K31" s="1"/>
      <x:c r="L31" s="1"/>
    </x:row>
    <x:row r="32" ht="21" customHeight="1">
      <x:c r="B32" s="1" t="str">
        <x:v>Urology / reproductive hormones</x:v>
      </x:c>
      <x:c r="C32" s="12" t="n">
        <x:f>C48/C16</x:f>
        <x:v>0.14666666666666667</x:v>
      </x:c>
      <x:c r="D32" s="12" t="n">
        <x:f>D48/D16</x:f>
        <x:v>0.1584</x:v>
      </x:c>
      <x:c r="E32" s="12" t="n">
        <x:f>E48/E16</x:f>
        <x:v>0.12617142857142857</x:v>
      </x:c>
      <x:c r="F32" s="12" t="n">
        <x:f>F48/F16</x:f>
        <x:v>0.14880000000000002</x:v>
      </x:c>
      <x:c r="G32" s="1"/>
      <x:c r="H32" s="1"/>
      <x:c r="I32" s="1"/>
      <x:c r="J32" s="1"/>
      <x:c r="K32" s="1"/>
      <x:c r="L32" s="1"/>
    </x:row>
    <x:row r="33" ht="21" customHeight="1">
      <x:c r="B33" s="9" t="str">
        <x:v>Top 10 total / weighted share</x:v>
      </x:c>
      <x:c r="C33" s="13" t="n">
        <x:f>C49/C17</x:f>
        <x:v>0.06875</x:v>
      </x:c>
      <x:c r="D33" s="13" t="n">
        <x:f>D49/D17</x:f>
        <x:v>0.08761061946902658</x:v>
      </x:c>
      <x:c r="E33" s="13" t="n">
        <x:f>E49/E17</x:f>
        <x:v>0.10783882783882782</x:v>
      </x:c>
      <x:c r="F33" s="13" t="n">
        <x:f>F49/F17</x:f>
        <x:v>0.11826589595375725</x:v>
      </x:c>
      <x:c r="G33" s="1"/>
      <x:c r="H33" s="1"/>
      <x:c r="I33" s="1"/>
      <x:c r="J33" s="1"/>
      <x:c r="K33" s="1"/>
      <x:c r="L33" s="1"/>
    </x:row>
    <x:row r="34" ht="21" customHeight="1">
      <x:c r="B34" s="1" t="str">
        <x:v>All conventional therapies share</x:v>
      </x:c>
      <x:c r="C34" s="12" t="n">
        <x:f>Estimates!C18/Estimates!C9</x:f>
        <x:v>0.06868131868131869</x:v>
      </x:c>
      <x:c r="D34" s="12" t="n">
        <x:f>Estimates!D18/Estimates!D9</x:f>
        <x:v>0.08979591836734693</x:v>
      </x:c>
      <x:c r="E34" s="12" t="n">
        <x:f>Estimates!E18/Estimates!E9</x:f>
        <x:v>0.11149825783972125</x:v>
      </x:c>
      <x:c r="F34" s="12" t="n">
        <x:f>Estimates!F18/Estimates!F9</x:f>
        <x:v>0.11891891891891893</x:v>
      </x:c>
      <x:c r="G34" s="1"/>
      <x:c r="H34" s="1"/>
      <x:c r="I34" s="1"/>
      <x:c r="J34" s="1"/>
      <x:c r="K34" s="1"/>
      <x:c r="L34" s="1"/>
    </x:row>
    <x:row r="35" ht="21" customHeight="1"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1" customHeight="1"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44" customHeight="1">
      <x:c r="B37" s="4" t="str">
        <x:v>IMPLIED INDIAN MANUFACTURER SALES (US$bn)</x:v>
      </x:c>
      <x:c r="C37" s="4"/>
      <x:c r="D37" s="4"/>
      <x:c r="E37" s="4"/>
      <x:c r="F37" s="4"/>
      <x:c r="G37" s="1"/>
      <x:c r="H37" s="1" t="str">
        <x:v>Suggested exhibit footnote</x:v>
      </x:c>
      <x:c r="I37" s="18" t="str">
        <x:v>Source: public market reports, Pharmexcil and analyst estimates. Therapy spend, ranking and India supplier shares are estimated.</x:v>
      </x:c>
      <x:c r="J37" s="1"/>
      <x:c r="K37" s="1"/>
      <x:c r="L37" s="1"/>
    </x:row>
    <x:row r="38" ht="21" customHeight="1">
      <x:c r="B38" s="7" t="str">
        <x:v>Therapy</x:v>
      </x:c>
      <x:c r="C38" s="7" t="str">
        <x:v>CY10E</x:v>
      </x:c>
      <x:c r="D38" s="7" t="str">
        <x:v>CY15E</x:v>
      </x:c>
      <x:c r="E38" s="7" t="str">
        <x:v>CY20E</x:v>
      </x:c>
      <x:c r="F38" s="7" t="str">
        <x:v>CY25E</x:v>
      </x:c>
      <x:c r="G38" s="1"/>
      <x:c r="H38" s="1"/>
      <x:c r="I38" s="1"/>
      <x:c r="J38" s="1"/>
      <x:c r="K38" s="1"/>
      <x:c r="L38" s="1"/>
    </x:row>
    <x:row r="39" ht="21" customHeight="1">
      <x:c r="B39" s="1" t="str">
        <x:v>Central nervous system</x:v>
      </x:c>
      <x:c r="C39" s="10" t="n">
        <x:f>Estimates!C$20*Estimates!C25</x:f>
        <x:v>1.4300000000000002</x:v>
      </x:c>
      <x:c r="D39" s="10" t="n">
        <x:f>Estimates!D$20*Estimates!D25</x:f>
        <x:v>2.97</x:v>
      </x:c>
      <x:c r="E39" s="10" t="n">
        <x:f>Estimates!E$20*Estimates!E25</x:f>
        <x:v>5.0048</x:v>
      </x:c>
      <x:c r="F39" s="10" t="n">
        <x:f>Estimates!F$20*Estimates!F25</x:f>
        <x:v>7.3656</x:v>
      </x:c>
      <x:c r="G39" s="1"/>
      <x:c r="H39" s="1"/>
      <x:c r="I39" s="1"/>
      <x:c r="J39" s="1"/>
      <x:c r="K39" s="1"/>
      <x:c r="L39" s="1"/>
    </x:row>
    <x:row r="40" ht="21" customHeight="1">
      <x:c r="B40" s="1" t="str">
        <x:v>Cardiovascular</x:v>
      </x:c>
      <x:c r="C40" s="10" t="n">
        <x:f>Estimates!C$20*Estimates!C26</x:f>
        <x:v>1.65</x:v>
      </x:c>
      <x:c r="D40" s="10" t="n">
        <x:f>Estimates!D$20*Estimates!D26</x:f>
        <x:v>3.564</x:v>
      </x:c>
      <x:c r="E40" s="10" t="n">
        <x:f>Estimates!E$20*Estimates!E26</x:f>
        <x:v>5.5936</x:v>
      </x:c>
      <x:c r="F40" s="10" t="n">
        <x:f>Estimates!F$20*Estimates!F26</x:f>
        <x:v>8.184000000000001</x:v>
      </x:c>
      <x:c r="G40" s="1"/>
      <x:c r="H40" s="1"/>
      <x:c r="I40" s="1"/>
      <x:c r="J40" s="1"/>
      <x:c r="K40" s="1"/>
      <x:c r="L40" s="1"/>
    </x:row>
    <x:row r="41" ht="21" customHeight="1">
      <x:c r="B41" s="1" t="str">
        <x:v>Anti-infectives</x:v>
      </x:c>
      <x:c r="C41" s="10" t="n">
        <x:f>Estimates!C$20*Estimates!C27</x:f>
        <x:v>3.41</x:v>
      </x:c>
      <x:c r="D41" s="10" t="n">
        <x:f>Estimates!D$20*Estimates!D27</x:f>
        <x:v>5.148000000000001</x:v>
      </x:c>
      <x:c r="E41" s="10" t="n">
        <x:f>Estimates!E$20*Estimates!E27</x:f>
        <x:v>6.7712</x:v>
      </x:c>
      <x:c r="F41" s="10" t="n">
        <x:f>Estimates!F$20*Estimates!F27</x:f>
        <x:v>8.184000000000001</x:v>
      </x:c>
      <x:c r="G41" s="1"/>
      <x:c r="H41" s="1"/>
      <x:c r="I41" s="1"/>
      <x:c r="J41" s="1"/>
      <x:c r="K41" s="1"/>
      <x:c r="L41" s="1"/>
    </x:row>
    <x:row r="42" ht="21" customHeight="1">
      <x:c r="B42" s="1" t="str">
        <x:v>Pain / musculoskeletal</x:v>
      </x:c>
      <x:c r="C42" s="10" t="n">
        <x:f>Estimates!C$20*Estimates!C28</x:f>
        <x:v>1.1</x:v>
      </x:c>
      <x:c r="D42" s="10" t="n">
        <x:f>Estimates!D$20*Estimates!D28</x:f>
        <x:v>1.9800000000000002</x:v>
      </x:c>
      <x:c r="E42" s="10" t="n">
        <x:f>Estimates!E$20*Estimates!E28</x:f>
        <x:v>2.6496</x:v>
      </x:c>
      <x:c r="F42" s="10" t="n">
        <x:f>Estimates!F$20*Estimates!F28</x:f>
        <x:v>3.2736</x:v>
      </x:c>
      <x:c r="G42" s="1"/>
      <x:c r="H42" s="1"/>
      <x:c r="I42" s="1"/>
      <x:c r="J42" s="1"/>
      <x:c r="K42" s="1"/>
      <x:c r="L42" s="1"/>
    </x:row>
    <x:row r="43" ht="21" customHeight="1">
      <x:c r="B43" s="1" t="str">
        <x:v>Gastrointestinal</x:v>
      </x:c>
      <x:c r="C43" s="10" t="n">
        <x:f>Estimates!C$20*Estimates!C29</x:f>
        <x:v>1.4300000000000002</x:v>
      </x:c>
      <x:c r="D43" s="10" t="n">
        <x:f>Estimates!D$20*Estimates!D29</x:f>
        <x:v>2.376</x:v>
      </x:c>
      <x:c r="E43" s="10" t="n">
        <x:f>Estimates!E$20*Estimates!E29</x:f>
        <x:v>3.2384</x:v>
      </x:c>
      <x:c r="F43" s="10" t="n">
        <x:f>Estimates!F$20*Estimates!F29</x:f>
        <x:v>4.0920000000000005</x:v>
      </x:c>
      <x:c r="G43" s="1"/>
      <x:c r="H43" s="1"/>
      <x:c r="I43" s="1"/>
      <x:c r="J43" s="1"/>
      <x:c r="K43" s="1"/>
      <x:c r="L43" s="1"/>
    </x:row>
    <x:row r="44" ht="21" customHeight="1">
      <x:c r="B44" s="1" t="str">
        <x:v>Diabetes</x:v>
      </x:c>
      <x:c r="C44" s="10" t="n">
        <x:f>Estimates!C$20*Estimates!C30</x:f>
        <x:v>0.55</x:v>
      </x:c>
      <x:c r="D44" s="10" t="n">
        <x:f>Estimates!D$20*Estimates!D30</x:f>
        <x:v>1.188</x:v>
      </x:c>
      <x:c r="E44" s="10" t="n">
        <x:f>Estimates!E$20*Estimates!E30</x:f>
        <x:v>2.0608000000000004</x:v>
      </x:c>
      <x:c r="F44" s="10" t="n">
        <x:f>Estimates!F$20*Estimates!F30</x:f>
        <x:v>3.2736</x:v>
      </x:c>
      <x:c r="G44" s="1"/>
      <x:c r="H44" s="1"/>
      <x:c r="I44" s="1"/>
      <x:c r="J44" s="1"/>
      <x:c r="K44" s="1"/>
      <x:c r="L44" s="1"/>
    </x:row>
    <x:row r="45" ht="21" customHeight="1">
      <x:c r="B45" s="1" t="str">
        <x:v>Respiratory / allergy</x:v>
      </x:c>
      <x:c r="C45" s="10" t="n">
        <x:f>Estimates!C$20*Estimates!C31</x:f>
        <x:v>0.32999999999999996</x:v>
      </x:c>
      <x:c r="D45" s="10" t="n">
        <x:f>Estimates!D$20*Estimates!D31</x:f>
        <x:v>0.792</x:v>
      </x:c>
      <x:c r="E45" s="10" t="n">
        <x:f>Estimates!E$20*Estimates!E31</x:f>
        <x:v>1.7664</x:v>
      </x:c>
      <x:c r="F45" s="10" t="n">
        <x:f>Estimates!F$20*Estimates!F31</x:f>
        <x:v>2.8644000000000003</x:v>
      </x:c>
      <x:c r="G45" s="1"/>
      <x:c r="H45" s="1"/>
      <x:c r="I45" s="1"/>
      <x:c r="J45" s="1"/>
      <x:c r="K45" s="1"/>
      <x:c r="L45" s="1"/>
    </x:row>
    <x:row r="46" ht="21" customHeight="1">
      <x:c r="B46" s="1" t="str">
        <x:v>Dermatology</x:v>
      </x:c>
      <x:c r="C46" s="10" t="n">
        <x:f>Estimates!C$20*Estimates!C32</x:f>
        <x:v>0.44</x:v>
      </x:c>
      <x:c r="D46" s="10" t="n">
        <x:f>Estimates!D$20*Estimates!D32</x:f>
        <x:v>0.594</x:v>
      </x:c>
      <x:c r="E46" s="10" t="n">
        <x:f>Estimates!E$20*Estimates!E32</x:f>
        <x:v>0.8832</x:v>
      </x:c>
      <x:c r="F46" s="10" t="n">
        <x:f>Estimates!F$20*Estimates!F32</x:f>
        <x:v>1.2276</x:v>
      </x:c>
      <x:c r="G46" s="1"/>
      <x:c r="H46" s="1"/>
      <x:c r="I46" s="1"/>
      <x:c r="J46" s="1"/>
      <x:c r="K46" s="1"/>
      <x:c r="L46" s="1"/>
    </x:row>
    <x:row r="47" ht="21" customHeight="1">
      <x:c r="B47" s="1" t="str">
        <x:v>Ophthalmology</x:v>
      </x:c>
      <x:c r="C47" s="10" t="n">
        <x:f>Estimates!C$20*Estimates!C33</x:f>
        <x:v>0.22</x:v>
      </x:c>
      <x:c r="D47" s="10" t="n">
        <x:f>Estimates!D$20*Estimates!D33</x:f>
        <x:v>0.396</x:v>
      </x:c>
      <x:c r="E47" s="10" t="n">
        <x:f>Estimates!E$20*Estimates!E33</x:f>
        <x:v>0.5888</x:v>
      </x:c>
      <x:c r="F47" s="10" t="n">
        <x:f>Estimates!F$20*Estimates!F33</x:f>
        <x:v>0.8184</x:v>
      </x:c>
      <x:c r="G47" s="1"/>
      <x:c r="H47" s="1"/>
      <x:c r="I47" s="1"/>
      <x:c r="J47" s="1"/>
      <x:c r="K47" s="1"/>
      <x:c r="L47" s="1"/>
    </x:row>
    <x:row r="48" ht="21" customHeight="1">
      <x:c r="B48" s="1" t="str">
        <x:v>Urology / reproductive hormones</x:v>
      </x:c>
      <x:c r="C48" s="10" t="n">
        <x:f>Estimates!C$20*Estimates!C34</x:f>
        <x:v>0.44</x:v>
      </x:c>
      <x:c r="D48" s="10" t="n">
        <x:f>Estimates!D$20*Estimates!D34</x:f>
        <x:v>0.792</x:v>
      </x:c>
      <x:c r="E48" s="10" t="n">
        <x:f>Estimates!E$20*Estimates!E34</x:f>
        <x:v>0.8832</x:v>
      </x:c>
      <x:c r="F48" s="10" t="n">
        <x:f>Estimates!F$20*Estimates!F34</x:f>
        <x:v>1.6368</x:v>
      </x:c>
      <x:c r="G48" s="1"/>
      <x:c r="H48" s="1"/>
      <x:c r="I48" s="1"/>
      <x:c r="J48" s="1"/>
      <x:c r="K48" s="1"/>
      <x:c r="L48" s="1"/>
    </x:row>
    <x:row r="49" ht="21" customHeight="1">
      <x:c r="B49" s="9" t="str">
        <x:v>Top 10 total / weighted share</x:v>
      </x:c>
      <x:c r="C49" s="11" t="n">
        <x:f>SUM(C39:C48)</x:f>
        <x:v>11</x:v>
      </x:c>
      <x:c r="D49" s="11" t="n">
        <x:f>SUM(D39:D48)</x:f>
        <x:v>19.800000000000008</x:v>
      </x:c>
      <x:c r="E49" s="11" t="n">
        <x:f>SUM(E39:E48)</x:f>
        <x:v>29.439999999999998</x:v>
      </x:c>
      <x:c r="F49" s="11" t="n">
        <x:f>SUM(F39:F48)</x:f>
        <x:v>40.92000000000001</x:v>
      </x:c>
      <x:c r="G49" s="1"/>
      <x:c r="H49" s="1"/>
      <x:c r="I49" s="1"/>
      <x:c r="J49" s="1"/>
      <x:c r="K49" s="1"/>
      <x:c r="L49" s="1"/>
    </x:row>
    <x:row r="50" ht="21" customHeight="1"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1" customHeight="1"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1" customHeight="1"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1" customHeight="1">
      <x:c r="B53" s="1"/>
      <x:c r="C53" s="1"/>
      <x:c r="D53" s="1"/>
      <x:c r="E53" s="1"/>
      <x:c r="F53" s="1"/>
      <x:c r="G53" s="1"/>
      <x:c r="H53" s="4" t="str">
        <x:v>Definitions</x:v>
      </x:c>
      <x:c r="I53" s="4"/>
      <x:c r="J53" s="1"/>
      <x:c r="K53" s="1"/>
      <x:c r="L53" s="1"/>
    </x:row>
    <x:row r="54" ht="34" customHeight="1">
      <x:c r="B54" s="1"/>
      <x:c r="C54" s="1"/>
      <x:c r="D54" s="1"/>
      <x:c r="E54" s="1"/>
      <x:c r="F54" s="1"/>
      <x:c r="G54" s="1"/>
      <x:c r="H54" s="1" t="str">
        <x:v>India share</x:v>
      </x:c>
      <x:c r="I54" s="18" t="str">
        <x:v>Indian-headquartered supplier sales worldwide / global generic market value.</x:v>
      </x:c>
      <x:c r="J54" s="1"/>
      <x:c r="K54" s="1"/>
      <x:c r="L54" s="1"/>
    </x:row>
    <x:row r="55" ht="34" customHeight="1">
      <x:c r="B55" s="1"/>
      <x:c r="C55" s="1"/>
      <x:c r="D55" s="1"/>
      <x:c r="E55" s="1"/>
      <x:c r="F55" s="1"/>
      <x:c r="G55" s="1"/>
      <x:c r="H55" s="1" t="str">
        <x:v>Supplier scope</x:v>
      </x:c>
      <x:c r="I55" s="18" t="str">
        <x:v>Includes domestic sales, exports and net overseas affiliate contribution.</x:v>
      </x:c>
      <x:c r="J55" s="1"/>
      <x:c r="K55" s="1"/>
      <x:c r="L55" s="1"/>
    </x:row>
    <x:row r="56" ht="34" customHeight="1">
      <x:c r="B56" s="1"/>
      <x:c r="C56" s="1"/>
      <x:c r="D56" s="1"/>
      <x:c r="E56" s="1"/>
      <x:c r="F56" s="1"/>
      <x:c r="G56" s="1"/>
      <x:c r="H56" s="1" t="str">
        <x:v>Spend basis</x:v>
      </x:c>
      <x:c r="I56" s="18" t="str">
        <x:v>Modelled manufacturer-equivalent market value. Excludes pharmacy mark-ups.</x:v>
      </x:c>
      <x:c r="J56" s="1"/>
      <x:c r="K56" s="1"/>
      <x:c r="L56" s="1"/>
    </x:row>
    <x:row r="57" ht="34" customHeight="1">
      <x:c r="B57" s="1"/>
      <x:c r="C57" s="1"/>
      <x:c r="D57" s="1"/>
      <x:c r="E57" s="1"/>
      <x:c r="F57" s="1"/>
      <x:c r="G57" s="1"/>
      <x:c r="H57" s="1" t="str">
        <x:v>Included</x:v>
      </x:c>
      <x:c r="I57" s="18" t="str">
        <x:v>Branded and unbranded off-patent conventional finished-dose medicines.</x:v>
      </x:c>
      <x:c r="J57" s="1"/>
      <x:c r="K57" s="1"/>
      <x:c r="L57" s="1"/>
    </x:row>
    <x:row r="58" ht="34" customHeight="1">
      <x:c r="B58" s="1"/>
      <x:c r="C58" s="1"/>
      <x:c r="D58" s="1"/>
      <x:c r="E58" s="1"/>
      <x:c r="F58" s="1"/>
      <x:c r="G58" s="1"/>
      <x:c r="H58" s="1" t="str">
        <x:v>Excluded</x:v>
      </x:c>
      <x:c r="I58" s="18" t="str">
        <x:v>Oncology, biologics, biosimilars, vaccines, patented specialty, APIs and devices.</x:v>
      </x:c>
      <x:c r="J58" s="1"/>
      <x:c r="K58" s="1"/>
      <x:c r="L58" s="1"/>
    </x:row>
    <x:row r="59" ht="34" customHeight="1">
      <x:c r="B59" s="1"/>
      <x:c r="C59" s="1"/>
      <x:c r="D59" s="1"/>
      <x:c r="E59" s="1"/>
      <x:c r="F59" s="1"/>
      <x:c r="G59" s="1"/>
      <x:c r="H59" s="1" t="str">
        <x:v>Diabetes scope</x:v>
      </x:c>
      <x:c r="I59" s="18" t="str">
        <x:v>Small molecules only. Insulin and patented GLP-1 products excluded.</x:v>
      </x:c>
      <x:c r="J59" s="1"/>
      <x:c r="K59" s="1"/>
      <x:c r="L59" s="1"/>
    </x:row>
    <x:row r="60" ht="34" customHeight="1">
      <x:c r="B60" s="1"/>
      <x:c r="C60" s="1"/>
      <x:c r="D60" s="1"/>
      <x:c r="E60" s="1"/>
      <x:c r="F60" s="1"/>
      <x:c r="G60" s="1"/>
      <x:c r="H60" s="1" t="str">
        <x:v>Ranking</x:v>
      </x:c>
      <x:c r="I60" s="18" t="str">
        <x:v>Fixed CY25 estimated ranking used for all years. Not a verified global top 10.</x:v>
      </x:c>
      <x:c r="J60" s="1"/>
      <x:c r="K60" s="1"/>
      <x:c r="L60" s="1"/>
    </x:row>
    <x:row r="61" ht="34" customHeight="1">
      <x:c r="B61" s="1"/>
      <x:c r="C61" s="1"/>
      <x:c r="D61" s="1"/>
      <x:c r="E61" s="1"/>
      <x:c r="F61" s="1"/>
      <x:c r="G61" s="1"/>
      <x:c r="H61" s="1" t="str">
        <x:v>Estimation limit</x:v>
      </x:c>
      <x:c r="I61" s="18" t="str">
        <x:v>India value-share trend is modelled, not independently observed by therapy.</x:v>
      </x:c>
      <x:c r="J61" s="1"/>
      <x:c r="K61" s="1"/>
      <x:c r="L61" s="1"/>
    </x:row>
    <x:row r="62" ht="34" customHeight="1">
      <x:c r="B62" s="1"/>
      <x:c r="C62" s="1"/>
      <x:c r="D62" s="1"/>
      <x:c r="E62" s="1"/>
      <x:c r="F62" s="1"/>
      <x:c r="G62" s="1"/>
      <x:c r="H62" s="1" t="str">
        <x:v>Calendar periods</x:v>
      </x:c>
      <x:c r="I62" s="18" t="str">
        <x:v>CY estimates use nearby Indian FY observations as calibration only.</x:v>
      </x:c>
      <x:c r="J62" s="1"/>
      <x:c r="K62" s="1"/>
      <x:c r="L62" s="1"/>
    </x:row>
    <x:row r="63" ht="34" customHeight="1">
      <x:c r="B63" s="1"/>
      <x:c r="C63" s="1"/>
      <x:c r="D63" s="1"/>
      <x:c r="E63" s="1"/>
      <x:c r="F63" s="1"/>
      <x:c r="G63" s="1"/>
      <x:c r="H63" s="1" t="str">
        <x:v>Precision</x:v>
      </x:c>
      <x:c r="I63" s="18" t="str">
        <x:v>One decimal is a display convention; estimates are directional.</x:v>
      </x:c>
      <x:c r="J63" s="1"/>
      <x:c r="K63" s="1"/>
      <x:c r="L63" s="1"/>
    </x:row>
    <x:row r="64" ht="34" customHeight="1">
      <x:c r="B64" s="1"/>
      <x:c r="C64" s="1"/>
      <x:c r="D64" s="1"/>
      <x:c r="E64" s="1"/>
      <x:c r="F64" s="1"/>
      <x:c r="G64" s="1"/>
      <x:c r="H64" s="1" t="str">
        <x:v>Uncertainty</x:v>
      </x:c>
      <x:c r="I64" s="18" t="str">
        <x:v>Allow roughly +/-25% on spend and +/-30% on Indian sales as judgement ranges.</x:v>
      </x:c>
      <x:c r="J64" s="1"/>
      <x:c r="K64" s="1"/>
      <x:c r="L64" s="1"/>
    </x:row>
    <x:row r="65" ht="34" customHeight="1">
      <x:c r="B65" s="1"/>
      <x:c r="C65" s="1"/>
      <x:c r="D65" s="1"/>
      <x:c r="E65" s="1"/>
      <x:c r="F65" s="1"/>
      <x:c r="G65" s="1"/>
      <x:c r="H65" s="1" t="str">
        <x:v>Source access</x:v>
      </x:c>
      <x:c r="I65" s="18" t="str">
        <x:v>Public sources used. No licensed EvaluatePharma or Frost &amp; Sullivan data accessed.</x:v>
      </x:c>
      <x:c r="J65" s="1"/>
      <x:c r="K65" s="1"/>
      <x:c r="L65" s="1"/>
    </x:row>
    <x:row r="66" ht="21" customHeight="1"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 ht="21" customHeight="1">
      <x:c r="B67" s="1"/>
      <x:c r="C67" s="1"/>
      <x:c r="D67" s="1"/>
      <x:c r="E67" s="1"/>
      <x:c r="F67" s="1"/>
      <x:c r="G67" s="1"/>
      <x:c r="H67" s="4" t="str">
        <x:v>Therapy scope</x:v>
      </x:c>
      <x:c r="I67" s="4"/>
      <x:c r="J67" s="1"/>
      <x:c r="K67" s="1"/>
      <x:c r="L67" s="1"/>
    </x:row>
    <x:row r="68" ht="34" customHeight="1">
      <x:c r="B68" s="1"/>
      <x:c r="C68" s="1"/>
      <x:c r="D68" s="1"/>
      <x:c r="E68" s="1"/>
      <x:c r="F68" s="1"/>
      <x:c r="G68" s="1"/>
      <x:c r="H68" s="1" t="str">
        <x:v>Central nervous system</x:v>
      </x:c>
      <x:c r="I68" s="18" t="str">
        <x:v>Antidepressants, antipsychotics, epilepsy, Parkinson's</x:v>
      </x:c>
      <x:c r="J68" s="1"/>
      <x:c r="K68" s="1"/>
      <x:c r="L68" s="1"/>
    </x:row>
    <x:row r="69" ht="34" customHeight="1">
      <x:c r="B69" s="1"/>
      <x:c r="C69" s="1"/>
      <x:c r="D69" s="1"/>
      <x:c r="E69" s="1"/>
      <x:c r="F69" s="1"/>
      <x:c r="G69" s="1"/>
      <x:c r="H69" s="1" t="str">
        <x:v>Cardiovascular</x:v>
      </x:c>
      <x:c r="I69" s="18" t="str">
        <x:v>Hypertension, lipids, cardiac drugs, antithrombotics</x:v>
      </x:c>
      <x:c r="J69" s="1"/>
      <x:c r="K69" s="1"/>
      <x:c r="L69" s="1"/>
    </x:row>
    <x:row r="70" ht="34" customHeight="1">
      <x:c r="B70" s="1"/>
      <x:c r="C70" s="1"/>
      <x:c r="D70" s="1"/>
      <x:c r="E70" s="1"/>
      <x:c r="F70" s="1"/>
      <x:c r="G70" s="1"/>
      <x:c r="H70" s="1" t="str">
        <x:v>Anti-infectives</x:v>
      </x:c>
      <x:c r="I70" s="18" t="str">
        <x:v>Antibacterials, off-patent antivirals, antifungals</x:v>
      </x:c>
      <x:c r="J70" s="1"/>
      <x:c r="K70" s="1"/>
      <x:c r="L70" s="1"/>
    </x:row>
    <x:row r="71" ht="34" customHeight="1">
      <x:c r="B71" s="1"/>
      <x:c r="C71" s="1"/>
      <x:c r="D71" s="1"/>
      <x:c r="E71" s="1"/>
      <x:c r="F71" s="1"/>
      <x:c r="G71" s="1"/>
      <x:c r="H71" s="1" t="str">
        <x:v>Pain / musculoskeletal</x:v>
      </x:c>
      <x:c r="I71" s="18" t="str">
        <x:v>Analgesics, NSAIDs, muscle relaxants, conventional rheumatology</x:v>
      </x:c>
      <x:c r="J71" s="1"/>
      <x:c r="K71" s="1"/>
      <x:c r="L71" s="1"/>
    </x:row>
    <x:row r="72" ht="34" customHeight="1">
      <x:c r="B72" s="1"/>
      <x:c r="C72" s="1"/>
      <x:c r="D72" s="1"/>
      <x:c r="E72" s="1"/>
      <x:c r="F72" s="1"/>
      <x:c r="G72" s="1"/>
      <x:c r="H72" s="1" t="str">
        <x:v>Gastrointestinal</x:v>
      </x:c>
      <x:c r="I72" s="18" t="str">
        <x:v>Acid suppression, antiemetics, motility, bowel disorders</x:v>
      </x:c>
      <x:c r="J72" s="1"/>
      <x:c r="K72" s="1"/>
      <x:c r="L72" s="1"/>
    </x:row>
    <x:row r="73" ht="34" customHeight="1">
      <x:c r="B73" s="1"/>
      <x:c r="C73" s="1"/>
      <x:c r="D73" s="1"/>
      <x:c r="E73" s="1"/>
      <x:c r="F73" s="1"/>
      <x:c r="G73" s="1"/>
      <x:c r="H73" s="1" t="str">
        <x:v>Diabetes</x:v>
      </x:c>
      <x:c r="I73" s="18" t="str">
        <x:v>Off-patent small-molecule glucose-lowering medicines</x:v>
      </x:c>
      <x:c r="J73" s="1"/>
      <x:c r="K73" s="1"/>
      <x:c r="L73" s="1"/>
    </x:row>
    <x:row r="74" ht="34" customHeight="1">
      <x:c r="B74" s="1"/>
      <x:c r="C74" s="1"/>
      <x:c r="D74" s="1"/>
      <x:c r="E74" s="1"/>
      <x:c r="F74" s="1"/>
      <x:c r="G74" s="1"/>
      <x:c r="H74" s="1" t="str">
        <x:v>Respiratory / allergy</x:v>
      </x:c>
      <x:c r="I74" s="18" t="str">
        <x:v>Asthma, COPD, antihistamines, conventional inhalers</x:v>
      </x:c>
      <x:c r="J74" s="1"/>
      <x:c r="K74" s="1"/>
      <x:c r="L74" s="1"/>
    </x:row>
    <x:row r="75" ht="34" customHeight="1">
      <x:c r="B75" s="1"/>
      <x:c r="C75" s="1"/>
      <x:c r="D75" s="1"/>
      <x:c r="E75" s="1"/>
      <x:c r="F75" s="1"/>
      <x:c r="G75" s="1"/>
      <x:c r="H75" s="1" t="str">
        <x:v>Dermatology</x:v>
      </x:c>
      <x:c r="I75" s="18" t="str">
        <x:v>Conventional topical and oral dermatology medicines</x:v>
      </x:c>
      <x:c r="J75" s="1"/>
      <x:c r="K75" s="1"/>
      <x:c r="L75" s="1"/>
    </x:row>
    <x:row r="76" ht="34" customHeight="1">
      <x:c r="B76" s="1"/>
      <x:c r="C76" s="1"/>
      <x:c r="D76" s="1"/>
      <x:c r="E76" s="1"/>
      <x:c r="F76" s="1"/>
      <x:c r="G76" s="1"/>
      <x:c r="H76" s="1" t="str">
        <x:v>Ophthalmology</x:v>
      </x:c>
      <x:c r="I76" s="18" t="str">
        <x:v>Glaucoma, dry eye, conventional ocular medicines</x:v>
      </x:c>
      <x:c r="J76" s="1"/>
      <x:c r="K76" s="1"/>
      <x:c r="L76" s="1"/>
    </x:row>
    <x:row r="77" ht="34" customHeight="1">
      <x:c r="B77" s="1"/>
      <x:c r="C77" s="1"/>
      <x:c r="D77" s="1"/>
      <x:c r="E77" s="1"/>
      <x:c r="F77" s="1"/>
      <x:c r="G77" s="1"/>
      <x:c r="H77" s="1" t="str">
        <x:v>Urology / reproductive hormones</x:v>
      </x:c>
      <x:c r="I77" s="18" t="str">
        <x:v>BPH, bladder, sexual health, reproductive hormones</x:v>
      </x:c>
      <x:c r="J77" s="1"/>
      <x:c r="K77" s="1"/>
      <x:c r="L77" s="1"/>
    </x:row>
    <x:row r="78" ht="21" customHeight="1"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 ht="21" customHeight="1"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 ht="21" customHeight="1"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 ht="21" customHeight="1"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1" customHeight="1"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1" customHeight="1"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1" customHeight="1"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1" customHeight="1"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07C91"/>
  </x:sheetPr>
  <x:sheetViews>
    <x:sheetView showGridLines="0" workbookViewId="0"/>
  </x:sheetViews>
  <x:sheetFormatPr defaultRowHeight="15"/>
  <x:cols>
    <x:col min="1" max="1" width="3" hidden="0" customWidth="1"/>
    <x:col min="2" max="2" width="37" hidden="0" customWidth="1"/>
    <x:col min="3" max="3" width="14" hidden="0" customWidth="1"/>
    <x:col min="4" max="4" width="14" hidden="0" customWidth="1"/>
    <x:col min="5" max="5" width="14" hidden="0" customWidth="1"/>
    <x:col min="6" max="6" width="29" hidden="0" customWidth="1"/>
    <x:col min="7" max="7" width="3" hidden="0" customWidth="1"/>
    <x:col min="8" max="8" width="29" hidden="0" customWidth="1"/>
    <x:col min="9" max="9" width="88" hidden="0" customWidth="1"/>
  </x:cols>
  <x:sheetData>
    <x:row r="2" ht="21" customHeight="1">
      <x:c r="B2" s="2" t="str">
        <x:v>Editable assumptions and source anchors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1" customHeight="1">
      <x:c r="B3" s="1" t="str">
        <x:v>Blue figures are assumptions. Published anchors below do not provide the therapy-level series.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1" customHeight="1"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1" customHeight="1">
      <x:c r="B5" s="4" t="str">
        <x:v>GLOBAL MARKET ESTIMATES (US$bn)</x:v>
      </x:c>
      <x:c r="C5" s="4"/>
      <x:c r="D5" s="4"/>
      <x:c r="E5" s="4"/>
      <x:c r="F5" s="4"/>
      <x:c r="G5" s="1"/>
      <x:c r="H5" s="1"/>
      <x:c r="I5" s="1"/>
      <x:c r="J5" s="1"/>
      <x:c r="K5" s="1"/>
      <x:c r="L5" s="1"/>
    </x:row>
    <x:row r="6" ht="21" customHeight="1">
      <x:c r="B6" s="7" t="str">
        <x:v>Metric</x:v>
      </x:c>
      <x:c r="C6" s="7" t="str">
        <x:v>CY10E</x:v>
      </x:c>
      <x:c r="D6" s="7" t="str">
        <x:v>CY15E</x:v>
      </x:c>
      <x:c r="E6" s="7" t="str">
        <x:v>CY20E</x:v>
      </x:c>
      <x:c r="F6" s="7" t="str">
        <x:v>CY25E</x:v>
      </x:c>
      <x:c r="G6" s="1"/>
      <x:c r="H6" s="1"/>
      <x:c r="I6" s="1"/>
      <x:c r="J6" s="1"/>
      <x:c r="K6" s="1"/>
      <x:c r="L6" s="1"/>
    </x:row>
    <x:row r="7" ht="21" customHeight="1">
      <x:c r="B7" s="1" t="str">
        <x:v>Broad global generic market</x:v>
      </x:c>
      <x:c r="C7" s="16" t="n">
        <x:v>200</x:v>
      </x:c>
      <x:c r="D7" s="16" t="n">
        <x:v>270</x:v>
      </x:c>
      <x:c r="E7" s="16" t="n">
        <x:v>320</x:v>
      </x:c>
      <x:c r="F7" s="16" t="n">
        <x:v>411</x:v>
      </x:c>
      <x:c r="G7" s="1"/>
      <x:c r="H7" s="1"/>
      <x:c r="I7" s="1"/>
      <x:c r="J7" s="1"/>
      <x:c r="K7" s="1"/>
      <x:c r="L7" s="1"/>
    </x:row>
    <x:row r="8" ht="21" customHeight="1">
      <x:c r="B8" s="1" t="str">
        <x:v>Excluded oncology / other specialty</x:v>
      </x:c>
      <x:c r="C8" s="16" t="n">
        <x:v>18</x:v>
      </x:c>
      <x:c r="D8" s="16" t="n">
        <x:v>25</x:v>
      </x:c>
      <x:c r="E8" s="16" t="n">
        <x:v>33</x:v>
      </x:c>
      <x:c r="F8" s="16" t="n">
        <x:v>41</x:v>
      </x:c>
      <x:c r="G8" s="1"/>
      <x:c r="H8" s="1"/>
      <x:c r="I8" s="1"/>
      <x:c r="J8" s="1"/>
      <x:c r="K8" s="1"/>
      <x:c r="L8" s="1"/>
    </x:row>
    <x:row r="9" ht="21" customHeight="1">
      <x:c r="B9" s="1" t="str">
        <x:v>Conventional generic universe</x:v>
      </x:c>
      <x:c r="C9" s="10" t="n">
        <x:f>C7-C8</x:f>
        <x:v>182</x:v>
      </x:c>
      <x:c r="D9" s="10" t="n">
        <x:f>D7-D8</x:f>
        <x:v>245</x:v>
      </x:c>
      <x:c r="E9" s="10" t="n">
        <x:f>E7-E8</x:f>
        <x:v>287</x:v>
      </x:c>
      <x:c r="F9" s="10" t="n">
        <x:f>F7-F8</x:f>
        <x:v>370</x:v>
      </x:c>
      <x:c r="G9" s="1"/>
      <x:c r="H9" s="1"/>
      <x:c r="I9" s="1"/>
      <x:c r="J9" s="1"/>
      <x:c r="K9" s="1"/>
      <x:c r="L9" s="1"/>
    </x:row>
    <x:row r="10" ht="21" customHeight="1">
      <x:c r="B10" s="1" t="str">
        <x:v>Top 10 therapy spend</x:v>
      </x:c>
      <x:c r="C10" s="10" t="n">
        <x:f>SUM(C40:C49)</x:f>
        <x:v>160</x:v>
      </x:c>
      <x:c r="D10" s="10" t="n">
        <x:f>SUM(D40:D49)</x:f>
        <x:v>226</x:v>
      </x:c>
      <x:c r="E10" s="10" t="n">
        <x:f>SUM(E40:E49)</x:f>
        <x:v>273</x:v>
      </x:c>
      <x:c r="F10" s="10" t="n">
        <x:f>SUM(F40:F49)</x:f>
        <x:v>346</x:v>
      </x:c>
      <x:c r="G10" s="1"/>
      <x:c r="H10" s="1"/>
      <x:c r="I10" s="1"/>
      <x:c r="J10" s="1"/>
      <x:c r="K10" s="1"/>
      <x:c r="L10" s="1"/>
    </x:row>
    <x:row r="11" ht="21" customHeight="1">
      <x:c r="B11" s="1"/>
      <x:c r="C11" s="10"/>
      <x:c r="D11" s="10"/>
      <x:c r="E11" s="10"/>
      <x:c r="F11" s="10"/>
      <x:c r="G11" s="1"/>
      <x:c r="H11" s="1"/>
      <x:c r="I11" s="1"/>
      <x:c r="J11" s="1"/>
      <x:c r="K11" s="1"/>
      <x:c r="L11" s="1"/>
    </x:row>
    <x:row r="12" ht="21" customHeight="1">
      <x:c r="B12" s="1"/>
      <x:c r="C12" s="10"/>
      <x:c r="D12" s="10"/>
      <x:c r="E12" s="10"/>
      <x:c r="F12" s="10"/>
      <x:c r="G12" s="1"/>
      <x:c r="H12" s="1"/>
      <x:c r="I12" s="1"/>
      <x:c r="J12" s="1"/>
      <x:c r="K12" s="1"/>
      <x:c r="L12" s="1"/>
    </x:row>
    <x:row r="13" ht="21" customHeight="1">
      <x:c r="B13" s="4" t="str">
        <x:v>INDIAN SUPPLIER SALES BUILD (US$bn)</x:v>
      </x:c>
      <x:c r="C13" s="14"/>
      <x:c r="D13" s="14"/>
      <x:c r="E13" s="14"/>
      <x:c r="F13" s="14"/>
      <x:c r="G13" s="1"/>
      <x:c r="H13" s="1"/>
      <x:c r="I13" s="1"/>
      <x:c r="J13" s="1"/>
      <x:c r="K13" s="1"/>
      <x:c r="L13" s="1"/>
    </x:row>
    <x:row r="14" ht="21" customHeight="1">
      <x:c r="B14" s="7" t="str">
        <x:v>Metric</x:v>
      </x:c>
      <x:c r="C14" s="15" t="str">
        <x:v>CY10E</x:v>
      </x:c>
      <x:c r="D14" s="15" t="str">
        <x:v>CY15E</x:v>
      </x:c>
      <x:c r="E14" s="15" t="str">
        <x:v>CY20E</x:v>
      </x:c>
      <x:c r="F14" s="15" t="str">
        <x:v>CY25E</x:v>
      </x:c>
      <x:c r="G14" s="1"/>
      <x:c r="H14" s="1"/>
      <x:c r="I14" s="1"/>
      <x:c r="J14" s="1"/>
      <x:c r="K14" s="1"/>
      <x:c r="L14" s="1"/>
    </x:row>
    <x:row r="15" ht="21" customHeight="1">
      <x:c r="B15" s="1" t="str">
        <x:v>Domestic conventional generic sales</x:v>
      </x:c>
      <x:c r="C15" s="16" t="n">
        <x:v>7</x:v>
      </x:c>
      <x:c r="D15" s="16" t="n">
        <x:v>10.5</x:v>
      </x:c>
      <x:c r="E15" s="16" t="n">
        <x:v>14.5</x:v>
      </x:c>
      <x:c r="F15" s="16" t="n">
        <x:v>19</x:v>
      </x:c>
      <x:c r="G15" s="1"/>
      <x:c r="H15" s="1"/>
      <x:c r="I15" s="1"/>
      <x:c r="J15" s="1"/>
      <x:c r="K15" s="1"/>
      <x:c r="L15" s="1"/>
    </x:row>
    <x:row r="16" ht="21" customHeight="1">
      <x:c r="B16" s="1" t="str">
        <x:v>Conventional formulation exports</x:v>
      </x:c>
      <x:c r="C16" s="16" t="n">
        <x:v>5</x:v>
      </x:c>
      <x:c r="D16" s="16" t="n">
        <x:v>10</x:v>
      </x:c>
      <x:c r="E16" s="16" t="n">
        <x:v>14</x:v>
      </x:c>
      <x:c r="F16" s="16" t="n">
        <x:v>20</x:v>
      </x:c>
      <x:c r="G16" s="1"/>
      <x:c r="H16" s="1"/>
      <x:c r="I16" s="1"/>
      <x:c r="J16" s="1"/>
      <x:c r="K16" s="1"/>
      <x:c r="L16" s="1"/>
    </x:row>
    <x:row r="17" ht="21" customHeight="1">
      <x:c r="B17" s="1" t="str">
        <x:v>Net overseas affiliate contribution</x:v>
      </x:c>
      <x:c r="C17" s="16" t="n">
        <x:v>0.5</x:v>
      </x:c>
      <x:c r="D17" s="16" t="n">
        <x:v>1.5</x:v>
      </x:c>
      <x:c r="E17" s="16" t="n">
        <x:v>3.5</x:v>
      </x:c>
      <x:c r="F17" s="16" t="n">
        <x:v>5</x:v>
      </x:c>
      <x:c r="G17" s="1"/>
      <x:c r="H17" s="1"/>
      <x:c r="I17" s="1"/>
      <x:c r="J17" s="1"/>
      <x:c r="K17" s="1"/>
      <x:c r="L17" s="1"/>
    </x:row>
    <x:row r="18" ht="21" customHeight="1">
      <x:c r="B18" s="1" t="str">
        <x:v>Total Indian supplier sales</x:v>
      </x:c>
      <x:c r="C18" s="10" t="n">
        <x:f>SUM(C15:C17)</x:f>
        <x:v>12.5</x:v>
      </x:c>
      <x:c r="D18" s="10" t="n">
        <x:f>SUM(D15:D17)</x:f>
        <x:v>22</x:v>
      </x:c>
      <x:c r="E18" s="10" t="n">
        <x:f>SUM(E15:E17)</x:f>
        <x:v>32</x:v>
      </x:c>
      <x:c r="F18" s="10" t="n">
        <x:f>SUM(F15:F17)</x:f>
        <x:v>44</x:v>
      </x:c>
      <x:c r="G18" s="1"/>
      <x:c r="H18" s="1"/>
      <x:c r="I18" s="1"/>
      <x:c r="J18" s="1"/>
      <x:c r="K18" s="1"/>
      <x:c r="L18" s="1"/>
    </x:row>
    <x:row r="19" ht="21" customHeight="1">
      <x:c r="B19" s="1" t="str">
        <x:v>Top 10 share of supplier sales</x:v>
      </x:c>
      <x:c r="C19" s="17" t="n">
        <x:v>0.88</x:v>
      </x:c>
      <x:c r="D19" s="17" t="n">
        <x:v>0.9</x:v>
      </x:c>
      <x:c r="E19" s="17" t="n">
        <x:v>0.92</x:v>
      </x:c>
      <x:c r="F19" s="17" t="n">
        <x:v>0.93</x:v>
      </x:c>
      <x:c r="G19" s="1"/>
      <x:c r="H19" s="1"/>
      <x:c r="I19" s="1"/>
      <x:c r="J19" s="1"/>
      <x:c r="K19" s="1"/>
      <x:c r="L19" s="1"/>
    </x:row>
    <x:row r="20" ht="21" customHeight="1">
      <x:c r="B20" s="1" t="str">
        <x:v>Top 10 Indian supplier sales</x:v>
      </x:c>
      <x:c r="C20" s="10" t="n">
        <x:f>C18*C19</x:f>
        <x:v>11</x:v>
      </x:c>
      <x:c r="D20" s="10" t="n">
        <x:f>D18*D19</x:f>
        <x:v>19.8</x:v>
      </x:c>
      <x:c r="E20" s="10" t="n">
        <x:f>E18*E19</x:f>
        <x:v>29.44</x:v>
      </x:c>
      <x:c r="F20" s="10" t="n">
        <x:f>F18*F19</x:f>
        <x:v>40.92</x:v>
      </x:c>
      <x:c r="G20" s="1"/>
      <x:c r="H20" s="1"/>
      <x:c r="I20" s="1"/>
      <x:c r="J20" s="1"/>
      <x:c r="K20" s="1"/>
      <x:c r="L20" s="1"/>
    </x:row>
    <x:row r="21" ht="21" customHeight="1">
      <x:c r="B21" s="1"/>
      <x:c r="C21" s="10"/>
      <x:c r="D21" s="10"/>
      <x:c r="E21" s="10"/>
      <x:c r="F21" s="10"/>
      <x:c r="G21" s="1"/>
      <x:c r="H21" s="1"/>
      <x:c r="I21" s="1"/>
      <x:c r="J21" s="1"/>
      <x:c r="K21" s="1"/>
      <x:c r="L21" s="1"/>
    </x:row>
    <x:row r="22" ht="21" customHeight="1">
      <x:c r="B22" s="1"/>
      <x:c r="C22" s="10"/>
      <x:c r="D22" s="10"/>
      <x:c r="E22" s="10"/>
      <x:c r="F22" s="10"/>
      <x:c r="G22" s="1"/>
      <x:c r="H22" s="1"/>
      <x:c r="I22" s="1"/>
      <x:c r="J22" s="1"/>
      <x:c r="K22" s="1"/>
      <x:c r="L22" s="1"/>
    </x:row>
    <x:row r="23" ht="21" customHeight="1">
      <x:c r="B23" s="4" t="str">
        <x:v>THERAPY ALLOCATION OF TOP 10 INDIAN SALES</x:v>
      </x:c>
      <x:c r="C23" s="14"/>
      <x:c r="D23" s="14"/>
      <x:c r="E23" s="14"/>
      <x:c r="F23" s="14"/>
      <x:c r="G23" s="1"/>
      <x:c r="H23" s="1"/>
      <x:c r="I23" s="1"/>
      <x:c r="J23" s="1"/>
      <x:c r="K23" s="1"/>
      <x:c r="L23" s="1"/>
    </x:row>
    <x:row r="24" ht="21" customHeight="1">
      <x:c r="B24" s="7" t="str">
        <x:v>Therapy</x:v>
      </x:c>
      <x:c r="C24" s="15" t="str">
        <x:v>CY10E</x:v>
      </x:c>
      <x:c r="D24" s="15" t="str">
        <x:v>CY15E</x:v>
      </x:c>
      <x:c r="E24" s="15" t="str">
        <x:v>CY20E</x:v>
      </x:c>
      <x:c r="F24" s="15" t="str">
        <x:v>CY25E</x:v>
      </x:c>
      <x:c r="G24" s="1"/>
      <x:c r="H24" s="1"/>
      <x:c r="I24" s="1"/>
      <x:c r="J24" s="1"/>
      <x:c r="K24" s="1"/>
      <x:c r="L24" s="1"/>
    </x:row>
    <x:row r="25" ht="21" customHeight="1">
      <x:c r="B25" s="1" t="str">
        <x:v>Central nervous system</x:v>
      </x:c>
      <x:c r="C25" s="17" t="n">
        <x:v>0.13</x:v>
      </x:c>
      <x:c r="D25" s="17" t="n">
        <x:v>0.15</x:v>
      </x:c>
      <x:c r="E25" s="17" t="n">
        <x:v>0.17</x:v>
      </x:c>
      <x:c r="F25" s="17" t="n">
        <x:v>0.18</x:v>
      </x:c>
      <x:c r="G25" s="1"/>
      <x:c r="H25" s="1"/>
      <x:c r="I25" s="1"/>
      <x:c r="J25" s="1"/>
      <x:c r="K25" s="1"/>
      <x:c r="L25" s="1"/>
    </x:row>
    <x:row r="26" ht="21" customHeight="1">
      <x:c r="B26" s="1" t="str">
        <x:v>Cardiovascular</x:v>
      </x:c>
      <x:c r="C26" s="17" t="n">
        <x:v>0.15</x:v>
      </x:c>
      <x:c r="D26" s="17" t="n">
        <x:v>0.18</x:v>
      </x:c>
      <x:c r="E26" s="17" t="n">
        <x:v>0.19</x:v>
      </x:c>
      <x:c r="F26" s="17" t="n">
        <x:v>0.2</x:v>
      </x:c>
      <x:c r="G26" s="1"/>
      <x:c r="H26" s="1"/>
      <x:c r="I26" s="1"/>
      <x:c r="J26" s="1"/>
      <x:c r="K26" s="1"/>
      <x:c r="L26" s="1"/>
    </x:row>
    <x:row r="27" ht="21" customHeight="1">
      <x:c r="B27" s="1" t="str">
        <x:v>Anti-infectives</x:v>
      </x:c>
      <x:c r="C27" s="17" t="n">
        <x:v>0.31</x:v>
      </x:c>
      <x:c r="D27" s="17" t="n">
        <x:v>0.26</x:v>
      </x:c>
      <x:c r="E27" s="17" t="n">
        <x:v>0.23</x:v>
      </x:c>
      <x:c r="F27" s="17" t="n">
        <x:v>0.2</x:v>
      </x:c>
      <x:c r="G27" s="1"/>
      <x:c r="H27" s="1"/>
      <x:c r="I27" s="1"/>
      <x:c r="J27" s="1"/>
      <x:c r="K27" s="1"/>
      <x:c r="L27" s="1"/>
    </x:row>
    <x:row r="28" ht="21" customHeight="1">
      <x:c r="B28" s="1" t="str">
        <x:v>Pain / musculoskeletal</x:v>
      </x:c>
      <x:c r="C28" s="17" t="n">
        <x:v>0.1</x:v>
      </x:c>
      <x:c r="D28" s="17" t="n">
        <x:v>0.1</x:v>
      </x:c>
      <x:c r="E28" s="17" t="n">
        <x:v>0.09</x:v>
      </x:c>
      <x:c r="F28" s="17" t="n">
        <x:v>0.08</x:v>
      </x:c>
      <x:c r="G28" s="1"/>
      <x:c r="H28" s="1"/>
      <x:c r="I28" s="1"/>
      <x:c r="J28" s="1"/>
      <x:c r="K28" s="1"/>
      <x:c r="L28" s="1"/>
    </x:row>
    <x:row r="29" ht="21" customHeight="1">
      <x:c r="B29" s="1" t="str">
        <x:v>Gastrointestinal</x:v>
      </x:c>
      <x:c r="C29" s="17" t="n">
        <x:v>0.13</x:v>
      </x:c>
      <x:c r="D29" s="17" t="n">
        <x:v>0.12</x:v>
      </x:c>
      <x:c r="E29" s="17" t="n">
        <x:v>0.11</x:v>
      </x:c>
      <x:c r="F29" s="17" t="n">
        <x:v>0.1</x:v>
      </x:c>
      <x:c r="G29" s="1"/>
      <x:c r="H29" s="1"/>
      <x:c r="I29" s="1"/>
      <x:c r="J29" s="1"/>
      <x:c r="K29" s="1"/>
      <x:c r="L29" s="1"/>
    </x:row>
    <x:row r="30" ht="21" customHeight="1">
      <x:c r="B30" s="1" t="str">
        <x:v>Diabetes</x:v>
      </x:c>
      <x:c r="C30" s="17" t="n">
        <x:v>0.05</x:v>
      </x:c>
      <x:c r="D30" s="17" t="n">
        <x:v>0.06</x:v>
      </x:c>
      <x:c r="E30" s="17" t="n">
        <x:v>0.07</x:v>
      </x:c>
      <x:c r="F30" s="17" t="n">
        <x:v>0.08</x:v>
      </x:c>
      <x:c r="G30" s="1"/>
      <x:c r="H30" s="1"/>
      <x:c r="I30" s="1"/>
      <x:c r="J30" s="1"/>
      <x:c r="K30" s="1"/>
      <x:c r="L30" s="1"/>
    </x:row>
    <x:row r="31" ht="21" customHeight="1">
      <x:c r="B31" s="1" t="str">
        <x:v>Respiratory / allergy</x:v>
      </x:c>
      <x:c r="C31" s="17" t="n">
        <x:v>0.03</x:v>
      </x:c>
      <x:c r="D31" s="17" t="n">
        <x:v>0.04</x:v>
      </x:c>
      <x:c r="E31" s="17" t="n">
        <x:v>0.06</x:v>
      </x:c>
      <x:c r="F31" s="17" t="n">
        <x:v>0.07</x:v>
      </x:c>
      <x:c r="G31" s="1"/>
      <x:c r="H31" s="1"/>
      <x:c r="I31" s="1"/>
      <x:c r="J31" s="1"/>
      <x:c r="K31" s="1"/>
      <x:c r="L31" s="1"/>
    </x:row>
    <x:row r="32" ht="21" customHeight="1">
      <x:c r="B32" s="1" t="str">
        <x:v>Dermatology</x:v>
      </x:c>
      <x:c r="C32" s="17" t="n">
        <x:v>0.04</x:v>
      </x:c>
      <x:c r="D32" s="17" t="n">
        <x:v>0.03</x:v>
      </x:c>
      <x:c r="E32" s="17" t="n">
        <x:v>0.03</x:v>
      </x:c>
      <x:c r="F32" s="17" t="n">
        <x:v>0.03</x:v>
      </x:c>
      <x:c r="G32" s="1"/>
      <x:c r="H32" s="1"/>
      <x:c r="I32" s="1"/>
      <x:c r="J32" s="1"/>
      <x:c r="K32" s="1"/>
      <x:c r="L32" s="1"/>
    </x:row>
    <x:row r="33" ht="21" customHeight="1">
      <x:c r="B33" s="1" t="str">
        <x:v>Ophthalmology</x:v>
      </x:c>
      <x:c r="C33" s="17" t="n">
        <x:v>0.02</x:v>
      </x:c>
      <x:c r="D33" s="17" t="n">
        <x:v>0.02</x:v>
      </x:c>
      <x:c r="E33" s="17" t="n">
        <x:v>0.02</x:v>
      </x:c>
      <x:c r="F33" s="17" t="n">
        <x:v>0.02</x:v>
      </x:c>
      <x:c r="G33" s="1"/>
      <x:c r="H33" s="1"/>
      <x:c r="I33" s="1"/>
      <x:c r="J33" s="1"/>
      <x:c r="K33" s="1"/>
      <x:c r="L33" s="1"/>
    </x:row>
    <x:row r="34" ht="21" customHeight="1">
      <x:c r="B34" s="1" t="str">
        <x:v>Urology / reproductive hormones</x:v>
      </x:c>
      <x:c r="C34" s="17" t="n">
        <x:v>0.04</x:v>
      </x:c>
      <x:c r="D34" s="17" t="n">
        <x:v>0.04</x:v>
      </x:c>
      <x:c r="E34" s="17" t="n">
        <x:v>0.03</x:v>
      </x:c>
      <x:c r="F34" s="17" t="n">
        <x:v>0.04</x:v>
      </x:c>
      <x:c r="G34" s="1"/>
      <x:c r="H34" s="1"/>
      <x:c r="I34" s="1"/>
      <x:c r="J34" s="1"/>
      <x:c r="K34" s="1"/>
      <x:c r="L34" s="1"/>
    </x:row>
    <x:row r="35" ht="21" customHeight="1">
      <x:c r="B35" s="1" t="str">
        <x:v>Allocation total</x:v>
      </x:c>
      <x:c r="C35" s="12" t="n">
        <x:f>SUM(C25:C34)</x:f>
        <x:v>1.0000000000000002</x:v>
      </x:c>
      <x:c r="D35" s="12" t="n">
        <x:f>SUM(D25:D34)</x:f>
        <x:v>1</x:v>
      </x:c>
      <x:c r="E35" s="12" t="n">
        <x:f>SUM(E25:E34)</x:f>
        <x:v>1</x:v>
      </x:c>
      <x:c r="F35" s="12" t="n">
        <x:f>SUM(F25:F34)</x:f>
        <x:v>1</x:v>
      </x:c>
      <x:c r="G35" s="1"/>
      <x:c r="H35" s="1"/>
      <x:c r="I35" s="1"/>
      <x:c r="J35" s="1"/>
      <x:c r="K35" s="1"/>
      <x:c r="L35" s="1"/>
    </x:row>
    <x:row r="36" ht="21" customHeight="1">
      <x:c r="B36" s="1"/>
      <x:c r="C36" s="10"/>
      <x:c r="D36" s="10"/>
      <x:c r="E36" s="10"/>
      <x:c r="F36" s="10"/>
      <x:c r="G36" s="1"/>
      <x:c r="H36" s="1"/>
      <x:c r="I36" s="1"/>
      <x:c r="J36" s="1"/>
      <x:c r="K36" s="1"/>
      <x:c r="L36" s="1"/>
    </x:row>
    <x:row r="37" ht="21" customHeight="1">
      <x:c r="B37" s="1"/>
      <x:c r="C37" s="10"/>
      <x:c r="D37" s="10"/>
      <x:c r="E37" s="10"/>
      <x:c r="F37" s="10"/>
      <x:c r="G37" s="1"/>
      <x:c r="H37" s="1"/>
      <x:c r="I37" s="1"/>
      <x:c r="J37" s="1"/>
      <x:c r="K37" s="1"/>
      <x:c r="L37" s="1"/>
    </x:row>
    <x:row r="38" ht="21" customHeight="1">
      <x:c r="B38" s="4" t="str">
        <x:v>GLOBAL THERAPY ESTIMATES (US$bn)</x:v>
      </x:c>
      <x:c r="C38" s="14"/>
      <x:c r="D38" s="14"/>
      <x:c r="E38" s="14"/>
      <x:c r="F38" s="14"/>
      <x:c r="G38" s="1"/>
      <x:c r="H38" s="4" t="str">
        <x:v>Therapy estimate rationale</x:v>
      </x:c>
      <x:c r="I38" s="4"/>
      <x:c r="J38" s="1"/>
      <x:c r="K38" s="1"/>
      <x:c r="L38" s="1"/>
    </x:row>
    <x:row r="39" ht="35" customHeight="1">
      <x:c r="B39" s="7" t="str">
        <x:v>Therapy</x:v>
      </x:c>
      <x:c r="C39" s="15" t="str">
        <x:v>CY10E</x:v>
      </x:c>
      <x:c r="D39" s="15" t="str">
        <x:v>CY15E</x:v>
      </x:c>
      <x:c r="E39" s="15" t="str">
        <x:v>CY20E</x:v>
      </x:c>
      <x:c r="F39" s="15" t="str">
        <x:v>CY25E</x:v>
      </x:c>
      <x:c r="G39" s="1"/>
      <x:c r="H39" s="1" t="str">
        <x:v>Central nervous system</x:v>
      </x:c>
      <x:c r="I39" s="18" t="str">
        <x:v>Indian global CNS presence expands; high-value originators excluded.</x:v>
      </x:c>
      <x:c r="J39" s="1"/>
      <x:c r="K39" s="1"/>
      <x:c r="L39" s="1"/>
    </x:row>
    <x:row r="40" ht="35" customHeight="1">
      <x:c r="B40" s="1" t="str">
        <x:v>Central nervous system</x:v>
      </x:c>
      <x:c r="C40" s="16" t="n">
        <x:v>32</x:v>
      </x:c>
      <x:c r="D40" s="16" t="n">
        <x:v>45</x:v>
      </x:c>
      <x:c r="E40" s="16" t="n">
        <x:v>55</x:v>
      </x:c>
      <x:c r="F40" s="16" t="n">
        <x:v>70</x:v>
      </x:c>
      <x:c r="G40" s="1"/>
      <x:c r="H40" s="1" t="str">
        <x:v>Cardiovascular</x:v>
      </x:c>
      <x:c r="I40" s="18" t="str">
        <x:v>Statin and ARB patent expiries expand generics after 2010.</x:v>
      </x:c>
      <x:c r="J40" s="1"/>
      <x:c r="K40" s="1"/>
      <x:c r="L40" s="1"/>
    </x:row>
    <x:row r="41" ht="35" customHeight="1">
      <x:c r="B41" s="1" t="str">
        <x:v>Cardiovascular</x:v>
      </x:c>
      <x:c r="C41" s="16" t="n">
        <x:v>30</x:v>
      </x:c>
      <x:c r="D41" s="16" t="n">
        <x:v>45</x:v>
      </x:c>
      <x:c r="E41" s="16" t="n">
        <x:v>53</x:v>
      </x:c>
      <x:c r="F41" s="16" t="n">
        <x:v>65</x:v>
      </x:c>
      <x:c r="G41" s="1"/>
      <x:c r="H41" s="1" t="str">
        <x:v>Anti-infectives</x:v>
      </x:c>
      <x:c r="I41" s="18" t="str">
        <x:v>High initial India exposure; chronic therapies gain mix over time.</x:v>
      </x:c>
      <x:c r="J41" s="1"/>
      <x:c r="K41" s="1"/>
      <x:c r="L41" s="1"/>
    </x:row>
    <x:row r="42" ht="35" customHeight="1">
      <x:c r="B42" s="1" t="str">
        <x:v>Anti-infectives</x:v>
      </x:c>
      <x:c r="C42" s="16" t="n">
        <x:v>34</x:v>
      </x:c>
      <x:c r="D42" s="16" t="n">
        <x:v>39</x:v>
      </x:c>
      <x:c r="E42" s="16" t="n">
        <x:v>43</x:v>
      </x:c>
      <x:c r="F42" s="16" t="n">
        <x:v>48</x:v>
      </x:c>
      <x:c r="G42" s="1"/>
      <x:c r="H42" s="1" t="str">
        <x:v>Pain / musculoskeletal</x:v>
      </x:c>
      <x:c r="I42" s="18" t="str">
        <x:v>Mature products; excludes autoimmune biologics.</x:v>
      </x:c>
      <x:c r="J42" s="1"/>
      <x:c r="K42" s="1"/>
      <x:c r="L42" s="1"/>
    </x:row>
    <x:row r="43" ht="35" customHeight="1">
      <x:c r="B43" s="1" t="str">
        <x:v>Pain / musculoskeletal</x:v>
      </x:c>
      <x:c r="C43" s="16" t="n">
        <x:v>20</x:v>
      </x:c>
      <x:c r="D43" s="16" t="n">
        <x:v>26</x:v>
      </x:c>
      <x:c r="E43" s="16" t="n">
        <x:v>29</x:v>
      </x:c>
      <x:c r="F43" s="16" t="n">
        <x:v>35</x:v>
      </x:c>
      <x:c r="G43" s="1"/>
      <x:c r="H43" s="1" t="str">
        <x:v>Gastrointestinal</x:v>
      </x:c>
      <x:c r="I43" s="18" t="str">
        <x:v>PPI genericisation builds the market; later price erosion.</x:v>
      </x:c>
      <x:c r="J43" s="1"/>
      <x:c r="K43" s="1"/>
      <x:c r="L43" s="1"/>
    </x:row>
    <x:row r="44" ht="35" customHeight="1">
      <x:c r="B44" s="1" t="str">
        <x:v>Gastrointestinal</x:v>
      </x:c>
      <x:c r="C44" s="16" t="n">
        <x:v>18</x:v>
      </x:c>
      <x:c r="D44" s="16" t="n">
        <x:v>25</x:v>
      </x:c>
      <x:c r="E44" s="16" t="n">
        <x:v>27</x:v>
      </x:c>
      <x:c r="F44" s="16" t="n">
        <x:v>32</x:v>
      </x:c>
      <x:c r="G44" s="1"/>
      <x:c r="H44" s="1" t="str">
        <x:v>Diabetes</x:v>
      </x:c>
      <x:c r="I44" s="18" t="str">
        <x:v>Later DPP-4/SGLT2 genericisation varies by country.</x:v>
      </x:c>
      <x:c r="J44" s="1"/>
      <x:c r="K44" s="1"/>
      <x:c r="L44" s="1"/>
    </x:row>
    <x:row r="45" ht="35" customHeight="1">
      <x:c r="B45" s="1" t="str">
        <x:v>Diabetes</x:v>
      </x:c>
      <x:c r="C45" s="16" t="n">
        <x:v>6</x:v>
      </x:c>
      <x:c r="D45" s="16" t="n">
        <x:v>12</x:v>
      </x:c>
      <x:c r="E45" s="16" t="n">
        <x:v>19</x:v>
      </x:c>
      <x:c r="F45" s="16" t="n">
        <x:v>29</x:v>
      </x:c>
      <x:c r="G45" s="1"/>
      <x:c r="H45" s="1" t="str">
        <x:v>Respiratory / allergy</x:v>
      </x:c>
      <x:c r="I45" s="18" t="str">
        <x:v>Indian inhaler capability improves after 2015.</x:v>
      </x:c>
      <x:c r="J45" s="1"/>
      <x:c r="K45" s="1"/>
      <x:c r="L45" s="1"/>
    </x:row>
    <x:row r="46" ht="35" customHeight="1">
      <x:c r="B46" s="1" t="str">
        <x:v>Respiratory / allergy</x:v>
      </x:c>
      <x:c r="C46" s="16" t="n">
        <x:v>8</x:v>
      </x:c>
      <x:c r="D46" s="16" t="n">
        <x:v>14</x:v>
      </x:c>
      <x:c r="E46" s="16" t="n">
        <x:v>20</x:v>
      </x:c>
      <x:c r="F46" s="16" t="n">
        <x:v>27</x:v>
      </x:c>
      <x:c r="G46" s="1"/>
      <x:c r="H46" s="1" t="str">
        <x:v>Dermatology</x:v>
      </x:c>
      <x:c r="I46" s="18" t="str">
        <x:v>Excludes patented specialty dermatology and biologics.</x:v>
      </x:c>
      <x:c r="J46" s="1"/>
      <x:c r="K46" s="1"/>
      <x:c r="L46" s="1"/>
    </x:row>
    <x:row r="47" ht="35" customHeight="1">
      <x:c r="B47" s="1" t="str">
        <x:v>Dermatology</x:v>
      </x:c>
      <x:c r="C47" s="16" t="n">
        <x:v>6</x:v>
      </x:c>
      <x:c r="D47" s="16" t="n">
        <x:v>9</x:v>
      </x:c>
      <x:c r="E47" s="16" t="n">
        <x:v>12</x:v>
      </x:c>
      <x:c r="F47" s="16" t="n">
        <x:v>17</x:v>
      </x:c>
      <x:c r="G47" s="1"/>
      <x:c r="H47" s="1" t="str">
        <x:v>Ophthalmology</x:v>
      </x:c>
      <x:c r="I47" s="18" t="str">
        <x:v>Sterile formulation capability grows; excludes retinal biologics.</x:v>
      </x:c>
      <x:c r="J47" s="1"/>
      <x:c r="K47" s="1"/>
      <x:c r="L47" s="1"/>
    </x:row>
    <x:row r="48" ht="35" customHeight="1">
      <x:c r="B48" s="1" t="str">
        <x:v>Ophthalmology</x:v>
      </x:c>
      <x:c r="C48" s="16" t="n">
        <x:v>3</x:v>
      </x:c>
      <x:c r="D48" s="16" t="n">
        <x:v>6</x:v>
      </x:c>
      <x:c r="E48" s="16" t="n">
        <x:v>8</x:v>
      </x:c>
      <x:c r="F48" s="16" t="n">
        <x:v>12</x:v>
      </x:c>
      <x:c r="G48" s="1"/>
      <x:c r="H48" s="1" t="str">
        <x:v>Urology / reproductive hormones</x:v>
      </x:c>
      <x:c r="I48" s="18" t="str">
        <x:v>Urology genericisation expands after key patent expiries.</x:v>
      </x:c>
      <x:c r="J48" s="1"/>
      <x:c r="K48" s="1"/>
      <x:c r="L48" s="1"/>
    </x:row>
    <x:row r="49" ht="21" customHeight="1">
      <x:c r="B49" s="1" t="str">
        <x:v>Urology / reproductive hormones</x:v>
      </x:c>
      <x:c r="C49" s="16" t="n">
        <x:v>3</x:v>
      </x:c>
      <x:c r="D49" s="16" t="n">
        <x:v>5</x:v>
      </x:c>
      <x:c r="E49" s="16" t="n">
        <x:v>7</x:v>
      </x:c>
      <x:c r="F49" s="16" t="n">
        <x:v>11</x:v>
      </x:c>
      <x:c r="G49" s="1"/>
      <x:c r="H49" s="1"/>
      <x:c r="I49" s="1"/>
      <x:c r="J49" s="1"/>
      <x:c r="K49" s="1"/>
      <x:c r="L49" s="1"/>
    </x:row>
    <x:row r="50" ht="21" customHeight="1">
      <x:c r="B50" s="1" t="str">
        <x:v>Top 10 total</x:v>
      </x:c>
      <x:c r="C50" s="10" t="n">
        <x:f>SUM(C40:C49)</x:f>
        <x:v>160</x:v>
      </x:c>
      <x:c r="D50" s="10" t="n">
        <x:f>SUM(D40:D49)</x:f>
        <x:v>226</x:v>
      </x:c>
      <x:c r="E50" s="10" t="n">
        <x:f>SUM(E40:E49)</x:f>
        <x:v>273</x:v>
      </x:c>
      <x:c r="F50" s="10" t="n">
        <x:f>SUM(F40:F49)</x:f>
        <x:v>346</x:v>
      </x:c>
      <x:c r="G50" s="1"/>
      <x:c r="H50" s="1"/>
      <x:c r="I50" s="1"/>
      <x:c r="J50" s="1"/>
      <x:c r="K50" s="1"/>
      <x:c r="L50" s="1"/>
    </x:row>
    <x:row r="51" ht="21" customHeight="1"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1" customHeight="1"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1" customHeight="1">
      <x:c r="B53" s="4" t="str">
        <x:v>PUBLISHED SOURCE ANCHORS</x:v>
      </x:c>
      <x:c r="C53" s="4"/>
      <x:c r="D53" s="4"/>
      <x:c r="E53" s="4"/>
      <x:c r="F53" s="4"/>
      <x:c r="G53" s="1"/>
      <x:c r="H53" s="1"/>
      <x:c r="I53" s="1"/>
      <x:c r="J53" s="1"/>
      <x:c r="K53" s="1"/>
      <x:c r="L53" s="1"/>
    </x:row>
    <x:row r="54" ht="38" customHeight="1">
      <x:c r="B54" s="6" t="str">
        <x:v>Source</x:v>
      </x:c>
      <x:c r="C54" s="6" t="str">
        <x:v>Period</x:v>
      </x:c>
      <x:c r="D54" s="6" t="str">
        <x:v>Value</x:v>
      </x:c>
      <x:c r="E54" s="6" t="str">
        <x:v>Unit</x:v>
      </x:c>
      <x:c r="F54" s="6" t="str">
        <x:v>What it measures</x:v>
      </x:c>
      <x:c r="G54" s="1"/>
      <x:c r="H54" s="1" t="str">
        <x:v>IMARC 2025 global market</x:v>
      </x:c>
      <x:c r="I54" s="18" t="str">
        <x:v>https://www.imarcgroup.com/generic-drug-manufacturing-plant</x:v>
      </x:c>
      <x:c r="J54" s="1"/>
      <x:c r="K54" s="1"/>
      <x:c r="L54" s="1"/>
    </x:row>
    <x:row r="55" ht="38" customHeight="1">
      <x:c r="B55" s="1" t="str">
        <x:v>IMARC global generics</x:v>
      </x:c>
      <x:c r="C55" s="1" t="str">
        <x:v>CY2025</x:v>
      </x:c>
      <x:c r="D55" s="10" t="n">
        <x:v>411</x:v>
      </x:c>
      <x:c r="E55" s="1" t="str">
        <x:v>US$bn</x:v>
      </x:c>
      <x:c r="F55" s="1" t="str">
        <x:v>All generic drugs</x:v>
      </x:c>
      <x:c r="G55" s="1"/>
      <x:c r="H55" s="1" t="str">
        <x:v>IMARC 2023 overview</x:v>
      </x:c>
      <x:c r="I55" s="18" t="str">
        <x:v>https://www.imarcgroup.com/blog/generic-drug-manufacturing-companies</x:v>
      </x:c>
      <x:c r="J55" s="1"/>
      <x:c r="K55" s="1"/>
      <x:c r="L55" s="1"/>
    </x:row>
    <x:row r="56" ht="38" customHeight="1">
      <x:c r="B56" s="1" t="str">
        <x:v>IMARC company overview</x:v>
      </x:c>
      <x:c r="C56" s="1" t="str">
        <x:v>CY2023</x:v>
      </x:c>
      <x:c r="D56" s="10" t="n">
        <x:v>367.1</x:v>
      </x:c>
      <x:c r="E56" s="1" t="str">
        <x:v>US$bn</x:v>
      </x:c>
      <x:c r="F56" s="1" t="str">
        <x:v>All generic drugs</x:v>
      </x:c>
      <x:c r="G56" s="1"/>
      <x:c r="H56" s="1" t="str">
        <x:v>KPMG Generics 2030, p.3</x:v>
      </x:c>
      <x:c r="I56" s="18" t="str">
        <x:v>https://kpmg.com/kpmg-us/content/dam/kpmg/pdf/2023/generics-2030.pdf</x:v>
      </x:c>
      <x:c r="J56" s="1"/>
      <x:c r="K56" s="1"/>
      <x:c r="L56" s="1"/>
    </x:row>
    <x:row r="57" ht="38" customHeight="1">
      <x:c r="B57" s="1" t="str">
        <x:v>KPMG citing older IMARC</x:v>
      </x:c>
      <x:c r="C57" s="1" t="str">
        <x:v>CY2014</x:v>
      </x:c>
      <x:c r="D57" s="10" t="n">
        <x:v>278</x:v>
      </x:c>
      <x:c r="E57" s="1" t="str">
        <x:v>US$bn</x:v>
      </x:c>
      <x:c r="F57" s="1" t="str">
        <x:v>Older global market vintage</x:v>
      </x:c>
      <x:c r="G57" s="1"/>
      <x:c r="H57" s="1" t="str">
        <x:v>Pharmexcil FY25 digest, p.4</x:v>
      </x:c>
      <x:c r="I57" s="18" t="str">
        <x:v>https://pharmexcil.com/uploads/pdigest/CIR014202526-PharmexcilDigestMarch_April_2025.pdf</x:v>
      </x:c>
      <x:c r="J57" s="1"/>
      <x:c r="K57" s="1"/>
      <x:c r="L57" s="1"/>
    </x:row>
    <x:row r="58" ht="38" customHeight="1">
      <x:c r="B58" s="1" t="str">
        <x:v>KPMG citing older IMARC</x:v>
      </x:c>
      <x:c r="C58" s="1" t="str">
        <x:v>CY2019</x:v>
      </x:c>
      <x:c r="D58" s="10" t="n">
        <x:v>367</x:v>
      </x:c>
      <x:c r="E58" s="1" t="str">
        <x:v>US$bn</x:v>
      </x:c>
      <x:c r="F58" s="1" t="str">
        <x:v>Older global market vintage</x:v>
      </x:c>
      <x:c r="G58" s="1"/>
      <x:c r="H58" s="1" t="str">
        <x:v>IBEF export composition</x:v>
      </x:c>
      <x:c r="I58" s="18" t="str">
        <x:v>https://www.ibef.org/exports/pharmaceutical-exports-from-india</x:v>
      </x:c>
      <x:c r="J58" s="1"/>
      <x:c r="K58" s="1"/>
      <x:c r="L58" s="1"/>
    </x:row>
    <x:row r="59" ht="38" customHeight="1">
      <x:c r="B59" s="1" t="str">
        <x:v>Pharmexcil / IBEF</x:v>
      </x:c>
      <x:c r="C59" s="1" t="str">
        <x:v>FY2025</x:v>
      </x:c>
      <x:c r="D59" s="10" t="n">
        <x:v>30.47</x:v>
      </x:c>
      <x:c r="E59" s="1" t="str">
        <x:v>US$bn</x:v>
      </x:c>
      <x:c r="F59" s="1" t="str">
        <x:v>All pharma exports</x:v>
      </x:c>
      <x:c r="G59" s="1"/>
      <x:c r="H59" s="1" t="str">
        <x:v>India FY24 market boundary</x:v>
      </x:c>
      <x:c r="I59" s="18" t="str">
        <x:v>https://sansad.in/getFile/annex/266/AU2527_BawBvP.pdf?source=pqars</x:v>
      </x:c>
      <x:c r="J59" s="1"/>
      <x:c r="K59" s="1"/>
      <x:c r="L59" s="1"/>
    </x:row>
    <x:row r="60" ht="21" customHeight="1">
      <x:c r="B60" s="1" t="str">
        <x:v>IBEF formulation share</x:v>
      </x:c>
      <x:c r="C60" s="1" t="str">
        <x:v>FY2025</x:v>
      </x:c>
      <x:c r="D60" s="12" t="n">
        <x:v>0.753</x:v>
      </x:c>
      <x:c r="E60" s="1" t="str">
        <x:v>%</x:v>
      </x:c>
      <x:c r="F60" s="1" t="str">
        <x:v>Formulations and biologicals</x:v>
      </x:c>
      <x:c r="G60" s="1"/>
      <x:c r="H60" s="1"/>
      <x:c r="I60" s="1"/>
      <x:c r="J60" s="1"/>
      <x:c r="K60" s="1"/>
      <x:c r="L60" s="1"/>
    </x:row>
    <x:row r="61" ht="55" customHeight="1">
      <x:c r="B61" s="1"/>
      <x:c r="C61" s="1"/>
      <x:c r="D61" s="1"/>
      <x:c r="E61" s="1"/>
      <x:c r="F61" s="1"/>
      <x:c r="G61" s="1"/>
      <x:c r="H61" s="1" t="str">
        <x:v>Source comparability</x:v>
      </x:c>
      <x:c r="I61" s="18" t="str">
        <x:v>Older KPMG/IMARC observations are shown for transparency but not spliced into the model. Scope and report revisions prevent a like-for-like reported historical series.</x:v>
      </x:c>
      <x:c r="J61" s="1"/>
      <x:c r="K61" s="1"/>
      <x:c r="L61" s="1"/>
    </x:row>
    <x:row r="62" ht="21" customHeight="1"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55" customHeight="1">
      <x:c r="B63" s="1"/>
      <x:c r="C63" s="1"/>
      <x:c r="D63" s="1"/>
      <x:c r="E63" s="1"/>
      <x:c r="F63" s="1"/>
      <x:c r="G63" s="1"/>
      <x:c r="H63" s="1" t="str">
        <x:v>Estimated, not reported</x:v>
      </x:c>
      <x:c r="I63" s="18" t="str">
        <x:v>All therapy inputs, supplier revenues and allocation assumptions are analyst estimates. Source anchors calibrate scale only; they do not substantiate the individual therapy shares.</x:v>
      </x:c>
      <x:c r="J63" s="1"/>
      <x:c r="K63" s="1"/>
      <x:c r="L63" s="1"/>
    </x:row>
    <x:row r="64" ht="21" customHeight="1"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55" customHeight="1">
      <x:c r="B65" s="1"/>
      <x:c r="C65" s="1"/>
      <x:c r="D65" s="1"/>
      <x:c r="E65" s="1"/>
      <x:c r="F65" s="1"/>
      <x:c r="G65" s="1"/>
      <x:c r="H65" s="1" t="str">
        <x:v>Global market</x:v>
      </x:c>
      <x:c r="I65" s="18" t="str">
        <x:v>CY10/15/20 are rounded reconstructed estimates. CY25 uses IMARC's published $411bn total. Historical report vintages have differing market definitions.</x:v>
      </x:c>
      <x:c r="J65" s="1"/>
      <x:c r="K65" s="1"/>
      <x:c r="L65" s="1"/>
    </x:row>
    <x:row r="66" ht="55" customHeight="1">
      <x:c r="B66" s="1"/>
      <x:c r="C66" s="1"/>
      <x:c r="D66" s="1"/>
      <x:c r="E66" s="1"/>
      <x:c r="F66" s="1"/>
      <x:c r="G66" s="1"/>
      <x:c r="H66" s="1" t="str">
        <x:v>Conventional universe</x:v>
      </x:c>
      <x:c r="I66" s="18" t="str">
        <x:v>Subtract estimated oncology and other excluded specialty categories. Does not subtract conventional inhalers, sterile drops or conventional injectables.</x:v>
      </x:c>
      <x:c r="J66" s="1"/>
      <x:c r="K66" s="1"/>
      <x:c r="L66" s="1"/>
    </x:row>
    <x:row r="67" ht="55" customHeight="1">
      <x:c r="B67" s="1"/>
      <x:c r="C67" s="1"/>
      <x:c r="D67" s="1"/>
      <x:c r="E67" s="1"/>
      <x:c r="F67" s="1"/>
      <x:c r="G67" s="1"/>
      <x:c r="H67" s="1" t="str">
        <x:v>Global therapy spend</x:v>
      </x:c>
      <x:c r="I67" s="18" t="str">
        <x:v>Judgement allocation consistent with the broad market envelope. CNS leads in CY25, following IMARC's current segmentation. No paid therapy table was retrieved.</x:v>
      </x:c>
      <x:c r="J67" s="1"/>
      <x:c r="K67" s="1"/>
      <x:c r="L67" s="1"/>
    </x:row>
    <x:row r="68" ht="55" customHeight="1">
      <x:c r="B68" s="1"/>
      <x:c r="C68" s="1"/>
      <x:c r="D68" s="1"/>
      <x:c r="E68" s="1"/>
      <x:c r="F68" s="1"/>
      <x:c r="G68" s="1"/>
      <x:c r="H68" s="1" t="str">
        <x:v>Domestic India sales</x:v>
      </x:c>
      <x:c r="I68" s="18" t="str">
        <x:v>Estimated sales of conventional generic products by Indian suppliers to India. Excludes MNC, patented, biological and unrelated product sales.</x:v>
      </x:c>
      <x:c r="J68" s="1"/>
      <x:c r="K68" s="1"/>
      <x:c r="L68" s="1"/>
    </x:row>
    <x:row r="69" ht="55" customHeight="1">
      <x:c r="B69" s="1"/>
      <x:c r="C69" s="1"/>
      <x:c r="D69" s="1"/>
      <x:c r="E69" s="1"/>
      <x:c r="F69" s="1"/>
      <x:c r="G69" s="1"/>
      <x:c r="H69" s="1" t="str">
        <x:v>Export sales</x:v>
      </x:c>
      <x:c r="I69" s="18" t="str">
        <x:v>Rounded conventional formulation exports. FY25 formulations/biological exports are about $22.94bn; $20bn retained after scope exclusions. Historical figures are assumptions.</x:v>
      </x:c>
      <x:c r="J69" s="1"/>
      <x:c r="K69" s="1"/>
      <x:c r="L69" s="1"/>
    </x:row>
    <x:row r="70" ht="55" customHeight="1">
      <x:c r="B70" s="1"/>
      <x:c r="C70" s="1"/>
      <x:c r="D70" s="1"/>
      <x:c r="E70" s="1"/>
      <x:c r="F70" s="1"/>
      <x:c r="G70" s="1"/>
      <x:c r="H70" s="1" t="str">
        <x:v>Overseas affiliate</x:v>
      </x:c>
      <x:c r="I70" s="18" t="str">
        <x:v>Net final-market revenue uplift and overseas production of Indian groups. Avoids simply adding consolidated overseas sales to exports, which would double count.</x:v>
      </x:c>
      <x:c r="J70" s="1"/>
      <x:c r="K70" s="1"/>
      <x:c r="L70" s="1"/>
    </x:row>
    <x:row r="71" ht="55" customHeight="1">
      <x:c r="B71" s="1"/>
      <x:c r="C71" s="1"/>
      <x:c r="D71" s="1"/>
      <x:c r="E71" s="1"/>
      <x:c r="F71" s="1"/>
      <x:c r="G71" s="1"/>
      <x:c r="H71" s="1" t="str">
        <x:v>Therapy India allocation</x:v>
      </x:c>
      <x:c r="I71" s="18" t="str">
        <x:v>Assumed portfolio mix shifts from anti-infectives toward chronic and inhaled medicines. Export-heavy portfolios differ from domestic India therapy mix.</x:v>
      </x:c>
      <x:c r="J71" s="1"/>
      <x:c r="K71" s="1"/>
      <x:c r="L71" s="1"/>
    </x:row>
    <x:row r="72" ht="55" customHeight="1">
      <x:c r="B72" s="1"/>
      <x:c r="C72" s="1"/>
      <x:c r="D72" s="1"/>
      <x:c r="E72" s="1"/>
      <x:c r="F72" s="1"/>
      <x:c r="G72" s="1"/>
      <x:c r="H72" s="1" t="str">
        <x:v>India share formula</x:v>
      </x:c>
      <x:c r="I72" s="18" t="str">
        <x:v>Total India sales x top 10 capture x therapy allocation / estimated global therapy spend. Weighted aggregate uses summed numerators / summed denominators.</x:v>
      </x:c>
      <x:c r="J72" s="1"/>
      <x:c r="K72" s="1"/>
      <x:c r="L72" s="1"/>
    </x:row>
    <x:row r="73" ht="55" customHeight="1">
      <x:c r="B73" s="1"/>
      <x:c r="C73" s="1"/>
      <x:c r="D73" s="1"/>
      <x:c r="E73" s="1"/>
      <x:c r="F73" s="1"/>
      <x:c r="G73" s="1"/>
      <x:c r="H73" s="1" t="str">
        <x:v>Trend interpretation</x:v>
      </x:c>
      <x:c r="I73" s="18" t="str">
        <x:v>The assumptions imply rising share. Public aggregate volume claims cannot validate these value-share estimates or prove every therapy gained share.</x:v>
      </x:c>
      <x:c r="J73" s="1"/>
      <x:c r="K73" s="1"/>
      <x:c r="L73" s="1"/>
    </x:row>
    <x:row r="74" ht="55" customHeight="1">
      <x:c r="B74" s="1"/>
      <x:c r="C74" s="1"/>
      <x:c r="D74" s="1"/>
      <x:c r="E74" s="1"/>
      <x:c r="F74" s="1"/>
      <x:c r="G74" s="1"/>
      <x:c r="H74" s="1" t="str">
        <x:v>Boundary mapping</x:v>
      </x:c>
      <x:c r="I74" s="18" t="str">
        <x:v>Allocate each product once by primary indication. Hormones are reproductive only; anti-infective eye/skin products belong to site-specific therapy groups.</x:v>
      </x:c>
      <x:c r="J74" s="1"/>
      <x:c r="K74" s="1"/>
      <x:c r="L74" s="1"/>
    </x:row>
    <x:row r="75" ht="21" customHeight="1"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 ht="21" customHeight="1"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 ht="21" customHeight="1"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 ht="21" customHeight="1"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 ht="21" customHeight="1"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 ht="21" customHeight="1"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 ht="21" customHeight="1"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1" customHeight="1"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1" customHeight="1"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1" customHeight="1"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1" customHeight="1"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</x:sheetData>
  <x:pageMargins left="0.7" right="0.7" top="0.75" bottom="0.75" header="0.3" footer="0.3"/>
</x:worksheet>
</file>