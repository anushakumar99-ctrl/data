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22EE850-A087-4E9E-A9A8-1F2EB8F40C0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ver" sheetId="1" r:id="rId1"/>
    <sheet name="Fin Summary" sheetId="12" r:id="rId2"/>
    <sheet name="Assumptions" sheetId="2" r:id="rId3"/>
    <sheet name="Annual Balance Sheet" sheetId="5" r:id="rId4"/>
    <sheet name="Quarterly P&amp;L" sheetId="3" r:id="rId5"/>
    <sheet name="Annual P&amp;L" sheetId="4" r:id="rId6"/>
    <sheet name="Annual Cash Flow" sheetId="6" r:id="rId7"/>
    <sheet name="Revenue Drivers" sheetId="7" r:id="rId8"/>
    <sheet name="Segment Revenue" sheetId="8" r:id="rId9"/>
    <sheet name="Client Data" sheetId="9" r:id="rId10"/>
    <sheet name="Checks &amp; Sources" sheetId="10" r:id="rId11"/>
    <sheet name="Operating Cuts" sheetId="11" r:id="rId12"/>
    <sheet name="Market Data" sheetId="13" r:id="rId13"/>
    <sheet name="Capex &amp; Metrics" sheetId="14" r:id="rId1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35" i="3" l="1"/>
  <c r="P28" i="11"/>
  <c r="O28" i="11"/>
  <c r="N28" i="11"/>
  <c r="M28" i="11"/>
  <c r="L28" i="11"/>
  <c r="K28" i="11"/>
  <c r="J28" i="11"/>
  <c r="I28" i="11"/>
  <c r="P27" i="11"/>
  <c r="O27" i="11"/>
  <c r="N27" i="11"/>
  <c r="M27" i="11"/>
  <c r="L27" i="11"/>
  <c r="K27" i="11"/>
  <c r="J27" i="11"/>
  <c r="I27" i="11"/>
  <c r="P26" i="11"/>
  <c r="O26" i="11"/>
  <c r="N26" i="11"/>
  <c r="M26" i="11"/>
  <c r="L26" i="11"/>
  <c r="K26" i="11"/>
  <c r="J26" i="11"/>
  <c r="I26" i="11"/>
  <c r="J30" i="11"/>
  <c r="K30" i="11"/>
  <c r="L30" i="11"/>
  <c r="M30" i="11"/>
  <c r="N30" i="11"/>
  <c r="O30" i="11"/>
  <c r="P30" i="11"/>
  <c r="J31" i="11"/>
  <c r="K31" i="11"/>
  <c r="L31" i="11"/>
  <c r="M31" i="11"/>
  <c r="N31" i="11"/>
  <c r="O31" i="11"/>
  <c r="P31" i="11"/>
  <c r="J32" i="11"/>
  <c r="K32" i="11"/>
  <c r="L32" i="11"/>
  <c r="M32" i="11"/>
  <c r="N32" i="11"/>
  <c r="O32" i="11"/>
  <c r="P32" i="11"/>
  <c r="J33" i="11"/>
  <c r="K33" i="11"/>
  <c r="L33" i="11"/>
  <c r="M33" i="11"/>
  <c r="N33" i="11"/>
  <c r="O33" i="11"/>
  <c r="P33" i="11"/>
  <c r="I31" i="11"/>
  <c r="I32" i="11"/>
  <c r="I33" i="11"/>
  <c r="I30" i="11"/>
  <c r="F17" i="13"/>
  <c r="AD37" i="12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L20" i="14"/>
  <c r="K20" i="14"/>
  <c r="J20" i="14"/>
  <c r="I20" i="14"/>
  <c r="H20" i="14"/>
  <c r="G20" i="14"/>
  <c r="F20" i="14"/>
  <c r="E20" i="14"/>
  <c r="D20" i="14"/>
  <c r="C20" i="14"/>
  <c r="B20" i="14"/>
  <c r="L18" i="14"/>
  <c r="K18" i="14"/>
  <c r="J18" i="14"/>
  <c r="I18" i="14"/>
  <c r="H18" i="14"/>
  <c r="G18" i="14"/>
  <c r="F18" i="14"/>
  <c r="E18" i="14"/>
  <c r="D18" i="14"/>
  <c r="C18" i="14"/>
  <c r="B18" i="14"/>
  <c r="L14" i="14"/>
  <c r="K14" i="14"/>
  <c r="K15" i="14" s="1"/>
  <c r="J14" i="14"/>
  <c r="I14" i="14"/>
  <c r="H14" i="14"/>
  <c r="I15" i="14" s="1"/>
  <c r="G14" i="14"/>
  <c r="F14" i="14"/>
  <c r="E14" i="14"/>
  <c r="D14" i="14"/>
  <c r="C14" i="14"/>
  <c r="B14" i="14"/>
  <c r="C15" i="14" s="1"/>
  <c r="L12" i="14"/>
  <c r="K12" i="14"/>
  <c r="J12" i="14"/>
  <c r="I12" i="14"/>
  <c r="H12" i="14"/>
  <c r="G12" i="14"/>
  <c r="F12" i="14"/>
  <c r="E12" i="14"/>
  <c r="D12" i="14"/>
  <c r="C12" i="14"/>
  <c r="B12" i="14"/>
  <c r="L9" i="14"/>
  <c r="K9" i="14"/>
  <c r="J9" i="14"/>
  <c r="I9" i="14"/>
  <c r="H9" i="14"/>
  <c r="G9" i="14"/>
  <c r="F9" i="14"/>
  <c r="E9" i="14"/>
  <c r="D9" i="14"/>
  <c r="C9" i="14"/>
  <c r="B9" i="14"/>
  <c r="L8" i="14"/>
  <c r="K8" i="14"/>
  <c r="J8" i="14"/>
  <c r="I8" i="14"/>
  <c r="H8" i="14"/>
  <c r="G8" i="14"/>
  <c r="F8" i="14"/>
  <c r="E8" i="14"/>
  <c r="D8" i="14"/>
  <c r="C8" i="14"/>
  <c r="B8" i="14"/>
  <c r="L7" i="14"/>
  <c r="K7" i="14"/>
  <c r="J7" i="14"/>
  <c r="I7" i="14"/>
  <c r="H7" i="14"/>
  <c r="G7" i="14"/>
  <c r="F7" i="14"/>
  <c r="E7" i="14"/>
  <c r="D7" i="14"/>
  <c r="C7" i="14"/>
  <c r="B7" i="14"/>
  <c r="L6" i="14"/>
  <c r="L15" i="14" s="1"/>
  <c r="K6" i="14"/>
  <c r="J6" i="14"/>
  <c r="J15" i="14" s="1"/>
  <c r="I6" i="14"/>
  <c r="H6" i="14"/>
  <c r="H15" i="14" s="1"/>
  <c r="G6" i="14"/>
  <c r="G15" i="14" s="1"/>
  <c r="F6" i="14"/>
  <c r="F15" i="14" s="1"/>
  <c r="E6" i="14"/>
  <c r="E15" i="14" s="1"/>
  <c r="D6" i="14"/>
  <c r="D15" i="14" s="1"/>
  <c r="C6" i="14"/>
  <c r="B6" i="14"/>
  <c r="B15" i="14" s="1"/>
  <c r="E29" i="13"/>
  <c r="E22" i="13"/>
  <c r="M21" i="11"/>
  <c r="M19" i="11"/>
  <c r="N19" i="11" s="1"/>
  <c r="O19" i="11" s="1"/>
  <c r="P19" i="11" s="1"/>
  <c r="M18" i="11"/>
  <c r="N18" i="11" s="1"/>
  <c r="O18" i="11" s="1"/>
  <c r="P18" i="11" s="1"/>
  <c r="M17" i="11"/>
  <c r="P15" i="11"/>
  <c r="O15" i="11"/>
  <c r="N15" i="11"/>
  <c r="M15" i="11"/>
  <c r="P12" i="11"/>
  <c r="O12" i="11"/>
  <c r="N12" i="11"/>
  <c r="M12" i="11"/>
  <c r="P9" i="11"/>
  <c r="O9" i="11"/>
  <c r="N9" i="11"/>
  <c r="M9" i="11"/>
  <c r="L22" i="9"/>
  <c r="L21" i="9"/>
  <c r="M21" i="9" s="1"/>
  <c r="N21" i="9" s="1"/>
  <c r="O21" i="9" s="1"/>
  <c r="P21" i="9" s="1"/>
  <c r="M20" i="9"/>
  <c r="N20" i="9" s="1"/>
  <c r="O20" i="9" s="1"/>
  <c r="P20" i="9" s="1"/>
  <c r="L18" i="9"/>
  <c r="M18" i="9" s="1"/>
  <c r="N18" i="9" s="1"/>
  <c r="O18" i="9" s="1"/>
  <c r="P18" i="9" s="1"/>
  <c r="M17" i="9"/>
  <c r="N17" i="9" s="1"/>
  <c r="O17" i="9" s="1"/>
  <c r="P17" i="9" s="1"/>
  <c r="L17" i="9"/>
  <c r="L15" i="9"/>
  <c r="K15" i="9"/>
  <c r="J15" i="9"/>
  <c r="I15" i="9"/>
  <c r="H15" i="9"/>
  <c r="G15" i="9"/>
  <c r="F15" i="9"/>
  <c r="E15" i="9"/>
  <c r="D15" i="9"/>
  <c r="C15" i="9"/>
  <c r="B15" i="9"/>
  <c r="M14" i="9"/>
  <c r="N14" i="9" s="1"/>
  <c r="O14" i="9" s="1"/>
  <c r="P14" i="9" s="1"/>
  <c r="M13" i="9"/>
  <c r="N13" i="9" s="1"/>
  <c r="O13" i="9" s="1"/>
  <c r="P13" i="9" s="1"/>
  <c r="M12" i="9"/>
  <c r="N12" i="9" s="1"/>
  <c r="O12" i="9" s="1"/>
  <c r="P12" i="9" s="1"/>
  <c r="O11" i="9"/>
  <c r="P11" i="9" s="1"/>
  <c r="M11" i="9"/>
  <c r="N11" i="9" s="1"/>
  <c r="M10" i="9"/>
  <c r="N10" i="9" s="1"/>
  <c r="O10" i="9" s="1"/>
  <c r="P10" i="9" s="1"/>
  <c r="O9" i="9"/>
  <c r="P9" i="9" s="1"/>
  <c r="N9" i="9"/>
  <c r="M9" i="9"/>
  <c r="M8" i="9"/>
  <c r="N8" i="9" s="1"/>
  <c r="O8" i="9" s="1"/>
  <c r="P8" i="9" s="1"/>
  <c r="N7" i="9"/>
  <c r="O7" i="9" s="1"/>
  <c r="P7" i="9" s="1"/>
  <c r="M7" i="9"/>
  <c r="N6" i="9"/>
  <c r="O6" i="9" s="1"/>
  <c r="P6" i="9" s="1"/>
  <c r="M6" i="9"/>
  <c r="F46" i="8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F44" i="8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H42" i="8"/>
  <c r="I42" i="8" s="1"/>
  <c r="J42" i="8" s="1"/>
  <c r="K42" i="8" s="1"/>
  <c r="L42" i="8" s="1"/>
  <c r="M42" i="8" s="1"/>
  <c r="N42" i="8" s="1"/>
  <c r="O42" i="8" s="1"/>
  <c r="P42" i="8" s="1"/>
  <c r="F42" i="8"/>
  <c r="G42" i="8" s="1"/>
  <c r="L39" i="8"/>
  <c r="G39" i="8"/>
  <c r="F39" i="8"/>
  <c r="K37" i="8"/>
  <c r="E37" i="8"/>
  <c r="D37" i="8"/>
  <c r="C35" i="8"/>
  <c r="G33" i="8"/>
  <c r="F32" i="8"/>
  <c r="E32" i="8"/>
  <c r="D32" i="8"/>
  <c r="C32" i="8"/>
  <c r="B32" i="8"/>
  <c r="G31" i="8"/>
  <c r="N30" i="8"/>
  <c r="O30" i="8" s="1"/>
  <c r="P30" i="8" s="1"/>
  <c r="M30" i="8"/>
  <c r="D29" i="8"/>
  <c r="M28" i="8"/>
  <c r="N28" i="8" s="1"/>
  <c r="O28" i="8" s="1"/>
  <c r="P28" i="8" s="1"/>
  <c r="K27" i="8"/>
  <c r="N26" i="8"/>
  <c r="O26" i="8" s="1"/>
  <c r="P26" i="8" s="1"/>
  <c r="M26" i="8"/>
  <c r="K25" i="8"/>
  <c r="F25" i="8"/>
  <c r="N24" i="8"/>
  <c r="O24" i="8" s="1"/>
  <c r="P24" i="8" s="1"/>
  <c r="M24" i="8"/>
  <c r="K23" i="8"/>
  <c r="K51" i="8" s="1"/>
  <c r="G23" i="8"/>
  <c r="G51" i="8" s="1"/>
  <c r="F23" i="8"/>
  <c r="F51" i="8" s="1"/>
  <c r="N22" i="8"/>
  <c r="O22" i="8" s="1"/>
  <c r="P22" i="8" s="1"/>
  <c r="M22" i="8"/>
  <c r="L21" i="8"/>
  <c r="L50" i="8" s="1"/>
  <c r="K21" i="8"/>
  <c r="K50" i="8" s="1"/>
  <c r="F21" i="8"/>
  <c r="F50" i="8" s="1"/>
  <c r="E21" i="8"/>
  <c r="E50" i="8" s="1"/>
  <c r="D21" i="8"/>
  <c r="D50" i="8" s="1"/>
  <c r="M20" i="8"/>
  <c r="M18" i="8" s="1"/>
  <c r="M32" i="8" s="1"/>
  <c r="K19" i="8"/>
  <c r="M15" i="8"/>
  <c r="L15" i="8"/>
  <c r="K15" i="8"/>
  <c r="J15" i="8"/>
  <c r="I15" i="8"/>
  <c r="H15" i="8"/>
  <c r="G15" i="8"/>
  <c r="F15" i="8"/>
  <c r="E15" i="8"/>
  <c r="D15" i="8"/>
  <c r="C15" i="8"/>
  <c r="B15" i="8"/>
  <c r="K14" i="8"/>
  <c r="I14" i="8"/>
  <c r="N13" i="8"/>
  <c r="O13" i="8" s="1"/>
  <c r="P13" i="8" s="1"/>
  <c r="M13" i="8"/>
  <c r="K12" i="8"/>
  <c r="G12" i="8"/>
  <c r="F12" i="8"/>
  <c r="E12" i="8"/>
  <c r="N11" i="8"/>
  <c r="O11" i="8" s="1"/>
  <c r="P11" i="8" s="1"/>
  <c r="M11" i="8"/>
  <c r="L10" i="8"/>
  <c r="K10" i="8"/>
  <c r="G10" i="8"/>
  <c r="F10" i="8"/>
  <c r="E10" i="8"/>
  <c r="M9" i="8"/>
  <c r="N9" i="8" s="1"/>
  <c r="K8" i="8"/>
  <c r="G8" i="8"/>
  <c r="E8" i="8"/>
  <c r="N7" i="8"/>
  <c r="O7" i="8" s="1"/>
  <c r="M7" i="8"/>
  <c r="L5" i="8"/>
  <c r="L25" i="8" s="1"/>
  <c r="K5" i="8"/>
  <c r="J5" i="8"/>
  <c r="J25" i="8" s="1"/>
  <c r="I5" i="8"/>
  <c r="H5" i="8"/>
  <c r="G5" i="8"/>
  <c r="G21" i="8" s="1"/>
  <c r="G50" i="8" s="1"/>
  <c r="F5" i="8"/>
  <c r="E5" i="8"/>
  <c r="D5" i="8"/>
  <c r="D35" i="8" s="1"/>
  <c r="C5" i="8"/>
  <c r="B5" i="8"/>
  <c r="L31" i="7"/>
  <c r="K31" i="7"/>
  <c r="J31" i="7"/>
  <c r="I31" i="7"/>
  <c r="H31" i="7"/>
  <c r="G31" i="7"/>
  <c r="F31" i="7"/>
  <c r="E31" i="7"/>
  <c r="D31" i="7"/>
  <c r="C31" i="7"/>
  <c r="B31" i="7"/>
  <c r="M30" i="7"/>
  <c r="M37" i="7" s="1"/>
  <c r="L30" i="7"/>
  <c r="L32" i="7" s="1"/>
  <c r="K30" i="7"/>
  <c r="K32" i="7" s="1"/>
  <c r="J30" i="7"/>
  <c r="J32" i="7" s="1"/>
  <c r="I30" i="7"/>
  <c r="I32" i="7" s="1"/>
  <c r="H30" i="7"/>
  <c r="H32" i="7" s="1"/>
  <c r="G30" i="7"/>
  <c r="G32" i="7" s="1"/>
  <c r="F30" i="7"/>
  <c r="F32" i="7" s="1"/>
  <c r="E30" i="7"/>
  <c r="E32" i="7" s="1"/>
  <c r="D30" i="7"/>
  <c r="D32" i="7" s="1"/>
  <c r="C30" i="7"/>
  <c r="C32" i="7" s="1"/>
  <c r="B30" i="7"/>
  <c r="B32" i="7" s="1"/>
  <c r="M29" i="7"/>
  <c r="L29" i="7"/>
  <c r="K29" i="7"/>
  <c r="J29" i="7"/>
  <c r="I29" i="7"/>
  <c r="H29" i="7"/>
  <c r="G29" i="7"/>
  <c r="F29" i="7"/>
  <c r="E29" i="7"/>
  <c r="D29" i="7"/>
  <c r="C29" i="7"/>
  <c r="B29" i="7"/>
  <c r="L28" i="7"/>
  <c r="L26" i="14" s="1"/>
  <c r="K28" i="7"/>
  <c r="K26" i="14" s="1"/>
  <c r="J28" i="7"/>
  <c r="J26" i="14" s="1"/>
  <c r="I28" i="7"/>
  <c r="I26" i="14" s="1"/>
  <c r="H28" i="7"/>
  <c r="H26" i="14" s="1"/>
  <c r="G28" i="7"/>
  <c r="G26" i="14" s="1"/>
  <c r="F28" i="7"/>
  <c r="F26" i="14" s="1"/>
  <c r="E28" i="7"/>
  <c r="E26" i="14" s="1"/>
  <c r="D28" i="7"/>
  <c r="D26" i="14" s="1"/>
  <c r="C28" i="7"/>
  <c r="C26" i="14" s="1"/>
  <c r="B28" i="7"/>
  <c r="B26" i="14" s="1"/>
  <c r="M27" i="7"/>
  <c r="L27" i="7"/>
  <c r="K27" i="7"/>
  <c r="J27" i="7"/>
  <c r="I27" i="7"/>
  <c r="H27" i="7"/>
  <c r="G27" i="7"/>
  <c r="F27" i="7"/>
  <c r="E27" i="7"/>
  <c r="D27" i="7"/>
  <c r="C27" i="7"/>
  <c r="B27" i="7"/>
  <c r="L20" i="7"/>
  <c r="K20" i="7"/>
  <c r="J20" i="7"/>
  <c r="I20" i="7"/>
  <c r="H20" i="7"/>
  <c r="G20" i="7"/>
  <c r="F20" i="7"/>
  <c r="E20" i="7"/>
  <c r="D20" i="7"/>
  <c r="C20" i="7"/>
  <c r="B20" i="7"/>
  <c r="M17" i="7"/>
  <c r="M16" i="7"/>
  <c r="M15" i="7"/>
  <c r="M36" i="7" s="1"/>
  <c r="P14" i="7"/>
  <c r="O14" i="7"/>
  <c r="N14" i="7"/>
  <c r="M14" i="7"/>
  <c r="M18" i="7" s="1"/>
  <c r="P13" i="7"/>
  <c r="O13" i="7"/>
  <c r="N13" i="7"/>
  <c r="M13" i="7"/>
  <c r="P12" i="7"/>
  <c r="O12" i="7"/>
  <c r="N12" i="7"/>
  <c r="M12" i="7"/>
  <c r="L11" i="7"/>
  <c r="L22" i="14" s="1"/>
  <c r="J11" i="7"/>
  <c r="J22" i="14" s="1"/>
  <c r="I11" i="7"/>
  <c r="I22" i="14" s="1"/>
  <c r="F11" i="7"/>
  <c r="F22" i="14" s="1"/>
  <c r="D11" i="7"/>
  <c r="D22" i="14" s="1"/>
  <c r="C11" i="7"/>
  <c r="C22" i="14" s="1"/>
  <c r="M10" i="7"/>
  <c r="M20" i="14" s="1"/>
  <c r="M9" i="7"/>
  <c r="M19" i="14" s="1"/>
  <c r="L9" i="7"/>
  <c r="L19" i="14" s="1"/>
  <c r="K9" i="7"/>
  <c r="J9" i="7"/>
  <c r="J19" i="14" s="1"/>
  <c r="I9" i="7"/>
  <c r="I19" i="14" s="1"/>
  <c r="H9" i="7"/>
  <c r="G9" i="7"/>
  <c r="F9" i="7"/>
  <c r="F19" i="14" s="1"/>
  <c r="E9" i="7"/>
  <c r="D9" i="7"/>
  <c r="D19" i="14" s="1"/>
  <c r="C9" i="7"/>
  <c r="C19" i="14" s="1"/>
  <c r="B9" i="7"/>
  <c r="M8" i="7"/>
  <c r="L8" i="7"/>
  <c r="K8" i="7"/>
  <c r="J8" i="7"/>
  <c r="I8" i="7"/>
  <c r="H8" i="7"/>
  <c r="G8" i="7"/>
  <c r="F8" i="7"/>
  <c r="E8" i="7"/>
  <c r="D8" i="7"/>
  <c r="C8" i="7"/>
  <c r="M7" i="7"/>
  <c r="L6" i="7"/>
  <c r="K6" i="7"/>
  <c r="J6" i="7"/>
  <c r="I6" i="7"/>
  <c r="H6" i="7"/>
  <c r="G6" i="7"/>
  <c r="F6" i="7"/>
  <c r="E6" i="7"/>
  <c r="D6" i="7"/>
  <c r="C6" i="7"/>
  <c r="J35" i="6"/>
  <c r="H35" i="6"/>
  <c r="G35" i="6"/>
  <c r="D35" i="6"/>
  <c r="B35" i="6"/>
  <c r="E34" i="6"/>
  <c r="H32" i="6"/>
  <c r="H33" i="6" s="1"/>
  <c r="D32" i="6"/>
  <c r="D33" i="6" s="1"/>
  <c r="B32" i="6"/>
  <c r="B33" i="6" s="1"/>
  <c r="J31" i="6"/>
  <c r="H31" i="6"/>
  <c r="E31" i="6"/>
  <c r="D31" i="6"/>
  <c r="L30" i="6"/>
  <c r="L31" i="6" s="1"/>
  <c r="K30" i="6"/>
  <c r="L29" i="6" s="1"/>
  <c r="J30" i="6"/>
  <c r="I30" i="6"/>
  <c r="I31" i="6" s="1"/>
  <c r="H30" i="6"/>
  <c r="I29" i="6" s="1"/>
  <c r="G30" i="6"/>
  <c r="F30" i="6"/>
  <c r="F31" i="6" s="1"/>
  <c r="E30" i="6"/>
  <c r="F29" i="6" s="1"/>
  <c r="D30" i="6"/>
  <c r="C30" i="6"/>
  <c r="C31" i="6" s="1"/>
  <c r="B30" i="6"/>
  <c r="M29" i="6"/>
  <c r="K29" i="6"/>
  <c r="J29" i="6"/>
  <c r="G29" i="6"/>
  <c r="G39" i="12" s="1"/>
  <c r="E29" i="6"/>
  <c r="D29" i="6"/>
  <c r="P27" i="6"/>
  <c r="O27" i="6"/>
  <c r="N27" i="6"/>
  <c r="M27" i="6"/>
  <c r="L26" i="6"/>
  <c r="K26" i="6"/>
  <c r="J26" i="6"/>
  <c r="I26" i="6"/>
  <c r="H26" i="6"/>
  <c r="G26" i="6"/>
  <c r="F26" i="6"/>
  <c r="E26" i="6"/>
  <c r="D26" i="6"/>
  <c r="C26" i="6"/>
  <c r="B26" i="6"/>
  <c r="P25" i="6"/>
  <c r="O25" i="6"/>
  <c r="N25" i="6"/>
  <c r="M25" i="6"/>
  <c r="P23" i="6"/>
  <c r="O23" i="6"/>
  <c r="N23" i="6"/>
  <c r="M23" i="6"/>
  <c r="P22" i="6"/>
  <c r="O22" i="6"/>
  <c r="N22" i="6"/>
  <c r="M22" i="6"/>
  <c r="L21" i="6"/>
  <c r="K21" i="6"/>
  <c r="J21" i="6"/>
  <c r="I21" i="6"/>
  <c r="H21" i="6"/>
  <c r="G21" i="6"/>
  <c r="F21" i="6"/>
  <c r="E21" i="6"/>
  <c r="D21" i="6"/>
  <c r="C21" i="6"/>
  <c r="B21" i="6"/>
  <c r="L18" i="6"/>
  <c r="K18" i="6"/>
  <c r="J18" i="6"/>
  <c r="J10" i="14" s="1"/>
  <c r="I18" i="6"/>
  <c r="H18" i="6"/>
  <c r="G18" i="6"/>
  <c r="G10" i="14" s="1"/>
  <c r="G11" i="14" s="1"/>
  <c r="F18" i="6"/>
  <c r="E18" i="6"/>
  <c r="D18" i="6"/>
  <c r="D10" i="14" s="1"/>
  <c r="C18" i="6"/>
  <c r="B18" i="6"/>
  <c r="H13" i="6"/>
  <c r="F13" i="6"/>
  <c r="L12" i="6"/>
  <c r="K12" i="6"/>
  <c r="H12" i="6"/>
  <c r="F12" i="6"/>
  <c r="B12" i="6"/>
  <c r="L9" i="6"/>
  <c r="K9" i="6"/>
  <c r="J9" i="6"/>
  <c r="J12" i="6" s="1"/>
  <c r="I9" i="6"/>
  <c r="I12" i="6" s="1"/>
  <c r="H9" i="6"/>
  <c r="G9" i="6"/>
  <c r="G12" i="6" s="1"/>
  <c r="F9" i="6"/>
  <c r="E9" i="6"/>
  <c r="E12" i="6" s="1"/>
  <c r="D9" i="6"/>
  <c r="D12" i="6" s="1"/>
  <c r="C9" i="6"/>
  <c r="C12" i="6" s="1"/>
  <c r="B9" i="6"/>
  <c r="P7" i="6"/>
  <c r="O7" i="6"/>
  <c r="N7" i="6"/>
  <c r="M7" i="6"/>
  <c r="L29" i="4"/>
  <c r="K29" i="4"/>
  <c r="J29" i="4"/>
  <c r="I29" i="4"/>
  <c r="H29" i="4"/>
  <c r="G29" i="4"/>
  <c r="F29" i="4"/>
  <c r="E29" i="4"/>
  <c r="D29" i="4"/>
  <c r="C29" i="4"/>
  <c r="B29" i="4"/>
  <c r="O28" i="4"/>
  <c r="N28" i="4"/>
  <c r="P27" i="4"/>
  <c r="P28" i="4" s="1"/>
  <c r="M27" i="4"/>
  <c r="N27" i="4" s="1"/>
  <c r="O27" i="4" s="1"/>
  <c r="L26" i="4"/>
  <c r="K26" i="4"/>
  <c r="J26" i="4"/>
  <c r="I26" i="4"/>
  <c r="H26" i="4"/>
  <c r="G26" i="4"/>
  <c r="F26" i="4"/>
  <c r="E26" i="4"/>
  <c r="D26" i="4"/>
  <c r="C26" i="4"/>
  <c r="B26" i="4"/>
  <c r="L24" i="4"/>
  <c r="K24" i="4"/>
  <c r="J24" i="4"/>
  <c r="I24" i="4"/>
  <c r="H24" i="4"/>
  <c r="G24" i="4"/>
  <c r="F24" i="4"/>
  <c r="E24" i="4"/>
  <c r="D24" i="4"/>
  <c r="C24" i="4"/>
  <c r="B24" i="4"/>
  <c r="L22" i="4"/>
  <c r="K22" i="4"/>
  <c r="J22" i="4"/>
  <c r="I22" i="4"/>
  <c r="H22" i="4"/>
  <c r="G22" i="4"/>
  <c r="F22" i="4"/>
  <c r="E22" i="4"/>
  <c r="D22" i="4"/>
  <c r="C22" i="4"/>
  <c r="B22" i="4"/>
  <c r="P20" i="4"/>
  <c r="O20" i="4"/>
  <c r="N20" i="4"/>
  <c r="M20" i="4"/>
  <c r="M19" i="4"/>
  <c r="L18" i="4"/>
  <c r="K18" i="4"/>
  <c r="J18" i="4"/>
  <c r="AA15" i="12" s="1"/>
  <c r="I18" i="4"/>
  <c r="H18" i="4"/>
  <c r="G18" i="4"/>
  <c r="F18" i="4"/>
  <c r="E18" i="4"/>
  <c r="D18" i="4"/>
  <c r="U15" i="12" s="1"/>
  <c r="C18" i="4"/>
  <c r="B18" i="4"/>
  <c r="L15" i="4"/>
  <c r="K15" i="4"/>
  <c r="J15" i="4"/>
  <c r="I15" i="4"/>
  <c r="H15" i="4"/>
  <c r="G15" i="4"/>
  <c r="F15" i="4"/>
  <c r="E15" i="4"/>
  <c r="D15" i="4"/>
  <c r="C15" i="4"/>
  <c r="B15" i="4"/>
  <c r="L13" i="4"/>
  <c r="K13" i="4"/>
  <c r="J13" i="4"/>
  <c r="I13" i="4"/>
  <c r="H13" i="4"/>
  <c r="G13" i="4"/>
  <c r="F13" i="4"/>
  <c r="E13" i="4"/>
  <c r="D13" i="4"/>
  <c r="C13" i="4"/>
  <c r="B13" i="4"/>
  <c r="L11" i="4"/>
  <c r="K11" i="4"/>
  <c r="J11" i="4"/>
  <c r="I11" i="4"/>
  <c r="H11" i="4"/>
  <c r="G11" i="4"/>
  <c r="F11" i="4"/>
  <c r="E11" i="4"/>
  <c r="D11" i="4"/>
  <c r="C11" i="4"/>
  <c r="B11" i="4"/>
  <c r="L9" i="4"/>
  <c r="L8" i="12" s="1"/>
  <c r="K9" i="4"/>
  <c r="J9" i="4"/>
  <c r="I9" i="4"/>
  <c r="H9" i="4"/>
  <c r="G9" i="4"/>
  <c r="F9" i="4"/>
  <c r="F8" i="12" s="1"/>
  <c r="E9" i="4"/>
  <c r="D9" i="4"/>
  <c r="C9" i="4"/>
  <c r="B9" i="4"/>
  <c r="L6" i="4"/>
  <c r="K6" i="4"/>
  <c r="J6" i="4"/>
  <c r="I6" i="4"/>
  <c r="H6" i="4"/>
  <c r="G6" i="4"/>
  <c r="F6" i="4"/>
  <c r="E6" i="4"/>
  <c r="D6" i="4"/>
  <c r="C6" i="4"/>
  <c r="B6" i="4"/>
  <c r="B38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S24" i="3"/>
  <c r="AR24" i="3"/>
  <c r="AM24" i="3"/>
  <c r="AL24" i="3"/>
  <c r="AF24" i="3"/>
  <c r="V24" i="3"/>
  <c r="R24" i="3"/>
  <c r="P24" i="3"/>
  <c r="O24" i="3"/>
  <c r="J24" i="3"/>
  <c r="I24" i="3"/>
  <c r="H24" i="3"/>
  <c r="C24" i="3"/>
  <c r="B24" i="3"/>
  <c r="AS23" i="3"/>
  <c r="AM23" i="3"/>
  <c r="AL23" i="3"/>
  <c r="AG23" i="3"/>
  <c r="AF23" i="3"/>
  <c r="AE23" i="3"/>
  <c r="Z23" i="3"/>
  <c r="Y23" i="3"/>
  <c r="X23" i="3"/>
  <c r="S23" i="3"/>
  <c r="I23" i="3"/>
  <c r="E23" i="3"/>
  <c r="C23" i="3"/>
  <c r="B23" i="3"/>
  <c r="AS21" i="3"/>
  <c r="AR21" i="3"/>
  <c r="AQ21" i="3"/>
  <c r="AP21" i="3"/>
  <c r="AO21" i="3"/>
  <c r="AO24" i="3" s="1"/>
  <c r="AN21" i="3"/>
  <c r="AN24" i="3" s="1"/>
  <c r="AM21" i="3"/>
  <c r="AL21" i="3"/>
  <c r="AK21" i="3"/>
  <c r="AK20" i="3" s="1"/>
  <c r="AJ21" i="3"/>
  <c r="AI21" i="3"/>
  <c r="AI24" i="3" s="1"/>
  <c r="AH21" i="3"/>
  <c r="AH38" i="3" s="1"/>
  <c r="AG21" i="3"/>
  <c r="AG24" i="3" s="1"/>
  <c r="AF21" i="3"/>
  <c r="AE21" i="3"/>
  <c r="AE20" i="3" s="1"/>
  <c r="AD21" i="3"/>
  <c r="AC21" i="3"/>
  <c r="AC24" i="3" s="1"/>
  <c r="AB21" i="3"/>
  <c r="AB24" i="3" s="1"/>
  <c r="AA21" i="3"/>
  <c r="AA24" i="3" s="1"/>
  <c r="Z21" i="3"/>
  <c r="Z24" i="3" s="1"/>
  <c r="Y21" i="3"/>
  <c r="Y20" i="3" s="1"/>
  <c r="X21" i="3"/>
  <c r="W21" i="3"/>
  <c r="W24" i="3" s="1"/>
  <c r="V21" i="3"/>
  <c r="U21" i="3"/>
  <c r="U24" i="3" s="1"/>
  <c r="T21" i="3"/>
  <c r="T24" i="3" s="1"/>
  <c r="S21" i="3"/>
  <c r="R21" i="3"/>
  <c r="Q21" i="3"/>
  <c r="Q24" i="3" s="1"/>
  <c r="P21" i="3"/>
  <c r="O21" i="3"/>
  <c r="N21" i="3"/>
  <c r="N24" i="3" s="1"/>
  <c r="M21" i="3"/>
  <c r="L21" i="3"/>
  <c r="L24" i="3" s="1"/>
  <c r="K21" i="3"/>
  <c r="K24" i="3" s="1"/>
  <c r="J21" i="3"/>
  <c r="I21" i="3"/>
  <c r="H21" i="3"/>
  <c r="G21" i="3"/>
  <c r="F21" i="3"/>
  <c r="E21" i="3"/>
  <c r="E24" i="3" s="1"/>
  <c r="D21" i="3"/>
  <c r="D24" i="3" s="1"/>
  <c r="C21" i="3"/>
  <c r="B21" i="3"/>
  <c r="B37" i="3" s="1"/>
  <c r="B36" i="3" s="1"/>
  <c r="AS20" i="3"/>
  <c r="AR20" i="3"/>
  <c r="AO20" i="3"/>
  <c r="AN20" i="3"/>
  <c r="AM20" i="3"/>
  <c r="AL20" i="3"/>
  <c r="AH20" i="3"/>
  <c r="AG20" i="3"/>
  <c r="AF20" i="3"/>
  <c r="AB20" i="3"/>
  <c r="AA20" i="3"/>
  <c r="Z20" i="3"/>
  <c r="V20" i="3"/>
  <c r="U20" i="3"/>
  <c r="T20" i="3"/>
  <c r="R20" i="3"/>
  <c r="Q20" i="3"/>
  <c r="P20" i="3"/>
  <c r="O20" i="3"/>
  <c r="N20" i="3"/>
  <c r="L20" i="3"/>
  <c r="K20" i="3"/>
  <c r="J20" i="3"/>
  <c r="I20" i="3"/>
  <c r="H20" i="3"/>
  <c r="E20" i="3"/>
  <c r="D20" i="3"/>
  <c r="C20" i="3"/>
  <c r="B20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H18" i="3"/>
  <c r="AH28" i="3" s="1"/>
  <c r="B18" i="3"/>
  <c r="B28" i="3" s="1"/>
  <c r="AS14" i="3"/>
  <c r="AR14" i="3"/>
  <c r="AR23" i="3" s="1"/>
  <c r="AQ14" i="3"/>
  <c r="AQ23" i="3" s="1"/>
  <c r="AP14" i="3"/>
  <c r="AP23" i="3" s="1"/>
  <c r="AO14" i="3"/>
  <c r="AO23" i="3" s="1"/>
  <c r="AN14" i="3"/>
  <c r="AN23" i="3" s="1"/>
  <c r="AM14" i="3"/>
  <c r="AL14" i="3"/>
  <c r="AK14" i="3"/>
  <c r="AK23" i="3" s="1"/>
  <c r="AJ14" i="3"/>
  <c r="AJ23" i="3" s="1"/>
  <c r="AI14" i="3"/>
  <c r="AI23" i="3" s="1"/>
  <c r="AH14" i="3"/>
  <c r="AH23" i="3" s="1"/>
  <c r="AG14" i="3"/>
  <c r="AF14" i="3"/>
  <c r="AE14" i="3"/>
  <c r="AD14" i="3"/>
  <c r="AD23" i="3" s="1"/>
  <c r="AC14" i="3"/>
  <c r="AC23" i="3" s="1"/>
  <c r="AB14" i="3"/>
  <c r="AB23" i="3" s="1"/>
  <c r="AA14" i="3"/>
  <c r="AA23" i="3" s="1"/>
  <c r="Z14" i="3"/>
  <c r="Y14" i="3"/>
  <c r="X14" i="3"/>
  <c r="W14" i="3"/>
  <c r="W23" i="3" s="1"/>
  <c r="V14" i="3"/>
  <c r="V23" i="3" s="1"/>
  <c r="U14" i="3"/>
  <c r="U23" i="3" s="1"/>
  <c r="T14" i="3"/>
  <c r="T23" i="3" s="1"/>
  <c r="S14" i="3"/>
  <c r="R14" i="3"/>
  <c r="R23" i="3" s="1"/>
  <c r="Q14" i="3"/>
  <c r="Q23" i="3" s="1"/>
  <c r="P14" i="3"/>
  <c r="P23" i="3" s="1"/>
  <c r="O14" i="3"/>
  <c r="O23" i="3" s="1"/>
  <c r="N14" i="3"/>
  <c r="N23" i="3" s="1"/>
  <c r="M14" i="3"/>
  <c r="M23" i="3" s="1"/>
  <c r="L14" i="3"/>
  <c r="L23" i="3" s="1"/>
  <c r="K14" i="3"/>
  <c r="K23" i="3" s="1"/>
  <c r="J14" i="3"/>
  <c r="J23" i="3" s="1"/>
  <c r="I14" i="3"/>
  <c r="H14" i="3"/>
  <c r="H23" i="3" s="1"/>
  <c r="G14" i="3"/>
  <c r="G23" i="3" s="1"/>
  <c r="F14" i="3"/>
  <c r="F23" i="3" s="1"/>
  <c r="E14" i="3"/>
  <c r="D14" i="3"/>
  <c r="D23" i="3" s="1"/>
  <c r="C14" i="3"/>
  <c r="B14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H10" i="3"/>
  <c r="B10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O7" i="3"/>
  <c r="I7" i="3"/>
  <c r="H7" i="3"/>
  <c r="G7" i="3"/>
  <c r="F7" i="3"/>
  <c r="E7" i="3"/>
  <c r="D7" i="3"/>
  <c r="C7" i="3"/>
  <c r="B7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H64" i="12"/>
  <c r="G64" i="12"/>
  <c r="L63" i="12"/>
  <c r="K63" i="12"/>
  <c r="J63" i="12"/>
  <c r="I63" i="12"/>
  <c r="H63" i="12"/>
  <c r="G63" i="12"/>
  <c r="F63" i="12"/>
  <c r="E63" i="12"/>
  <c r="D63" i="12"/>
  <c r="C63" i="12"/>
  <c r="B63" i="12"/>
  <c r="I62" i="12"/>
  <c r="L61" i="12"/>
  <c r="L60" i="12"/>
  <c r="K60" i="12"/>
  <c r="J60" i="12"/>
  <c r="I60" i="12"/>
  <c r="H60" i="12"/>
  <c r="G60" i="12"/>
  <c r="F60" i="12"/>
  <c r="E60" i="12"/>
  <c r="D60" i="12"/>
  <c r="C60" i="12"/>
  <c r="B60" i="12"/>
  <c r="G59" i="12"/>
  <c r="L58" i="12"/>
  <c r="K58" i="12"/>
  <c r="J58" i="12"/>
  <c r="I58" i="12"/>
  <c r="H58" i="12"/>
  <c r="G58" i="12"/>
  <c r="F58" i="12"/>
  <c r="E58" i="12"/>
  <c r="D58" i="12"/>
  <c r="C58" i="12"/>
  <c r="B58" i="12"/>
  <c r="L57" i="12"/>
  <c r="K57" i="12"/>
  <c r="J57" i="12"/>
  <c r="I57" i="12"/>
  <c r="H57" i="12"/>
  <c r="G57" i="12"/>
  <c r="F57" i="12"/>
  <c r="E57" i="12"/>
  <c r="D57" i="12"/>
  <c r="C57" i="12"/>
  <c r="B57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L54" i="12"/>
  <c r="K54" i="12"/>
  <c r="J54" i="12"/>
  <c r="I54" i="12"/>
  <c r="H54" i="12"/>
  <c r="G54" i="12"/>
  <c r="F54" i="12"/>
  <c r="E54" i="12"/>
  <c r="D54" i="12"/>
  <c r="C54" i="12"/>
  <c r="B54" i="12"/>
  <c r="AD53" i="12"/>
  <c r="L53" i="12"/>
  <c r="K53" i="12"/>
  <c r="J53" i="12"/>
  <c r="I53" i="12"/>
  <c r="H53" i="12"/>
  <c r="G53" i="12"/>
  <c r="F53" i="12"/>
  <c r="E53" i="12"/>
  <c r="D53" i="12"/>
  <c r="C53" i="12"/>
  <c r="B53" i="12"/>
  <c r="L52" i="12"/>
  <c r="K52" i="12"/>
  <c r="J52" i="12"/>
  <c r="I52" i="12"/>
  <c r="H52" i="12"/>
  <c r="G52" i="12"/>
  <c r="F52" i="12"/>
  <c r="E52" i="12"/>
  <c r="D52" i="12"/>
  <c r="C52" i="12"/>
  <c r="B52" i="12"/>
  <c r="AD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L50" i="12"/>
  <c r="K50" i="12"/>
  <c r="J50" i="12"/>
  <c r="I50" i="12"/>
  <c r="H50" i="12"/>
  <c r="G50" i="12"/>
  <c r="F50" i="12"/>
  <c r="E50" i="12"/>
  <c r="D50" i="12"/>
  <c r="C50" i="12"/>
  <c r="B50" i="12"/>
  <c r="L49" i="12"/>
  <c r="K49" i="12"/>
  <c r="J49" i="12"/>
  <c r="I49" i="12"/>
  <c r="H49" i="12"/>
  <c r="G49" i="12"/>
  <c r="F49" i="12"/>
  <c r="E49" i="12"/>
  <c r="D49" i="12"/>
  <c r="C49" i="12"/>
  <c r="B49" i="12"/>
  <c r="I48" i="12"/>
  <c r="H48" i="12"/>
  <c r="AD47" i="12"/>
  <c r="L47" i="12"/>
  <c r="K47" i="12"/>
  <c r="J47" i="12"/>
  <c r="I47" i="12"/>
  <c r="H47" i="12"/>
  <c r="G47" i="12"/>
  <c r="F47" i="12"/>
  <c r="E47" i="12"/>
  <c r="D47" i="12"/>
  <c r="C47" i="12"/>
  <c r="B47" i="12"/>
  <c r="L46" i="12"/>
  <c r="K46" i="12"/>
  <c r="J46" i="12"/>
  <c r="I46" i="12"/>
  <c r="H46" i="12"/>
  <c r="G46" i="12"/>
  <c r="F46" i="12"/>
  <c r="E46" i="12"/>
  <c r="D46" i="12"/>
  <c r="C46" i="12"/>
  <c r="B46" i="12"/>
  <c r="W44" i="12"/>
  <c r="AC43" i="12"/>
  <c r="W43" i="12"/>
  <c r="H42" i="12"/>
  <c r="D42" i="12"/>
  <c r="B42" i="12"/>
  <c r="H41" i="12"/>
  <c r="D41" i="12"/>
  <c r="B41" i="12"/>
  <c r="AB40" i="12"/>
  <c r="Z40" i="12"/>
  <c r="Y40" i="12"/>
  <c r="V40" i="12"/>
  <c r="S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Y41" i="12" s="1"/>
  <c r="M39" i="12"/>
  <c r="L39" i="12"/>
  <c r="K39" i="12"/>
  <c r="J39" i="12"/>
  <c r="I39" i="12"/>
  <c r="F39" i="12"/>
  <c r="E39" i="12"/>
  <c r="D39" i="12"/>
  <c r="AB38" i="12"/>
  <c r="AB39" i="12" s="1"/>
  <c r="AB41" i="12" s="1"/>
  <c r="Y38" i="12"/>
  <c r="Y42" i="12" s="1"/>
  <c r="V38" i="12"/>
  <c r="V42" i="12" s="1"/>
  <c r="T38" i="12"/>
  <c r="T42" i="12" s="1"/>
  <c r="S38" i="12"/>
  <c r="S42" i="12" s="1"/>
  <c r="AC37" i="12"/>
  <c r="AC44" i="12" s="1"/>
  <c r="AB37" i="12"/>
  <c r="AA37" i="12"/>
  <c r="Z37" i="12"/>
  <c r="Z38" i="12" s="1"/>
  <c r="Y37" i="12"/>
  <c r="X37" i="12"/>
  <c r="X40" i="12" s="1"/>
  <c r="W37" i="12"/>
  <c r="W40" i="12" s="1"/>
  <c r="V37" i="12"/>
  <c r="U37" i="12"/>
  <c r="T37" i="12"/>
  <c r="T40" i="12" s="1"/>
  <c r="S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L36" i="12"/>
  <c r="K36" i="12"/>
  <c r="J36" i="12"/>
  <c r="I36" i="12"/>
  <c r="H36" i="12"/>
  <c r="G36" i="12"/>
  <c r="F36" i="12"/>
  <c r="E36" i="12"/>
  <c r="D36" i="12"/>
  <c r="C36" i="12"/>
  <c r="B36" i="12"/>
  <c r="L35" i="12"/>
  <c r="K35" i="12"/>
  <c r="J35" i="12"/>
  <c r="I35" i="12"/>
  <c r="H35" i="12"/>
  <c r="G35" i="12"/>
  <c r="F35" i="12"/>
  <c r="E35" i="12"/>
  <c r="D35" i="12"/>
  <c r="C35" i="12"/>
  <c r="B35" i="12"/>
  <c r="AC34" i="12"/>
  <c r="AB34" i="12"/>
  <c r="AA34" i="12"/>
  <c r="Z34" i="12"/>
  <c r="Y34" i="12"/>
  <c r="X34" i="12"/>
  <c r="W34" i="12"/>
  <c r="V34" i="12"/>
  <c r="U34" i="12"/>
  <c r="T34" i="12"/>
  <c r="S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AC33" i="12"/>
  <c r="AB33" i="12"/>
  <c r="AA33" i="12"/>
  <c r="Z33" i="12"/>
  <c r="Y33" i="12"/>
  <c r="X33" i="12"/>
  <c r="W33" i="12"/>
  <c r="V33" i="12"/>
  <c r="U33" i="12"/>
  <c r="T33" i="12"/>
  <c r="S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AC32" i="12"/>
  <c r="AA32" i="12"/>
  <c r="Z32" i="12"/>
  <c r="W32" i="12"/>
  <c r="U32" i="12"/>
  <c r="T32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B31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L30" i="12"/>
  <c r="J30" i="12"/>
  <c r="I30" i="12"/>
  <c r="H30" i="12"/>
  <c r="G30" i="12"/>
  <c r="F30" i="12"/>
  <c r="D30" i="12"/>
  <c r="C30" i="12"/>
  <c r="B30" i="12"/>
  <c r="F29" i="12"/>
  <c r="L28" i="12"/>
  <c r="K28" i="12"/>
  <c r="J28" i="12"/>
  <c r="I28" i="12"/>
  <c r="H28" i="12"/>
  <c r="G28" i="12"/>
  <c r="F28" i="12"/>
  <c r="E28" i="12"/>
  <c r="D28" i="12"/>
  <c r="C28" i="12"/>
  <c r="B28" i="12"/>
  <c r="AA27" i="12"/>
  <c r="Z27" i="12"/>
  <c r="U27" i="12"/>
  <c r="T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C26" i="12"/>
  <c r="AB26" i="12"/>
  <c r="AA26" i="12"/>
  <c r="Z26" i="12"/>
  <c r="Y26" i="12"/>
  <c r="X26" i="12"/>
  <c r="W26" i="12"/>
  <c r="V26" i="12"/>
  <c r="U26" i="12"/>
  <c r="T26" i="12"/>
  <c r="S26" i="12"/>
  <c r="L26" i="12"/>
  <c r="K26" i="12"/>
  <c r="J26" i="12"/>
  <c r="I26" i="12"/>
  <c r="H26" i="12"/>
  <c r="G26" i="12"/>
  <c r="F26" i="12"/>
  <c r="E26" i="12"/>
  <c r="D26" i="12"/>
  <c r="C26" i="12"/>
  <c r="B26" i="12"/>
  <c r="AA25" i="12"/>
  <c r="Z25" i="12"/>
  <c r="U25" i="12"/>
  <c r="T25" i="12"/>
  <c r="L25" i="12"/>
  <c r="K25" i="12"/>
  <c r="J25" i="12"/>
  <c r="I25" i="12"/>
  <c r="H25" i="12"/>
  <c r="G25" i="12"/>
  <c r="F25" i="12"/>
  <c r="E25" i="12"/>
  <c r="D25" i="12"/>
  <c r="C25" i="12"/>
  <c r="B25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AC21" i="12"/>
  <c r="AB21" i="12"/>
  <c r="AA21" i="12"/>
  <c r="Z21" i="12"/>
  <c r="Y21" i="12"/>
  <c r="X21" i="12"/>
  <c r="W21" i="12"/>
  <c r="V21" i="12"/>
  <c r="U21" i="12"/>
  <c r="T21" i="12"/>
  <c r="S21" i="12"/>
  <c r="P21" i="12"/>
  <c r="O21" i="12"/>
  <c r="N21" i="12"/>
  <c r="L21" i="12"/>
  <c r="K21" i="12"/>
  <c r="J21" i="12"/>
  <c r="I21" i="12"/>
  <c r="H21" i="12"/>
  <c r="G21" i="12"/>
  <c r="F21" i="12"/>
  <c r="E21" i="12"/>
  <c r="D21" i="12"/>
  <c r="C21" i="12"/>
  <c r="B21" i="12"/>
  <c r="AC20" i="12"/>
  <c r="AB20" i="12"/>
  <c r="X20" i="12"/>
  <c r="W20" i="12"/>
  <c r="V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L19" i="12"/>
  <c r="K19" i="12"/>
  <c r="J19" i="12"/>
  <c r="I19" i="12"/>
  <c r="H19" i="12"/>
  <c r="G19" i="12"/>
  <c r="F19" i="12"/>
  <c r="E19" i="12"/>
  <c r="D19" i="12"/>
  <c r="C19" i="12"/>
  <c r="B19" i="12"/>
  <c r="L18" i="12"/>
  <c r="K18" i="12"/>
  <c r="J18" i="12"/>
  <c r="I18" i="12"/>
  <c r="H18" i="12"/>
  <c r="G18" i="12"/>
  <c r="F18" i="12"/>
  <c r="E18" i="12"/>
  <c r="D18" i="12"/>
  <c r="C18" i="12"/>
  <c r="B18" i="12"/>
  <c r="AC17" i="12"/>
  <c r="AB17" i="12"/>
  <c r="AA17" i="12"/>
  <c r="Z17" i="12"/>
  <c r="Y17" i="12"/>
  <c r="X17" i="12"/>
  <c r="W17" i="12"/>
  <c r="V17" i="12"/>
  <c r="U17" i="12"/>
  <c r="T17" i="12"/>
  <c r="S17" i="12"/>
  <c r="L17" i="12"/>
  <c r="K17" i="12"/>
  <c r="J17" i="12"/>
  <c r="I17" i="12"/>
  <c r="H17" i="12"/>
  <c r="G17" i="12"/>
  <c r="F17" i="12"/>
  <c r="E17" i="12"/>
  <c r="D17" i="12"/>
  <c r="C17" i="12"/>
  <c r="B17" i="12"/>
  <c r="AC16" i="12"/>
  <c r="AB16" i="12"/>
  <c r="AA16" i="12"/>
  <c r="Z16" i="12"/>
  <c r="Y16" i="12"/>
  <c r="X16" i="12"/>
  <c r="W16" i="12"/>
  <c r="V16" i="12"/>
  <c r="U16" i="12"/>
  <c r="T16" i="12"/>
  <c r="S16" i="12"/>
  <c r="L16" i="12"/>
  <c r="K16" i="12"/>
  <c r="J16" i="12"/>
  <c r="I16" i="12"/>
  <c r="H16" i="12"/>
  <c r="G16" i="12"/>
  <c r="F16" i="12"/>
  <c r="E16" i="12"/>
  <c r="D16" i="12"/>
  <c r="C16" i="12"/>
  <c r="B16" i="12"/>
  <c r="AC15" i="12"/>
  <c r="AB15" i="12"/>
  <c r="Z15" i="12"/>
  <c r="Y15" i="12"/>
  <c r="X15" i="12"/>
  <c r="W15" i="12"/>
  <c r="V15" i="12"/>
  <c r="T15" i="12"/>
  <c r="S15" i="12"/>
  <c r="L15" i="12"/>
  <c r="K15" i="12"/>
  <c r="J15" i="12"/>
  <c r="I15" i="12"/>
  <c r="H15" i="12"/>
  <c r="G15" i="12"/>
  <c r="F15" i="12"/>
  <c r="E15" i="12"/>
  <c r="D15" i="12"/>
  <c r="C15" i="12"/>
  <c r="B15" i="12"/>
  <c r="AC14" i="12"/>
  <c r="AB14" i="12"/>
  <c r="AA14" i="12"/>
  <c r="Z14" i="12"/>
  <c r="Y14" i="12"/>
  <c r="X14" i="12"/>
  <c r="W14" i="12"/>
  <c r="V14" i="12"/>
  <c r="U14" i="12"/>
  <c r="T14" i="12"/>
  <c r="S14" i="12"/>
  <c r="L14" i="12"/>
  <c r="K14" i="12"/>
  <c r="J14" i="12"/>
  <c r="I14" i="12"/>
  <c r="H14" i="12"/>
  <c r="G14" i="12"/>
  <c r="F14" i="12"/>
  <c r="E14" i="12"/>
  <c r="D14" i="12"/>
  <c r="C14" i="12"/>
  <c r="B14" i="12"/>
  <c r="AC13" i="12"/>
  <c r="AB13" i="12"/>
  <c r="AA13" i="12"/>
  <c r="Z13" i="12"/>
  <c r="Y13" i="12"/>
  <c r="X13" i="12"/>
  <c r="W13" i="12"/>
  <c r="V13" i="12"/>
  <c r="U13" i="12"/>
  <c r="T13" i="12"/>
  <c r="S13" i="12"/>
  <c r="L13" i="12"/>
  <c r="K13" i="12"/>
  <c r="J13" i="12"/>
  <c r="I13" i="12"/>
  <c r="H13" i="12"/>
  <c r="G13" i="12"/>
  <c r="F13" i="12"/>
  <c r="E13" i="12"/>
  <c r="D13" i="12"/>
  <c r="C13" i="12"/>
  <c r="B13" i="12"/>
  <c r="L12" i="12"/>
  <c r="K12" i="12"/>
  <c r="I12" i="12"/>
  <c r="H12" i="12"/>
  <c r="G12" i="12"/>
  <c r="F12" i="12"/>
  <c r="E12" i="12"/>
  <c r="C12" i="12"/>
  <c r="B12" i="12"/>
  <c r="L11" i="12"/>
  <c r="K11" i="12"/>
  <c r="J11" i="12"/>
  <c r="I11" i="12"/>
  <c r="H11" i="12"/>
  <c r="G11" i="12"/>
  <c r="F11" i="12"/>
  <c r="E11" i="12"/>
  <c r="D11" i="12"/>
  <c r="C11" i="12"/>
  <c r="B11" i="12"/>
  <c r="AC10" i="12"/>
  <c r="AB10" i="12"/>
  <c r="AA10" i="12"/>
  <c r="Z10" i="12"/>
  <c r="Y10" i="12"/>
  <c r="X10" i="12"/>
  <c r="W10" i="12"/>
  <c r="V10" i="12"/>
  <c r="U10" i="12"/>
  <c r="T10" i="12"/>
  <c r="S10" i="12"/>
  <c r="L10" i="12"/>
  <c r="K10" i="12"/>
  <c r="J10" i="12"/>
  <c r="I10" i="12"/>
  <c r="H10" i="12"/>
  <c r="G10" i="12"/>
  <c r="F10" i="12"/>
  <c r="E10" i="12"/>
  <c r="D10" i="12"/>
  <c r="C10" i="12"/>
  <c r="B10" i="12"/>
  <c r="AC9" i="12"/>
  <c r="AB9" i="12"/>
  <c r="AA9" i="12"/>
  <c r="Z9" i="12"/>
  <c r="Y9" i="12"/>
  <c r="X9" i="12"/>
  <c r="W9" i="12"/>
  <c r="V9" i="12"/>
  <c r="U9" i="12"/>
  <c r="T9" i="12"/>
  <c r="S9" i="12"/>
  <c r="L9" i="12"/>
  <c r="K9" i="12"/>
  <c r="J9" i="12"/>
  <c r="I9" i="12"/>
  <c r="H9" i="12"/>
  <c r="G9" i="12"/>
  <c r="F9" i="12"/>
  <c r="E9" i="12"/>
  <c r="D9" i="12"/>
  <c r="C9" i="12"/>
  <c r="B9" i="12"/>
  <c r="AC8" i="12"/>
  <c r="AB8" i="12"/>
  <c r="AA8" i="12"/>
  <c r="Z8" i="12"/>
  <c r="Y8" i="12"/>
  <c r="X8" i="12"/>
  <c r="W8" i="12"/>
  <c r="V8" i="12"/>
  <c r="U8" i="12"/>
  <c r="T8" i="12"/>
  <c r="S8" i="12"/>
  <c r="K8" i="12"/>
  <c r="J8" i="12"/>
  <c r="I8" i="12"/>
  <c r="H8" i="12"/>
  <c r="G8" i="12"/>
  <c r="E8" i="12"/>
  <c r="D8" i="12"/>
  <c r="C8" i="12"/>
  <c r="B8" i="12"/>
  <c r="AC7" i="12"/>
  <c r="AB7" i="12"/>
  <c r="AA7" i="12"/>
  <c r="Z7" i="12"/>
  <c r="Y7" i="12"/>
  <c r="X7" i="12"/>
  <c r="W7" i="12"/>
  <c r="V7" i="12"/>
  <c r="U7" i="12"/>
  <c r="T7" i="12"/>
  <c r="S7" i="12"/>
  <c r="L7" i="12"/>
  <c r="K7" i="12"/>
  <c r="J7" i="12"/>
  <c r="I7" i="12"/>
  <c r="H7" i="12"/>
  <c r="G7" i="12"/>
  <c r="F7" i="12"/>
  <c r="E7" i="12"/>
  <c r="D7" i="12"/>
  <c r="C7" i="12"/>
  <c r="B7" i="12"/>
  <c r="AC6" i="12"/>
  <c r="AB6" i="12"/>
  <c r="AA6" i="12"/>
  <c r="Z6" i="12"/>
  <c r="Y6" i="12"/>
  <c r="X6" i="12"/>
  <c r="W6" i="12"/>
  <c r="V6" i="12"/>
  <c r="U6" i="12"/>
  <c r="T6" i="12"/>
  <c r="S6" i="12"/>
  <c r="L6" i="12"/>
  <c r="K6" i="12"/>
  <c r="J6" i="12"/>
  <c r="I6" i="12"/>
  <c r="H6" i="12"/>
  <c r="G6" i="12"/>
  <c r="F6" i="12"/>
  <c r="E6" i="12"/>
  <c r="D6" i="12"/>
  <c r="C6" i="12"/>
  <c r="B6" i="12"/>
  <c r="L5" i="12"/>
  <c r="K5" i="12"/>
  <c r="J5" i="12"/>
  <c r="I5" i="12"/>
  <c r="H5" i="12"/>
  <c r="G5" i="12"/>
  <c r="F5" i="12"/>
  <c r="E5" i="12"/>
  <c r="D5" i="12"/>
  <c r="C5" i="12"/>
  <c r="B5" i="12"/>
  <c r="L24" i="5"/>
  <c r="L64" i="12" s="1"/>
  <c r="K24" i="5"/>
  <c r="K64" i="12" s="1"/>
  <c r="J24" i="5"/>
  <c r="I24" i="5"/>
  <c r="H24" i="5"/>
  <c r="Y20" i="12" s="1"/>
  <c r="G24" i="5"/>
  <c r="F24" i="5"/>
  <c r="F64" i="12" s="1"/>
  <c r="E24" i="5"/>
  <c r="E64" i="12" s="1"/>
  <c r="D24" i="5"/>
  <c r="C24" i="5"/>
  <c r="B24" i="5"/>
  <c r="B64" i="12" s="1"/>
  <c r="L22" i="5"/>
  <c r="L62" i="12" s="1"/>
  <c r="K22" i="5"/>
  <c r="J22" i="5"/>
  <c r="J62" i="12" s="1"/>
  <c r="I22" i="5"/>
  <c r="H22" i="5"/>
  <c r="H62" i="12" s="1"/>
  <c r="G22" i="5"/>
  <c r="G62" i="12" s="1"/>
  <c r="F22" i="5"/>
  <c r="F62" i="12" s="1"/>
  <c r="E22" i="5"/>
  <c r="D22" i="5"/>
  <c r="D62" i="12" s="1"/>
  <c r="C22" i="5"/>
  <c r="C62" i="12" s="1"/>
  <c r="B22" i="5"/>
  <c r="S27" i="12" s="1"/>
  <c r="L21" i="5"/>
  <c r="H21" i="5"/>
  <c r="G21" i="5"/>
  <c r="F21" i="5"/>
  <c r="B21" i="5"/>
  <c r="L20" i="5"/>
  <c r="K20" i="5"/>
  <c r="J20" i="5"/>
  <c r="I20" i="5"/>
  <c r="I61" i="12" s="1"/>
  <c r="H20" i="5"/>
  <c r="H61" i="12" s="1"/>
  <c r="G20" i="5"/>
  <c r="G61" i="12" s="1"/>
  <c r="F20" i="5"/>
  <c r="F61" i="12" s="1"/>
  <c r="E20" i="5"/>
  <c r="D20" i="5"/>
  <c r="D21" i="5" s="1"/>
  <c r="C20" i="5"/>
  <c r="C61" i="12" s="1"/>
  <c r="B20" i="5"/>
  <c r="B61" i="12" s="1"/>
  <c r="L18" i="5"/>
  <c r="K18" i="5"/>
  <c r="K59" i="12" s="1"/>
  <c r="J18" i="5"/>
  <c r="J59" i="12" s="1"/>
  <c r="I18" i="5"/>
  <c r="I59" i="12" s="1"/>
  <c r="H18" i="5"/>
  <c r="H59" i="12" s="1"/>
  <c r="G18" i="5"/>
  <c r="F18" i="5"/>
  <c r="F59" i="12" s="1"/>
  <c r="E18" i="5"/>
  <c r="E59" i="12" s="1"/>
  <c r="D18" i="5"/>
  <c r="D59" i="12" s="1"/>
  <c r="C18" i="5"/>
  <c r="C59" i="12" s="1"/>
  <c r="B18" i="5"/>
  <c r="B59" i="12" s="1"/>
  <c r="O17" i="5"/>
  <c r="O58" i="12" s="1"/>
  <c r="N17" i="5"/>
  <c r="N58" i="12" s="1"/>
  <c r="M17" i="5"/>
  <c r="M58" i="12" s="1"/>
  <c r="P10" i="5"/>
  <c r="P51" i="12" s="1"/>
  <c r="O10" i="5"/>
  <c r="O51" i="12" s="1"/>
  <c r="N10" i="5"/>
  <c r="N51" i="12" s="1"/>
  <c r="M10" i="5"/>
  <c r="L7" i="5"/>
  <c r="L48" i="12" s="1"/>
  <c r="K7" i="5"/>
  <c r="K48" i="12" s="1"/>
  <c r="J7" i="5"/>
  <c r="J48" i="12" s="1"/>
  <c r="I7" i="5"/>
  <c r="H7" i="5"/>
  <c r="G7" i="5"/>
  <c r="G48" i="12" s="1"/>
  <c r="F7" i="5"/>
  <c r="F48" i="12" s="1"/>
  <c r="E7" i="5"/>
  <c r="E48" i="12" s="1"/>
  <c r="D7" i="5"/>
  <c r="D48" i="12" s="1"/>
  <c r="C7" i="5"/>
  <c r="C48" i="12" s="1"/>
  <c r="B7" i="5"/>
  <c r="B48" i="12" s="1"/>
  <c r="O37" i="2"/>
  <c r="O26" i="7" s="1"/>
  <c r="N37" i="2"/>
  <c r="N26" i="7" s="1"/>
  <c r="P11" i="2"/>
  <c r="P17" i="7" s="1"/>
  <c r="O11" i="2"/>
  <c r="O17" i="7" s="1"/>
  <c r="N11" i="2"/>
  <c r="N17" i="7" s="1"/>
  <c r="O10" i="2"/>
  <c r="P10" i="2" s="1"/>
  <c r="N10" i="2"/>
  <c r="N24" i="14" s="1"/>
  <c r="P9" i="2"/>
  <c r="O9" i="2"/>
  <c r="N9" i="2"/>
  <c r="O7" i="2"/>
  <c r="O10" i="7" s="1"/>
  <c r="O20" i="14" s="1"/>
  <c r="N7" i="2"/>
  <c r="N10" i="7" s="1"/>
  <c r="N20" i="14" s="1"/>
  <c r="O25" i="14" l="1"/>
  <c r="O30" i="7"/>
  <c r="O29" i="7"/>
  <c r="O27" i="7"/>
  <c r="P26" i="7"/>
  <c r="P24" i="14"/>
  <c r="P16" i="7"/>
  <c r="Z42" i="12"/>
  <c r="Z39" i="12"/>
  <c r="Z41" i="12" s="1"/>
  <c r="D64" i="12"/>
  <c r="U20" i="12"/>
  <c r="E62" i="12"/>
  <c r="V27" i="12"/>
  <c r="V25" i="12"/>
  <c r="K62" i="12"/>
  <c r="AB27" i="12"/>
  <c r="AB25" i="12"/>
  <c r="P37" i="2"/>
  <c r="K10" i="14"/>
  <c r="K35" i="6"/>
  <c r="K30" i="12"/>
  <c r="U40" i="12"/>
  <c r="U38" i="12"/>
  <c r="AA40" i="12"/>
  <c r="AA38" i="12"/>
  <c r="Y43" i="12"/>
  <c r="Y44" i="12" s="1"/>
  <c r="H29" i="12"/>
  <c r="O24" i="14"/>
  <c r="O16" i="7"/>
  <c r="P17" i="5"/>
  <c r="J64" i="12"/>
  <c r="AA20" i="12"/>
  <c r="E10" i="14"/>
  <c r="E11" i="14" s="1"/>
  <c r="E35" i="6"/>
  <c r="E30" i="12"/>
  <c r="S39" i="12"/>
  <c r="S41" i="12" s="1"/>
  <c r="D61" i="12"/>
  <c r="E32" i="13"/>
  <c r="P7" i="8"/>
  <c r="P7" i="2"/>
  <c r="P10" i="7" s="1"/>
  <c r="P20" i="14" s="1"/>
  <c r="J61" i="12"/>
  <c r="J21" i="5"/>
  <c r="L59" i="12"/>
  <c r="E21" i="5"/>
  <c r="E61" i="12"/>
  <c r="K61" i="12"/>
  <c r="K21" i="5"/>
  <c r="C64" i="12"/>
  <c r="T20" i="12"/>
  <c r="Z20" i="12"/>
  <c r="I64" i="12"/>
  <c r="T39" i="12"/>
  <c r="T41" i="12" s="1"/>
  <c r="F24" i="3"/>
  <c r="F20" i="3"/>
  <c r="X20" i="3"/>
  <c r="X24" i="3"/>
  <c r="AD24" i="3"/>
  <c r="AD20" i="3"/>
  <c r="AJ24" i="3"/>
  <c r="AJ20" i="3"/>
  <c r="AP24" i="3"/>
  <c r="AP20" i="3"/>
  <c r="G24" i="3"/>
  <c r="G20" i="3"/>
  <c r="M24" i="3"/>
  <c r="M20" i="3"/>
  <c r="S24" i="3"/>
  <c r="S20" i="3"/>
  <c r="AQ24" i="3"/>
  <c r="AQ20" i="3"/>
  <c r="AK24" i="3"/>
  <c r="N23" i="14"/>
  <c r="N15" i="7"/>
  <c r="C21" i="5"/>
  <c r="I21" i="5"/>
  <c r="S20" i="12"/>
  <c r="AB42" i="12"/>
  <c r="B62" i="12"/>
  <c r="AI20" i="3"/>
  <c r="H34" i="6"/>
  <c r="O23" i="14"/>
  <c r="O15" i="7"/>
  <c r="O18" i="7" s="1"/>
  <c r="W25" i="12"/>
  <c r="AC25" i="12"/>
  <c r="W27" i="12"/>
  <c r="AC27" i="12"/>
  <c r="V39" i="12"/>
  <c r="V41" i="12" s="1"/>
  <c r="AC20" i="3"/>
  <c r="Y24" i="3"/>
  <c r="G13" i="6"/>
  <c r="G32" i="6"/>
  <c r="G34" i="6"/>
  <c r="K13" i="6"/>
  <c r="K34" i="6"/>
  <c r="K32" i="6"/>
  <c r="P23" i="14"/>
  <c r="P15" i="7"/>
  <c r="D12" i="12"/>
  <c r="J12" i="12"/>
  <c r="X25" i="12"/>
  <c r="X27" i="12"/>
  <c r="W38" i="12"/>
  <c r="AC38" i="12"/>
  <c r="AC40" i="12"/>
  <c r="E43" i="13" s="1"/>
  <c r="W20" i="3"/>
  <c r="H29" i="6"/>
  <c r="H39" i="12" s="1"/>
  <c r="G31" i="6"/>
  <c r="N25" i="14"/>
  <c r="N30" i="7"/>
  <c r="N29" i="7"/>
  <c r="N27" i="7"/>
  <c r="S25" i="12"/>
  <c r="Y25" i="12"/>
  <c r="Y27" i="12"/>
  <c r="X38" i="12"/>
  <c r="AE24" i="3"/>
  <c r="C34" i="6"/>
  <c r="C32" i="6"/>
  <c r="C13" i="6"/>
  <c r="I34" i="6"/>
  <c r="I32" i="6"/>
  <c r="I13" i="6"/>
  <c r="N16" i="7"/>
  <c r="L34" i="6"/>
  <c r="L32" i="6"/>
  <c r="L13" i="6"/>
  <c r="L29" i="12" s="1"/>
  <c r="AH24" i="3"/>
  <c r="E32" i="6"/>
  <c r="E13" i="6"/>
  <c r="B13" i="6"/>
  <c r="B34" i="6"/>
  <c r="C10" i="14"/>
  <c r="C35" i="6"/>
  <c r="I10" i="14"/>
  <c r="I35" i="6"/>
  <c r="D13" i="6"/>
  <c r="D34" i="6"/>
  <c r="J13" i="6"/>
  <c r="F10" i="14"/>
  <c r="F11" i="14" s="1"/>
  <c r="F35" i="6"/>
  <c r="L10" i="14"/>
  <c r="L11" i="14" s="1"/>
  <c r="L35" i="6"/>
  <c r="C29" i="6"/>
  <c r="C39" i="12" s="1"/>
  <c r="B31" i="6"/>
  <c r="J32" i="6"/>
  <c r="G19" i="14"/>
  <c r="G11" i="7"/>
  <c r="F34" i="6"/>
  <c r="F32" i="6"/>
  <c r="B19" i="14"/>
  <c r="B11" i="7"/>
  <c r="H19" i="14"/>
  <c r="H11" i="7"/>
  <c r="M28" i="4"/>
  <c r="M21" i="12" s="1"/>
  <c r="J34" i="6"/>
  <c r="K31" i="6"/>
  <c r="M18" i="14"/>
  <c r="N7" i="7"/>
  <c r="P18" i="7"/>
  <c r="N15" i="8"/>
  <c r="O9" i="8"/>
  <c r="P9" i="8" s="1"/>
  <c r="B10" i="14"/>
  <c r="B11" i="14" s="1"/>
  <c r="B20" i="6"/>
  <c r="B28" i="6" s="1"/>
  <c r="H10" i="14"/>
  <c r="H11" i="14" s="1"/>
  <c r="E19" i="14"/>
  <c r="E11" i="7"/>
  <c r="K19" i="14"/>
  <c r="K11" i="7"/>
  <c r="D13" i="14"/>
  <c r="D11" i="14"/>
  <c r="J13" i="14"/>
  <c r="J11" i="14"/>
  <c r="M35" i="7"/>
  <c r="M38" i="7" s="1"/>
  <c r="B39" i="8"/>
  <c r="B37" i="8"/>
  <c r="B27" i="8"/>
  <c r="B25" i="8"/>
  <c r="B23" i="8"/>
  <c r="B51" i="8" s="1"/>
  <c r="B14" i="8"/>
  <c r="H39" i="8"/>
  <c r="H37" i="8"/>
  <c r="H27" i="8"/>
  <c r="H25" i="8"/>
  <c r="H23" i="8"/>
  <c r="H51" i="8" s="1"/>
  <c r="H14" i="8"/>
  <c r="H19" i="8"/>
  <c r="B33" i="8"/>
  <c r="N21" i="11"/>
  <c r="M22" i="11"/>
  <c r="AD34" i="12" s="1"/>
  <c r="C25" i="8"/>
  <c r="C39" i="8"/>
  <c r="C21" i="8"/>
  <c r="C50" i="8" s="1"/>
  <c r="C12" i="8"/>
  <c r="I25" i="8"/>
  <c r="I39" i="8"/>
  <c r="I21" i="8"/>
  <c r="I50" i="8" s="1"/>
  <c r="I12" i="8"/>
  <c r="B8" i="8"/>
  <c r="H8" i="8"/>
  <c r="C14" i="8"/>
  <c r="J14" i="8"/>
  <c r="B19" i="8"/>
  <c r="I19" i="8"/>
  <c r="C27" i="8"/>
  <c r="H29" i="8"/>
  <c r="H31" i="8"/>
  <c r="C33" i="8"/>
  <c r="D39" i="8"/>
  <c r="D33" i="8"/>
  <c r="D31" i="8"/>
  <c r="D19" i="8"/>
  <c r="J39" i="8"/>
  <c r="J33" i="8"/>
  <c r="J31" i="8"/>
  <c r="J19" i="8"/>
  <c r="C8" i="8"/>
  <c r="I8" i="8"/>
  <c r="B10" i="8"/>
  <c r="H10" i="8"/>
  <c r="H12" i="8"/>
  <c r="D14" i="8"/>
  <c r="C19" i="8"/>
  <c r="K43" i="8"/>
  <c r="K45" i="8"/>
  <c r="N20" i="8"/>
  <c r="I23" i="8"/>
  <c r="I51" i="8" s="1"/>
  <c r="D27" i="8"/>
  <c r="I29" i="8"/>
  <c r="I31" i="8"/>
  <c r="H35" i="8"/>
  <c r="I37" i="8"/>
  <c r="E33" i="8"/>
  <c r="E31" i="8"/>
  <c r="E35" i="8"/>
  <c r="E29" i="8"/>
  <c r="K39" i="8"/>
  <c r="K33" i="8"/>
  <c r="K31" i="8"/>
  <c r="K35" i="8"/>
  <c r="K29" i="8"/>
  <c r="D8" i="8"/>
  <c r="J8" i="8"/>
  <c r="C10" i="8"/>
  <c r="I10" i="8"/>
  <c r="B12" i="8"/>
  <c r="J12" i="8"/>
  <c r="E14" i="8"/>
  <c r="L14" i="8"/>
  <c r="E19" i="8"/>
  <c r="L19" i="8"/>
  <c r="C23" i="8"/>
  <c r="C51" i="8" s="1"/>
  <c r="J23" i="8"/>
  <c r="J51" i="8" s="1"/>
  <c r="E27" i="8"/>
  <c r="J29" i="8"/>
  <c r="H33" i="8"/>
  <c r="I35" i="8"/>
  <c r="J37" i="8"/>
  <c r="F33" i="8"/>
  <c r="F31" i="8"/>
  <c r="F35" i="8"/>
  <c r="F29" i="8"/>
  <c r="F37" i="8"/>
  <c r="F27" i="8"/>
  <c r="L33" i="8"/>
  <c r="L31" i="8"/>
  <c r="L35" i="8"/>
  <c r="L29" i="8"/>
  <c r="L37" i="8"/>
  <c r="L27" i="8"/>
  <c r="D10" i="8"/>
  <c r="J10" i="8"/>
  <c r="D12" i="8"/>
  <c r="F14" i="8"/>
  <c r="F19" i="8"/>
  <c r="H21" i="8"/>
  <c r="H50" i="8" s="1"/>
  <c r="D23" i="8"/>
  <c r="D51" i="8" s="1"/>
  <c r="D25" i="8"/>
  <c r="I27" i="8"/>
  <c r="B29" i="8"/>
  <c r="B31" i="8"/>
  <c r="I33" i="8"/>
  <c r="J35" i="8"/>
  <c r="K47" i="8"/>
  <c r="M20" i="11"/>
  <c r="N17" i="11"/>
  <c r="G13" i="14"/>
  <c r="G35" i="8"/>
  <c r="G29" i="8"/>
  <c r="G37" i="8"/>
  <c r="G27" i="8"/>
  <c r="G25" i="8"/>
  <c r="F8" i="8"/>
  <c r="L8" i="8"/>
  <c r="L12" i="8"/>
  <c r="G14" i="8"/>
  <c r="G19" i="8"/>
  <c r="B21" i="8"/>
  <c r="B50" i="8" s="1"/>
  <c r="J21" i="8"/>
  <c r="J50" i="8" s="1"/>
  <c r="E23" i="8"/>
  <c r="E51" i="8" s="1"/>
  <c r="L23" i="8"/>
  <c r="L51" i="8" s="1"/>
  <c r="E25" i="8"/>
  <c r="J27" i="8"/>
  <c r="C29" i="8"/>
  <c r="C31" i="8"/>
  <c r="B35" i="8"/>
  <c r="C37" i="8"/>
  <c r="E39" i="8"/>
  <c r="H13" i="14"/>
  <c r="F13" i="14"/>
  <c r="L13" i="14"/>
  <c r="B38" i="12" l="1"/>
  <c r="B29" i="6"/>
  <c r="B39" i="12" s="1"/>
  <c r="E40" i="13"/>
  <c r="AD49" i="12"/>
  <c r="P25" i="14"/>
  <c r="P30" i="7"/>
  <c r="P29" i="7"/>
  <c r="P27" i="7"/>
  <c r="F47" i="8"/>
  <c r="F45" i="8"/>
  <c r="F43" i="8"/>
  <c r="F48" i="8" s="1"/>
  <c r="L47" i="8"/>
  <c r="L45" i="8"/>
  <c r="L43" i="8"/>
  <c r="J43" i="8"/>
  <c r="J45" i="8"/>
  <c r="J47" i="8"/>
  <c r="N22" i="11"/>
  <c r="AE34" i="12" s="1"/>
  <c r="O21" i="11"/>
  <c r="J33" i="6"/>
  <c r="J42" i="12" s="1"/>
  <c r="J41" i="12"/>
  <c r="U43" i="12"/>
  <c r="U44" i="12" s="1"/>
  <c r="D29" i="12"/>
  <c r="Z43" i="12"/>
  <c r="Z44" i="12" s="1"/>
  <c r="I29" i="12"/>
  <c r="C33" i="6"/>
  <c r="C42" i="12" s="1"/>
  <c r="C41" i="12"/>
  <c r="G33" i="6"/>
  <c r="G42" i="12" s="1"/>
  <c r="G41" i="12"/>
  <c r="B22" i="14"/>
  <c r="S32" i="12"/>
  <c r="C11" i="14"/>
  <c r="C13" i="14"/>
  <c r="O17" i="11"/>
  <c r="N20" i="11"/>
  <c r="E45" i="8"/>
  <c r="E47" i="8"/>
  <c r="E43" i="8"/>
  <c r="E13" i="14"/>
  <c r="N18" i="14"/>
  <c r="O7" i="7"/>
  <c r="N9" i="7"/>
  <c r="AE30" i="12"/>
  <c r="N8" i="7"/>
  <c r="K33" i="6"/>
  <c r="K42" i="12" s="1"/>
  <c r="K41" i="12"/>
  <c r="X43" i="12"/>
  <c r="X44" i="12" s="1"/>
  <c r="G29" i="12"/>
  <c r="N18" i="7"/>
  <c r="C43" i="8"/>
  <c r="C45" i="8"/>
  <c r="C47" i="8"/>
  <c r="W42" i="12"/>
  <c r="W39" i="12"/>
  <c r="W41" i="12" s="1"/>
  <c r="G47" i="8"/>
  <c r="G43" i="8"/>
  <c r="G45" i="8"/>
  <c r="N18" i="8"/>
  <c r="N32" i="8" s="1"/>
  <c r="O20" i="8"/>
  <c r="I47" i="8"/>
  <c r="I43" i="8"/>
  <c r="I45" i="8"/>
  <c r="H45" i="8"/>
  <c r="H47" i="8"/>
  <c r="H43" i="8"/>
  <c r="H48" i="8" s="1"/>
  <c r="K22" i="14"/>
  <c r="AB32" i="12"/>
  <c r="C19" i="6"/>
  <c r="B32" i="12"/>
  <c r="F33" i="6"/>
  <c r="F42" i="12" s="1"/>
  <c r="F41" i="12"/>
  <c r="I13" i="14"/>
  <c r="I11" i="14"/>
  <c r="B29" i="12"/>
  <c r="S43" i="12"/>
  <c r="S44" i="12" s="1"/>
  <c r="I33" i="6"/>
  <c r="I42" i="12" s="1"/>
  <c r="I41" i="12"/>
  <c r="P58" i="12"/>
  <c r="AA39" i="12"/>
  <c r="AA41" i="12" s="1"/>
  <c r="AA42" i="12"/>
  <c r="B45" i="8"/>
  <c r="B47" i="8"/>
  <c r="B43" i="8"/>
  <c r="N36" i="7"/>
  <c r="M39" i="7"/>
  <c r="N35" i="7"/>
  <c r="M19" i="7"/>
  <c r="M5" i="7"/>
  <c r="H22" i="14"/>
  <c r="Y32" i="12"/>
  <c r="V43" i="12"/>
  <c r="V44" i="12" s="1"/>
  <c r="E29" i="12"/>
  <c r="L33" i="6"/>
  <c r="L42" i="12" s="1"/>
  <c r="L41" i="12"/>
  <c r="X39" i="12"/>
  <c r="X41" i="12" s="1"/>
  <c r="X42" i="12"/>
  <c r="AB43" i="12"/>
  <c r="AB44" i="12" s="1"/>
  <c r="K29" i="12"/>
  <c r="B13" i="14"/>
  <c r="P15" i="8"/>
  <c r="K11" i="14"/>
  <c r="K13" i="14"/>
  <c r="O37" i="7"/>
  <c r="K48" i="8"/>
  <c r="D43" i="8"/>
  <c r="D45" i="8"/>
  <c r="D47" i="8"/>
  <c r="E22" i="14"/>
  <c r="V32" i="12"/>
  <c r="G22" i="14"/>
  <c r="X32" i="12"/>
  <c r="J29" i="12"/>
  <c r="AA43" i="12"/>
  <c r="AA44" i="12" s="1"/>
  <c r="E33" i="6"/>
  <c r="E42" i="12" s="1"/>
  <c r="E41" i="12"/>
  <c r="C29" i="12"/>
  <c r="T43" i="12"/>
  <c r="T44" i="12" s="1"/>
  <c r="N37" i="7"/>
  <c r="AC39" i="12"/>
  <c r="AC41" i="12" s="1"/>
  <c r="AC42" i="12"/>
  <c r="O15" i="8"/>
  <c r="U42" i="12"/>
  <c r="U39" i="12"/>
  <c r="U41" i="12" s="1"/>
  <c r="D48" i="8" l="1"/>
  <c r="E48" i="8"/>
  <c r="E52" i="8" s="1"/>
  <c r="E53" i="8" s="1"/>
  <c r="L48" i="8"/>
  <c r="I48" i="8"/>
  <c r="I52" i="8" s="1"/>
  <c r="I53" i="8" s="1"/>
  <c r="O18" i="8"/>
  <c r="O32" i="8" s="1"/>
  <c r="P20" i="8"/>
  <c r="P18" i="8" s="1"/>
  <c r="P32" i="8" s="1"/>
  <c r="K52" i="8"/>
  <c r="K53" i="8" s="1"/>
  <c r="K49" i="8"/>
  <c r="O20" i="11"/>
  <c r="P17" i="11"/>
  <c r="P20" i="11" s="1"/>
  <c r="D52" i="8"/>
  <c r="D53" i="8" s="1"/>
  <c r="D49" i="8"/>
  <c r="H49" i="8"/>
  <c r="H52" i="8"/>
  <c r="H53" i="8" s="1"/>
  <c r="P37" i="7"/>
  <c r="N38" i="7"/>
  <c r="J48" i="8"/>
  <c r="O18" i="14"/>
  <c r="O9" i="7"/>
  <c r="O8" i="7"/>
  <c r="P7" i="7"/>
  <c r="AF30" i="12"/>
  <c r="C31" i="12"/>
  <c r="C20" i="6"/>
  <c r="G48" i="8"/>
  <c r="C48" i="8"/>
  <c r="L49" i="8"/>
  <c r="L52" i="8"/>
  <c r="L53" i="8" s="1"/>
  <c r="E42" i="13"/>
  <c r="E41" i="13"/>
  <c r="I49" i="8"/>
  <c r="P21" i="11"/>
  <c r="P22" i="11" s="1"/>
  <c r="AG34" i="12" s="1"/>
  <c r="O22" i="11"/>
  <c r="AF34" i="12" s="1"/>
  <c r="M40" i="7"/>
  <c r="M6" i="7"/>
  <c r="M5" i="9" s="1"/>
  <c r="M20" i="7"/>
  <c r="M11" i="7"/>
  <c r="M5" i="4"/>
  <c r="F49" i="8"/>
  <c r="F52" i="8"/>
  <c r="F53" i="8" s="1"/>
  <c r="B48" i="8"/>
  <c r="N19" i="14"/>
  <c r="AE31" i="12"/>
  <c r="E49" i="8" l="1"/>
  <c r="C52" i="8"/>
  <c r="C53" i="8" s="1"/>
  <c r="C49" i="8"/>
  <c r="G49" i="8"/>
  <c r="G52" i="8"/>
  <c r="G53" i="8" s="1"/>
  <c r="O19" i="14"/>
  <c r="AF31" i="12"/>
  <c r="D19" i="6"/>
  <c r="C32" i="12"/>
  <c r="C28" i="6"/>
  <c r="C38" i="12" s="1"/>
  <c r="P18" i="14"/>
  <c r="P9" i="7"/>
  <c r="P8" i="7"/>
  <c r="AG30" i="12"/>
  <c r="J52" i="8"/>
  <c r="J53" i="8" s="1"/>
  <c r="J49" i="8"/>
  <c r="B52" i="8"/>
  <c r="B53" i="8" s="1"/>
  <c r="B49" i="8"/>
  <c r="M6" i="14"/>
  <c r="M15" i="9"/>
  <c r="M5" i="8"/>
  <c r="M17" i="6"/>
  <c r="M9" i="14" s="1"/>
  <c r="M16" i="4"/>
  <c r="M6" i="4"/>
  <c r="M25" i="7"/>
  <c r="M10" i="4"/>
  <c r="M11" i="4" s="1"/>
  <c r="M13" i="5"/>
  <c r="M7" i="5"/>
  <c r="M16" i="6"/>
  <c r="M8" i="14" s="1"/>
  <c r="M15" i="6"/>
  <c r="M12" i="4"/>
  <c r="M13" i="4" s="1"/>
  <c r="AD6" i="12"/>
  <c r="M5" i="12"/>
  <c r="M8" i="4"/>
  <c r="M7" i="4" s="1"/>
  <c r="M6" i="5"/>
  <c r="M22" i="9"/>
  <c r="M22" i="14"/>
  <c r="AD32" i="12"/>
  <c r="N39" i="7"/>
  <c r="N5" i="7"/>
  <c r="O35" i="7"/>
  <c r="O38" i="7" s="1"/>
  <c r="O36" i="7"/>
  <c r="N19" i="7"/>
  <c r="P35" i="7" l="1"/>
  <c r="P38" i="7" s="1"/>
  <c r="P36" i="7"/>
  <c r="O39" i="7"/>
  <c r="O19" i="7"/>
  <c r="O5" i="7"/>
  <c r="P19" i="14"/>
  <c r="AG31" i="12"/>
  <c r="N40" i="7"/>
  <c r="N11" i="7"/>
  <c r="N6" i="7"/>
  <c r="N5" i="9" s="1"/>
  <c r="N20" i="7"/>
  <c r="N5" i="4"/>
  <c r="N25" i="7" s="1"/>
  <c r="M12" i="14"/>
  <c r="M6" i="6"/>
  <c r="M26" i="12" s="1"/>
  <c r="M10" i="6"/>
  <c r="M54" i="12"/>
  <c r="M16" i="5"/>
  <c r="M8" i="6"/>
  <c r="M21" i="6" s="1"/>
  <c r="M47" i="12"/>
  <c r="M9" i="6"/>
  <c r="M48" i="12"/>
  <c r="M29" i="8"/>
  <c r="M27" i="8"/>
  <c r="M25" i="8"/>
  <c r="M19" i="8"/>
  <c r="M14" i="8"/>
  <c r="M31" i="8"/>
  <c r="M21" i="8"/>
  <c r="M10" i="8"/>
  <c r="M23" i="8"/>
  <c r="M12" i="8"/>
  <c r="M8" i="8"/>
  <c r="M6" i="12"/>
  <c r="M11" i="5"/>
  <c r="M14" i="4"/>
  <c r="M9" i="4"/>
  <c r="M7" i="12"/>
  <c r="D20" i="6"/>
  <c r="D31" i="12"/>
  <c r="M7" i="14"/>
  <c r="M18" i="6"/>
  <c r="M31" i="7"/>
  <c r="M32" i="7" s="1"/>
  <c r="M28" i="7"/>
  <c r="AU5" i="3"/>
  <c r="AT5" i="3"/>
  <c r="AV5" i="3"/>
  <c r="N31" i="7" l="1"/>
  <c r="N32" i="7" s="1"/>
  <c r="AZ5" i="3"/>
  <c r="AY5" i="3"/>
  <c r="AX5" i="3"/>
  <c r="AW5" i="3"/>
  <c r="N28" i="7"/>
  <c r="M8" i="12"/>
  <c r="AD13" i="12"/>
  <c r="M57" i="12"/>
  <c r="O5" i="9"/>
  <c r="AT21" i="3"/>
  <c r="AT8" i="3"/>
  <c r="AT6" i="3"/>
  <c r="AT14" i="3"/>
  <c r="O40" i="7"/>
  <c r="O20" i="7"/>
  <c r="O6" i="7"/>
  <c r="O5" i="4"/>
  <c r="O11" i="7"/>
  <c r="N22" i="9"/>
  <c r="O22" i="9" s="1"/>
  <c r="N22" i="14"/>
  <c r="AE32" i="12"/>
  <c r="AV36" i="3"/>
  <c r="AV8" i="3"/>
  <c r="AV6" i="3"/>
  <c r="AV21" i="3"/>
  <c r="AV14" i="3"/>
  <c r="M13" i="11"/>
  <c r="M51" i="8"/>
  <c r="N15" i="9"/>
  <c r="N16" i="6"/>
  <c r="N8" i="14" s="1"/>
  <c r="N6" i="14"/>
  <c r="N5" i="8"/>
  <c r="N15" i="6"/>
  <c r="N12" i="4"/>
  <c r="N13" i="4" s="1"/>
  <c r="N16" i="4"/>
  <c r="N10" i="4"/>
  <c r="N11" i="4" s="1"/>
  <c r="N17" i="6"/>
  <c r="N9" i="14" s="1"/>
  <c r="N6" i="4"/>
  <c r="N6" i="12" s="1"/>
  <c r="N13" i="5"/>
  <c r="N7" i="5"/>
  <c r="AE6" i="12"/>
  <c r="N5" i="12"/>
  <c r="N8" i="4"/>
  <c r="N6" i="5"/>
  <c r="M15" i="4"/>
  <c r="M17" i="4"/>
  <c r="M9" i="12"/>
  <c r="AD7" i="12"/>
  <c r="AU36" i="3"/>
  <c r="AU8" i="3"/>
  <c r="AU6" i="3"/>
  <c r="AU21" i="3"/>
  <c r="AU14" i="3"/>
  <c r="M50" i="8"/>
  <c r="M10" i="11"/>
  <c r="M26" i="14"/>
  <c r="AD33" i="12"/>
  <c r="E19" i="6"/>
  <c r="D32" i="12"/>
  <c r="D28" i="6"/>
  <c r="D38" i="12" s="1"/>
  <c r="M10" i="14"/>
  <c r="M11" i="14" s="1"/>
  <c r="M35" i="6"/>
  <c r="M9" i="5"/>
  <c r="M30" i="12"/>
  <c r="M11" i="6"/>
  <c r="M52" i="12"/>
  <c r="M45" i="8"/>
  <c r="M47" i="8"/>
  <c r="M7" i="11"/>
  <c r="M43" i="8"/>
  <c r="M48" i="8" s="1"/>
  <c r="P39" i="7"/>
  <c r="P5" i="7"/>
  <c r="P19" i="7"/>
  <c r="AW36" i="3" l="1"/>
  <c r="AW14" i="3"/>
  <c r="AW6" i="3"/>
  <c r="AW21" i="3"/>
  <c r="AW8" i="3"/>
  <c r="N14" i="4"/>
  <c r="N9" i="4"/>
  <c r="N7" i="12"/>
  <c r="AV24" i="3"/>
  <c r="AV20" i="3"/>
  <c r="AW35" i="3"/>
  <c r="AV23" i="3"/>
  <c r="AY14" i="3"/>
  <c r="AY21" i="3"/>
  <c r="AY6" i="3"/>
  <c r="AY8" i="3"/>
  <c r="AY36" i="3"/>
  <c r="AU9" i="3"/>
  <c r="AU10" i="3"/>
  <c r="N7" i="14"/>
  <c r="N18" i="6"/>
  <c r="M52" i="8"/>
  <c r="M53" i="8" s="1"/>
  <c r="M49" i="8"/>
  <c r="M14" i="14"/>
  <c r="M15" i="14" s="1"/>
  <c r="N9" i="5"/>
  <c r="M50" i="12"/>
  <c r="N12" i="14"/>
  <c r="N6" i="6"/>
  <c r="N26" i="12" s="1"/>
  <c r="O22" i="14"/>
  <c r="AF32" i="12"/>
  <c r="AZ21" i="3"/>
  <c r="AZ8" i="3"/>
  <c r="AZ6" i="3"/>
  <c r="AZ14" i="3"/>
  <c r="AZ36" i="3"/>
  <c r="N13" i="11"/>
  <c r="M14" i="11"/>
  <c r="N27" i="8"/>
  <c r="N25" i="8"/>
  <c r="N23" i="8"/>
  <c r="N51" i="8" s="1"/>
  <c r="N14" i="8"/>
  <c r="N19" i="8"/>
  <c r="N31" i="8"/>
  <c r="N29" i="8"/>
  <c r="N21" i="8"/>
  <c r="N50" i="8" s="1"/>
  <c r="N10" i="8"/>
  <c r="N12" i="8"/>
  <c r="N8" i="8"/>
  <c r="AX36" i="3"/>
  <c r="AX14" i="3"/>
  <c r="AX21" i="3"/>
  <c r="AX6" i="3"/>
  <c r="AX8" i="3"/>
  <c r="P40" i="7"/>
  <c r="P5" i="4"/>
  <c r="P11" i="7"/>
  <c r="P20" i="7"/>
  <c r="P6" i="7"/>
  <c r="E31" i="12"/>
  <c r="E20" i="6"/>
  <c r="AV35" i="3"/>
  <c r="AU24" i="3"/>
  <c r="AU23" i="3"/>
  <c r="AU20" i="3"/>
  <c r="M18" i="4"/>
  <c r="M21" i="4"/>
  <c r="M11" i="12"/>
  <c r="AD8" i="12"/>
  <c r="N9" i="6"/>
  <c r="N48" i="12"/>
  <c r="N7" i="4"/>
  <c r="AV9" i="3"/>
  <c r="AV10" i="3"/>
  <c r="O6" i="14"/>
  <c r="O15" i="9"/>
  <c r="O5" i="8"/>
  <c r="O15" i="6"/>
  <c r="O12" i="4"/>
  <c r="O13" i="4" s="1"/>
  <c r="O7" i="4"/>
  <c r="O17" i="6"/>
  <c r="O9" i="14" s="1"/>
  <c r="O10" i="4"/>
  <c r="O11" i="4" s="1"/>
  <c r="O6" i="4"/>
  <c r="O6" i="12" s="1"/>
  <c r="O16" i="6"/>
  <c r="O8" i="14" s="1"/>
  <c r="O8" i="4"/>
  <c r="O13" i="5"/>
  <c r="O7" i="5"/>
  <c r="O16" i="4"/>
  <c r="AF6" i="12"/>
  <c r="O5" i="12"/>
  <c r="O6" i="5"/>
  <c r="AT9" i="3"/>
  <c r="O25" i="7"/>
  <c r="M13" i="14"/>
  <c r="N8" i="6"/>
  <c r="N21" i="6" s="1"/>
  <c r="N47" i="12"/>
  <c r="P5" i="9"/>
  <c r="M11" i="11"/>
  <c r="N10" i="11"/>
  <c r="M8" i="11"/>
  <c r="N7" i="11"/>
  <c r="N11" i="5"/>
  <c r="M10" i="12"/>
  <c r="AD14" i="12"/>
  <c r="N10" i="6"/>
  <c r="N54" i="12"/>
  <c r="N16" i="5"/>
  <c r="AT37" i="3"/>
  <c r="AT36" i="3" s="1"/>
  <c r="AT23" i="3"/>
  <c r="AU35" i="3"/>
  <c r="AT24" i="3"/>
  <c r="N26" i="14"/>
  <c r="AE33" i="12"/>
  <c r="N57" i="12" l="1"/>
  <c r="P6" i="14"/>
  <c r="P15" i="9"/>
  <c r="P17" i="6"/>
  <c r="P9" i="14" s="1"/>
  <c r="P5" i="8"/>
  <c r="P15" i="6"/>
  <c r="P10" i="4"/>
  <c r="P11" i="4" s="1"/>
  <c r="P8" i="4"/>
  <c r="P7" i="4"/>
  <c r="P16" i="6"/>
  <c r="P8" i="14" s="1"/>
  <c r="P6" i="4"/>
  <c r="P6" i="12" s="1"/>
  <c r="P16" i="4"/>
  <c r="AG6" i="12"/>
  <c r="P5" i="12"/>
  <c r="P6" i="5"/>
  <c r="P12" i="4"/>
  <c r="P13" i="4" s="1"/>
  <c r="P7" i="5"/>
  <c r="P13" i="5"/>
  <c r="BA35" i="3"/>
  <c r="AZ23" i="3"/>
  <c r="AZ24" i="3"/>
  <c r="AZ20" i="3"/>
  <c r="AY23" i="3"/>
  <c r="AY20" i="3"/>
  <c r="AZ35" i="3"/>
  <c r="AY24" i="3"/>
  <c r="M22" i="4"/>
  <c r="M23" i="4"/>
  <c r="M25" i="4" s="1"/>
  <c r="M13" i="12"/>
  <c r="N14" i="11"/>
  <c r="AW9" i="3"/>
  <c r="AW10" i="3"/>
  <c r="O7" i="14"/>
  <c r="O18" i="6"/>
  <c r="AD15" i="12"/>
  <c r="M12" i="12"/>
  <c r="AX10" i="3"/>
  <c r="AX9" i="3"/>
  <c r="AW24" i="3"/>
  <c r="AW23" i="3"/>
  <c r="AW20" i="3"/>
  <c r="AX35" i="3"/>
  <c r="O14" i="4"/>
  <c r="O9" i="4"/>
  <c r="O7" i="12"/>
  <c r="N14" i="14"/>
  <c r="N50" i="12"/>
  <c r="O9" i="5"/>
  <c r="N11" i="11"/>
  <c r="O10" i="11"/>
  <c r="O31" i="7"/>
  <c r="O32" i="7" s="1"/>
  <c r="P25" i="7"/>
  <c r="BA5" i="3"/>
  <c r="BD5" i="3"/>
  <c r="BC5" i="3"/>
  <c r="BB5" i="3"/>
  <c r="O28" i="7"/>
  <c r="O25" i="8"/>
  <c r="O23" i="8"/>
  <c r="O51" i="8" s="1"/>
  <c r="O21" i="8"/>
  <c r="O50" i="8" s="1"/>
  <c r="O12" i="8"/>
  <c r="O31" i="8"/>
  <c r="O29" i="8"/>
  <c r="O14" i="8"/>
  <c r="O10" i="8"/>
  <c r="O8" i="8"/>
  <c r="O27" i="8"/>
  <c r="O19" i="8"/>
  <c r="N15" i="14"/>
  <c r="N8" i="11"/>
  <c r="O10" i="6"/>
  <c r="O54" i="12"/>
  <c r="O16" i="5"/>
  <c r="O8" i="6"/>
  <c r="O21" i="6" s="1"/>
  <c r="O47" i="12"/>
  <c r="O12" i="14"/>
  <c r="O6" i="6"/>
  <c r="O26" i="12" s="1"/>
  <c r="AX24" i="3"/>
  <c r="AX23" i="3"/>
  <c r="AX20" i="3"/>
  <c r="AY35" i="3"/>
  <c r="AY9" i="3"/>
  <c r="AY10" i="3"/>
  <c r="P22" i="9"/>
  <c r="N17" i="4"/>
  <c r="N15" i="4"/>
  <c r="N9" i="12"/>
  <c r="AE7" i="12"/>
  <c r="F19" i="6"/>
  <c r="E32" i="12"/>
  <c r="E28" i="6"/>
  <c r="E38" i="12" s="1"/>
  <c r="N45" i="8"/>
  <c r="N47" i="8"/>
  <c r="N43" i="8"/>
  <c r="N48" i="8" s="1"/>
  <c r="N11" i="6"/>
  <c r="N52" i="12"/>
  <c r="O11" i="5"/>
  <c r="O9" i="6"/>
  <c r="O48" i="12"/>
  <c r="P22" i="14"/>
  <c r="AG32" i="12"/>
  <c r="AZ9" i="3"/>
  <c r="AZ10" i="3"/>
  <c r="N10" i="14"/>
  <c r="N11" i="14" s="1"/>
  <c r="N35" i="6"/>
  <c r="N30" i="12"/>
  <c r="N8" i="12"/>
  <c r="AE13" i="12"/>
  <c r="M26" i="4" l="1"/>
  <c r="M29" i="4"/>
  <c r="M5" i="6"/>
  <c r="M30" i="4"/>
  <c r="M19" i="12" s="1"/>
  <c r="M16" i="12"/>
  <c r="AD9" i="12"/>
  <c r="F20" i="6"/>
  <c r="F31" i="12"/>
  <c r="O57" i="12"/>
  <c r="O26" i="14"/>
  <c r="AF33" i="12"/>
  <c r="P23" i="8"/>
  <c r="P51" i="8" s="1"/>
  <c r="P31" i="8"/>
  <c r="P19" i="8"/>
  <c r="P25" i="8"/>
  <c r="P21" i="8"/>
  <c r="P50" i="8" s="1"/>
  <c r="P10" i="8"/>
  <c r="P8" i="8"/>
  <c r="P27" i="8"/>
  <c r="P12" i="8"/>
  <c r="P29" i="8"/>
  <c r="P14" i="8"/>
  <c r="O47" i="8"/>
  <c r="O43" i="8"/>
  <c r="O45" i="8"/>
  <c r="BB36" i="3"/>
  <c r="BB8" i="3"/>
  <c r="BB6" i="3"/>
  <c r="BB21" i="3"/>
  <c r="BB14" i="3"/>
  <c r="BC36" i="3"/>
  <c r="BC14" i="3"/>
  <c r="BC21" i="3"/>
  <c r="BC8" i="3"/>
  <c r="BC6" i="3"/>
  <c r="O17" i="4"/>
  <c r="AF7" i="12"/>
  <c r="O15" i="4"/>
  <c r="O9" i="12"/>
  <c r="P47" i="12"/>
  <c r="P8" i="6"/>
  <c r="P21" i="6" s="1"/>
  <c r="M24" i="4"/>
  <c r="M15" i="12"/>
  <c r="P48" i="12"/>
  <c r="P9" i="6"/>
  <c r="N49" i="8"/>
  <c r="N52" i="8"/>
  <c r="N53" i="8" s="1"/>
  <c r="O11" i="11"/>
  <c r="P10" i="11"/>
  <c r="P11" i="11" s="1"/>
  <c r="M14" i="12"/>
  <c r="AD16" i="12"/>
  <c r="O11" i="6"/>
  <c r="O52" i="12"/>
  <c r="P11" i="5"/>
  <c r="N10" i="12"/>
  <c r="AE14" i="12"/>
  <c r="N13" i="14"/>
  <c r="O7" i="11"/>
  <c r="BD36" i="3"/>
  <c r="BD14" i="3"/>
  <c r="BD21" i="3"/>
  <c r="BD8" i="3"/>
  <c r="BD6" i="3"/>
  <c r="O14" i="14"/>
  <c r="O15" i="14" s="1"/>
  <c r="O50" i="12"/>
  <c r="P9" i="5"/>
  <c r="O13" i="11"/>
  <c r="P14" i="4"/>
  <c r="P9" i="4"/>
  <c r="P7" i="12"/>
  <c r="AF13" i="12"/>
  <c r="O8" i="12"/>
  <c r="N18" i="4"/>
  <c r="N11" i="12"/>
  <c r="AE8" i="12"/>
  <c r="BA8" i="3"/>
  <c r="BA6" i="3"/>
  <c r="BA36" i="3"/>
  <c r="BA21" i="3"/>
  <c r="BA14" i="3"/>
  <c r="P31" i="7"/>
  <c r="P32" i="7" s="1"/>
  <c r="BG5" i="3"/>
  <c r="BF5" i="3"/>
  <c r="BE5" i="3"/>
  <c r="BH5" i="3"/>
  <c r="P28" i="7"/>
  <c r="O10" i="14"/>
  <c r="O11" i="14" s="1"/>
  <c r="O35" i="6"/>
  <c r="O30" i="12"/>
  <c r="P10" i="6"/>
  <c r="P54" i="12"/>
  <c r="P16" i="5"/>
  <c r="P12" i="14"/>
  <c r="P6" i="6"/>
  <c r="P26" i="12" s="1"/>
  <c r="P7" i="14"/>
  <c r="P18" i="6"/>
  <c r="BG36" i="3" l="1"/>
  <c r="BG8" i="3"/>
  <c r="BG6" i="3"/>
  <c r="BG21" i="3"/>
  <c r="BG14" i="3"/>
  <c r="P14" i="14"/>
  <c r="P15" i="14" s="1"/>
  <c r="P50" i="12"/>
  <c r="O18" i="4"/>
  <c r="AF8" i="12"/>
  <c r="O11" i="12"/>
  <c r="P10" i="14"/>
  <c r="P11" i="14" s="1"/>
  <c r="P35" i="6"/>
  <c r="P30" i="12"/>
  <c r="B10" i="10"/>
  <c r="D10" i="10" s="1"/>
  <c r="G10" i="10" s="1"/>
  <c r="BH8" i="3"/>
  <c r="BH6" i="3"/>
  <c r="BH21" i="3"/>
  <c r="BH14" i="3"/>
  <c r="BH36" i="3"/>
  <c r="BB35" i="3"/>
  <c r="BA24" i="3"/>
  <c r="BA20" i="3"/>
  <c r="BA23" i="3"/>
  <c r="AE15" i="12"/>
  <c r="N12" i="12"/>
  <c r="AG13" i="12"/>
  <c r="P8" i="12"/>
  <c r="O13" i="14"/>
  <c r="BC9" i="3"/>
  <c r="BC10" i="3"/>
  <c r="M12" i="6"/>
  <c r="M24" i="6"/>
  <c r="M25" i="12"/>
  <c r="BA9" i="3"/>
  <c r="BA10" i="3"/>
  <c r="P57" i="12"/>
  <c r="P11" i="6"/>
  <c r="P52" i="12"/>
  <c r="G19" i="6"/>
  <c r="F32" i="12"/>
  <c r="F28" i="6"/>
  <c r="F38" i="12" s="1"/>
  <c r="P26" i="14"/>
  <c r="AG33" i="12"/>
  <c r="BC35" i="3"/>
  <c r="BB20" i="3"/>
  <c r="BB24" i="3"/>
  <c r="BB23" i="3"/>
  <c r="BE14" i="3"/>
  <c r="BE21" i="3"/>
  <c r="BE36" i="3"/>
  <c r="BE8" i="3"/>
  <c r="BE6" i="3"/>
  <c r="P15" i="4"/>
  <c r="P17" i="4"/>
  <c r="AG7" i="12"/>
  <c r="P9" i="12"/>
  <c r="BD10" i="3"/>
  <c r="BD9" i="3"/>
  <c r="BD35" i="3"/>
  <c r="BC24" i="3"/>
  <c r="BC20" i="3"/>
  <c r="BC23" i="3"/>
  <c r="BB9" i="3"/>
  <c r="BB10" i="3"/>
  <c r="E33" i="13"/>
  <c r="E16" i="13"/>
  <c r="AD43" i="12"/>
  <c r="M18" i="12"/>
  <c r="AD10" i="12"/>
  <c r="O48" i="8"/>
  <c r="P7" i="11"/>
  <c r="P8" i="11" s="1"/>
  <c r="O8" i="11"/>
  <c r="BF21" i="3"/>
  <c r="BF36" i="3"/>
  <c r="BF8" i="3"/>
  <c r="BF6" i="3"/>
  <c r="BF14" i="3"/>
  <c r="O14" i="11"/>
  <c r="P13" i="11"/>
  <c r="P14" i="11" s="1"/>
  <c r="BD24" i="3"/>
  <c r="BD20" i="3"/>
  <c r="BD23" i="3"/>
  <c r="BE35" i="3"/>
  <c r="AF14" i="12"/>
  <c r="O10" i="12"/>
  <c r="P43" i="8"/>
  <c r="P47" i="8"/>
  <c r="P45" i="8"/>
  <c r="M17" i="12"/>
  <c r="AD17" i="12"/>
  <c r="BF10" i="3" l="1"/>
  <c r="BF9" i="3"/>
  <c r="P18" i="4"/>
  <c r="AG8" i="12"/>
  <c r="P11" i="12"/>
  <c r="BH9" i="3"/>
  <c r="BH10" i="3"/>
  <c r="BE24" i="3"/>
  <c r="BE20" i="3"/>
  <c r="BE23" i="3"/>
  <c r="BF35" i="3"/>
  <c r="AD50" i="12"/>
  <c r="E34" i="13"/>
  <c r="M35" i="12"/>
  <c r="M26" i="6"/>
  <c r="M36" i="12" s="1"/>
  <c r="M18" i="5"/>
  <c r="O52" i="8"/>
  <c r="O53" i="8" s="1"/>
  <c r="O49" i="8"/>
  <c r="P13" i="14"/>
  <c r="AG14" i="12"/>
  <c r="P10" i="12"/>
  <c r="P48" i="8"/>
  <c r="BH35" i="3"/>
  <c r="BG24" i="3"/>
  <c r="BG23" i="3"/>
  <c r="BG20" i="3"/>
  <c r="BE10" i="3"/>
  <c r="BE9" i="3"/>
  <c r="G20" i="6"/>
  <c r="G31" i="12"/>
  <c r="AF15" i="12"/>
  <c r="O12" i="12"/>
  <c r="BG9" i="3"/>
  <c r="BG10" i="3"/>
  <c r="BF23" i="3"/>
  <c r="BF20" i="3"/>
  <c r="BG35" i="3"/>
  <c r="BF24" i="3"/>
  <c r="M13" i="6"/>
  <c r="M29" i="12" s="1"/>
  <c r="M34" i="6"/>
  <c r="M32" i="6"/>
  <c r="M28" i="12"/>
  <c r="BH24" i="3"/>
  <c r="BH23" i="3"/>
  <c r="BH20" i="3"/>
  <c r="M33" i="6" l="1"/>
  <c r="M42" i="12" s="1"/>
  <c r="M41" i="12"/>
  <c r="AG15" i="12"/>
  <c r="P12" i="12"/>
  <c r="P52" i="8"/>
  <c r="P53" i="8" s="1"/>
  <c r="P49" i="8"/>
  <c r="E36" i="13"/>
  <c r="AD55" i="12" s="1"/>
  <c r="E35" i="13"/>
  <c r="C16" i="13"/>
  <c r="AD52" i="12"/>
  <c r="AD58" i="12" s="1"/>
  <c r="M59" i="12"/>
  <c r="M19" i="5"/>
  <c r="H19" i="6"/>
  <c r="G32" i="12"/>
  <c r="G28" i="6"/>
  <c r="G38" i="12" s="1"/>
  <c r="H31" i="12" l="1"/>
  <c r="H20" i="6"/>
  <c r="B13" i="10"/>
  <c r="AD54" i="12"/>
  <c r="AD59" i="12" s="1"/>
  <c r="M60" i="12"/>
  <c r="AD26" i="12"/>
  <c r="M20" i="5"/>
  <c r="M61" i="12" s="1"/>
  <c r="M24" i="5"/>
  <c r="AD48" i="12"/>
  <c r="E38" i="13"/>
  <c r="AD57" i="12" s="1"/>
  <c r="D13" i="10" l="1"/>
  <c r="G13" i="10"/>
  <c r="I19" i="6"/>
  <c r="H32" i="12"/>
  <c r="H28" i="6"/>
  <c r="H38" i="12" s="1"/>
  <c r="AD40" i="12"/>
  <c r="AD38" i="12"/>
  <c r="AH37" i="12"/>
  <c r="AD44" i="12"/>
  <c r="M64" i="12"/>
  <c r="AD20" i="12"/>
  <c r="I20" i="6" l="1"/>
  <c r="I31" i="12"/>
  <c r="AD42" i="12"/>
  <c r="J19" i="6" l="1"/>
  <c r="I32" i="12"/>
  <c r="I28" i="6"/>
  <c r="I38" i="12" s="1"/>
  <c r="J20" i="6" l="1"/>
  <c r="J31" i="12"/>
  <c r="K19" i="6" l="1"/>
  <c r="J32" i="12"/>
  <c r="J28" i="6"/>
  <c r="J38" i="12" s="1"/>
  <c r="K31" i="12" l="1"/>
  <c r="K20" i="6"/>
  <c r="L19" i="6" l="1"/>
  <c r="K32" i="12"/>
  <c r="K28" i="6"/>
  <c r="K38" i="12" s="1"/>
  <c r="L31" i="12" l="1"/>
  <c r="L20" i="6"/>
  <c r="M19" i="6" l="1"/>
  <c r="L32" i="12"/>
  <c r="L28" i="6"/>
  <c r="L38" i="12" s="1"/>
  <c r="M31" i="12" l="1"/>
  <c r="M20" i="6"/>
  <c r="N19" i="6" l="1"/>
  <c r="M32" i="12"/>
  <c r="M28" i="6"/>
  <c r="M30" i="6" l="1"/>
  <c r="M38" i="12"/>
  <c r="N31" i="12"/>
  <c r="N20" i="6"/>
  <c r="O19" i="6" l="1"/>
  <c r="N32" i="12"/>
  <c r="N29" i="6"/>
  <c r="N39" i="12" s="1"/>
  <c r="M40" i="12"/>
  <c r="M5" i="5"/>
  <c r="M31" i="6" s="1"/>
  <c r="N19" i="4" l="1"/>
  <c r="N21" i="4" s="1"/>
  <c r="M46" i="12"/>
  <c r="M22" i="5"/>
  <c r="M8" i="5"/>
  <c r="E37" i="13"/>
  <c r="AD56" i="12" s="1"/>
  <c r="AD39" i="12"/>
  <c r="AD41" i="12" s="1"/>
  <c r="O31" i="12"/>
  <c r="O20" i="6"/>
  <c r="M49" i="12" l="1"/>
  <c r="M12" i="5"/>
  <c r="AD27" i="12"/>
  <c r="AD25" i="12"/>
  <c r="M62" i="12"/>
  <c r="N22" i="4"/>
  <c r="N13" i="12"/>
  <c r="N23" i="4"/>
  <c r="P19" i="6"/>
  <c r="O32" i="12"/>
  <c r="M21" i="5" l="1"/>
  <c r="M53" i="12"/>
  <c r="AD21" i="12"/>
  <c r="M23" i="5"/>
  <c r="M63" i="12" s="1"/>
  <c r="N14" i="12"/>
  <c r="AE16" i="12"/>
  <c r="P31" i="12"/>
  <c r="P20" i="6"/>
  <c r="P32" i="12" s="1"/>
  <c r="N24" i="4"/>
  <c r="N15" i="12"/>
  <c r="N25" i="4"/>
  <c r="N29" i="4" l="1"/>
  <c r="N30" i="4"/>
  <c r="N19" i="12" s="1"/>
  <c r="N5" i="6"/>
  <c r="N26" i="4"/>
  <c r="N16" i="12"/>
  <c r="AE9" i="12"/>
  <c r="N24" i="6" l="1"/>
  <c r="N12" i="6"/>
  <c r="N25" i="12"/>
  <c r="N17" i="12"/>
  <c r="AE17" i="12"/>
  <c r="C17" i="13"/>
  <c r="AE37" i="12" s="1"/>
  <c r="E17" i="13"/>
  <c r="N18" i="12"/>
  <c r="AE43" i="12"/>
  <c r="AE10" i="12"/>
  <c r="AE40" i="12" l="1"/>
  <c r="AE38" i="12"/>
  <c r="AE44" i="12"/>
  <c r="N32" i="6"/>
  <c r="N13" i="6"/>
  <c r="N29" i="12" s="1"/>
  <c r="N34" i="6"/>
  <c r="N28" i="12"/>
  <c r="N35" i="12"/>
  <c r="N26" i="6"/>
  <c r="N36" i="12" s="1"/>
  <c r="N18" i="5"/>
  <c r="N28" i="6" l="1"/>
  <c r="N59" i="12"/>
  <c r="N19" i="5"/>
  <c r="N41" i="12"/>
  <c r="N33" i="6"/>
  <c r="N42" i="12" s="1"/>
  <c r="N60" i="12" l="1"/>
  <c r="AE26" i="12"/>
  <c r="N20" i="5"/>
  <c r="N61" i="12" s="1"/>
  <c r="N24" i="5"/>
  <c r="AE42" i="12"/>
  <c r="N30" i="6"/>
  <c r="N38" i="12"/>
  <c r="O29" i="6" l="1"/>
  <c r="O39" i="12" s="1"/>
  <c r="N40" i="12"/>
  <c r="N5" i="5"/>
  <c r="N64" i="12"/>
  <c r="AE20" i="12"/>
  <c r="O19" i="4" l="1"/>
  <c r="O21" i="4" s="1"/>
  <c r="N46" i="12"/>
  <c r="N22" i="5"/>
  <c r="N8" i="5"/>
  <c r="AE39" i="12"/>
  <c r="AE41" i="12" s="1"/>
  <c r="N31" i="6"/>
  <c r="N49" i="12" l="1"/>
  <c r="N12" i="5"/>
  <c r="AE27" i="12"/>
  <c r="AE25" i="12"/>
  <c r="N62" i="12"/>
  <c r="O22" i="4"/>
  <c r="O25" i="4"/>
  <c r="O23" i="4"/>
  <c r="O13" i="12"/>
  <c r="O24" i="4" l="1"/>
  <c r="O15" i="12"/>
  <c r="O30" i="4"/>
  <c r="O19" i="12" s="1"/>
  <c r="O26" i="4"/>
  <c r="O29" i="4"/>
  <c r="O5" i="6"/>
  <c r="AF9" i="12"/>
  <c r="O16" i="12"/>
  <c r="N53" i="12"/>
  <c r="N21" i="5"/>
  <c r="AE21" i="12"/>
  <c r="N23" i="5"/>
  <c r="N63" i="12" s="1"/>
  <c r="AF16" i="12"/>
  <c r="O14" i="12"/>
  <c r="E18" i="13" l="1"/>
  <c r="C18" i="13"/>
  <c r="AF37" i="12" s="1"/>
  <c r="AF43" i="12"/>
  <c r="AF44" i="12" s="1"/>
  <c r="AF10" i="12"/>
  <c r="O18" i="12"/>
  <c r="AF17" i="12"/>
  <c r="O17" i="12"/>
  <c r="O24" i="6"/>
  <c r="O12" i="6"/>
  <c r="O25" i="12"/>
  <c r="O34" i="6" l="1"/>
  <c r="O32" i="6"/>
  <c r="O13" i="6"/>
  <c r="O29" i="12" s="1"/>
  <c r="O28" i="12"/>
  <c r="AF38" i="12"/>
  <c r="AF40" i="12"/>
  <c r="O35" i="12"/>
  <c r="O26" i="6"/>
  <c r="O36" i="12" s="1"/>
  <c r="O18" i="5"/>
  <c r="O59" i="12" l="1"/>
  <c r="O19" i="5"/>
  <c r="O28" i="6"/>
  <c r="O33" i="6"/>
  <c r="O42" i="12" s="1"/>
  <c r="O41" i="12"/>
  <c r="O30" i="6" l="1"/>
  <c r="O38" i="12"/>
  <c r="O60" i="12"/>
  <c r="AF26" i="12"/>
  <c r="O20" i="5"/>
  <c r="O61" i="12" s="1"/>
  <c r="O24" i="5"/>
  <c r="AF42" i="12"/>
  <c r="O64" i="12" l="1"/>
  <c r="AF20" i="12"/>
  <c r="P29" i="6"/>
  <c r="P39" i="12" s="1"/>
  <c r="O40" i="12"/>
  <c r="O5" i="5"/>
  <c r="P19" i="4" l="1"/>
  <c r="P21" i="4" s="1"/>
  <c r="O22" i="5"/>
  <c r="O8" i="5"/>
  <c r="O46" i="12"/>
  <c r="AF39" i="12"/>
  <c r="AF41" i="12" s="1"/>
  <c r="O31" i="6"/>
  <c r="O49" i="12" l="1"/>
  <c r="O12" i="5"/>
  <c r="O62" i="12"/>
  <c r="AF25" i="12"/>
  <c r="AF27" i="12"/>
  <c r="P23" i="4"/>
  <c r="P25" i="4" s="1"/>
  <c r="P22" i="4"/>
  <c r="P13" i="12"/>
  <c r="P30" i="4" l="1"/>
  <c r="P19" i="12" s="1"/>
  <c r="P26" i="4"/>
  <c r="P29" i="4"/>
  <c r="P5" i="6"/>
  <c r="AG9" i="12"/>
  <c r="P16" i="12"/>
  <c r="AG16" i="12"/>
  <c r="P14" i="12"/>
  <c r="O53" i="12"/>
  <c r="O21" i="5"/>
  <c r="AF21" i="12"/>
  <c r="O23" i="5"/>
  <c r="O63" i="12" s="1"/>
  <c r="P24" i="4"/>
  <c r="P15" i="12"/>
  <c r="C19" i="13" l="1"/>
  <c r="AG37" i="12" s="1"/>
  <c r="E19" i="13"/>
  <c r="AG43" i="12"/>
  <c r="AG44" i="12" s="1"/>
  <c r="AG10" i="12"/>
  <c r="P18" i="12"/>
  <c r="B12" i="10"/>
  <c r="D12" i="10" s="1"/>
  <c r="G12" i="10" s="1"/>
  <c r="AG17" i="12"/>
  <c r="P17" i="12"/>
  <c r="P12" i="6"/>
  <c r="P25" i="12"/>
  <c r="P24" i="6"/>
  <c r="P35" i="12" l="1"/>
  <c r="P26" i="6"/>
  <c r="P36" i="12" s="1"/>
  <c r="P18" i="5"/>
  <c r="P13" i="6"/>
  <c r="P29" i="12" s="1"/>
  <c r="P32" i="6"/>
  <c r="P28" i="6"/>
  <c r="P34" i="6"/>
  <c r="P28" i="12"/>
  <c r="B9" i="10"/>
  <c r="D9" i="10" s="1"/>
  <c r="G9" i="10" s="1"/>
  <c r="AG38" i="12"/>
  <c r="AG40" i="12"/>
  <c r="P33" i="6" l="1"/>
  <c r="P42" i="12" s="1"/>
  <c r="P41" i="12"/>
  <c r="B11" i="10"/>
  <c r="D11" i="10" s="1"/>
  <c r="G11" i="10" s="1"/>
  <c r="P30" i="6"/>
  <c r="P38" i="12"/>
  <c r="AG42" i="12"/>
  <c r="P59" i="12"/>
  <c r="P19" i="5"/>
  <c r="P40" i="12" l="1"/>
  <c r="P5" i="5"/>
  <c r="P60" i="12"/>
  <c r="AG26" i="12"/>
  <c r="P20" i="5"/>
  <c r="P61" i="12" s="1"/>
  <c r="P24" i="5"/>
  <c r="P8" i="5" l="1"/>
  <c r="P46" i="12"/>
  <c r="P22" i="5"/>
  <c r="AG39" i="12"/>
  <c r="AG41" i="12" s="1"/>
  <c r="P64" i="12"/>
  <c r="AG20" i="12"/>
  <c r="P31" i="6"/>
  <c r="P62" i="12" l="1"/>
  <c r="AG27" i="12"/>
  <c r="AG25" i="12"/>
  <c r="B6" i="10"/>
  <c r="D6" i="10" s="1"/>
  <c r="G6" i="10" s="1"/>
  <c r="B8" i="10"/>
  <c r="D8" i="10" s="1"/>
  <c r="G8" i="10" s="1"/>
  <c r="P49" i="12"/>
  <c r="P12" i="5"/>
  <c r="P53" i="12" l="1"/>
  <c r="P21" i="5"/>
  <c r="P23" i="5"/>
  <c r="P63" i="12" s="1"/>
  <c r="AG21" i="12"/>
  <c r="B5" i="10" l="1"/>
  <c r="D5" i="10" s="1"/>
  <c r="G5" i="10" s="1"/>
  <c r="G17" i="10" s="1"/>
  <c r="B6" i="1" s="1"/>
  <c r="B7" i="10"/>
  <c r="D7" i="10" s="1"/>
  <c r="G7" i="10" s="1"/>
  <c r="AZ18" i="3"/>
  <c r="AC32" i="3"/>
  <c r="AC15" i="3"/>
  <c r="AC16" i="3"/>
  <c r="AC17" i="3"/>
  <c r="AC22" i="3"/>
  <c r="AC27" i="3"/>
  <c r="AC31" i="3"/>
  <c r="AW31" i="3"/>
  <c r="AW22" i="3"/>
  <c r="AW27" i="3"/>
  <c r="AW32" i="3"/>
  <c r="P32" i="3"/>
  <c r="P15" i="3"/>
  <c r="P16" i="3"/>
  <c r="P17" i="3"/>
  <c r="P22" i="3"/>
  <c r="P27" i="3"/>
  <c r="P31" i="3"/>
  <c r="AI31" i="3"/>
  <c r="AI15" i="3"/>
  <c r="AI16" i="3"/>
  <c r="AI17" i="3"/>
  <c r="AI22" i="3"/>
  <c r="AI27" i="3"/>
  <c r="AI32" i="3"/>
  <c r="BB32" i="3"/>
  <c r="BB22" i="3"/>
  <c r="BB27" i="3"/>
  <c r="BB31" i="3"/>
  <c r="C32" i="3"/>
  <c r="C15" i="3"/>
  <c r="C16" i="3"/>
  <c r="C17" i="3"/>
  <c r="C22" i="3"/>
  <c r="C27" i="3"/>
  <c r="C31" i="3"/>
  <c r="AD32" i="3"/>
  <c r="AD15" i="3"/>
  <c r="AD16" i="3"/>
  <c r="AD17" i="3"/>
  <c r="AD22" i="3"/>
  <c r="AD27" i="3"/>
  <c r="AD31" i="3"/>
  <c r="AR31" i="3"/>
  <c r="AR15" i="3"/>
  <c r="AR16" i="3"/>
  <c r="AR17" i="3"/>
  <c r="AR22" i="3"/>
  <c r="AR27" i="3"/>
  <c r="AR32" i="3"/>
  <c r="AN31" i="3"/>
  <c r="AN15" i="3"/>
  <c r="AN16" i="3"/>
  <c r="AN17" i="3"/>
  <c r="AN22" i="3"/>
  <c r="AN27" i="3"/>
  <c r="AN32" i="3"/>
  <c r="T31" i="3"/>
  <c r="T15" i="3"/>
  <c r="T16" i="3"/>
  <c r="T17" i="3"/>
  <c r="T22" i="3"/>
  <c r="T27" i="3"/>
  <c r="T32" i="3"/>
  <c r="Z32" i="3"/>
  <c r="Z15" i="3"/>
  <c r="Z16" i="3"/>
  <c r="Z17" i="3"/>
  <c r="Z22" i="3"/>
  <c r="Z27" i="3"/>
  <c r="Z31" i="3"/>
  <c r="AG32" i="3"/>
  <c r="AG15" i="3"/>
  <c r="AG16" i="3"/>
  <c r="AG17" i="3"/>
  <c r="AG22" i="3"/>
  <c r="AG27" i="3"/>
  <c r="AG31" i="3"/>
  <c r="AY18" i="3"/>
  <c r="BD18" i="3"/>
  <c r="BD31" i="3"/>
  <c r="BD15" i="3"/>
  <c r="BD16" i="3"/>
  <c r="BD17" i="3"/>
  <c r="BD22" i="3"/>
  <c r="BD27" i="3"/>
  <c r="BD32" i="3"/>
  <c r="AF32" i="3"/>
  <c r="AF15" i="3"/>
  <c r="AF16" i="3"/>
  <c r="AF17" i="3"/>
  <c r="AF22" i="3"/>
  <c r="AF27" i="3"/>
  <c r="AF31" i="3"/>
  <c r="Y31" i="3"/>
  <c r="Y15" i="3"/>
  <c r="Y16" i="3"/>
  <c r="Y17" i="3"/>
  <c r="Y22" i="3"/>
  <c r="Y27" i="3"/>
  <c r="Y32" i="3"/>
  <c r="AA31" i="3"/>
  <c r="AA15" i="3"/>
  <c r="AA16" i="3"/>
  <c r="AA17" i="3"/>
  <c r="AA22" i="3"/>
  <c r="AA27" i="3"/>
  <c r="AA32" i="3"/>
  <c r="AT32" i="3"/>
  <c r="AT22" i="3"/>
  <c r="AT27" i="3"/>
  <c r="AT31" i="3"/>
  <c r="K31" i="3"/>
  <c r="K15" i="3"/>
  <c r="K16" i="3"/>
  <c r="K17" i="3"/>
  <c r="K22" i="3"/>
  <c r="K27" i="3"/>
  <c r="K32" i="3"/>
  <c r="R32" i="3"/>
  <c r="R15" i="3"/>
  <c r="R16" i="3"/>
  <c r="R17" i="3"/>
  <c r="R22" i="3"/>
  <c r="R27" i="3"/>
  <c r="R31" i="3"/>
  <c r="U31" i="3"/>
  <c r="U15" i="3"/>
  <c r="U16" i="3"/>
  <c r="U17" i="3"/>
  <c r="U22" i="3"/>
  <c r="U27" i="3"/>
  <c r="U32" i="3"/>
  <c r="BF32" i="3"/>
  <c r="BF22" i="3"/>
  <c r="BF27" i="3"/>
  <c r="BF31" i="3"/>
  <c r="H31" i="3"/>
  <c r="H15" i="3"/>
  <c r="H16" i="3"/>
  <c r="H17" i="3"/>
  <c r="H22" i="3"/>
  <c r="H27" i="3"/>
  <c r="H32" i="3"/>
  <c r="N31" i="3"/>
  <c r="N15" i="3"/>
  <c r="N16" i="3"/>
  <c r="N17" i="3"/>
  <c r="N22" i="3"/>
  <c r="N27" i="3"/>
  <c r="N32" i="3"/>
  <c r="BH18" i="3"/>
  <c r="BE18" i="3"/>
  <c r="X31" i="3"/>
  <c r="X15" i="3"/>
  <c r="X16" i="3"/>
  <c r="X17" i="3"/>
  <c r="X22" i="3"/>
  <c r="X27" i="3"/>
  <c r="X32" i="3"/>
  <c r="AX18" i="3"/>
  <c r="G31" i="3"/>
  <c r="G15" i="3"/>
  <c r="G16" i="3"/>
  <c r="G17" i="3"/>
  <c r="G22" i="3"/>
  <c r="G27" i="3"/>
  <c r="G32" i="3"/>
  <c r="F31" i="3"/>
  <c r="F15" i="3"/>
  <c r="F16" i="3"/>
  <c r="F17" i="3"/>
  <c r="F22" i="3"/>
  <c r="F27" i="3"/>
  <c r="F32" i="3"/>
  <c r="D32" i="3"/>
  <c r="D15" i="3"/>
  <c r="D16" i="3"/>
  <c r="D17" i="3"/>
  <c r="D22" i="3"/>
  <c r="D27" i="3"/>
  <c r="D31" i="3"/>
  <c r="AM32" i="3"/>
  <c r="AM15" i="3"/>
  <c r="AM16" i="3"/>
  <c r="AM17" i="3"/>
  <c r="AM22" i="3"/>
  <c r="AM27" i="3"/>
  <c r="AM31" i="3"/>
  <c r="W31" i="3"/>
  <c r="W15" i="3"/>
  <c r="W16" i="3"/>
  <c r="W17" i="3"/>
  <c r="W22" i="3"/>
  <c r="W27" i="3"/>
  <c r="W32" i="3"/>
  <c r="BF17" i="3"/>
  <c r="BF15" i="3"/>
  <c r="BF16" i="3"/>
  <c r="BF18" i="3"/>
  <c r="BB17" i="3"/>
  <c r="BB15" i="3"/>
  <c r="BB16" i="3"/>
  <c r="BB18" i="3"/>
  <c r="BC31" i="3"/>
  <c r="BC22" i="3"/>
  <c r="BC27" i="3"/>
  <c r="BC32" i="3"/>
  <c r="BG31" i="3"/>
  <c r="BG22" i="3"/>
  <c r="BG27" i="3"/>
  <c r="BG32" i="3"/>
  <c r="AB32" i="3"/>
  <c r="AB15" i="3"/>
  <c r="AB16" i="3"/>
  <c r="AB17" i="3"/>
  <c r="AB22" i="3"/>
  <c r="AB27" i="3"/>
  <c r="AB31" i="3"/>
  <c r="AO31" i="3"/>
  <c r="AO15" i="3"/>
  <c r="AO16" i="3"/>
  <c r="AO17" i="3"/>
  <c r="AO22" i="3"/>
  <c r="AO27" i="3"/>
  <c r="AO32" i="3"/>
  <c r="I31" i="3"/>
  <c r="I15" i="3"/>
  <c r="I16" i="3"/>
  <c r="I17" i="3"/>
  <c r="I22" i="3"/>
  <c r="I27" i="3"/>
  <c r="I32" i="3"/>
  <c r="V32" i="3"/>
  <c r="V15" i="3"/>
  <c r="V16" i="3"/>
  <c r="V17" i="3"/>
  <c r="V22" i="3"/>
  <c r="V27" i="3"/>
  <c r="V31" i="3"/>
  <c r="BA18" i="3"/>
  <c r="O32" i="3"/>
  <c r="O15" i="3"/>
  <c r="O16" i="3"/>
  <c r="O17" i="3"/>
  <c r="O22" i="3"/>
  <c r="O27" i="3"/>
  <c r="O31" i="3"/>
  <c r="AU31" i="3"/>
  <c r="AU22" i="3"/>
  <c r="AU27" i="3"/>
  <c r="AU32" i="3"/>
  <c r="AV18" i="3"/>
  <c r="S31" i="3"/>
  <c r="S15" i="3"/>
  <c r="S16" i="3"/>
  <c r="S17" i="3"/>
  <c r="S22" i="3"/>
  <c r="S27" i="3"/>
  <c r="S32" i="3"/>
  <c r="AW17" i="3"/>
  <c r="AW15" i="3"/>
  <c r="AW16" i="3"/>
  <c r="AW18" i="3"/>
  <c r="AE32" i="3"/>
  <c r="AE15" i="3"/>
  <c r="AE16" i="3"/>
  <c r="AE17" i="3"/>
  <c r="AE22" i="3"/>
  <c r="AE27" i="3"/>
  <c r="AE31" i="3"/>
  <c r="AY32" i="3"/>
  <c r="AY15" i="3"/>
  <c r="AY16" i="3"/>
  <c r="AY17" i="3"/>
  <c r="AY22" i="3"/>
  <c r="AY27" i="3"/>
  <c r="AY31" i="3"/>
  <c r="AZ32" i="3"/>
  <c r="AZ15" i="3"/>
  <c r="AZ16" i="3"/>
  <c r="AZ17" i="3"/>
  <c r="AZ22" i="3"/>
  <c r="AZ27" i="3"/>
  <c r="AZ31" i="3"/>
  <c r="AU17" i="3"/>
  <c r="AU15" i="3"/>
  <c r="AU16" i="3"/>
  <c r="AU18" i="3"/>
  <c r="AX32" i="3"/>
  <c r="AX15" i="3"/>
  <c r="AX16" i="3"/>
  <c r="AX17" i="3"/>
  <c r="AX22" i="3"/>
  <c r="AX27" i="3"/>
  <c r="AX31" i="3"/>
  <c r="AH25" i="3"/>
  <c r="AQ31" i="3"/>
  <c r="AQ15" i="3"/>
  <c r="AQ16" i="3"/>
  <c r="AQ17" i="3"/>
  <c r="AQ22" i="3"/>
  <c r="AQ27" i="3"/>
  <c r="AQ32" i="3"/>
  <c r="B32" i="3"/>
  <c r="B22" i="3"/>
  <c r="B27" i="3"/>
  <c r="B31" i="3"/>
  <c r="BA32" i="3"/>
  <c r="BA15" i="3"/>
  <c r="BA16" i="3"/>
  <c r="BA17" i="3"/>
  <c r="BA22" i="3"/>
  <c r="BA27" i="3"/>
  <c r="BA31" i="3"/>
  <c r="AV32" i="3"/>
  <c r="AV15" i="3"/>
  <c r="AV16" i="3"/>
  <c r="AV17" i="3"/>
  <c r="AV22" i="3"/>
  <c r="AV27" i="3"/>
  <c r="AV31" i="3"/>
  <c r="AT17" i="3"/>
  <c r="AT15" i="3"/>
  <c r="AT16" i="3"/>
  <c r="AT18" i="3"/>
  <c r="M32" i="3"/>
  <c r="M15" i="3"/>
  <c r="M16" i="3"/>
  <c r="M17" i="3"/>
  <c r="M22" i="3"/>
  <c r="M27" i="3"/>
  <c r="M31" i="3"/>
  <c r="B17" i="3"/>
  <c r="B15" i="3"/>
  <c r="B16" i="3"/>
  <c r="B25" i="3"/>
  <c r="AS31" i="3"/>
  <c r="AS15" i="3"/>
  <c r="AS16" i="3"/>
  <c r="AS17" i="3"/>
  <c r="AS22" i="3"/>
  <c r="AS27" i="3"/>
  <c r="AS32" i="3"/>
  <c r="J32" i="3"/>
  <c r="J15" i="3"/>
  <c r="J16" i="3"/>
  <c r="J17" i="3"/>
  <c r="J22" i="3"/>
  <c r="J27" i="3"/>
  <c r="J31" i="3"/>
  <c r="Q31" i="3"/>
  <c r="Q15" i="3"/>
  <c r="Q16" i="3"/>
  <c r="Q17" i="3"/>
  <c r="Q22" i="3"/>
  <c r="Q27" i="3"/>
  <c r="Q32" i="3"/>
  <c r="BH31" i="3"/>
  <c r="BH15" i="3"/>
  <c r="BH16" i="3"/>
  <c r="BH17" i="3"/>
  <c r="BH22" i="3"/>
  <c r="BH27" i="3"/>
  <c r="BH32" i="3"/>
  <c r="AT10" i="3"/>
  <c r="AT20" i="3"/>
  <c r="AT11" i="3"/>
  <c r="AT13" i="3"/>
  <c r="BG17" i="3"/>
  <c r="BG15" i="3"/>
  <c r="BG16" i="3"/>
  <c r="BG18" i="3"/>
  <c r="BC17" i="3"/>
  <c r="BC15" i="3"/>
  <c r="BC16" i="3"/>
  <c r="BC18" i="3"/>
  <c r="AP31" i="3"/>
  <c r="AP15" i="3"/>
  <c r="AP16" i="3"/>
  <c r="AP17" i="3"/>
  <c r="AP22" i="3"/>
  <c r="AP27" i="3"/>
  <c r="AP32" i="3"/>
  <c r="AJ32" i="3"/>
  <c r="AJ15" i="3"/>
  <c r="AJ16" i="3"/>
  <c r="AJ17" i="3"/>
  <c r="AJ22" i="3"/>
  <c r="AJ27" i="3"/>
  <c r="AJ31" i="3"/>
  <c r="E32" i="3"/>
  <c r="E15" i="3"/>
  <c r="E16" i="3"/>
  <c r="E17" i="3"/>
  <c r="E22" i="3"/>
  <c r="E27" i="3"/>
  <c r="E31" i="3"/>
  <c r="AK31" i="3"/>
  <c r="AK15" i="3"/>
  <c r="AK16" i="3"/>
  <c r="AK17" i="3"/>
  <c r="AK22" i="3"/>
  <c r="AK27" i="3"/>
  <c r="AK32" i="3"/>
  <c r="BE32" i="3"/>
  <c r="BE15" i="3"/>
  <c r="BE16" i="3"/>
  <c r="BE17" i="3"/>
  <c r="BE22" i="3"/>
  <c r="BE27" i="3"/>
  <c r="BE31" i="3"/>
  <c r="L31" i="3"/>
  <c r="L15" i="3"/>
  <c r="L16" i="3"/>
  <c r="L17" i="3"/>
  <c r="L22" i="3"/>
  <c r="L27" i="3"/>
  <c r="L32" i="3"/>
  <c r="AL32" i="3"/>
  <c r="AL15" i="3"/>
  <c r="AL16" i="3"/>
  <c r="AL17" i="3"/>
  <c r="AL22" i="3"/>
  <c r="AL27" i="3"/>
  <c r="AL31" i="3"/>
  <c r="AH31" i="3"/>
  <c r="AH15" i="3"/>
  <c r="AH16" i="3"/>
  <c r="AH17" i="3"/>
  <c r="AH22" i="3"/>
  <c r="AH27" i="3"/>
  <c r="AH32" i="3"/>
</calcChain>
</file>

<file path=xl/sharedStrings.xml><?xml version="1.0" encoding="utf-8"?>
<sst xmlns="http://schemas.openxmlformats.org/spreadsheetml/2006/main" count="998" uniqueCount="570">
  <si>
    <t>HCLTech Annual Operating &amp; Financial Model</t>
  </si>
  <si>
    <t>FY16–FY26 actual | FY27–FY30 forecast | INR crore unless noted</t>
  </si>
  <si>
    <t>Quarterly only for P&amp;L; annual-only balance sheet, cash flow, segment, client and workforce model</t>
  </si>
  <si>
    <t>Model status</t>
  </si>
  <si>
    <t>Historical period</t>
  </si>
  <si>
    <t>FY16–FY26</t>
  </si>
  <si>
    <t>Forecast period</t>
  </si>
  <si>
    <t>FY27–FY30</t>
  </si>
  <si>
    <t>FY16 convention</t>
  </si>
  <si>
    <t>Nine-month transition year</t>
  </si>
  <si>
    <t>Core currency</t>
  </si>
  <si>
    <t>INR crore</t>
  </si>
  <si>
    <t>Quarterly scope</t>
  </si>
  <si>
    <t>P&amp;L only</t>
  </si>
  <si>
    <t>Revenue method</t>
  </si>
  <si>
    <t>Billable employees × prior revenue/billable employee × productivity factor</t>
  </si>
  <si>
    <t>AI adjustment</t>
  </si>
  <si>
    <t>T&amp;M mix × AI deflation; fixed-price share receives productivity uplift</t>
  </si>
  <si>
    <t>Forecast cells</t>
  </si>
  <si>
    <t>Formula-driven; editable assumptions in blue/yellow</t>
  </si>
  <si>
    <t>Historical sources</t>
  </si>
  <si>
    <t>HCLTech filings and compiled market-statement extracts</t>
  </si>
  <si>
    <t>Version</t>
  </si>
  <si>
    <t>2026-08-22</t>
  </si>
  <si>
    <t>Important</t>
  </si>
  <si>
    <t>Some historical BS components, mix and client metrics are explicit model estimates where a consistent FY16–FY26 disclosure series was unavailable.</t>
  </si>
  <si>
    <t>Forecast Assumptions</t>
  </si>
  <si>
    <t>Editable FY27–FY30 inputs; blue font on yellow fill</t>
  </si>
  <si>
    <t>Driver</t>
  </si>
  <si>
    <t>FY16A</t>
  </si>
  <si>
    <t>FY17A</t>
  </si>
  <si>
    <t>FY18A</t>
  </si>
  <si>
    <t>FY19A</t>
  </si>
  <si>
    <t>FY20A</t>
  </si>
  <si>
    <t>FY21A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</si>
  <si>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</si>
  <si>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</si>
  <si>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</si>
  <si>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</si>
  <si>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</si>
  <si>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</si>
  <si>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</si>
  <si>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</si>
  <si>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</si>
  <si>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Gross hiring / opening headcount</t>
  </si>
  <si>
    <t>Attrition</t>
  </si>
  <si>
    <t>Billable %</t>
  </si>
  <si>
    <t>Nominal pricing / productivity</t>
  </si>
  <si>
    <t>T&amp;M mix</t>
  </si>
  <si>
    <t>AI deflation on T&amp;M</t>
  </si>
  <si>
    <t>Fixed-price productivity uplift</t>
  </si>
  <si>
    <t>Gross margin</t>
  </si>
  <si>
    <t>S&amp;M / revenue</t>
  </si>
  <si>
    <t>G&amp;A / revenue</t>
  </si>
  <si>
    <t>D&amp;A / revenue</t>
  </si>
  <si>
    <t>Net other income / revenue</t>
  </si>
  <si>
    <t>Tax rate</t>
  </si>
  <si>
    <t>Receivable days</t>
  </si>
  <si>
    <t>Other current assets / revenue</t>
  </si>
  <si>
    <t>Current liabilities / revenue</t>
  </si>
  <si>
    <t>Capex / revenue</t>
  </si>
  <si>
    <t>Dividend payout</t>
  </si>
  <si>
    <t>Basic shares growth</t>
  </si>
  <si>
    <t>Dilution</t>
  </si>
  <si>
    <t>Application services / ITBS mix change</t>
  </si>
  <si>
    <t>ppt</t>
  </si>
  <si>
    <t>Infrastructure services / ITBS mix change</t>
  </si>
  <si>
    <t>Business services / ITBS mix change</t>
  </si>
  <si>
    <t>ER&amp;D mix change</t>
  </si>
  <si>
    <t>Products &amp; Platforms mix change</t>
  </si>
  <si>
    <t>Perpetual license growth</t>
  </si>
  <si>
    <t>%</t>
  </si>
  <si>
    <t>Subscription &amp; support growth</t>
  </si>
  <si>
    <t>Professional services growth</t>
  </si>
  <si>
    <t>Software ARR growth</t>
  </si>
  <si>
    <t>ITBS EBIT margin</t>
  </si>
  <si>
    <t>ER&amp;D EBIT margin</t>
  </si>
  <si>
    <t>Products EBIT margin</t>
  </si>
  <si>
    <t>Advanced AI revenue growth</t>
  </si>
  <si>
    <t>Annual Balance Sheet</t>
  </si>
  <si>
    <t>Metric</t>
  </si>
  <si>
    <t>Cash &amp; equivalents</t>
  </si>
  <si>
    <t>Total current assets</t>
  </si>
  <si>
    <t>Net PPE &amp; intangibles</t>
  </si>
  <si>
    <t>Total assets</t>
  </si>
  <si>
    <t>Current liabilities</t>
  </si>
  <si>
    <t>Debt &amp; lease liabilities</t>
  </si>
  <si>
    <t>Other long-term liabilities</t>
  </si>
  <si>
    <t>Total liabilities</t>
  </si>
  <si>
    <t>Total equity</t>
  </si>
  <si>
    <t>Total liabilities &amp; equity</t>
  </si>
  <si>
    <t>Balance check</t>
  </si>
  <si>
    <t>Net cash / (debt)</t>
  </si>
  <si>
    <t>ROA</t>
  </si>
  <si>
    <t>ROE</t>
  </si>
  <si>
    <t>HCLTech — Financial Summary</t>
  </si>
  <si>
    <t>INR crore unless stated otherwise | FY16–FY26 actuals; FY27–FY30 estimates | all figures linked to model schedules</t>
  </si>
  <si>
    <t>Profit &amp; Loss Statement</t>
  </si>
  <si>
    <t>Key Ratios</t>
  </si>
  <si>
    <t>Revenue</t>
  </si>
  <si>
    <t>Growth (%)</t>
  </si>
  <si>
    <t>Growth</t>
  </si>
  <si>
    <t>Gross profit</t>
  </si>
  <si>
    <t>EBITDA</t>
  </si>
  <si>
    <t>EBIT</t>
  </si>
  <si>
    <t>Net profit</t>
  </si>
  <si>
    <t>EBITDA margin</t>
  </si>
  <si>
    <t>EPS</t>
  </si>
  <si>
    <t>EBIT margin</t>
  </si>
  <si>
    <t>Margins (%)</t>
  </si>
  <si>
    <t>PBT</t>
  </si>
  <si>
    <t>PBT margin</t>
  </si>
  <si>
    <t>Income tax</t>
  </si>
  <si>
    <t>Net margin</t>
  </si>
  <si>
    <t>Basic EPS</t>
  </si>
  <si>
    <t>Diluted EPS</t>
  </si>
  <si>
    <t>Returns (%)</t>
  </si>
  <si>
    <t>Weighted-average basic shares</t>
  </si>
  <si>
    <t>Weighted-average diluted shares</t>
  </si>
  <si>
    <t>FCF margin</t>
  </si>
  <si>
    <t>Cash Flow Statement</t>
  </si>
  <si>
    <t>Gearing</t>
  </si>
  <si>
    <t>Net debt / EBITDA</t>
  </si>
  <si>
    <t>D&amp;A</t>
  </si>
  <si>
    <t>Debt / equity</t>
  </si>
  <si>
    <t>Net debt / equity</t>
  </si>
  <si>
    <t>Cash flow from operations</t>
  </si>
  <si>
    <t>Operating KPIs</t>
  </si>
  <si>
    <t>Capex</t>
  </si>
  <si>
    <t>Closing headcount</t>
  </si>
  <si>
    <t>Acquisitions / investments</t>
  </si>
  <si>
    <t>Billable employees</t>
  </si>
  <si>
    <t>Cash flow from investing</t>
  </si>
  <si>
    <t>Advanced AI revenue mix</t>
  </si>
  <si>
    <t>Cash flow from financing</t>
  </si>
  <si>
    <t>Valuations</t>
  </si>
  <si>
    <t>FX / other</t>
  </si>
  <si>
    <t>Share price (INR)</t>
  </si>
  <si>
    <t>Net change in cash</t>
  </si>
  <si>
    <t>Market capitalization</t>
  </si>
  <si>
    <t>Opening cash</t>
  </si>
  <si>
    <t>Enterprise value</t>
  </si>
  <si>
    <t>Closing cash</t>
  </si>
  <si>
    <t>P/E</t>
  </si>
  <si>
    <t>Free cash flow</t>
  </si>
  <si>
    <t>EV / EBITDA</t>
  </si>
  <si>
    <t>P / book value</t>
  </si>
  <si>
    <t>Dividend per share</t>
  </si>
  <si>
    <t>Dividend yield</t>
  </si>
  <si>
    <t>Balance Sheet</t>
  </si>
  <si>
    <t>Other long-term assets</t>
  </si>
  <si>
    <t>Annual Profit &amp; Loss Statement</t>
  </si>
  <si>
    <t>FY16 is a nine-month transition year</t>
  </si>
  <si>
    <t>Cost of services</t>
  </si>
  <si>
    <t>Selling &amp; marketing</t>
  </si>
  <si>
    <t>G&amp;A</t>
  </si>
  <si>
    <t>Net other income</t>
  </si>
  <si>
    <t>Finance cost</t>
  </si>
  <si>
    <t>Weighted-average basic shares (cr)</t>
  </si>
  <si>
    <t>Weighted-average diluted shares (cr)</t>
  </si>
  <si>
    <t>Basic EPS (INR)</t>
  </si>
  <si>
    <t>Diluted EPS (INR)</t>
  </si>
  <si>
    <t>Annual Revenue Drivers — Headcount, T&amp;M and AI Deflation</t>
  </si>
  <si>
    <t>Annual workforce bridge to revenue</t>
  </si>
  <si>
    <t>Headcount growth</t>
  </si>
  <si>
    <t>Revenue / billable employee</t>
  </si>
  <si>
    <t>Gross hiring / opening HC</t>
  </si>
  <si>
    <t>Gross productivity factor</t>
  </si>
  <si>
    <t>Modelled revenue</t>
  </si>
  <si>
    <t>Revenue bridge check</t>
  </si>
  <si>
    <t>Advanced AI revenue and deflation bridge</t>
  </si>
  <si>
    <t>Company revenue ($m)</t>
  </si>
  <si>
    <t>Annualized Advanced AI revenue ($m)</t>
  </si>
  <si>
    <t>Advanced AI mix of company revenue</t>
  </si>
  <si>
    <t>Implied quarterly Advanced AI revenue ($m)</t>
  </si>
  <si>
    <t>Incremental Advanced AI revenue ($m)</t>
  </si>
  <si>
    <t>AI-led T&amp;M deflation ($m)</t>
  </si>
  <si>
    <t>Net Advanced AI growth offset ($m)</t>
  </si>
  <si>
    <t>Segment Revenue — Geography and Vertical</t>
  </si>
  <si>
    <t>Mix assumptions and calculated INR crore revenue</t>
  </si>
  <si>
    <t>Total revenue</t>
  </si>
  <si>
    <t>Geography mix</t>
  </si>
  <si>
    <t>Americas %</t>
  </si>
  <si>
    <t>Americas revenue</t>
  </si>
  <si>
    <t>Europe %</t>
  </si>
  <si>
    <t>Europe revenue</t>
  </si>
  <si>
    <t>India %</t>
  </si>
  <si>
    <t>India revenue</t>
  </si>
  <si>
    <t>Rest of world %</t>
  </si>
  <si>
    <t>Rest of world revenue</t>
  </si>
  <si>
    <t>Geography check</t>
  </si>
  <si>
    <t>Vertical mix</t>
  </si>
  <si>
    <t>Financial services %</t>
  </si>
  <si>
    <t>Financial services revenue</t>
  </si>
  <si>
    <t>Manufacturing %</t>
  </si>
  <si>
    <t>Manufacturing revenue</t>
  </si>
  <si>
    <t>Technology &amp; services %</t>
  </si>
  <si>
    <t>Technology &amp; services revenue</t>
  </si>
  <si>
    <t>Life sciences &amp; healthcare %</t>
  </si>
  <si>
    <t>Life sciences &amp; healthcare revenue</t>
  </si>
  <si>
    <t>Telecom, media &amp; entertainment %</t>
  </si>
  <si>
    <t>TME revenue</t>
  </si>
  <si>
    <t>Retail &amp; CPG %</t>
  </si>
  <si>
    <t>Retail &amp; CPG revenue</t>
  </si>
  <si>
    <t>Public services &amp; other %</t>
  </si>
  <si>
    <t>Public services &amp; other revenue</t>
  </si>
  <si>
    <t>Vertical check</t>
  </si>
  <si>
    <t>Retail &amp; CPG mix</t>
  </si>
  <si>
    <t>Telecom, media &amp; entertainment mix</t>
  </si>
  <si>
    <t>Telecom, media &amp; entertainment revenue</t>
  </si>
  <si>
    <t>Life sciences &amp; healthcare mix</t>
  </si>
  <si>
    <t>Public services mix</t>
  </si>
  <si>
    <t>Public services revenue</t>
  </si>
  <si>
    <t>Service-line revenue — reported history and modelled allocation</t>
  </si>
  <si>
    <t>Application services / ITBS mix</t>
  </si>
  <si>
    <t>Application services revenue</t>
  </si>
  <si>
    <t>Infrastructure services / ITBS mix</t>
  </si>
  <si>
    <t>Infrastructure services revenue</t>
  </si>
  <si>
    <t>Business services / ITBS mix</t>
  </si>
  <si>
    <t>Business services revenue</t>
  </si>
  <si>
    <t>ITBS subtotal</t>
  </si>
  <si>
    <t>ITBS subtotal check</t>
  </si>
  <si>
    <t>Engineering &amp; R&amp;D revenue</t>
  </si>
  <si>
    <t>Products &amp; Platforms revenue</t>
  </si>
  <si>
    <t>Total service-line revenue</t>
  </si>
  <si>
    <t>Service-line revenue check</t>
  </si>
  <si>
    <t>Client Data — Concentration and Revenue Bands</t>
  </si>
  <si>
    <t>Separate annual client metrics; forecast held/rolled from explicit formulas</t>
  </si>
  <si>
    <t>Active clients</t>
  </si>
  <si>
    <t>$1m+ clients</t>
  </si>
  <si>
    <t>$5m+ clients</t>
  </si>
  <si>
    <t>$10m+ clients</t>
  </si>
  <si>
    <t>$20m+ clients</t>
  </si>
  <si>
    <t>$50m+ clients</t>
  </si>
  <si>
    <t>$100m+ clients</t>
  </si>
  <si>
    <t>Top client revenue %</t>
  </si>
  <si>
    <t>Top 5 clients revenue %</t>
  </si>
  <si>
    <t>Top 10 clients revenue %</t>
  </si>
  <si>
    <t>Revenue / active client (₹ cr)</t>
  </si>
  <si>
    <t>Top 20 client contribution</t>
  </si>
  <si>
    <t>Non-top 20 contribution</t>
  </si>
  <si>
    <t>DSO (days)</t>
  </si>
  <si>
    <t>Repeat business</t>
  </si>
  <si>
    <t>LTM free cash flow ($m)</t>
  </si>
  <si>
    <t>Checks &amp; Sources</t>
  </si>
  <si>
    <t>Formula integrity, tie-outs and source register</t>
  </si>
  <si>
    <t>Check</t>
  </si>
  <si>
    <t>Actual</t>
  </si>
  <si>
    <t>Expected</t>
  </si>
  <si>
    <t>Difference</t>
  </si>
  <si>
    <t>Tolerance</t>
  </si>
  <si>
    <t>Notes</t>
  </si>
  <si>
    <t>Status</t>
  </si>
  <si>
    <t>MODEL STATUS</t>
  </si>
  <si>
    <t>SOURCE REGISTER</t>
  </si>
  <si>
    <t>Item</t>
  </si>
  <si>
    <t>Period</t>
  </si>
  <si>
    <t>Units</t>
  </si>
  <si>
    <t>Source</t>
  </si>
  <si>
    <t>URL</t>
  </si>
  <si>
    <t>Annual statements</t>
  </si>
  <si>
    <t>HCLTech filings / compiled statement extracts</t>
  </si>
  <si>
    <t>https://www.hcltech.com/investors/annual-reports</t>
  </si>
  <si>
    <t>Used</t>
  </si>
  <si>
    <t>FY16 is nine months</t>
  </si>
  <si>
    <t>Quarterly P&amp;L</t>
  </si>
  <si>
    <t>FY22–FY27</t>
  </si>
  <si>
    <t>USD million</t>
  </si>
  <si>
    <t>Compiled reported financial statements</t>
  </si>
  <si>
    <t>https://stockanalysis.com/quote/nse/HCLTECH/financials/?p=quarterly</t>
  </si>
  <si>
    <t>No quarterly BS or CF in final model</t>
  </si>
  <si>
    <t>Workforce / attrition</t>
  </si>
  <si>
    <t>employees / %</t>
  </si>
  <si>
    <t>HCLTech annual reports and earnings releases</t>
  </si>
  <si>
    <t>https://www.hcltech.com/investors/results-reports</t>
  </si>
  <si>
    <t>Used / estimated gaps</t>
  </si>
  <si>
    <t>Forecast is assumption-driven</t>
  </si>
  <si>
    <t>Segment and client history</t>
  </si>
  <si>
    <t>% / counts</t>
  </si>
  <si>
    <t>HCLTech annual report disclosures</t>
  </si>
  <si>
    <t>Model series</t>
  </si>
  <si>
    <t>Consistent categories estimated where definitions changed</t>
  </si>
  <si>
    <t>Reference update</t>
  </si>
  <si>
    <t>Annual P&amp;L / BS / CF / segments / clients</t>
  </si>
  <si>
    <t>BO reference workbook</t>
  </si>
  <si>
    <t>Historical series replaced</t>
  </si>
  <si>
    <t>OK</t>
  </si>
  <si>
    <t>Original model retained; reference used only as data source</t>
  </si>
  <si>
    <t>Service-line tie</t>
  </si>
  <si>
    <t>Service-line total</t>
  </si>
  <si>
    <t>FY16–FY30</t>
  </si>
  <si>
    <t>Segment Revenue</t>
  </si>
  <si>
    <t>Total equals revenue</t>
  </si>
  <si>
    <t>Legacy disclosure through FY19; modelled ITBS allocation thereafter</t>
  </si>
  <si>
    <t>Software schedule</t>
  </si>
  <si>
    <t>License + subscription + professional services</t>
  </si>
  <si>
    <t>FY17–FY30</t>
  </si>
  <si>
    <t>Products tab</t>
  </si>
  <si>
    <t>Total calculated; forecasts assumption-driven</t>
  </si>
  <si>
    <t>ARR and segment margins also forecast from assumptions</t>
  </si>
  <si>
    <t>Advanced AI revenue</t>
  </si>
  <si>
    <t>Q4 FY26 / Q1 FY27</t>
  </si>
  <si>
    <t>$m annualized / quarterly</t>
  </si>
  <si>
    <t>https://www.hcltech.com/en-us/press-releases/hcltech-fy26-revenue-39-led-increasing-demand-advanced-ai</t>
  </si>
  <si>
    <t>Q4 FY26 annualized AI revenue $620m</t>
  </si>
  <si>
    <t>AI category excludes classical AI and AI used in traditional services</t>
  </si>
  <si>
    <t>Q1 FY27</t>
  </si>
  <si>
    <t>$m quarterly</t>
  </si>
  <si>
    <t>https://www.hcltech.com/en-us/press-releases/hcltech-delivers-robust-q1-led-record-deal-bookings-24-billion</t>
  </si>
  <si>
    <t>Quarterly Advanced AI revenue $171m</t>
  </si>
  <si>
    <t>62.1% YoY CC; annualized run-rate $684m</t>
  </si>
  <si>
    <t>Financial summary</t>
  </si>
  <si>
    <t>P&amp;L / cash flow / balance sheet / ratios</t>
  </si>
  <si>
    <t>Linked model schedules</t>
  </si>
  <si>
    <t>Formula-driven summary tab</t>
  </si>
  <si>
    <t>Reference layout recreated; estimates shaded separately</t>
  </si>
  <si>
    <t>Operating Cuts — ITBS, ER&amp;D and Software</t>
  </si>
  <si>
    <t>Historical exit-quarter cuts from the BO reference workbook; FY27–FY30 use explicit model assumptions</t>
  </si>
  <si>
    <t>IT &amp; Business Services revenue</t>
  </si>
  <si>
    <t>$m</t>
  </si>
  <si>
    <t>ITBS EBIT</t>
  </si>
  <si>
    <t>ER&amp;D EBIT</t>
  </si>
  <si>
    <t>Products &amp; Platforms EBIT</t>
  </si>
  <si>
    <t>Perpetual license upfront &amp; other</t>
  </si>
  <si>
    <t>Subscription &amp; support</t>
  </si>
  <si>
    <t>Professional services</t>
  </si>
  <si>
    <t>Software total</t>
  </si>
  <si>
    <t>Software ARR</t>
  </si>
  <si>
    <t>ARR growth YoY CC</t>
  </si>
  <si>
    <t>HCLTech Market Data &amp; Valuation Inputs</t>
  </si>
  <si>
    <t>Price date</t>
  </si>
  <si>
    <t>Price source</t>
  </si>
  <si>
    <t>Dividend per share (INR)</t>
  </si>
  <si>
    <t>2016-03-31</t>
  </si>
  <si>
    <t>https://finance.yahoo.com/quote/HCLTECH.NS/history/</t>
  </si>
  <si>
    <t>2017-03-31</t>
  </si>
  <si>
    <t>2018-03-28</t>
  </si>
  <si>
    <t>2019-03-28</t>
  </si>
  <si>
    <t>2020-03-31</t>
  </si>
  <si>
    <t>2021-03-31</t>
  </si>
  <si>
    <t>2022-03-31</t>
  </si>
  <si>
    <t>2023-03-31</t>
  </si>
  <si>
    <t>2024-03-28</t>
  </si>
  <si>
    <t>2025-03-28</t>
  </si>
  <si>
    <t>2026-03-30</t>
  </si>
  <si>
    <t>Source note</t>
  </si>
  <si>
    <t>FY26 dividend per share</t>
  </si>
  <si>
    <t>₹60</t>
  </si>
  <si>
    <t>https://www.hcltech.com/sites/default/files/documents/resources/pdf-landing-page/files/2026/04/21/financialresults.pdf</t>
  </si>
  <si>
    <t>Official HCLTech FY26 results</t>
  </si>
  <si>
    <t>Price history</t>
  </si>
  <si>
    <t>NSE HCLTECH daily close</t>
  </si>
  <si>
    <t>Yahoo Finance</t>
  </si>
  <si>
    <t>Yield on opening cash</t>
  </si>
  <si>
    <t>Finance cost / average debt</t>
  </si>
  <si>
    <t>Maintenance capex / revenue</t>
  </si>
  <si>
    <t>Data centre &amp; AI infrastructure capex / revenue</t>
  </si>
  <si>
    <t>Other growth capex / revenue</t>
  </si>
  <si>
    <t>Offshore revenue mix</t>
  </si>
  <si>
    <t>Utilization excl. trainees</t>
  </si>
  <si>
    <t>Support staff / delivery headcount</t>
  </si>
  <si>
    <t>Subcontractor cost / revenue</t>
  </si>
  <si>
    <t>Historical totals sourced from reported/compiled statements; non-cash current assets and equity are aggregated where detailed disclosure is unavailable</t>
  </si>
  <si>
    <t>Trade receivables &amp; other current assets (actuals) / receivables (forecast)</t>
  </si>
  <si>
    <t>Other current assets (forecast only)</t>
  </si>
  <si>
    <t>Goodwill, intangibles &amp; investments</t>
  </si>
  <si>
    <t>Share capital &amp; other contributed equity</t>
  </si>
  <si>
    <t>Retained earnings &amp; reserves (incl. other equity in actuals)</t>
  </si>
  <si>
    <t>Other non-cash / working capital</t>
  </si>
  <si>
    <t>CFO / net profit</t>
  </si>
  <si>
    <t>Debt issuance / (repayment)</t>
  </si>
  <si>
    <t>Equity issuance / (buybacks) &amp; other</t>
  </si>
  <si>
    <t>Dividends</t>
  </si>
  <si>
    <t>FY27 Target Price &amp; Recommendation</t>
  </si>
  <si>
    <t>Trade receivables &amp; other current assets / receivables</t>
  </si>
  <si>
    <t>FY26 observed price</t>
  </si>
  <si>
    <t>FY27 EPS-driven price</t>
  </si>
  <si>
    <t>5-year median P/E</t>
  </si>
  <si>
    <t>Unconstrained FY27 value</t>
  </si>
  <si>
    <t>Market Perform lower bound</t>
  </si>
  <si>
    <t>FY27 target price</t>
  </si>
  <si>
    <t>Market Perform upper bound</t>
  </si>
  <si>
    <t>Target upside</t>
  </si>
  <si>
    <t>Target P/E</t>
  </si>
  <si>
    <t>Target EV / EBITDA</t>
  </si>
  <si>
    <t>Target P / book</t>
  </si>
  <si>
    <t>Target dividend yield</t>
  </si>
  <si>
    <t>Retained earnings &amp; reserves</t>
  </si>
  <si>
    <t>Recommendation check</t>
  </si>
  <si>
    <t>Quarterly Profit &amp; Loss Statement — Detailed</t>
  </si>
  <si>
    <t>Only statement maintained quarterly | reported series retained; S&amp;M/G&amp;A and D&amp;A detail allocated using annual model ratios where quarterly disclosure is unavailable</t>
  </si>
  <si>
    <t>Q1 FY2016</t>
  </si>
  <si>
    <t>Q2 FY2016</t>
  </si>
  <si>
    <t>Q3 FY2016</t>
  </si>
  <si>
    <t>Q1 FY2017</t>
  </si>
  <si>
    <t>Q2 FY2017</t>
  </si>
  <si>
    <t>Q3 FY2017</t>
  </si>
  <si>
    <t>Q4 FY2017</t>
  </si>
  <si>
    <t>Q1 FY2018</t>
  </si>
  <si>
    <t>Q2 FY2018</t>
  </si>
  <si>
    <t>Q3 FY2018</t>
  </si>
  <si>
    <t>Q4 FY2018</t>
  </si>
  <si>
    <t>Q1 FY2019</t>
  </si>
  <si>
    <t>Q2 FY2019</t>
  </si>
  <si>
    <t>Q3 FY2019</t>
  </si>
  <si>
    <t>Q4 FY2019</t>
  </si>
  <si>
    <t>Q1 FY2020</t>
  </si>
  <si>
    <t>Q2 FY2020</t>
  </si>
  <si>
    <t>Q3 FY2020</t>
  </si>
  <si>
    <t>Q4 FY2020</t>
  </si>
  <si>
    <t>Q1 FY2021</t>
  </si>
  <si>
    <t>Q2 FY2021</t>
  </si>
  <si>
    <t>Q3 FY2021</t>
  </si>
  <si>
    <t>Q4 FY2021</t>
  </si>
  <si>
    <t>Q1 FY2022</t>
  </si>
  <si>
    <t>Q2 FY2022</t>
  </si>
  <si>
    <t>Q3 FY2022</t>
  </si>
  <si>
    <t>Q4 FY2022</t>
  </si>
  <si>
    <t>Q1 FY2023</t>
  </si>
  <si>
    <t>Q2 FY2023</t>
  </si>
  <si>
    <t>Q3 FY2023</t>
  </si>
  <si>
    <t>Q4 FY2023</t>
  </si>
  <si>
    <t>Q1 FY2024</t>
  </si>
  <si>
    <t>Q2 FY2024</t>
  </si>
  <si>
    <t>Q3 FY2024</t>
  </si>
  <si>
    <t>Q4 FY2024</t>
  </si>
  <si>
    <t>Q1 FY2025</t>
  </si>
  <si>
    <t>Q2 FY2025</t>
  </si>
  <si>
    <t>Q3 FY2025</t>
  </si>
  <si>
    <t>Q4 FY2025</t>
  </si>
  <si>
    <t>Q1 FY2026</t>
  </si>
  <si>
    <t>Q2 FY2026</t>
  </si>
  <si>
    <t>Q3 FY2026</t>
  </si>
  <si>
    <t>Q4 FY2026</t>
  </si>
  <si>
    <t>Q1 FY2027</t>
  </si>
  <si>
    <t>Q2 FY2027</t>
  </si>
  <si>
    <t>Q3 FY2027</t>
  </si>
  <si>
    <t>Q4 FY2027</t>
  </si>
  <si>
    <t>Q1 FY2028</t>
  </si>
  <si>
    <t>Q2 FY2028</t>
  </si>
  <si>
    <t>Q3 FY2028</t>
  </si>
  <si>
    <t>Q4 FY2028</t>
  </si>
  <si>
    <t>Q1 FY2029</t>
  </si>
  <si>
    <t>Q2 FY2029</t>
  </si>
  <si>
    <t>Q3 FY2029</t>
  </si>
  <si>
    <t>Q4 FY2029</t>
  </si>
  <si>
    <t>Q1 FY2030</t>
  </si>
  <si>
    <t>Q2 FY2030</t>
  </si>
  <si>
    <t>Q3 FY2030</t>
  </si>
  <si>
    <t>Q4 FY2030</t>
  </si>
  <si>
    <t>QoQ growth</t>
  </si>
  <si>
    <t>YoY growth</t>
  </si>
  <si>
    <t>Operating expenses</t>
  </si>
  <si>
    <t>Selling &amp; marketing (modelled allocation)</t>
  </si>
  <si>
    <t>G&amp;A (modelled allocation)</t>
  </si>
  <si>
    <t>Foreign exchange gain / (loss)</t>
  </si>
  <si>
    <t>Other income</t>
  </si>
  <si>
    <t>Effective tax rate</t>
  </si>
  <si>
    <t>Minority / affiliate income</t>
  </si>
  <si>
    <t>ADVANCED AI REVENUE</t>
  </si>
  <si>
    <t>Advanced AI mix of revenue</t>
  </si>
  <si>
    <t>Annual Cash Flow Statement — Detailed</t>
  </si>
  <si>
    <t>Indirect cash flow | BO reference taxonomy | forecast working-capital and capex lines linked to balance-sheet and operating assumptions</t>
  </si>
  <si>
    <t>Stock compensation &amp; other non-cash operating items</t>
  </si>
  <si>
    <t>Change in trade receivables</t>
  </si>
  <si>
    <t>Change in other current assets</t>
  </si>
  <si>
    <t>Change in current liabilities</t>
  </si>
  <si>
    <t>Other operating balance movements</t>
  </si>
  <si>
    <t>Maintenance capex</t>
  </si>
  <si>
    <t>Data centre &amp; AI infrastructure capex</t>
  </si>
  <si>
    <t>Other growth capex</t>
  </si>
  <si>
    <t>Total capex</t>
  </si>
  <si>
    <t>Acquisitions / investments / divestitures</t>
  </si>
  <si>
    <t>Other financing cash flows</t>
  </si>
  <si>
    <t>FX / translation</t>
  </si>
  <si>
    <t>Cash tie check</t>
  </si>
  <si>
    <t>Cash conversion (CFO / EBITDA)</t>
  </si>
  <si>
    <t>Forecast Revenue Build — Base Services + Incremental Advanced AI</t>
  </si>
  <si>
    <t>Billable / T&amp;M revenue after AI deflation</t>
  </si>
  <si>
    <t>Non-T&amp;M, fixed-price &amp; software revenue</t>
  </si>
  <si>
    <t>Incremental Advanced AI revenue uplift</t>
  </si>
  <si>
    <t>Total modelled revenue</t>
  </si>
  <si>
    <t>Modelled revenue growth</t>
  </si>
  <si>
    <t>Revenue tie check</t>
  </si>
  <si>
    <t>FY30 balance sheet</t>
  </si>
  <si>
    <t>Assets less liabilities &amp; equity</t>
  </si>
  <si>
    <t>FY30 cash tie</t>
  </si>
  <si>
    <t>CFS closing cash less BS cash</t>
  </si>
  <si>
    <t>Forecast BS balance (max)</t>
  </si>
  <si>
    <t>Maximum absolute FY27–FY30 balance check</t>
  </si>
  <si>
    <t>Forecast cash tie (max)</t>
  </si>
  <si>
    <t>Maximum absolute FY27–FY30 CFS/BS cash difference</t>
  </si>
  <si>
    <t>Forecast CFO build (max)</t>
  </si>
  <si>
    <t>CFO equals sum of detailed operating lines</t>
  </si>
  <si>
    <t>Forecast capex build (max)</t>
  </si>
  <si>
    <t>Total capex equals maintenance + data-centre/AI + growth</t>
  </si>
  <si>
    <t>Forecast FCF tie (max)</t>
  </si>
  <si>
    <t>FCF equals CFO plus total capex</t>
  </si>
  <si>
    <t>Forecast EPS tie (max)</t>
  </si>
  <si>
    <t>Basic EPS equals net profit / basic shares</t>
  </si>
  <si>
    <t>FY27 target upside range</t>
  </si>
  <si>
    <t>Target remains within 10%–15% of FY26 observed price</t>
  </si>
  <si>
    <t>Detailed statement taxonomy</t>
  </si>
  <si>
    <t>Quarterly P&amp;L / annual cash flow</t>
  </si>
  <si>
    <t>Local reference file</t>
  </si>
  <si>
    <t>FX, D&amp;A/EBITDA, EPS/shares and detailed cash-flow taxonomy</t>
  </si>
  <si>
    <t>Capex &amp; operating metrics</t>
  </si>
  <si>
    <t>Forecast</t>
  </si>
  <si>
    <t>Model assumptions</t>
  </si>
  <si>
    <t>Assumptions / Capex &amp; Metrics</t>
  </si>
  <si>
    <t>Data-centre/AI capex, offshore mix, utilization, support and subcontractor ratios</t>
  </si>
  <si>
    <t>FY16–FY26 prices are observed; FY27–FY30 estimates equal forecast EPS multiplied by a target P/E path that fades toward FY26 observed P/E.</t>
  </si>
  <si>
    <t>FY27 EPS × target P/E</t>
  </si>
  <si>
    <t>Model formula — EPS and target P/E</t>
  </si>
  <si>
    <t>FY28 EPS × target P/E</t>
  </si>
  <si>
    <t>FY29 EPS × target P/E</t>
  </si>
  <si>
    <t>FY30 EPS × target P/E</t>
  </si>
  <si>
    <t>Forecast dividend payout</t>
  </si>
  <si>
    <t>Linked to model assumption</t>
  </si>
  <si>
    <t>Analyst assumption</t>
  </si>
  <si>
    <t>Assumptions tab</t>
  </si>
  <si>
    <t>Valuation convention</t>
  </si>
  <si>
    <t>Forecast EPS × target P/E</t>
  </si>
  <si>
    <t>FY27 uses five-year median P/E; FY28–FY30 fade linearly toward FY26 observed P/E</t>
  </si>
  <si>
    <t>Formula-driven</t>
  </si>
  <si>
    <t>FY27 Target Valuation — Market Perform</t>
  </si>
  <si>
    <t>Last sourced fiscal-year close</t>
  </si>
  <si>
    <t>Market Perform minimum upside</t>
  </si>
  <si>
    <t>Editable recommendation bound</t>
  </si>
  <si>
    <t>10%</t>
  </si>
  <si>
    <t>Market Perform maximum upside</t>
  </si>
  <si>
    <t>15%</t>
  </si>
  <si>
    <t>5-year historical median P/E</t>
  </si>
  <si>
    <t>Median FY22–FY26 observed P/E</t>
  </si>
  <si>
    <t>Valuation anchor</t>
  </si>
  <si>
    <t>Historical median P/E × FY27E EPS</t>
  </si>
  <si>
    <t>Model output</t>
  </si>
  <si>
    <t>FY27E EPS × five-year median P/E</t>
  </si>
  <si>
    <t>Recommendation output</t>
  </si>
  <si>
    <t>FY27 target upside</t>
  </si>
  <si>
    <t>Target price ÷ FY26 price − 1</t>
  </si>
  <si>
    <t>FY27 target P/E</t>
  </si>
  <si>
    <t>Target price ÷ FY27E EPS</t>
  </si>
  <si>
    <t>Target multiple</t>
  </si>
  <si>
    <t>FY27 target EV / EBITDA</t>
  </si>
  <si>
    <t>Target EV ÷ FY27E EBITDA</t>
  </si>
  <si>
    <t>FY27 target P / book</t>
  </si>
  <si>
    <t>Target market cap ÷ FY27E equity</t>
  </si>
  <si>
    <t>Five-year historical median P/E</t>
  </si>
  <si>
    <t>EPS-driven valuation</t>
  </si>
  <si>
    <t>FY28 target P/E</t>
  </si>
  <si>
    <t>One-third fade toward FY26 P/E</t>
  </si>
  <si>
    <t>FY29 target P/E</t>
  </si>
  <si>
    <t>Two-thirds fade toward FY26 P/E</t>
  </si>
  <si>
    <t>FY30 target P/E</t>
  </si>
  <si>
    <t>FY26 observed P/E</t>
  </si>
  <si>
    <t>Capex &amp; Operating Metrics</t>
  </si>
  <si>
    <t>Data-centre / AI infrastructure investment and delivery-efficiency metrics; forecast inputs are editable on Assumptions</t>
  </si>
  <si>
    <t>CAPEX SCHEDULE</t>
  </si>
  <si>
    <t>Revenue (INR cr)</t>
  </si>
  <si>
    <t>D&amp;A / capex</t>
  </si>
  <si>
    <t>Asset turnover</t>
  </si>
  <si>
    <t>DELIVERY &amp; OPERATING METRICS</t>
  </si>
  <si>
    <t>Revenue / billable employee (INR cr)</t>
  </si>
  <si>
    <t>Advanced AI revenue ($m, annualized)</t>
  </si>
  <si>
    <t>Reference note</t>
  </si>
  <si>
    <t>BO reference operating metrics</t>
  </si>
  <si>
    <t>Manpower and IT &amp; Business sheets: offshore/onsite delivery, utilization, support ratio and billing-rate taxonomy</t>
  </si>
  <si>
    <t>HCLTech source hub</t>
  </si>
  <si>
    <t>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</si>
</sst>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%;[Red]\(0.0%\);\-"/>
    <numFmt numFmtId="165" formatCode="0.00;[Red]\(0.00\);\-"/>
    <numFmt numFmtId="166" formatCode="\$#,##0;[Red]\(\$#,##0\);\-"/>
    <numFmt numFmtId="167" formatCode="#,##0;[Red]\(#,##0\);\-"/>
    <numFmt numFmtId="168" formatCode="0.0"/>
    <numFmt numFmtId="169" formatCode="0.0\x;[Red]\(0.0\x\);\-"/>
    <numFmt numFmtId="170" formatCode="yyyy\-mm\-dd"/>
    <numFmt numFmtId="171" formatCode="0.0\x"/>
    <numFmt numFmtId="172" formatCode="0.0%"/>
    <numFmt numFmtId="174" formatCode="_-* #,##0_-;\-* #,##0_-;_-* &quot;-&quot;??_-;_-@_-"/>
    <numFmt numFmtId="176" formatCode="0.000%;[Red]\(0.000%\);\-"/>
  </numFmts>
  <fonts count="19">
    <font>
      <sz val="11"/>
      <name val="Carlito"/>
    </font>
    <font>
      <b/>
      <sz val="9"/>
      <color rgb="FFFFFFFF"/>
      <name val="Arial"/>
      <family val="2"/>
    </font>
    <font>
      <i/>
      <sz val="9"/>
      <color rgb="FF66666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rgb="FFFFFFFF"/>
      <name val="Carlito"/>
    </font>
    <font>
      <sz val="11"/>
      <color rgb="FF0000FF"/>
      <name val="Carlito"/>
    </font>
    <font>
      <sz val="9"/>
      <color rgb="FF0000FF"/>
      <name val="Arial"/>
      <family val="2"/>
    </font>
    <font>
      <b/>
      <sz val="14"/>
      <color rgb="FFFFFFFF"/>
      <name val="Arial"/>
      <family val="2"/>
    </font>
    <font>
      <b/>
      <sz val="14"/>
      <color rgb="FFFFFFFF"/>
      <name val="Carlito"/>
    </font>
    <font>
      <b/>
      <sz val="9"/>
      <color rgb="FF16365C"/>
      <name val="Arial"/>
      <family val="2"/>
    </font>
    <font>
      <sz val="9"/>
      <color rgb="FF000000"/>
      <name val="Arial"/>
      <family val="2"/>
    </font>
    <font>
      <sz val="11"/>
      <color rgb="FF000000"/>
      <name val="Carlito"/>
    </font>
    <font>
      <b/>
      <sz val="11"/>
      <name val="Carlito"/>
    </font>
    <font>
      <b/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11"/>
      <color rgb="FF000000"/>
      <name val="Carlito"/>
    </font>
    <font>
      <sz val="11"/>
      <name val="Carlito"/>
    </font>
    <font>
      <b/>
      <sz val="9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6365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6365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/>
      <right/>
      <top style="thin">
        <color rgb="FF666666"/>
      </top>
      <bottom/>
      <diagonal/>
    </border>
  </borders>
  <cellStyleXfs count="3">
    <xf numFmtId="0" fontId="0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133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164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64" fontId="3" fillId="0" borderId="0" xfId="0" applyNumberFormat="1" applyFont="1"/>
    <xf numFmtId="164" fontId="7" fillId="4" borderId="0" xfId="0" applyNumberFormat="1" applyFont="1" applyFill="1"/>
    <xf numFmtId="1" fontId="3" fillId="0" borderId="0" xfId="0" applyNumberFormat="1" applyFont="1"/>
    <xf numFmtId="1" fontId="7" fillId="4" borderId="0" xfId="0" applyNumberFormat="1" applyFont="1" applyFill="1"/>
    <xf numFmtId="0" fontId="4" fillId="0" borderId="2" xfId="0" applyFont="1" applyBorder="1"/>
    <xf numFmtId="0" fontId="3" fillId="0" borderId="2" xfId="0" applyFont="1" applyBorder="1"/>
    <xf numFmtId="165" fontId="3" fillId="0" borderId="2" xfId="0" applyNumberFormat="1" applyFont="1" applyBorder="1"/>
    <xf numFmtId="0" fontId="4" fillId="3" borderId="0" xfId="0" applyFont="1" applyFill="1" applyAlignment="1">
      <alignment wrapText="1"/>
    </xf>
    <xf numFmtId="0" fontId="0" fillId="7" borderId="0" xfId="0" applyFill="1"/>
    <xf numFmtId="166" fontId="3" fillId="0" borderId="0" xfId="0" applyNumberFormat="1" applyFont="1"/>
    <xf numFmtId="166" fontId="0" fillId="0" borderId="0" xfId="0" applyNumberFormat="1"/>
    <xf numFmtId="166" fontId="0" fillId="7" borderId="0" xfId="0" applyNumberFormat="1" applyFill="1"/>
    <xf numFmtId="164" fontId="0" fillId="7" borderId="0" xfId="0" applyNumberFormat="1" applyFill="1"/>
    <xf numFmtId="164" fontId="6" fillId="8" borderId="0" xfId="0" applyNumberFormat="1" applyFont="1" applyFill="1"/>
    <xf numFmtId="167" fontId="0" fillId="0" borderId="0" xfId="0" applyNumberFormat="1"/>
    <xf numFmtId="168" fontId="0" fillId="0" borderId="0" xfId="0" applyNumberFormat="1"/>
    <xf numFmtId="168" fontId="0" fillId="7" borderId="0" xfId="0" applyNumberFormat="1" applyFill="1"/>
    <xf numFmtId="0" fontId="1" fillId="6" borderId="0" xfId="0" applyFont="1" applyFill="1" applyAlignment="1">
      <alignment horizontal="center"/>
    </xf>
    <xf numFmtId="166" fontId="3" fillId="7" borderId="0" xfId="0" applyNumberFormat="1" applyFont="1" applyFill="1"/>
    <xf numFmtId="164" fontId="3" fillId="7" borderId="0" xfId="0" applyNumberFormat="1" applyFont="1" applyFill="1"/>
    <xf numFmtId="167" fontId="3" fillId="0" borderId="0" xfId="0" applyNumberFormat="1" applyFont="1"/>
    <xf numFmtId="167" fontId="3" fillId="7" borderId="0" xfId="0" applyNumberFormat="1" applyFont="1" applyFill="1"/>
    <xf numFmtId="167" fontId="4" fillId="0" borderId="0" xfId="0" applyNumberFormat="1" applyFont="1"/>
    <xf numFmtId="164" fontId="4" fillId="0" borderId="0" xfId="0" applyNumberFormat="1" applyFont="1"/>
    <xf numFmtId="165" fontId="3" fillId="0" borderId="0" xfId="0" applyNumberFormat="1" applyFont="1"/>
    <xf numFmtId="0" fontId="3" fillId="7" borderId="0" xfId="0" applyFont="1" applyFill="1"/>
    <xf numFmtId="169" fontId="3" fillId="0" borderId="0" xfId="0" applyNumberFormat="1" applyFont="1"/>
    <xf numFmtId="169" fontId="3" fillId="7" borderId="0" xfId="0" applyNumberFormat="1" applyFont="1" applyFill="1"/>
    <xf numFmtId="2" fontId="3" fillId="0" borderId="0" xfId="0" applyNumberFormat="1" applyFont="1"/>
    <xf numFmtId="2" fontId="3" fillId="7" borderId="0" xfId="0" applyNumberFormat="1" applyFont="1" applyFill="1"/>
    <xf numFmtId="170" fontId="3" fillId="0" borderId="0" xfId="0" applyNumberFormat="1" applyFont="1"/>
    <xf numFmtId="4" fontId="3" fillId="0" borderId="0" xfId="0" applyNumberFormat="1" applyFont="1"/>
    <xf numFmtId="0" fontId="7" fillId="0" borderId="0" xfId="0" applyFont="1"/>
    <xf numFmtId="164" fontId="7" fillId="8" borderId="0" xfId="0" applyNumberFormat="1" applyFont="1" applyFill="1"/>
    <xf numFmtId="4" fontId="11" fillId="10" borderId="0" xfId="0" applyNumberFormat="1" applyFont="1" applyFill="1"/>
    <xf numFmtId="171" fontId="12" fillId="10" borderId="0" xfId="0" applyNumberFormat="1" applyFont="1" applyFill="1"/>
    <xf numFmtId="4" fontId="7" fillId="11" borderId="0" xfId="0" applyNumberFormat="1" applyFont="1" applyFill="1"/>
    <xf numFmtId="4" fontId="7" fillId="4" borderId="0" xfId="0" applyNumberFormat="1" applyFont="1" applyFill="1"/>
    <xf numFmtId="172" fontId="0" fillId="0" borderId="0" xfId="0" applyNumberFormat="1"/>
    <xf numFmtId="171" fontId="0" fillId="0" borderId="0" xfId="0" applyNumberFormat="1"/>
    <xf numFmtId="172" fontId="3" fillId="0" borderId="0" xfId="0" applyNumberFormat="1" applyFont="1"/>
    <xf numFmtId="4" fontId="3" fillId="10" borderId="0" xfId="0" applyNumberFormat="1" applyFont="1" applyFill="1"/>
    <xf numFmtId="4" fontId="10" fillId="10" borderId="0" xfId="0" applyNumberFormat="1" applyFont="1" applyFill="1"/>
    <xf numFmtId="172" fontId="3" fillId="10" borderId="0" xfId="0" applyNumberFormat="1" applyFont="1" applyFill="1"/>
    <xf numFmtId="171" fontId="3" fillId="10" borderId="0" xfId="0" applyNumberFormat="1" applyFont="1" applyFill="1"/>
    <xf numFmtId="0" fontId="10" fillId="10" borderId="0" xfId="0" applyFont="1" applyFill="1"/>
    <xf numFmtId="167" fontId="0" fillId="10" borderId="0" xfId="0" applyNumberFormat="1" applyFill="1"/>
    <xf numFmtId="172" fontId="0" fillId="10" borderId="0" xfId="0" applyNumberFormat="1" applyFill="1"/>
    <xf numFmtId="0" fontId="13" fillId="0" borderId="0" xfId="0" applyFont="1"/>
    <xf numFmtId="167" fontId="13" fillId="10" borderId="0" xfId="0" applyNumberFormat="1" applyFont="1" applyFill="1"/>
    <xf numFmtId="172" fontId="6" fillId="13" borderId="0" xfId="0" applyNumberFormat="1" applyFont="1" applyFill="1"/>
    <xf numFmtId="0" fontId="11" fillId="0" borderId="0" xfId="0" applyFont="1"/>
    <xf numFmtId="0" fontId="14" fillId="2" borderId="1" xfId="0" applyFont="1" applyFill="1" applyBorder="1" applyAlignment="1">
      <alignment horizontal="right"/>
    </xf>
    <xf numFmtId="164" fontId="11" fillId="0" borderId="0" xfId="0" applyNumberFormat="1" applyFont="1"/>
    <xf numFmtId="0" fontId="11" fillId="0" borderId="2" xfId="0" applyFont="1" applyBorder="1"/>
    <xf numFmtId="165" fontId="11" fillId="0" borderId="2" xfId="0" applyNumberFormat="1" applyFont="1" applyBorder="1"/>
    <xf numFmtId="0" fontId="12" fillId="0" borderId="0" xfId="0" applyFont="1"/>
    <xf numFmtId="167" fontId="11" fillId="5" borderId="0" xfId="0" applyNumberFormat="1" applyFont="1" applyFill="1"/>
    <xf numFmtId="164" fontId="11" fillId="5" borderId="0" xfId="0" applyNumberFormat="1" applyFont="1" applyFill="1"/>
    <xf numFmtId="167" fontId="14" fillId="5" borderId="0" xfId="0" applyNumberFormat="1" applyFont="1" applyFill="1"/>
    <xf numFmtId="164" fontId="14" fillId="5" borderId="0" xfId="0" applyNumberFormat="1" applyFont="1" applyFill="1"/>
    <xf numFmtId="165" fontId="11" fillId="5" borderId="0" xfId="0" applyNumberFormat="1" applyFont="1" applyFill="1"/>
    <xf numFmtId="172" fontId="11" fillId="5" borderId="0" xfId="0" applyNumberFormat="1" applyFont="1" applyFill="1"/>
    <xf numFmtId="172" fontId="12" fillId="0" borderId="0" xfId="0" applyNumberFormat="1" applyFont="1"/>
    <xf numFmtId="164" fontId="6" fillId="14" borderId="0" xfId="0" applyNumberFormat="1" applyFont="1" applyFill="1"/>
    <xf numFmtId="0" fontId="9" fillId="15" borderId="0" xfId="0" applyFont="1" applyFill="1"/>
    <xf numFmtId="0" fontId="1" fillId="15" borderId="1" xfId="0" applyFont="1" applyFill="1" applyBorder="1" applyAlignment="1">
      <alignment horizontal="center"/>
    </xf>
    <xf numFmtId="0" fontId="5" fillId="15" borderId="0" xfId="0" applyFont="1" applyFill="1" applyAlignment="1">
      <alignment horizontal="center"/>
    </xf>
    <xf numFmtId="0" fontId="5" fillId="15" borderId="0" xfId="0" applyFont="1" applyFill="1"/>
    <xf numFmtId="167" fontId="0" fillId="5" borderId="0" xfId="0" applyNumberFormat="1" applyFill="1"/>
    <xf numFmtId="167" fontId="5" fillId="15" borderId="0" xfId="0" applyNumberFormat="1" applyFont="1" applyFill="1"/>
    <xf numFmtId="164" fontId="0" fillId="5" borderId="0" xfId="0" applyNumberFormat="1" applyFill="1"/>
    <xf numFmtId="0" fontId="14" fillId="0" borderId="0" xfId="0" applyFont="1"/>
    <xf numFmtId="167" fontId="14" fillId="0" borderId="0" xfId="0" applyNumberFormat="1" applyFont="1"/>
    <xf numFmtId="167" fontId="16" fillId="0" borderId="0" xfId="0" applyNumberFormat="1" applyFont="1"/>
    <xf numFmtId="167" fontId="16" fillId="5" borderId="0" xfId="0" applyNumberFormat="1" applyFont="1" applyFill="1"/>
    <xf numFmtId="0" fontId="16" fillId="0" borderId="0" xfId="0" applyFont="1"/>
    <xf numFmtId="0" fontId="1" fillId="15" borderId="1" xfId="0" applyFont="1" applyFill="1" applyBorder="1" applyAlignment="1">
      <alignment horizontal="left"/>
    </xf>
    <xf numFmtId="0" fontId="1" fillId="15" borderId="1" xfId="0" applyFont="1" applyFill="1" applyBorder="1" applyAlignment="1">
      <alignment horizontal="right"/>
    </xf>
    <xf numFmtId="167" fontId="11" fillId="0" borderId="0" xfId="0" applyNumberFormat="1" applyFont="1"/>
    <xf numFmtId="167" fontId="3" fillId="0" borderId="2" xfId="0" applyNumberFormat="1" applyFont="1" applyBorder="1"/>
    <xf numFmtId="167" fontId="11" fillId="0" borderId="2" xfId="0" applyNumberFormat="1" applyFont="1" applyBorder="1"/>
    <xf numFmtId="167" fontId="12" fillId="0" borderId="0" xfId="0" applyNumberFormat="1" applyFont="1"/>
    <xf numFmtId="164" fontId="12" fillId="0" borderId="0" xfId="0" applyNumberFormat="1" applyFont="1"/>
    <xf numFmtId="0" fontId="14" fillId="0" borderId="2" xfId="0" applyFont="1" applyBorder="1"/>
    <xf numFmtId="167" fontId="14" fillId="0" borderId="2" xfId="0" applyNumberFormat="1" applyFont="1" applyBorder="1"/>
    <xf numFmtId="0" fontId="5" fillId="16" borderId="0" xfId="0" applyFont="1" applyFill="1"/>
    <xf numFmtId="167" fontId="0" fillId="16" borderId="0" xfId="0" applyNumberFormat="1" applyFill="1"/>
    <xf numFmtId="167" fontId="5" fillId="16" borderId="0" xfId="0" applyNumberFormat="1" applyFont="1" applyFill="1"/>
    <xf numFmtId="164" fontId="0" fillId="16" borderId="0" xfId="0" applyNumberFormat="1" applyFill="1"/>
    <xf numFmtId="0" fontId="0" fillId="0" borderId="0" xfId="0" applyAlignment="1">
      <alignment wrapText="1"/>
    </xf>
    <xf numFmtId="0" fontId="1" fillId="2" borderId="0" xfId="0" applyFont="1" applyFill="1"/>
    <xf numFmtId="0" fontId="2" fillId="0" borderId="0" xfId="0" applyFont="1"/>
    <xf numFmtId="0" fontId="4" fillId="3" borderId="0" xfId="0" applyFont="1" applyFill="1"/>
    <xf numFmtId="0" fontId="14" fillId="5" borderId="0" xfId="0" applyFont="1" applyFill="1"/>
    <xf numFmtId="0" fontId="15" fillId="0" borderId="0" xfId="0" applyFont="1"/>
    <xf numFmtId="0" fontId="10" fillId="9" borderId="0" xfId="0" applyFont="1" applyFill="1"/>
    <xf numFmtId="0" fontId="10" fillId="7" borderId="0" xfId="0" applyFont="1" applyFill="1"/>
    <xf numFmtId="0" fontId="1" fillId="6" borderId="0" xfId="0" applyFont="1" applyFill="1"/>
    <xf numFmtId="0" fontId="14" fillId="6" borderId="0" xfId="0" applyFont="1" applyFill="1"/>
    <xf numFmtId="0" fontId="3" fillId="0" borderId="0" xfId="0" applyFont="1"/>
    <xf numFmtId="0" fontId="11" fillId="0" borderId="0" xfId="0" applyFont="1"/>
    <xf numFmtId="164" fontId="10" fillId="9" borderId="0" xfId="0" applyNumberFormat="1" applyFont="1" applyFill="1"/>
    <xf numFmtId="164" fontId="10" fillId="7" borderId="0" xfId="0" applyNumberFormat="1" applyFont="1" applyFill="1"/>
    <xf numFmtId="0" fontId="8" fillId="15" borderId="0" xfId="0" applyFont="1" applyFill="1"/>
    <xf numFmtId="0" fontId="1" fillId="5" borderId="0" xfId="0" applyFont="1" applyFill="1"/>
    <xf numFmtId="0" fontId="5" fillId="6" borderId="0" xfId="0" applyFont="1" applyFill="1"/>
    <xf numFmtId="0" fontId="5" fillId="12" borderId="0" xfId="0" applyFont="1" applyFill="1"/>
    <xf numFmtId="0" fontId="9" fillId="15" borderId="0" xfId="0" applyFont="1" applyFill="1"/>
    <xf numFmtId="0" fontId="0" fillId="0" borderId="0" xfId="0"/>
    <xf numFmtId="0" fontId="18" fillId="2" borderId="1" xfId="0" applyFont="1" applyFill="1" applyBorder="1" applyAlignment="1">
      <alignment horizontal="right"/>
    </xf>
    <xf numFmtId="43" fontId="1" fillId="2" borderId="0" xfId="1" applyFont="1" applyFill="1"/>
    <xf numFmtId="43" fontId="1" fillId="5" borderId="0" xfId="1" applyFont="1" applyFill="1"/>
    <xf numFmtId="43" fontId="0" fillId="0" borderId="0" xfId="1" applyFont="1"/>
    <xf numFmtId="43" fontId="2" fillId="0" borderId="0" xfId="1" applyFont="1"/>
    <xf numFmtId="43" fontId="3" fillId="0" borderId="0" xfId="1" applyFont="1"/>
    <xf numFmtId="43" fontId="1" fillId="2" borderId="1" xfId="1" applyFont="1" applyFill="1" applyBorder="1" applyAlignment="1">
      <alignment horizontal="left"/>
    </xf>
    <xf numFmtId="43" fontId="1" fillId="2" borderId="1" xfId="1" applyFont="1" applyFill="1" applyBorder="1" applyAlignment="1">
      <alignment horizontal="right"/>
    </xf>
    <xf numFmtId="43" fontId="5" fillId="6" borderId="0" xfId="1" applyFont="1" applyFill="1"/>
    <xf numFmtId="0" fontId="18" fillId="6" borderId="0" xfId="0" applyFont="1" applyFill="1" applyAlignment="1">
      <alignment horizontal="center"/>
    </xf>
    <xf numFmtId="9" fontId="0" fillId="0" borderId="0" xfId="2" applyFont="1"/>
    <xf numFmtId="9" fontId="3" fillId="0" borderId="0" xfId="2" applyFont="1"/>
    <xf numFmtId="174" fontId="0" fillId="0" borderId="0" xfId="1" applyNumberFormat="1" applyFont="1"/>
    <xf numFmtId="176" fontId="0" fillId="0" borderId="0" xfId="0" applyNumberFormat="1"/>
    <xf numFmtId="9" fontId="0" fillId="16" borderId="0" xfId="2" applyFont="1" applyFill="1"/>
  </cellXfs>
  <cellStyles count="3">
    <cellStyle name="Comma" xfId="1" builtinId="3"/>
    <cellStyle name="Normal" xfId="0" builtinId="0"/>
    <cellStyle name="Per cent" xfId="2" builtinId="5"/>
  </cellStyles>
  <dxfs count="2"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workbookViewId="0">
      <selection sqref="A1:H1"/>
    </sheetView>
  </sheetViews>
  <sheetFormatPr defaultRowHeight="13.8"/>
  <cols>
    <col min="1" max="1" width="34" customWidth="1"/>
    <col min="2" max="8" width="12" customWidth="1"/>
  </cols>
  <sheetData>
    <row r="1" spans="1:8" ht="25.95" customHeight="1">
      <c r="A1" s="99" t="s">
        <v>0</v>
      </c>
      <c r="B1" s="99"/>
      <c r="C1" s="99"/>
      <c r="D1" s="99"/>
      <c r="E1" s="99"/>
      <c r="F1" s="99"/>
      <c r="G1" s="99"/>
      <c r="H1" s="99"/>
    </row>
    <row r="2" spans="1:8" ht="22.05" customHeight="1">
      <c r="A2" s="100" t="s">
        <v>1</v>
      </c>
      <c r="B2" s="100"/>
      <c r="C2" s="100"/>
      <c r="D2" s="100"/>
      <c r="E2" s="100"/>
      <c r="F2" s="100"/>
      <c r="G2" s="100"/>
      <c r="H2" s="100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101" t="s">
        <v>2</v>
      </c>
      <c r="B4" s="101"/>
      <c r="C4" s="101"/>
      <c r="D4" s="101"/>
      <c r="E4" s="101"/>
      <c r="F4" s="101"/>
      <c r="G4" s="101"/>
      <c r="H4" s="101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3" t="s">
        <v>3</v>
      </c>
      <c r="B6" s="4" t="str">
        <f>'Checks &amp; Sources'!G17</f>
        <v>REVIEW</v>
      </c>
      <c r="C6" s="2"/>
      <c r="D6" s="2"/>
      <c r="E6" s="2"/>
      <c r="F6" s="2"/>
      <c r="G6" s="2"/>
      <c r="H6" s="2"/>
    </row>
    <row r="7" spans="1:8">
      <c r="A7" s="3" t="s">
        <v>4</v>
      </c>
      <c r="B7" s="4" t="s">
        <v>5</v>
      </c>
      <c r="C7" s="2"/>
      <c r="D7" s="2"/>
      <c r="E7" s="2"/>
      <c r="F7" s="2"/>
      <c r="G7" s="2"/>
      <c r="H7" s="2"/>
    </row>
    <row r="8" spans="1:8">
      <c r="A8" s="3" t="s">
        <v>6</v>
      </c>
      <c r="B8" s="4" t="s">
        <v>7</v>
      </c>
      <c r="C8" s="2"/>
      <c r="D8" s="2"/>
      <c r="E8" s="2"/>
      <c r="F8" s="2"/>
      <c r="G8" s="2"/>
      <c r="H8" s="2"/>
    </row>
    <row r="9" spans="1:8" ht="23.4">
      <c r="A9" s="3" t="s">
        <v>8</v>
      </c>
      <c r="B9" s="4" t="s">
        <v>9</v>
      </c>
      <c r="C9" s="2"/>
      <c r="D9" s="2"/>
      <c r="E9" s="2"/>
      <c r="F9" s="2"/>
      <c r="G9" s="2"/>
      <c r="H9" s="2"/>
    </row>
    <row r="10" spans="1:8">
      <c r="A10" s="3" t="s">
        <v>10</v>
      </c>
      <c r="B10" s="4" t="s">
        <v>11</v>
      </c>
      <c r="C10" s="2"/>
      <c r="D10" s="2"/>
      <c r="E10" s="2"/>
      <c r="F10" s="2"/>
      <c r="G10" s="2"/>
      <c r="H10" s="2"/>
    </row>
    <row r="11" spans="1:8">
      <c r="A11" s="3" t="s">
        <v>12</v>
      </c>
      <c r="B11" s="4" t="s">
        <v>13</v>
      </c>
      <c r="C11" s="2"/>
      <c r="D11" s="2"/>
      <c r="E11" s="2"/>
      <c r="F11" s="2"/>
      <c r="G11" s="2"/>
      <c r="H11" s="2"/>
    </row>
    <row r="12" spans="1:8" ht="80.400000000000006">
      <c r="A12" s="3" t="s">
        <v>14</v>
      </c>
      <c r="B12" s="4" t="s">
        <v>15</v>
      </c>
      <c r="C12" s="2"/>
      <c r="D12" s="2"/>
      <c r="E12" s="2"/>
      <c r="F12" s="2"/>
      <c r="G12" s="2"/>
      <c r="H12" s="2"/>
    </row>
    <row r="13" spans="1:8" ht="57.6">
      <c r="A13" s="3" t="s">
        <v>16</v>
      </c>
      <c r="B13" s="4" t="s">
        <v>17</v>
      </c>
      <c r="C13" s="2"/>
      <c r="D13" s="2"/>
      <c r="E13" s="2"/>
      <c r="F13" s="2"/>
      <c r="G13" s="2"/>
      <c r="H13" s="2"/>
    </row>
    <row r="14" spans="1:8" ht="46.2">
      <c r="A14" s="3" t="s">
        <v>18</v>
      </c>
      <c r="B14" s="4" t="s">
        <v>19</v>
      </c>
      <c r="C14" s="2"/>
      <c r="D14" s="2"/>
      <c r="E14" s="2"/>
      <c r="F14" s="2"/>
      <c r="G14" s="2"/>
      <c r="H14" s="2"/>
    </row>
    <row r="15" spans="1:8" ht="57.6">
      <c r="A15" s="3" t="s">
        <v>20</v>
      </c>
      <c r="B15" s="4" t="s">
        <v>21</v>
      </c>
      <c r="C15" s="2"/>
      <c r="D15" s="2"/>
      <c r="E15" s="2"/>
      <c r="F15" s="2"/>
      <c r="G15" s="2"/>
      <c r="H15" s="2"/>
    </row>
    <row r="16" spans="1:8">
      <c r="A16" s="3" t="s">
        <v>22</v>
      </c>
      <c r="B16" s="4" t="s">
        <v>23</v>
      </c>
      <c r="C16" s="2"/>
      <c r="D16" s="2"/>
      <c r="E16" s="2"/>
      <c r="F16" s="2"/>
      <c r="G16" s="2"/>
      <c r="H16" s="2"/>
    </row>
    <row r="17" spans="1:8" ht="114.6">
      <c r="A17" s="3" t="s">
        <v>24</v>
      </c>
      <c r="B17" s="4" t="s">
        <v>25</v>
      </c>
      <c r="C17" s="2"/>
      <c r="D17" s="2"/>
      <c r="E17" s="2"/>
      <c r="F17" s="2"/>
      <c r="G17" s="2"/>
      <c r="H17" s="2"/>
    </row>
  </sheetData>
  <mergeCells count="3">
    <mergeCell ref="A1:H1"/>
    <mergeCell ref="A2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0"/>
  <sheetViews>
    <sheetView showGridLines="0" topLeftCell="F19" workbookViewId="0">
      <selection activeCell="M22" sqref="M22"/>
    </sheetView>
  </sheetViews>
  <sheetFormatPr defaultRowHeight="13.8"/>
  <cols>
    <col min="1" max="1" width="42" customWidth="1"/>
    <col min="2" max="16" width="12" customWidth="1"/>
    <col min="17" max="17" width="3" customWidth="1"/>
    <col min="18" max="18" width="30" customWidth="1"/>
    <col min="19" max="33" width="11" customWidth="1"/>
  </cols>
  <sheetData>
    <row r="1" spans="1:33" ht="27" customHeight="1">
      <c r="A1" s="106" t="s">
        <v>95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  <c r="N1" s="107"/>
      <c r="O1" s="107"/>
      <c r="P1" s="107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</row>
    <row r="2" spans="1:33">
      <c r="A2" s="100" t="s">
        <v>96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  <c r="N2" s="109"/>
      <c r="O2" s="109"/>
      <c r="P2" s="109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59"/>
      <c r="N3" s="59"/>
      <c r="O3" s="59"/>
      <c r="P3" s="59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>
      <c r="A4" s="25" t="s">
        <v>97</v>
      </c>
      <c r="B4" s="25" t="s">
        <v>29</v>
      </c>
      <c r="C4" s="25" t="s">
        <v>30</v>
      </c>
      <c r="D4" s="25" t="s">
        <v>31</v>
      </c>
      <c r="E4" s="25" t="s">
        <v>32</v>
      </c>
      <c r="F4" s="25" t="s">
        <v>33</v>
      </c>
      <c r="G4" s="25" t="s">
        <v>34</v>
      </c>
      <c r="H4" s="25" t="s">
        <v>35</v>
      </c>
      <c r="I4" s="25" t="s">
        <v>36</v>
      </c>
      <c r="J4" s="25" t="s">
        <v>37</v>
      </c>
      <c r="K4" s="25" t="s">
        <v>38</v>
      </c>
      <c r="L4" s="25" t="s">
        <v>39</v>
      </c>
      <c r="M4" s="127" t="s">
        <v>40</v>
      </c>
      <c r="N4" s="127" t="s">
        <v>41</v>
      </c>
      <c r="O4" s="127" t="s">
        <v>42</v>
      </c>
      <c r="P4" s="127" t="s">
        <v>43</v>
      </c>
      <c r="Q4" s="2"/>
      <c r="R4" s="25" t="s">
        <v>98</v>
      </c>
      <c r="S4" s="25" t="s">
        <v>29</v>
      </c>
      <c r="T4" s="25" t="s">
        <v>30</v>
      </c>
      <c r="U4" s="25" t="s">
        <v>31</v>
      </c>
      <c r="V4" s="25" t="s">
        <v>32</v>
      </c>
      <c r="W4" s="25" t="s">
        <v>33</v>
      </c>
      <c r="X4" s="25" t="s">
        <v>34</v>
      </c>
      <c r="Y4" s="25" t="s">
        <v>35</v>
      </c>
      <c r="Z4" s="25" t="s">
        <v>36</v>
      </c>
      <c r="AA4" s="25" t="s">
        <v>37</v>
      </c>
      <c r="AB4" s="25" t="s">
        <v>38</v>
      </c>
      <c r="AC4" s="25" t="s">
        <v>39</v>
      </c>
      <c r="AD4" s="25" t="s">
        <v>40</v>
      </c>
      <c r="AE4" s="25" t="s">
        <v>41</v>
      </c>
      <c r="AF4" s="25" t="s">
        <v>42</v>
      </c>
      <c r="AG4" s="25" t="s">
        <v>43</v>
      </c>
    </row>
    <row r="5" spans="1:33">
      <c r="A5" s="2" t="s">
        <v>99</v>
      </c>
      <c r="B5" s="28">
        <f>'Annual P&amp;L'!B5</f>
        <v>31136</v>
      </c>
      <c r="C5" s="28">
        <f>'Annual P&amp;L'!C5</f>
        <v>46722</v>
      </c>
      <c r="D5" s="28">
        <f>'Annual P&amp;L'!D5</f>
        <v>50570</v>
      </c>
      <c r="E5" s="28">
        <f>'Annual P&amp;L'!E5</f>
        <v>60428</v>
      </c>
      <c r="F5" s="28">
        <f>'Annual P&amp;L'!F5</f>
        <v>70678</v>
      </c>
      <c r="G5" s="28">
        <f>'Annual P&amp;L'!G5</f>
        <v>75379</v>
      </c>
      <c r="H5" s="28">
        <f>'Annual P&amp;L'!H5</f>
        <v>85651</v>
      </c>
      <c r="I5" s="28">
        <f>'Annual P&amp;L'!I5</f>
        <v>101456</v>
      </c>
      <c r="J5" s="28">
        <f>'Annual P&amp;L'!J5</f>
        <v>109913</v>
      </c>
      <c r="K5" s="28">
        <f>'Annual P&amp;L'!K5</f>
        <v>117055</v>
      </c>
      <c r="L5" s="28">
        <f>'Annual P&amp;L'!L5</f>
        <v>130144</v>
      </c>
      <c r="M5" s="65">
        <f>'Annual P&amp;L'!M5</f>
        <v>135794.61590945488</v>
      </c>
      <c r="N5" s="65">
        <f>'Annual P&amp;L'!N5</f>
        <v>141613.88886877202</v>
      </c>
      <c r="O5" s="65">
        <f>'Annual P&amp;L'!O5</f>
        <v>148612.25889514459</v>
      </c>
      <c r="P5" s="65">
        <f>'Annual P&amp;L'!P5</f>
        <v>156486.22643459847</v>
      </c>
      <c r="Q5" s="2"/>
      <c r="R5" s="104" t="s">
        <v>100</v>
      </c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</row>
    <row r="6" spans="1:33">
      <c r="A6" s="2" t="s">
        <v>101</v>
      </c>
      <c r="B6" s="8">
        <f>'Annual P&amp;L'!B6</f>
        <v>0</v>
      </c>
      <c r="C6" s="8">
        <f>'Annual P&amp;L'!C6</f>
        <v>0.5005781089414183</v>
      </c>
      <c r="D6" s="8">
        <f>'Annual P&amp;L'!D6</f>
        <v>8.2359488035614881E-2</v>
      </c>
      <c r="E6" s="8">
        <f>'Annual P&amp;L'!E6</f>
        <v>0.19493771010480532</v>
      </c>
      <c r="F6" s="8">
        <f>'Annual P&amp;L'!F6</f>
        <v>0.16962335341232548</v>
      </c>
      <c r="G6" s="8">
        <f>'Annual P&amp;L'!G6</f>
        <v>6.6512917739607769E-2</v>
      </c>
      <c r="H6" s="8">
        <f>'Annual P&amp;L'!H6</f>
        <v>0.13627137531673283</v>
      </c>
      <c r="I6" s="8">
        <f>'Annual P&amp;L'!I6</f>
        <v>0.18452790977338274</v>
      </c>
      <c r="J6" s="8">
        <f>'Annual P&amp;L'!J6</f>
        <v>8.3356331808863038E-2</v>
      </c>
      <c r="K6" s="8">
        <f>'Annual P&amp;L'!K6</f>
        <v>6.4978664944092213E-2</v>
      </c>
      <c r="L6" s="8">
        <f>'Annual P&amp;L'!L6</f>
        <v>0.11181923027636587</v>
      </c>
      <c r="M6" s="66">
        <f>'Annual P&amp;L'!M6</f>
        <v>4.3418182240094749E-2</v>
      </c>
      <c r="N6" s="66">
        <f>'Annual P&amp;L'!N6</f>
        <v>4.2853488117653438E-2</v>
      </c>
      <c r="O6" s="66">
        <f>'Annual P&amp;L'!O6</f>
        <v>4.9418669893725564E-2</v>
      </c>
      <c r="P6" s="66">
        <f>'Annual P&amp;L'!P6</f>
        <v>5.2983297595990742E-2</v>
      </c>
      <c r="Q6" s="2"/>
      <c r="R6" s="2" t="s">
        <v>99</v>
      </c>
      <c r="S6" s="8">
        <f>0</f>
        <v>0</v>
      </c>
      <c r="T6" s="8">
        <f>IFERROR('Annual P&amp;L'!C5/'Annual P&amp;L'!B5-1,0)</f>
        <v>0.5005781089414183</v>
      </c>
      <c r="U6" s="8">
        <f>IFERROR('Annual P&amp;L'!D5/'Annual P&amp;L'!C5-1,0)</f>
        <v>8.2359488035614881E-2</v>
      </c>
      <c r="V6" s="8">
        <f>IFERROR('Annual P&amp;L'!E5/'Annual P&amp;L'!D5-1,0)</f>
        <v>0.19493771010480532</v>
      </c>
      <c r="W6" s="8">
        <f>IFERROR('Annual P&amp;L'!F5/'Annual P&amp;L'!E5-1,0)</f>
        <v>0.16962335341232548</v>
      </c>
      <c r="X6" s="8">
        <f>IFERROR('Annual P&amp;L'!G5/'Annual P&amp;L'!F5-1,0)</f>
        <v>6.6512917739607769E-2</v>
      </c>
      <c r="Y6" s="8">
        <f>IFERROR('Annual P&amp;L'!H5/'Annual P&amp;L'!G5-1,0)</f>
        <v>0.13627137531673283</v>
      </c>
      <c r="Z6" s="8">
        <f>IFERROR('Annual P&amp;L'!I5/'Annual P&amp;L'!H5-1,0)</f>
        <v>0.18452790977338274</v>
      </c>
      <c r="AA6" s="8">
        <f>IFERROR('Annual P&amp;L'!J5/'Annual P&amp;L'!I5-1,0)</f>
        <v>8.3356331808863038E-2</v>
      </c>
      <c r="AB6" s="8">
        <f>IFERROR('Annual P&amp;L'!K5/'Annual P&amp;L'!J5-1,0)</f>
        <v>6.4978664944092213E-2</v>
      </c>
      <c r="AC6" s="8">
        <f>IFERROR('Annual P&amp;L'!L5/'Annual P&amp;L'!K5-1,0)</f>
        <v>0.11181923027636587</v>
      </c>
      <c r="AD6" s="27">
        <f>IFERROR('Annual P&amp;L'!M5/'Annual P&amp;L'!L5-1,0)</f>
        <v>4.3418182240094749E-2</v>
      </c>
      <c r="AE6" s="27">
        <f>IFERROR('Annual P&amp;L'!N5/'Annual P&amp;L'!M5-1,0)</f>
        <v>4.2853488117653438E-2</v>
      </c>
      <c r="AF6" s="27">
        <f>IFERROR('Annual P&amp;L'!O5/'Annual P&amp;L'!N5-1,0)</f>
        <v>4.9418669893725564E-2</v>
      </c>
      <c r="AG6" s="27">
        <f>IFERROR('Annual P&amp;L'!P5/'Annual P&amp;L'!O5-1,0)</f>
        <v>5.2983297595990742E-2</v>
      </c>
    </row>
    <row r="7" spans="1:33">
      <c r="A7" s="2" t="s">
        <v>102</v>
      </c>
      <c r="B7" s="28">
        <f>'Annual P&amp;L'!B8</f>
        <v>10663.280642711421</v>
      </c>
      <c r="C7" s="28">
        <f>'Annual P&amp;L'!C8</f>
        <v>15833</v>
      </c>
      <c r="D7" s="28">
        <f>'Annual P&amp;L'!D8</f>
        <v>17333</v>
      </c>
      <c r="E7" s="28">
        <f>'Annual P&amp;L'!E8</f>
        <v>21160</v>
      </c>
      <c r="F7" s="28">
        <f>'Annual P&amp;L'!F8</f>
        <v>25383</v>
      </c>
      <c r="G7" s="28">
        <f>'Annual P&amp;L'!G8</f>
        <v>29404</v>
      </c>
      <c r="H7" s="28">
        <f>'Annual P&amp;L'!H8</f>
        <v>31235</v>
      </c>
      <c r="I7" s="28">
        <f>'Annual P&amp;L'!I8</f>
        <v>35301</v>
      </c>
      <c r="J7" s="28">
        <f>'Annual P&amp;L'!J8</f>
        <v>37788</v>
      </c>
      <c r="K7" s="28">
        <f>'Annual P&amp;L'!K8</f>
        <v>39240</v>
      </c>
      <c r="L7" s="28">
        <f>'Annual P&amp;L'!L8</f>
        <v>42333</v>
      </c>
      <c r="M7" s="65">
        <f>'Annual P&amp;L'!M8</f>
        <v>46170.169409214664</v>
      </c>
      <c r="N7" s="65">
        <f>'Annual P&amp;L'!N8</f>
        <v>48148.722215382491</v>
      </c>
      <c r="O7" s="65">
        <f>'Annual P&amp;L'!O8</f>
        <v>50528.168024349165</v>
      </c>
      <c r="P7" s="65">
        <f>'Annual P&amp;L'!P8</f>
        <v>53205.316987763486</v>
      </c>
      <c r="Q7" s="2"/>
      <c r="R7" s="2" t="s">
        <v>103</v>
      </c>
      <c r="S7" s="8">
        <f>0</f>
        <v>0</v>
      </c>
      <c r="T7" s="8">
        <f>IFERROR('Annual P&amp;L'!C14/'Annual P&amp;L'!B14-1,0)</f>
        <v>0.53994313552926476</v>
      </c>
      <c r="U7" s="8">
        <f>IFERROR('Annual P&amp;L'!D14/'Annual P&amp;L'!C14-1,0)</f>
        <v>0.10970996216897855</v>
      </c>
      <c r="V7" s="8">
        <f>IFERROR('Annual P&amp;L'!E14/'Annual P&amp;L'!D14-1,0)</f>
        <v>0.22106643356643363</v>
      </c>
      <c r="W7" s="8">
        <f>IFERROR('Annual P&amp;L'!F14/'Annual P&amp;L'!E14-1,0)</f>
        <v>0.19500322141885595</v>
      </c>
      <c r="X7" s="8">
        <f>IFERROR('Annual P&amp;L'!G14/'Annual P&amp;L'!F14-1,0)</f>
        <v>0.16701611453902832</v>
      </c>
      <c r="Y7" s="8">
        <f>IFERROR('Annual P&amp;L'!H14/'Annual P&amp;L'!G14-1,0)</f>
        <v>4.6096196293824665E-2</v>
      </c>
      <c r="Z7" s="8">
        <f>IFERROR('Annual P&amp;L'!I14/'Annual P&amp;L'!H14-1,0)</f>
        <v>0.11040777270719859</v>
      </c>
      <c r="AA7" s="8">
        <f>IFERROR('Annual P&amp;L'!J14/'Annual P&amp;L'!I14-1,0)</f>
        <v>6.9424190198418056E-2</v>
      </c>
      <c r="AB7" s="8">
        <f>IFERROR('Annual P&amp;L'!K14/'Annual P&amp;L'!J14-1,0)</f>
        <v>5.392561983471067E-2</v>
      </c>
      <c r="AC7" s="8">
        <f>IFERROR('Annual P&amp;L'!L14/'Annual P&amp;L'!K14-1,0)</f>
        <v>4.889237404430502E-2</v>
      </c>
      <c r="AD7" s="27">
        <f>IFERROR('Annual P&amp;L'!M14/'Annual P&amp;L'!L14-1,0)</f>
        <v>-1.0169329308324482E-2</v>
      </c>
      <c r="AE7" s="27">
        <f>IFERROR('Annual P&amp;L'!N14/'Annual P&amp;L'!M14-1,0)</f>
        <v>4.2853488117653438E-2</v>
      </c>
      <c r="AF7" s="27">
        <f>IFERROR('Annual P&amp;L'!O14/'Annual P&amp;L'!N14-1,0)</f>
        <v>4.9418669893725342E-2</v>
      </c>
      <c r="AG7" s="27">
        <f>IFERROR('Annual P&amp;L'!P14/'Annual P&amp;L'!O14-1,0)</f>
        <v>5.2983297595991186E-2</v>
      </c>
    </row>
    <row r="8" spans="1:33">
      <c r="A8" s="2" t="s">
        <v>51</v>
      </c>
      <c r="B8" s="8">
        <f>'Annual P&amp;L'!B9</f>
        <v>0.34247432691133806</v>
      </c>
      <c r="C8" s="8">
        <f>'Annual P&amp;L'!C9</f>
        <v>0.33887676041265358</v>
      </c>
      <c r="D8" s="8">
        <f>'Annual P&amp;L'!D9</f>
        <v>0.34275262013051216</v>
      </c>
      <c r="E8" s="8">
        <f>'Annual P&amp;L'!E9</f>
        <v>0.35016879592242006</v>
      </c>
      <c r="F8" s="8">
        <f>'Annual P&amp;L'!F9</f>
        <v>0.35913579897563597</v>
      </c>
      <c r="G8" s="8">
        <f>'Annual P&amp;L'!G9</f>
        <v>0.39008211836187795</v>
      </c>
      <c r="H8" s="8">
        <f>'Annual P&amp;L'!H9</f>
        <v>0.36467758695169933</v>
      </c>
      <c r="I8" s="8">
        <f>'Annual P&amp;L'!I9</f>
        <v>0.3479439362876518</v>
      </c>
      <c r="J8" s="8">
        <f>'Annual P&amp;L'!J9</f>
        <v>0.3437991866294251</v>
      </c>
      <c r="K8" s="8">
        <f>'Annual P&amp;L'!K9</f>
        <v>0.33522703002861903</v>
      </c>
      <c r="L8" s="8">
        <f>'Annual P&amp;L'!L9</f>
        <v>0.32527815343004673</v>
      </c>
      <c r="M8" s="66">
        <f>'Annual P&amp;L'!M9</f>
        <v>0.34</v>
      </c>
      <c r="N8" s="66">
        <f>'Annual P&amp;L'!N9</f>
        <v>0.34</v>
      </c>
      <c r="O8" s="66">
        <f>'Annual P&amp;L'!O9</f>
        <v>0.34</v>
      </c>
      <c r="P8" s="66">
        <f>'Annual P&amp;L'!P9</f>
        <v>0.34</v>
      </c>
      <c r="Q8" s="2"/>
      <c r="R8" s="2" t="s">
        <v>104</v>
      </c>
      <c r="S8" s="8">
        <f>0</f>
        <v>0</v>
      </c>
      <c r="T8" s="8">
        <f>IFERROR('Annual P&amp;L'!C17/'Annual P&amp;L'!B17-1,0)</f>
        <v>0.51623570484967241</v>
      </c>
      <c r="U8" s="8">
        <f>IFERROR('Annual P&amp;L'!D17/'Annual P&amp;L'!C17-1,0)</f>
        <v>5.4142480211081701E-2</v>
      </c>
      <c r="V8" s="8">
        <f>IFERROR('Annual P&amp;L'!E17/'Annual P&amp;L'!D17-1,0)</f>
        <v>0.18352022426912296</v>
      </c>
      <c r="W8" s="8">
        <f>IFERROR('Annual P&amp;L'!F17/'Annual P&amp;L'!E17-1,0)</f>
        <v>0.17189747060316396</v>
      </c>
      <c r="X8" s="8">
        <f>IFERROR('Annual P&amp;L'!G17/'Annual P&amp;L'!F17-1,0)</f>
        <v>0.11860246877932568</v>
      </c>
      <c r="Y8" s="8">
        <f>IFERROR('Annual P&amp;L'!H17/'Annual P&amp;L'!G17-1,0)</f>
        <v>4.530201342281881E-2</v>
      </c>
      <c r="Z8" s="8">
        <f>IFERROR('Annual P&amp;L'!I17/'Annual P&amp;L'!H17-1,0)</f>
        <v>0.14119027040375354</v>
      </c>
      <c r="AA8" s="8">
        <f>IFERROR('Annual P&amp;L'!J17/'Annual P&amp;L'!I17-1,0)</f>
        <v>8.3418988368947788E-2</v>
      </c>
      <c r="AB8" s="8">
        <f>IFERROR('Annual P&amp;L'!K17/'Annual P&amp;L'!J17-1,0)</f>
        <v>6.96060318569931E-2</v>
      </c>
      <c r="AC8" s="8">
        <f>IFERROR('Annual P&amp;L'!L17/'Annual P&amp;L'!K17-1,0)</f>
        <v>4.5562765510480441E-2</v>
      </c>
      <c r="AD8" s="27">
        <f>IFERROR('Annual P&amp;L'!M17/'Annual P&amp;L'!L17-1,0)</f>
        <v>-2.9908534825522026E-2</v>
      </c>
      <c r="AE8" s="27">
        <f>IFERROR('Annual P&amp;L'!N17/'Annual P&amp;L'!M17-1,0)</f>
        <v>4.2853488117653438E-2</v>
      </c>
      <c r="AF8" s="27">
        <f>IFERROR('Annual P&amp;L'!O17/'Annual P&amp;L'!N17-1,0)</f>
        <v>4.9418669893725342E-2</v>
      </c>
      <c r="AG8" s="27">
        <f>IFERROR('Annual P&amp;L'!P17/'Annual P&amp;L'!O17-1,0)</f>
        <v>5.2983297595991186E-2</v>
      </c>
    </row>
    <row r="9" spans="1:33">
      <c r="A9" s="3" t="s">
        <v>103</v>
      </c>
      <c r="B9" s="30">
        <f>'Annual P&amp;L'!B14</f>
        <v>6694.4030348606921</v>
      </c>
      <c r="C9" s="30">
        <f>'Annual P&amp;L'!C14</f>
        <v>10309</v>
      </c>
      <c r="D9" s="30">
        <f>'Annual P&amp;L'!D14</f>
        <v>11440</v>
      </c>
      <c r="E9" s="30">
        <f>'Annual P&amp;L'!E14</f>
        <v>13969</v>
      </c>
      <c r="F9" s="30">
        <f>'Annual P&amp;L'!F14</f>
        <v>16693</v>
      </c>
      <c r="G9" s="30">
        <f>'Annual P&amp;L'!G14</f>
        <v>19481</v>
      </c>
      <c r="H9" s="30">
        <f>'Annual P&amp;L'!H14</f>
        <v>20379</v>
      </c>
      <c r="I9" s="30">
        <f>'Annual P&amp;L'!I14</f>
        <v>22629</v>
      </c>
      <c r="J9" s="30">
        <f>'Annual P&amp;L'!J14</f>
        <v>24200</v>
      </c>
      <c r="K9" s="30">
        <f>'Annual P&amp;L'!K14</f>
        <v>25505</v>
      </c>
      <c r="L9" s="30">
        <f>'Annual P&amp;L'!L14</f>
        <v>26752</v>
      </c>
      <c r="M9" s="67">
        <f>'Annual P&amp;L'!M14</f>
        <v>26479.950102343704</v>
      </c>
      <c r="N9" s="67">
        <f>'Annual P&amp;L'!N14</f>
        <v>27614.708329410547</v>
      </c>
      <c r="O9" s="67">
        <f>'Annual P&amp;L'!O14</f>
        <v>28979.390484553194</v>
      </c>
      <c r="P9" s="67">
        <f>'Annual P&amp;L'!P14</f>
        <v>30514.814154746709</v>
      </c>
      <c r="Q9" s="2"/>
      <c r="R9" s="2" t="s">
        <v>105</v>
      </c>
      <c r="S9" s="8">
        <f>0</f>
        <v>0</v>
      </c>
      <c r="T9" s="8">
        <f>IFERROR('Annual P&amp;L'!C25/'Annual P&amp;L'!B25-1,0)</f>
        <v>0.51855832182004491</v>
      </c>
      <c r="U9" s="8">
        <f>IFERROR('Annual P&amp;L'!D25/'Annual P&amp;L'!C25-1,0)</f>
        <v>3.8429703204446053E-2</v>
      </c>
      <c r="V9" s="8">
        <f>IFERROR('Annual P&amp;L'!E25/'Annual P&amp;L'!D25-1,0)</f>
        <v>0.15269870189022994</v>
      </c>
      <c r="W9" s="8">
        <f>IFERROR('Annual P&amp;L'!F25/'Annual P&amp;L'!E25-1,0)</f>
        <v>9.2759063518719653E-2</v>
      </c>
      <c r="X9" s="8">
        <f>IFERROR('Annual P&amp;L'!G25/'Annual P&amp;L'!F25-1,0)</f>
        <v>0.12393780509853558</v>
      </c>
      <c r="Y9" s="8">
        <f>IFERROR('Annual P&amp;L'!H25/'Annual P&amp;L'!G25-1,0)</f>
        <v>8.5819995174133412E-2</v>
      </c>
      <c r="Z9" s="8">
        <f>IFERROR('Annual P&amp;L'!I25/'Annual P&amp;L'!H25-1,0)</f>
        <v>0.10007407407407398</v>
      </c>
      <c r="AA9" s="8">
        <f>IFERROR('Annual P&amp;L'!J25/'Annual P&amp;L'!I25-1,0)</f>
        <v>5.7302538549592663E-2</v>
      </c>
      <c r="AB9" s="8">
        <f>IFERROR('Annual P&amp;L'!K25/'Annual P&amp;L'!J25-1,0)</f>
        <v>0.1075659151700421</v>
      </c>
      <c r="AC9" s="8">
        <f>IFERROR('Annual P&amp;L'!L25/'Annual P&amp;L'!K25-1,0)</f>
        <v>-1.7250301880282759E-3</v>
      </c>
      <c r="AD9" s="27">
        <f>IFERROR('Annual P&amp;L'!M25/'Annual P&amp;L'!L25-1,0)</f>
        <v>-2.5143487752169458E-2</v>
      </c>
      <c r="AE9" s="27">
        <f>IFERROR('Annual P&amp;L'!N25/'Annual P&amp;L'!M25-1,0)</f>
        <v>4.4767475190909956E-2</v>
      </c>
      <c r="AF9" s="27">
        <f>IFERROR('Annual P&amp;L'!O25/'Annual P&amp;L'!N25-1,0)</f>
        <v>-5.1273728213530378E-2</v>
      </c>
      <c r="AG9" s="27">
        <f>IFERROR('Annual P&amp;L'!P25/'Annual P&amp;L'!O25-1,0)</f>
        <v>-5.7960799067632407E-2</v>
      </c>
    </row>
    <row r="10" spans="1:33">
      <c r="A10" s="2" t="s">
        <v>106</v>
      </c>
      <c r="B10" s="8">
        <f>'Annual P&amp;L'!B15</f>
        <v>0.21500523621726272</v>
      </c>
      <c r="C10" s="8">
        <f>'Annual P&amp;L'!C15</f>
        <v>0.22064552031163048</v>
      </c>
      <c r="D10" s="8">
        <f>'Annual P&amp;L'!D15</f>
        <v>0.2262210796915167</v>
      </c>
      <c r="E10" s="8">
        <f>'Annual P&amp;L'!E15</f>
        <v>0.23116767061627061</v>
      </c>
      <c r="F10" s="8">
        <f>'Annual P&amp;L'!F15</f>
        <v>0.23618381957610571</v>
      </c>
      <c r="G10" s="8">
        <f>'Annual P&amp;L'!G15</f>
        <v>0.25844067976492124</v>
      </c>
      <c r="H10" s="8">
        <f>'Annual P&amp;L'!H15</f>
        <v>0.23793067214626801</v>
      </c>
      <c r="I10" s="8">
        <f>'Annual P&amp;L'!I15</f>
        <v>0.22304250118277874</v>
      </c>
      <c r="J10" s="8">
        <f>'Annual P&amp;L'!J15</f>
        <v>0.22017413772711145</v>
      </c>
      <c r="K10" s="8">
        <f>'Annual P&amp;L'!K15</f>
        <v>0.21788902652599207</v>
      </c>
      <c r="L10" s="8">
        <f>'Annual P&amp;L'!L15</f>
        <v>0.20555692156380626</v>
      </c>
      <c r="M10" s="66">
        <f>'Annual P&amp;L'!M15</f>
        <v>0.19500000000000003</v>
      </c>
      <c r="N10" s="66">
        <f>'Annual P&amp;L'!N15</f>
        <v>0.19500000000000003</v>
      </c>
      <c r="O10" s="66">
        <f>'Annual P&amp;L'!O15</f>
        <v>0.19499999999999998</v>
      </c>
      <c r="P10" s="66">
        <f>'Annual P&amp;L'!P15</f>
        <v>0.19500000000000003</v>
      </c>
      <c r="Q10" s="2"/>
      <c r="R10" s="2" t="s">
        <v>107</v>
      </c>
      <c r="S10" s="8">
        <f>0</f>
        <v>0</v>
      </c>
      <c r="T10" s="8">
        <f>IFERROR('Annual P&amp;L'!C29/'Annual P&amp;L'!B29-1,0)</f>
        <v>0.51804008444088612</v>
      </c>
      <c r="U10" s="8">
        <f>IFERROR('Annual P&amp;L'!D29/'Annual P&amp;L'!C29-1,0)</f>
        <v>4.5278420734447877E-2</v>
      </c>
      <c r="V10" s="8">
        <f>IFERROR('Annual P&amp;L'!E29/'Annual P&amp;L'!D29-1,0)</f>
        <v>0.17581479200654515</v>
      </c>
      <c r="W10" s="8">
        <f>IFERROR('Annual P&amp;L'!F29/'Annual P&amp;L'!E29-1,0)</f>
        <v>0.10824116593573629</v>
      </c>
      <c r="X10" s="8">
        <f>IFERROR('Annual P&amp;L'!G29/'Annual P&amp;L'!F29-1,0)</f>
        <v>0.12390848378970021</v>
      </c>
      <c r="Y10" s="8">
        <f>IFERROR('Annual P&amp;L'!H29/'Annual P&amp;L'!G29-1,0)</f>
        <v>8.6361289856178969E-2</v>
      </c>
      <c r="Z10" s="8">
        <f>IFERROR('Annual P&amp;L'!I29/'Annual P&amp;L'!H29-1,0)</f>
        <v>0.1011477765197295</v>
      </c>
      <c r="AA10" s="8">
        <f>IFERROR('Annual P&amp;L'!J29/'Annual P&amp;L'!I29-1,0)</f>
        <v>5.6060865392624892E-2</v>
      </c>
      <c r="AB10" s="8">
        <f>IFERROR('Annual P&amp;L'!K29/'Annual P&amp;L'!J29-1,0)</f>
        <v>0.10770016748705591</v>
      </c>
      <c r="AC10" s="8">
        <f>IFERROR('Annual P&amp;L'!L29/'Annual P&amp;L'!K29-1,0)</f>
        <v>-1.4803864832076963E-3</v>
      </c>
      <c r="AD10" s="27">
        <f>IFERROR('Annual P&amp;L'!M29/'Annual P&amp;L'!L29-1,0)</f>
        <v>-2.5143487752169569E-2</v>
      </c>
      <c r="AE10" s="27">
        <f>IFERROR('Annual P&amp;L'!N29/'Annual P&amp;L'!M29-1,0)</f>
        <v>4.4767475190909956E-2</v>
      </c>
      <c r="AF10" s="27">
        <f>IFERROR('Annual P&amp;L'!O29/'Annual P&amp;L'!N29-1,0)</f>
        <v>-5.1273728213530378E-2</v>
      </c>
      <c r="AG10" s="27">
        <f>IFERROR('Annual P&amp;L'!P29/'Annual P&amp;L'!O29-1,0)</f>
        <v>-5.7960799067632407E-2</v>
      </c>
    </row>
    <row r="11" spans="1:33">
      <c r="A11" s="3" t="s">
        <v>104</v>
      </c>
      <c r="B11" s="30">
        <f>'Annual P&amp;L'!B17</f>
        <v>6249.0284127291416</v>
      </c>
      <c r="C11" s="30">
        <f>'Annual P&amp;L'!C17</f>
        <v>9475</v>
      </c>
      <c r="D11" s="30">
        <f>'Annual P&amp;L'!D17</f>
        <v>9988</v>
      </c>
      <c r="E11" s="30">
        <f>'Annual P&amp;L'!E17</f>
        <v>11821</v>
      </c>
      <c r="F11" s="30">
        <f>'Annual P&amp;L'!F17</f>
        <v>13853</v>
      </c>
      <c r="G11" s="30">
        <f>'Annual P&amp;L'!G17</f>
        <v>15496</v>
      </c>
      <c r="H11" s="30">
        <f>'Annual P&amp;L'!H17</f>
        <v>16198</v>
      </c>
      <c r="I11" s="30">
        <f>'Annual P&amp;L'!I17</f>
        <v>18485</v>
      </c>
      <c r="J11" s="30">
        <f>'Annual P&amp;L'!J17</f>
        <v>20027</v>
      </c>
      <c r="K11" s="30">
        <f>'Annual P&amp;L'!K17</f>
        <v>21421</v>
      </c>
      <c r="L11" s="30">
        <f>'Annual P&amp;L'!L17</f>
        <v>22397</v>
      </c>
      <c r="M11" s="67">
        <f>'Annual P&amp;L'!M17</f>
        <v>21727.138545512782</v>
      </c>
      <c r="N11" s="67">
        <f>'Annual P&amp;L'!N17</f>
        <v>22658.222219003525</v>
      </c>
      <c r="O11" s="67">
        <f>'Annual P&amp;L'!O17</f>
        <v>23777.961423223132</v>
      </c>
      <c r="P11" s="67">
        <f>'Annual P&amp;L'!P17</f>
        <v>25037.796229535761</v>
      </c>
      <c r="Q11" s="2"/>
      <c r="R11" s="2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27"/>
      <c r="AE11" s="27"/>
      <c r="AF11" s="27"/>
      <c r="AG11" s="27"/>
    </row>
    <row r="12" spans="1:33">
      <c r="A12" s="2" t="s">
        <v>108</v>
      </c>
      <c r="B12" s="8">
        <f>'Annual P&amp;L'!B18</f>
        <v>0.20070106669864921</v>
      </c>
      <c r="C12" s="8">
        <f>'Annual P&amp;L'!C18</f>
        <v>0.20279525705235221</v>
      </c>
      <c r="D12" s="8">
        <f>'Annual P&amp;L'!D18</f>
        <v>0.19750840419220883</v>
      </c>
      <c r="E12" s="8">
        <f>'Annual P&amp;L'!E18</f>
        <v>0.19562123518898525</v>
      </c>
      <c r="F12" s="8">
        <f>'Annual P&amp;L'!F18</f>
        <v>0.19600158465151815</v>
      </c>
      <c r="G12" s="8">
        <f>'Annual P&amp;L'!G18</f>
        <v>0.20557449687578769</v>
      </c>
      <c r="H12" s="8">
        <f>'Annual P&amp;L'!H18</f>
        <v>0.18911629753301187</v>
      </c>
      <c r="I12" s="8">
        <f>'Annual P&amp;L'!I18</f>
        <v>0.18219720864217001</v>
      </c>
      <c r="J12" s="8">
        <f>'Annual P&amp;L'!J18</f>
        <v>0.18220774612648186</v>
      </c>
      <c r="K12" s="8">
        <f>'Annual P&amp;L'!K18</f>
        <v>0.18299944470548032</v>
      </c>
      <c r="L12" s="8">
        <f>'Annual P&amp;L'!L18</f>
        <v>0.1720939881976887</v>
      </c>
      <c r="M12" s="66">
        <f>'Annual P&amp;L'!M18</f>
        <v>0.16</v>
      </c>
      <c r="N12" s="66">
        <f>'Annual P&amp;L'!N18</f>
        <v>0.16</v>
      </c>
      <c r="O12" s="66">
        <f>'Annual P&amp;L'!O18</f>
        <v>0.15999999999999998</v>
      </c>
      <c r="P12" s="66">
        <f>'Annual P&amp;L'!P18</f>
        <v>0.16000000000000003</v>
      </c>
      <c r="Q12" s="2"/>
      <c r="R12" s="104" t="s">
        <v>109</v>
      </c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1"/>
      <c r="AE12" s="111"/>
      <c r="AF12" s="111"/>
      <c r="AG12" s="111"/>
    </row>
    <row r="13" spans="1:33">
      <c r="A13" s="2" t="s">
        <v>110</v>
      </c>
      <c r="B13" s="28">
        <f>'Annual P&amp;L'!B21</f>
        <v>7046.6604768215884</v>
      </c>
      <c r="C13" s="28">
        <f>'Annual P&amp;L'!C21</f>
        <v>10409</v>
      </c>
      <c r="D13" s="28">
        <f>'Annual P&amp;L'!D21</f>
        <v>11099</v>
      </c>
      <c r="E13" s="28">
        <f>'Annual P&amp;L'!E21</f>
        <v>12626</v>
      </c>
      <c r="F13" s="28">
        <f>'Annual P&amp;L'!F21</f>
        <v>14032</v>
      </c>
      <c r="G13" s="28">
        <f>'Annual P&amp;L'!G21</f>
        <v>16153</v>
      </c>
      <c r="H13" s="28">
        <f>'Annual P&amp;L'!H21</f>
        <v>16975</v>
      </c>
      <c r="I13" s="28">
        <f>'Annual P&amp;L'!I21</f>
        <v>19488</v>
      </c>
      <c r="J13" s="28">
        <f>'Annual P&amp;L'!J21</f>
        <v>20967</v>
      </c>
      <c r="K13" s="28">
        <f>'Annual P&amp;L'!K21</f>
        <v>23262</v>
      </c>
      <c r="L13" s="28">
        <f>'Annual P&amp;L'!L21</f>
        <v>23058</v>
      </c>
      <c r="M13" s="65">
        <f>'Annual P&amp;L'!M21</f>
        <v>22565.978545512782</v>
      </c>
      <c r="N13" s="65">
        <f>'Annual P&amp;L'!N21</f>
        <v>23576.200430207628</v>
      </c>
      <c r="O13" s="65">
        <f>'Annual P&amp;L'!O21</f>
        <v>22367.360737041443</v>
      </c>
      <c r="P13" s="65">
        <f>'Annual P&amp;L'!P21</f>
        <v>21070.930635688535</v>
      </c>
      <c r="Q13" s="2"/>
      <c r="R13" s="2" t="s">
        <v>51</v>
      </c>
      <c r="S13" s="8">
        <f>'Annual P&amp;L'!B9</f>
        <v>0.34247432691133806</v>
      </c>
      <c r="T13" s="8">
        <f>'Annual P&amp;L'!C9</f>
        <v>0.33887676041265358</v>
      </c>
      <c r="U13" s="8">
        <f>'Annual P&amp;L'!D9</f>
        <v>0.34275262013051216</v>
      </c>
      <c r="V13" s="8">
        <f>'Annual P&amp;L'!E9</f>
        <v>0.35016879592242006</v>
      </c>
      <c r="W13" s="8">
        <f>'Annual P&amp;L'!F9</f>
        <v>0.35913579897563597</v>
      </c>
      <c r="X13" s="8">
        <f>'Annual P&amp;L'!G9</f>
        <v>0.39008211836187795</v>
      </c>
      <c r="Y13" s="8">
        <f>'Annual P&amp;L'!H9</f>
        <v>0.36467758695169933</v>
      </c>
      <c r="Z13" s="8">
        <f>'Annual P&amp;L'!I9</f>
        <v>0.3479439362876518</v>
      </c>
      <c r="AA13" s="8">
        <f>'Annual P&amp;L'!J9</f>
        <v>0.3437991866294251</v>
      </c>
      <c r="AB13" s="8">
        <f>'Annual P&amp;L'!K9</f>
        <v>0.33522703002861903</v>
      </c>
      <c r="AC13" s="8">
        <f>'Annual P&amp;L'!L9</f>
        <v>0.32527815343004673</v>
      </c>
      <c r="AD13" s="27">
        <f>'Annual P&amp;L'!M9</f>
        <v>0.34</v>
      </c>
      <c r="AE13" s="27">
        <f>'Annual P&amp;L'!N9</f>
        <v>0.34</v>
      </c>
      <c r="AF13" s="27">
        <f>'Annual P&amp;L'!O9</f>
        <v>0.34</v>
      </c>
      <c r="AG13" s="27">
        <f>'Annual P&amp;L'!P9</f>
        <v>0.34</v>
      </c>
    </row>
    <row r="14" spans="1:33">
      <c r="A14" s="2" t="s">
        <v>111</v>
      </c>
      <c r="B14" s="8">
        <f>'Annual P&amp;L'!B22</f>
        <v>0.22631874604385882</v>
      </c>
      <c r="C14" s="8">
        <f>'Annual P&amp;L'!C22</f>
        <v>0.22278583964727539</v>
      </c>
      <c r="D14" s="8">
        <f>'Annual P&amp;L'!D22</f>
        <v>0.21947795135455803</v>
      </c>
      <c r="E14" s="8">
        <f>'Annual P&amp;L'!E22</f>
        <v>0.20894287416429469</v>
      </c>
      <c r="F14" s="8">
        <f>'Annual P&amp;L'!F22</f>
        <v>0.19853419734570871</v>
      </c>
      <c r="G14" s="8">
        <f>'Annual P&amp;L'!G22</f>
        <v>0.21429045224797358</v>
      </c>
      <c r="H14" s="8">
        <f>'Annual P&amp;L'!H22</f>
        <v>0.19818799546998866</v>
      </c>
      <c r="I14" s="8">
        <f>'Annual P&amp;L'!I22</f>
        <v>0.19208326762340325</v>
      </c>
      <c r="J14" s="8">
        <f>'Annual P&amp;L'!J22</f>
        <v>0.19075996469935314</v>
      </c>
      <c r="K14" s="8">
        <f>'Annual P&amp;L'!K22</f>
        <v>0.19872709410106359</v>
      </c>
      <c r="L14" s="8">
        <f>'Annual P&amp;L'!L22</f>
        <v>0.17717297762478484</v>
      </c>
      <c r="M14" s="66">
        <f>'Annual P&amp;L'!M22</f>
        <v>0.16617726994831167</v>
      </c>
      <c r="N14" s="66">
        <f>'Annual P&amp;L'!N22</f>
        <v>0.16648226115769449</v>
      </c>
      <c r="O14" s="66">
        <f>'Annual P&amp;L'!O22</f>
        <v>0.1505081808414139</v>
      </c>
      <c r="P14" s="66">
        <f>'Annual P&amp;L'!P22</f>
        <v>0.13465038499407406</v>
      </c>
      <c r="Q14" s="2"/>
      <c r="R14" s="2" t="s">
        <v>106</v>
      </c>
      <c r="S14" s="8">
        <f>'Annual P&amp;L'!B15</f>
        <v>0.21500523621726272</v>
      </c>
      <c r="T14" s="8">
        <f>'Annual P&amp;L'!C15</f>
        <v>0.22064552031163048</v>
      </c>
      <c r="U14" s="8">
        <f>'Annual P&amp;L'!D15</f>
        <v>0.2262210796915167</v>
      </c>
      <c r="V14" s="8">
        <f>'Annual P&amp;L'!E15</f>
        <v>0.23116767061627061</v>
      </c>
      <c r="W14" s="8">
        <f>'Annual P&amp;L'!F15</f>
        <v>0.23618381957610571</v>
      </c>
      <c r="X14" s="8">
        <f>'Annual P&amp;L'!G15</f>
        <v>0.25844067976492124</v>
      </c>
      <c r="Y14" s="8">
        <f>'Annual P&amp;L'!H15</f>
        <v>0.23793067214626801</v>
      </c>
      <c r="Z14" s="8">
        <f>'Annual P&amp;L'!I15</f>
        <v>0.22304250118277874</v>
      </c>
      <c r="AA14" s="8">
        <f>'Annual P&amp;L'!J15</f>
        <v>0.22017413772711145</v>
      </c>
      <c r="AB14" s="8">
        <f>'Annual P&amp;L'!K15</f>
        <v>0.21788902652599207</v>
      </c>
      <c r="AC14" s="8">
        <f>'Annual P&amp;L'!L15</f>
        <v>0.20555692156380626</v>
      </c>
      <c r="AD14" s="27">
        <f>'Annual P&amp;L'!M15</f>
        <v>0.19500000000000003</v>
      </c>
      <c r="AE14" s="27">
        <f>'Annual P&amp;L'!N15</f>
        <v>0.19500000000000003</v>
      </c>
      <c r="AF14" s="27">
        <f>'Annual P&amp;L'!O15</f>
        <v>0.19499999999999998</v>
      </c>
      <c r="AG14" s="27">
        <f>'Annual P&amp;L'!P15</f>
        <v>0.19500000000000003</v>
      </c>
    </row>
    <row r="15" spans="1:33">
      <c r="A15" s="2" t="s">
        <v>112</v>
      </c>
      <c r="B15" s="28">
        <f>'Annual P&amp;L'!B23</f>
        <v>1477.5625511890757</v>
      </c>
      <c r="C15" s="28">
        <f>'Annual P&amp;L'!C23</f>
        <v>1952</v>
      </c>
      <c r="D15" s="28">
        <f>'Annual P&amp;L'!D23</f>
        <v>2317</v>
      </c>
      <c r="E15" s="28">
        <f>'Annual P&amp;L'!E23</f>
        <v>2481</v>
      </c>
      <c r="F15" s="28">
        <f>'Annual P&amp;L'!F23</f>
        <v>2938</v>
      </c>
      <c r="G15" s="28">
        <f>'Annual P&amp;L'!G23</f>
        <v>3663</v>
      </c>
      <c r="H15" s="28">
        <f>'Annual P&amp;L'!H23</f>
        <v>3443</v>
      </c>
      <c r="I15" s="28">
        <f>'Annual P&amp;L'!I23</f>
        <v>4642</v>
      </c>
      <c r="J15" s="28">
        <f>'Annual P&amp;L'!J23</f>
        <v>5257</v>
      </c>
      <c r="K15" s="28">
        <f>'Annual P&amp;L'!K23</f>
        <v>5862</v>
      </c>
      <c r="L15" s="28">
        <f>'Annual P&amp;L'!L23</f>
        <v>5687</v>
      </c>
      <c r="M15" s="65">
        <f>'Annual P&amp;L'!M23</f>
        <v>5641.4946363781955</v>
      </c>
      <c r="N15" s="65">
        <f>'Annual P&amp;L'!N23</f>
        <v>5894.0501075519069</v>
      </c>
      <c r="O15" s="65">
        <f>'Annual P&amp;L'!O23</f>
        <v>5591.8401842603607</v>
      </c>
      <c r="P15" s="65">
        <f>'Annual P&amp;L'!P23</f>
        <v>5267.7326589221339</v>
      </c>
      <c r="Q15" s="2"/>
      <c r="R15" s="2" t="s">
        <v>108</v>
      </c>
      <c r="S15" s="8">
        <f>'Annual P&amp;L'!B18</f>
        <v>0.20070106669864921</v>
      </c>
      <c r="T15" s="8">
        <f>'Annual P&amp;L'!C18</f>
        <v>0.20279525705235221</v>
      </c>
      <c r="U15" s="8">
        <f>'Annual P&amp;L'!D18</f>
        <v>0.19750840419220883</v>
      </c>
      <c r="V15" s="8">
        <f>'Annual P&amp;L'!E18</f>
        <v>0.19562123518898525</v>
      </c>
      <c r="W15" s="8">
        <f>'Annual P&amp;L'!F18</f>
        <v>0.19600158465151815</v>
      </c>
      <c r="X15" s="8">
        <f>'Annual P&amp;L'!G18</f>
        <v>0.20557449687578769</v>
      </c>
      <c r="Y15" s="8">
        <f>'Annual P&amp;L'!H18</f>
        <v>0.18911629753301187</v>
      </c>
      <c r="Z15" s="8">
        <f>'Annual P&amp;L'!I18</f>
        <v>0.18219720864217001</v>
      </c>
      <c r="AA15" s="8">
        <f>'Annual P&amp;L'!J18</f>
        <v>0.18220774612648186</v>
      </c>
      <c r="AB15" s="8">
        <f>'Annual P&amp;L'!K18</f>
        <v>0.18299944470548032</v>
      </c>
      <c r="AC15" s="8">
        <f>'Annual P&amp;L'!L18</f>
        <v>0.1720939881976887</v>
      </c>
      <c r="AD15" s="27">
        <f>'Annual P&amp;L'!M18</f>
        <v>0.16</v>
      </c>
      <c r="AE15" s="27">
        <f>'Annual P&amp;L'!N18</f>
        <v>0.16</v>
      </c>
      <c r="AF15" s="27">
        <f>'Annual P&amp;L'!O18</f>
        <v>0.15999999999999998</v>
      </c>
      <c r="AG15" s="27">
        <f>'Annual P&amp;L'!P18</f>
        <v>0.16000000000000003</v>
      </c>
    </row>
    <row r="16" spans="1:33">
      <c r="A16" s="2" t="s">
        <v>105</v>
      </c>
      <c r="B16" s="28">
        <f>'Annual P&amp;L'!B25</f>
        <v>5569.0979256325118</v>
      </c>
      <c r="C16" s="28">
        <f>'Annual P&amp;L'!C25</f>
        <v>8457</v>
      </c>
      <c r="D16" s="28">
        <f>'Annual P&amp;L'!D25</f>
        <v>8782</v>
      </c>
      <c r="E16" s="28">
        <f>'Annual P&amp;L'!E25</f>
        <v>10123</v>
      </c>
      <c r="F16" s="28">
        <f>'Annual P&amp;L'!F25</f>
        <v>11062</v>
      </c>
      <c r="G16" s="28">
        <f>'Annual P&amp;L'!G25</f>
        <v>12433</v>
      </c>
      <c r="H16" s="28">
        <f>'Annual P&amp;L'!H25</f>
        <v>13500</v>
      </c>
      <c r="I16" s="28">
        <f>'Annual P&amp;L'!I25</f>
        <v>14851</v>
      </c>
      <c r="J16" s="28">
        <f>'Annual P&amp;L'!J25</f>
        <v>15702</v>
      </c>
      <c r="K16" s="28">
        <f>'Annual P&amp;L'!K25</f>
        <v>17391</v>
      </c>
      <c r="L16" s="28">
        <f>'Annual P&amp;L'!L25</f>
        <v>17361</v>
      </c>
      <c r="M16" s="65">
        <f>'Annual P&amp;L'!M25</f>
        <v>16924.483909134586</v>
      </c>
      <c r="N16" s="65">
        <f>'Annual P&amp;L'!N25</f>
        <v>17682.150322655722</v>
      </c>
      <c r="O16" s="65">
        <f>'Annual P&amp;L'!O25</f>
        <v>16775.520552781083</v>
      </c>
      <c r="P16" s="65">
        <f>'Annual P&amp;L'!P25</f>
        <v>15803.197976766402</v>
      </c>
      <c r="Q16" s="2"/>
      <c r="R16" s="2" t="s">
        <v>111</v>
      </c>
      <c r="S16" s="8">
        <f>'Annual P&amp;L'!B22</f>
        <v>0.22631874604385882</v>
      </c>
      <c r="T16" s="8">
        <f>'Annual P&amp;L'!C22</f>
        <v>0.22278583964727539</v>
      </c>
      <c r="U16" s="8">
        <f>'Annual P&amp;L'!D22</f>
        <v>0.21947795135455803</v>
      </c>
      <c r="V16" s="8">
        <f>'Annual P&amp;L'!E22</f>
        <v>0.20894287416429469</v>
      </c>
      <c r="W16" s="8">
        <f>'Annual P&amp;L'!F22</f>
        <v>0.19853419734570871</v>
      </c>
      <c r="X16" s="8">
        <f>'Annual P&amp;L'!G22</f>
        <v>0.21429045224797358</v>
      </c>
      <c r="Y16" s="8">
        <f>'Annual P&amp;L'!H22</f>
        <v>0.19818799546998866</v>
      </c>
      <c r="Z16" s="8">
        <f>'Annual P&amp;L'!I22</f>
        <v>0.19208326762340325</v>
      </c>
      <c r="AA16" s="8">
        <f>'Annual P&amp;L'!J22</f>
        <v>0.19075996469935314</v>
      </c>
      <c r="AB16" s="8">
        <f>'Annual P&amp;L'!K22</f>
        <v>0.19872709410106359</v>
      </c>
      <c r="AC16" s="8">
        <f>'Annual P&amp;L'!L22</f>
        <v>0.17717297762478484</v>
      </c>
      <c r="AD16" s="27">
        <f>'Annual P&amp;L'!M22</f>
        <v>0.16617726994831167</v>
      </c>
      <c r="AE16" s="27">
        <f>'Annual P&amp;L'!N22</f>
        <v>0.16648226115769449</v>
      </c>
      <c r="AF16" s="27">
        <f>'Annual P&amp;L'!O22</f>
        <v>0.1505081808414139</v>
      </c>
      <c r="AG16" s="27">
        <f>'Annual P&amp;L'!P22</f>
        <v>0.13465038499407406</v>
      </c>
    </row>
    <row r="17" spans="1:33">
      <c r="A17" s="3" t="s">
        <v>113</v>
      </c>
      <c r="B17" s="31">
        <f>'Annual P&amp;L'!B26</f>
        <v>0.17886362813567933</v>
      </c>
      <c r="C17" s="31">
        <f>'Annual P&amp;L'!C26</f>
        <v>0.18100680621548734</v>
      </c>
      <c r="D17" s="31">
        <f>'Annual P&amp;L'!D26</f>
        <v>0.17366027288906466</v>
      </c>
      <c r="E17" s="31">
        <f>'Annual P&amp;L'!E26</f>
        <v>0.16752167869199708</v>
      </c>
      <c r="F17" s="31">
        <f>'Annual P&amp;L'!F26</f>
        <v>0.15651263476612243</v>
      </c>
      <c r="G17" s="31">
        <f>'Annual P&amp;L'!G26</f>
        <v>0.16493983735523157</v>
      </c>
      <c r="H17" s="31">
        <f>'Annual P&amp;L'!H26</f>
        <v>0.15761637342237686</v>
      </c>
      <c r="I17" s="31">
        <f>'Annual P&amp;L'!I26</f>
        <v>0.14637872575303579</v>
      </c>
      <c r="J17" s="31">
        <f>'Annual P&amp;L'!J26</f>
        <v>0.14285844258640926</v>
      </c>
      <c r="K17" s="31">
        <f>'Annual P&amp;L'!K26</f>
        <v>0.14857118448592541</v>
      </c>
      <c r="L17" s="31">
        <f>'Annual P&amp;L'!L26</f>
        <v>0.13339838947627244</v>
      </c>
      <c r="M17" s="68">
        <f>'Annual P&amp;L'!M26</f>
        <v>0.12463295246123375</v>
      </c>
      <c r="N17" s="68">
        <f>'Annual P&amp;L'!N26</f>
        <v>0.12486169586827087</v>
      </c>
      <c r="O17" s="68">
        <f>'Annual P&amp;L'!O26</f>
        <v>0.11288113563106042</v>
      </c>
      <c r="P17" s="68">
        <f>'Annual P&amp;L'!P26</f>
        <v>0.10098778874555556</v>
      </c>
      <c r="Q17" s="2"/>
      <c r="R17" s="2" t="s">
        <v>113</v>
      </c>
      <c r="S17" s="8">
        <f>'Annual P&amp;L'!B26</f>
        <v>0.17886362813567933</v>
      </c>
      <c r="T17" s="8">
        <f>'Annual P&amp;L'!C26</f>
        <v>0.18100680621548734</v>
      </c>
      <c r="U17" s="8">
        <f>'Annual P&amp;L'!D26</f>
        <v>0.17366027288906466</v>
      </c>
      <c r="V17" s="8">
        <f>'Annual P&amp;L'!E26</f>
        <v>0.16752167869199708</v>
      </c>
      <c r="W17" s="8">
        <f>'Annual P&amp;L'!F26</f>
        <v>0.15651263476612243</v>
      </c>
      <c r="X17" s="8">
        <f>'Annual P&amp;L'!G26</f>
        <v>0.16493983735523157</v>
      </c>
      <c r="Y17" s="8">
        <f>'Annual P&amp;L'!H26</f>
        <v>0.15761637342237686</v>
      </c>
      <c r="Z17" s="8">
        <f>'Annual P&amp;L'!I26</f>
        <v>0.14637872575303579</v>
      </c>
      <c r="AA17" s="8">
        <f>'Annual P&amp;L'!J26</f>
        <v>0.14285844258640926</v>
      </c>
      <c r="AB17" s="8">
        <f>'Annual P&amp;L'!K26</f>
        <v>0.14857118448592541</v>
      </c>
      <c r="AC17" s="8">
        <f>'Annual P&amp;L'!L26</f>
        <v>0.13339838947627244</v>
      </c>
      <c r="AD17" s="27">
        <f>'Annual P&amp;L'!M26</f>
        <v>0.12463295246123375</v>
      </c>
      <c r="AE17" s="27">
        <f>'Annual P&amp;L'!N26</f>
        <v>0.12486169586827087</v>
      </c>
      <c r="AF17" s="27">
        <f>'Annual P&amp;L'!O26</f>
        <v>0.11288113563106042</v>
      </c>
      <c r="AG17" s="27">
        <f>'Annual P&amp;L'!P26</f>
        <v>0.10098778874555556</v>
      </c>
    </row>
    <row r="18" spans="1:33">
      <c r="A18" s="2" t="s">
        <v>114</v>
      </c>
      <c r="B18" s="32">
        <f>'Annual P&amp;L'!B29</f>
        <v>19.715160358347219</v>
      </c>
      <c r="C18" s="32">
        <f>'Annual P&amp;L'!C29</f>
        <v>29.928403695151022</v>
      </c>
      <c r="D18" s="32">
        <f>'Annual P&amp;L'!D29</f>
        <v>31.283514549570477</v>
      </c>
      <c r="E18" s="32">
        <f>'Annual P&amp;L'!E29</f>
        <v>36.783619153336936</v>
      </c>
      <c r="F18" s="32">
        <f>'Annual P&amp;L'!F29</f>
        <v>40.765120977830207</v>
      </c>
      <c r="G18" s="32">
        <f>'Annual P&amp;L'!G29</f>
        <v>45.816265309696853</v>
      </c>
      <c r="H18" s="32">
        <f>'Annual P&amp;L'!H29</f>
        <v>49.773017078235185</v>
      </c>
      <c r="I18" s="32">
        <f>'Annual P&amp;L'!I29</f>
        <v>54.807447086377195</v>
      </c>
      <c r="J18" s="32">
        <f>'Annual P&amp;L'!J29</f>
        <v>57.88</v>
      </c>
      <c r="K18" s="32">
        <f>'Annual P&amp;L'!K29</f>
        <v>64.113685694150803</v>
      </c>
      <c r="L18" s="32">
        <f>'Annual P&amp;L'!L29</f>
        <v>64.018772660460556</v>
      </c>
      <c r="M18" s="69">
        <f>'Annual P&amp;L'!M29</f>
        <v>62.409117434163335</v>
      </c>
      <c r="N18" s="69">
        <f>'Annual P&amp;L'!N29</f>
        <v>65.203016050583827</v>
      </c>
      <c r="O18" s="69">
        <f>'Annual P&amp;L'!O29</f>
        <v>61.859814326903731</v>
      </c>
      <c r="P18" s="69">
        <f>'Annual P&amp;L'!P29</f>
        <v>58.274370058341013</v>
      </c>
      <c r="Q18" s="2"/>
      <c r="R18" s="2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27"/>
      <c r="AE18" s="27"/>
      <c r="AF18" s="27"/>
      <c r="AG18" s="27"/>
    </row>
    <row r="19" spans="1:33">
      <c r="A19" s="2" t="s">
        <v>115</v>
      </c>
      <c r="B19" s="32">
        <f>'Annual P&amp;L'!B30</f>
        <v>19.715160358347219</v>
      </c>
      <c r="C19" s="32">
        <f>'Annual P&amp;L'!C30</f>
        <v>29.928403695151019</v>
      </c>
      <c r="D19" s="32">
        <f>'Annual P&amp;L'!D30</f>
        <v>31.28351454957048</v>
      </c>
      <c r="E19" s="32">
        <f>'Annual P&amp;L'!E30</f>
        <v>36.783619153336936</v>
      </c>
      <c r="F19" s="32">
        <f>'Annual P&amp;L'!F30</f>
        <v>40.765120977830207</v>
      </c>
      <c r="G19" s="32">
        <f>'Annual P&amp;L'!G30</f>
        <v>45.81626530969686</v>
      </c>
      <c r="H19" s="32">
        <f>'Annual P&amp;L'!H30</f>
        <v>49.773017078235185</v>
      </c>
      <c r="I19" s="32">
        <f>'Annual P&amp;L'!I30</f>
        <v>54.807447086377195</v>
      </c>
      <c r="J19" s="32">
        <f>'Annual P&amp;L'!J30</f>
        <v>57.88000000000001</v>
      </c>
      <c r="K19" s="32">
        <f>'Annual P&amp;L'!K30</f>
        <v>64.113685694150803</v>
      </c>
      <c r="L19" s="32">
        <f>'Annual P&amp;L'!L30</f>
        <v>64.018772660460556</v>
      </c>
      <c r="M19" s="69">
        <f>'Annual P&amp;L'!M30</f>
        <v>62.28454833748836</v>
      </c>
      <c r="N19" s="69">
        <f>'Annual P&amp;L'!N30</f>
        <v>65.072870309963889</v>
      </c>
      <c r="O19" s="69">
        <f>'Annual P&amp;L'!O30</f>
        <v>61.736341643616491</v>
      </c>
      <c r="P19" s="69">
        <f>'Annual P&amp;L'!P30</f>
        <v>58.158053950440134</v>
      </c>
      <c r="Q19" s="2"/>
      <c r="R19" s="104" t="s">
        <v>116</v>
      </c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1"/>
      <c r="AE19" s="111"/>
      <c r="AF19" s="111"/>
      <c r="AG19" s="111"/>
    </row>
    <row r="20" spans="1:33">
      <c r="A20" s="2" t="s">
        <v>117</v>
      </c>
      <c r="B20" s="28">
        <f>'Annual P&amp;L'!B27</f>
        <v>282.47794207134643</v>
      </c>
      <c r="C20" s="28">
        <f>'Annual P&amp;L'!C27</f>
        <v>282.57437603897989</v>
      </c>
      <c r="D20" s="28">
        <f>'Annual P&amp;L'!D27</f>
        <v>280.72293431367598</v>
      </c>
      <c r="E20" s="28">
        <f>'Annual P&amp;L'!E27</f>
        <v>275.20402377485095</v>
      </c>
      <c r="F20" s="28">
        <f>'Annual P&amp;L'!F27</f>
        <v>271.35943018581946</v>
      </c>
      <c r="G20" s="28">
        <f>'Annual P&amp;L'!G27</f>
        <v>271.36650960000003</v>
      </c>
      <c r="H20" s="28">
        <f>'Annual P&amp;L'!H27</f>
        <v>271.23129744737332</v>
      </c>
      <c r="I20" s="28">
        <f>'Annual P&amp;L'!I27</f>
        <v>270.96682639851196</v>
      </c>
      <c r="J20" s="28">
        <f>'Annual P&amp;L'!J27</f>
        <v>271.28541810642707</v>
      </c>
      <c r="K20" s="28">
        <f>'Annual P&amp;L'!K27</f>
        <v>271.25253854477143</v>
      </c>
      <c r="L20" s="28">
        <f>'Annual P&amp;L'!L27</f>
        <v>271.18607993437132</v>
      </c>
      <c r="M20" s="65">
        <f>'Annual P&amp;L'!M27</f>
        <v>271.18607993437132</v>
      </c>
      <c r="N20" s="65">
        <f>'Annual P&amp;L'!N27</f>
        <v>271.18607993437132</v>
      </c>
      <c r="O20" s="65">
        <f>'Annual P&amp;L'!O27</f>
        <v>271.18607993437132</v>
      </c>
      <c r="P20" s="65">
        <f>'Annual P&amp;L'!P27</f>
        <v>271.18607993437132</v>
      </c>
      <c r="Q20" s="2"/>
      <c r="R20" s="2" t="s">
        <v>94</v>
      </c>
      <c r="S20" s="8">
        <f>'Annual Balance Sheet'!B24</f>
        <v>0.19873949224478224</v>
      </c>
      <c r="T20" s="8">
        <f>'Annual Balance Sheet'!C24</f>
        <v>0.27496850233692338</v>
      </c>
      <c r="U20" s="8">
        <f>'Annual Balance Sheet'!D24</f>
        <v>0.2498179418324154</v>
      </c>
      <c r="V20" s="8">
        <f>'Annual Balance Sheet'!E24</f>
        <v>0.25614619285229906</v>
      </c>
      <c r="W20" s="8">
        <f>'Annual Balance Sheet'!F24</f>
        <v>0.23426762248647276</v>
      </c>
      <c r="X20" s="8">
        <f>'Annual Balance Sheet'!G24</f>
        <v>0.21753888684758454</v>
      </c>
      <c r="Y20" s="8">
        <f>'Annual Balance Sheet'!H24</f>
        <v>0.21757173823702428</v>
      </c>
      <c r="Z20" s="8">
        <f>'Annual Balance Sheet'!I24</f>
        <v>0.23313239772691596</v>
      </c>
      <c r="AA20" s="8">
        <f>'Annual Balance Sheet'!J24</f>
        <v>0.23493854221996124</v>
      </c>
      <c r="AB20" s="8">
        <f>'Annual Balance Sheet'!K24</f>
        <v>0.25214579829496025</v>
      </c>
      <c r="AC20" s="8">
        <f>'Annual Balance Sheet'!L24</f>
        <v>0.23967695174984469</v>
      </c>
      <c r="AD20" s="27">
        <f>'Annual Balance Sheet'!M24</f>
        <v>0.2960547681975621</v>
      </c>
      <c r="AE20" s="27">
        <f>'Annual Balance Sheet'!N24</f>
        <v>0.40187566124967733</v>
      </c>
      <c r="AF20" s="27">
        <f>'Annual Balance Sheet'!O24</f>
        <v>0.31370821125748111</v>
      </c>
      <c r="AG20" s="27">
        <f>'Annual Balance Sheet'!P24</f>
        <v>0.25311819892409682</v>
      </c>
    </row>
    <row r="21" spans="1:33">
      <c r="A21" s="2" t="s">
        <v>118</v>
      </c>
      <c r="B21" s="28">
        <f>'Annual P&amp;L'!B28</f>
        <v>282.47794207134643</v>
      </c>
      <c r="C21" s="28">
        <f>'Annual P&amp;L'!C28</f>
        <v>282.57437603897989</v>
      </c>
      <c r="D21" s="28">
        <f>'Annual P&amp;L'!D28</f>
        <v>280.72293431367598</v>
      </c>
      <c r="E21" s="28">
        <f>'Annual P&amp;L'!E28</f>
        <v>275.20402377485095</v>
      </c>
      <c r="F21" s="28">
        <f>'Annual P&amp;L'!F28</f>
        <v>271.35943018581946</v>
      </c>
      <c r="G21" s="28">
        <f>'Annual P&amp;L'!G28</f>
        <v>271.36650960000003</v>
      </c>
      <c r="H21" s="28">
        <f>'Annual P&amp;L'!H28</f>
        <v>271.23129744737332</v>
      </c>
      <c r="I21" s="28">
        <f>'Annual P&amp;L'!I28</f>
        <v>270.96682639851196</v>
      </c>
      <c r="J21" s="28">
        <f>'Annual P&amp;L'!J28</f>
        <v>271.28541810642707</v>
      </c>
      <c r="K21" s="28">
        <f>'Annual P&amp;L'!K28</f>
        <v>271.25253854477143</v>
      </c>
      <c r="L21" s="28">
        <f>'Annual P&amp;L'!L28</f>
        <v>271.18607993437132</v>
      </c>
      <c r="M21" s="65">
        <f>'Annual P&amp;L'!M28</f>
        <v>271.72845209424008</v>
      </c>
      <c r="N21" s="65">
        <f>'Annual P&amp;L'!N28</f>
        <v>271.72845209424008</v>
      </c>
      <c r="O21" s="65">
        <f>'Annual P&amp;L'!O28</f>
        <v>271.72845209424008</v>
      </c>
      <c r="P21" s="65">
        <f>'Annual P&amp;L'!P28</f>
        <v>271.72845209424008</v>
      </c>
      <c r="Q21" s="2"/>
      <c r="R21" s="2" t="s">
        <v>93</v>
      </c>
      <c r="S21" s="8">
        <f>IFERROR('Annual P&amp;L'!B25/'Annual Balance Sheet'!B12,0)</f>
        <v>0.14004214330951589</v>
      </c>
      <c r="T21" s="8">
        <f>IFERROR('Annual P&amp;L'!C25/'Annual Balance Sheet'!C12,0)</f>
        <v>0.18213653456006823</v>
      </c>
      <c r="U21" s="8">
        <f>IFERROR('Annual P&amp;L'!D25/'Annual Balance Sheet'!D12,0)</f>
        <v>0.18131479030702941</v>
      </c>
      <c r="V21" s="8">
        <f>IFERROR('Annual P&amp;L'!E25/'Annual Balance Sheet'!E12,0)</f>
        <v>0.17187924477044281</v>
      </c>
      <c r="W21" s="8">
        <f>IFERROR('Annual P&amp;L'!F25/'Annual Balance Sheet'!F12,0)</f>
        <v>0.13293116708325323</v>
      </c>
      <c r="X21" s="8">
        <f>IFERROR('Annual P&amp;L'!G25/'Annual Balance Sheet'!G12,0)</f>
        <v>0.14176253947983536</v>
      </c>
      <c r="Y21" s="8">
        <f>IFERROR('Annual P&amp;L'!H25/'Annual Balance Sheet'!H12,0)</f>
        <v>0.15162917120618197</v>
      </c>
      <c r="Z21" s="8">
        <f>IFERROR('Annual P&amp;L'!I25/'Annual Balance Sheet'!I12,0)</f>
        <v>0.15898555844600742</v>
      </c>
      <c r="AA21" s="8">
        <f>IFERROR('Annual P&amp;L'!J25/'Annual Balance Sheet'!J12,0)</f>
        <v>0.15737093718993356</v>
      </c>
      <c r="AB21" s="8">
        <f>IFERROR('Annual P&amp;L'!K25/'Annual Balance Sheet'!K12,0)</f>
        <v>0.16477488061850981</v>
      </c>
      <c r="AC21" s="8">
        <f>IFERROR('Annual P&amp;L'!L25/'Annual Balance Sheet'!L12,0)</f>
        <v>0.14933165889659206</v>
      </c>
      <c r="AD21" s="27">
        <f>IFERROR('Annual P&amp;L'!M25/'Annual Balance Sheet'!M12,0)</f>
        <v>0.13123039490913863</v>
      </c>
      <c r="AE21" s="27">
        <f>IFERROR('Annual P&amp;L'!N25/'Annual Balance Sheet'!N12,0)</f>
        <v>0.24142892659557766</v>
      </c>
      <c r="AF21" s="27">
        <f>IFERROR('Annual P&amp;L'!O25/'Annual Balance Sheet'!O12,0)</f>
        <v>1.3613122713160901</v>
      </c>
      <c r="AG21" s="27">
        <f>IFERROR('Annual P&amp;L'!P25/'Annual Balance Sheet'!P12,0)</f>
        <v>-0.29194047177025195</v>
      </c>
    </row>
    <row r="22" spans="1:3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59"/>
      <c r="N22" s="59"/>
      <c r="O22" s="59"/>
      <c r="P22" s="59"/>
      <c r="Q22" s="2"/>
      <c r="R22" s="2" t="s">
        <v>119</v>
      </c>
      <c r="S22" s="8">
        <f>'Annual Cash Flow'!B22</f>
        <v>504.6</v>
      </c>
      <c r="T22" s="8">
        <f>'Annual Cash Flow'!C22</f>
        <v>-431.5</v>
      </c>
      <c r="U22" s="8">
        <f>'Annual Cash Flow'!D22</f>
        <v>-104.6</v>
      </c>
      <c r="V22" s="8">
        <f>'Annual Cash Flow'!E22</f>
        <v>3548.9</v>
      </c>
      <c r="W22" s="8">
        <f>'Annual Cash Flow'!F22</f>
        <v>3578</v>
      </c>
      <c r="X22" s="8">
        <f>'Annual Cash Flow'!G22</f>
        <v>-1390</v>
      </c>
      <c r="Y22" s="8">
        <f>'Annual Cash Flow'!H22</f>
        <v>169</v>
      </c>
      <c r="Z22" s="8">
        <f>'Annual Cash Flow'!I22</f>
        <v>-1557</v>
      </c>
      <c r="AA22" s="8">
        <f>'Annual Cash Flow'!J22</f>
        <v>970</v>
      </c>
      <c r="AB22" s="8">
        <f>'Annual Cash Flow'!K22</f>
        <v>520</v>
      </c>
      <c r="AC22" s="8">
        <f>'Annual Cash Flow'!L22</f>
        <v>-1061</v>
      </c>
      <c r="AD22" s="27">
        <f>'Annual Cash Flow'!M22</f>
        <v>0</v>
      </c>
      <c r="AE22" s="27">
        <f>'Annual Cash Flow'!N22</f>
        <v>0</v>
      </c>
      <c r="AF22" s="27">
        <f>'Annual Cash Flow'!O22</f>
        <v>0</v>
      </c>
      <c r="AG22" s="27">
        <f>'Annual Cash Flow'!P22</f>
        <v>0</v>
      </c>
    </row>
    <row r="23" spans="1:3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59"/>
      <c r="N23" s="59"/>
      <c r="O23" s="59"/>
      <c r="P23" s="59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33"/>
      <c r="AE23" s="33"/>
      <c r="AF23" s="33"/>
      <c r="AG23" s="33"/>
    </row>
    <row r="24" spans="1:33">
      <c r="A24" s="25" t="s">
        <v>120</v>
      </c>
      <c r="B24" s="25" t="s">
        <v>29</v>
      </c>
      <c r="C24" s="25" t="s">
        <v>30</v>
      </c>
      <c r="D24" s="25" t="s">
        <v>31</v>
      </c>
      <c r="E24" s="25" t="s">
        <v>32</v>
      </c>
      <c r="F24" s="25" t="s">
        <v>33</v>
      </c>
      <c r="G24" s="25" t="s">
        <v>34</v>
      </c>
      <c r="H24" s="25" t="s">
        <v>35</v>
      </c>
      <c r="I24" s="25" t="s">
        <v>36</v>
      </c>
      <c r="J24" s="25" t="s">
        <v>37</v>
      </c>
      <c r="K24" s="25" t="s">
        <v>38</v>
      </c>
      <c r="L24" s="25" t="s">
        <v>39</v>
      </c>
      <c r="M24" s="127" t="s">
        <v>40</v>
      </c>
      <c r="N24" s="127" t="s">
        <v>41</v>
      </c>
      <c r="O24" s="127" t="s">
        <v>42</v>
      </c>
      <c r="P24" s="127" t="s">
        <v>43</v>
      </c>
      <c r="Q24" s="2"/>
      <c r="R24" s="104" t="s">
        <v>121</v>
      </c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5"/>
      <c r="AE24" s="105"/>
      <c r="AF24" s="105"/>
      <c r="AG24" s="105"/>
    </row>
    <row r="25" spans="1:33">
      <c r="A25" s="2" t="s">
        <v>105</v>
      </c>
      <c r="B25" s="28">
        <f>'Annual Cash Flow'!B5</f>
        <v>5569.0979256325118</v>
      </c>
      <c r="C25" s="28">
        <f>'Annual Cash Flow'!C5</f>
        <v>8457</v>
      </c>
      <c r="D25" s="28">
        <f>'Annual Cash Flow'!D5</f>
        <v>8782</v>
      </c>
      <c r="E25" s="28">
        <f>'Annual Cash Flow'!E5</f>
        <v>10123</v>
      </c>
      <c r="F25" s="28">
        <f>'Annual Cash Flow'!F5</f>
        <v>11062</v>
      </c>
      <c r="G25" s="28">
        <f>'Annual Cash Flow'!G5</f>
        <v>12433</v>
      </c>
      <c r="H25" s="28">
        <f>'Annual Cash Flow'!H5</f>
        <v>13500</v>
      </c>
      <c r="I25" s="28">
        <f>'Annual Cash Flow'!I5</f>
        <v>14851</v>
      </c>
      <c r="J25" s="28">
        <f>'Annual Cash Flow'!J5</f>
        <v>15702</v>
      </c>
      <c r="K25" s="28">
        <f>'Annual Cash Flow'!K5</f>
        <v>17391</v>
      </c>
      <c r="L25" s="28">
        <f>'Annual Cash Flow'!L5</f>
        <v>17361</v>
      </c>
      <c r="M25" s="65">
        <f>'Annual Cash Flow'!M5</f>
        <v>16924.483909134586</v>
      </c>
      <c r="N25" s="65">
        <f>'Annual Cash Flow'!N5</f>
        <v>17682.150322655722</v>
      </c>
      <c r="O25" s="65">
        <f>'Annual Cash Flow'!O5</f>
        <v>16775.520552781083</v>
      </c>
      <c r="P25" s="65">
        <f>'Annual Cash Flow'!P5</f>
        <v>15803.197976766402</v>
      </c>
      <c r="Q25" s="2"/>
      <c r="R25" s="2" t="s">
        <v>122</v>
      </c>
      <c r="S25" s="34">
        <f>IFERROR(-'Annual Balance Sheet'!B22/'Annual P&amp;L'!B14,0)</f>
        <v>-1.6251635796867432</v>
      </c>
      <c r="T25" s="34">
        <f>IFERROR(-'Annual Balance Sheet'!C22/'Annual P&amp;L'!C14,0)</f>
        <v>-1.1776214957803859</v>
      </c>
      <c r="U25" s="34">
        <f>IFERROR(-'Annual Balance Sheet'!D22/'Annual P&amp;L'!D14,0)</f>
        <v>-0.85979020979020981</v>
      </c>
      <c r="V25" s="34">
        <f>IFERROR(-'Annual Balance Sheet'!E22/'Annual P&amp;L'!E14,0)</f>
        <v>-0.55551578495239462</v>
      </c>
      <c r="W25" s="34">
        <f>IFERROR(-'Annual Balance Sheet'!F22/'Annual P&amp;L'!F14,0)</f>
        <v>-0.46780087461810338</v>
      </c>
      <c r="X25" s="34">
        <f>IFERROR(-'Annual Balance Sheet'!G22/'Annual P&amp;L'!G14,0)</f>
        <v>-0.73486987320979413</v>
      </c>
      <c r="Y25" s="34">
        <f>IFERROR(-'Annual Balance Sheet'!H22/'Annual P&amp;L'!H14,0)</f>
        <v>-0.76254968349771823</v>
      </c>
      <c r="Z25" s="34">
        <f>IFERROR(-'Annual Balance Sheet'!I22/'Annual P&amp;L'!I14,0)</f>
        <v>-0.79216934022714214</v>
      </c>
      <c r="AA25" s="34">
        <f>IFERROR(-'Annual Balance Sheet'!J22/'Annual P&amp;L'!J14,0)</f>
        <v>-0.91867768595041321</v>
      </c>
      <c r="AB25" s="34">
        <f>IFERROR(-'Annual Balance Sheet'!K22/'Annual P&amp;L'!K14,0)</f>
        <v>-0.91989805920407763</v>
      </c>
      <c r="AC25" s="34">
        <f>IFERROR(-'Annual Balance Sheet'!L22/'Annual P&amp;L'!L14,0)</f>
        <v>-0.97884270334928225</v>
      </c>
      <c r="AD25" s="35">
        <f>IFERROR(-'Annual Balance Sheet'!M22/'Annual P&amp;L'!M14,0)</f>
        <v>-1.0636143637449604</v>
      </c>
      <c r="AE25" s="35">
        <f>IFERROR(-'Annual Balance Sheet'!N22/'Annual P&amp;L'!N14,0)</f>
        <v>1.0881888302451481</v>
      </c>
      <c r="AF25" s="35">
        <f>IFERROR(-'Annual Balance Sheet'!O22/'Annual P&amp;L'!O14,0)</f>
        <v>3.2421882681163385</v>
      </c>
      <c r="AG25" s="35">
        <f>IFERROR(-'Annual Balance Sheet'!P22/'Annual P&amp;L'!P14,0)</f>
        <v>5.3670809722128112</v>
      </c>
    </row>
    <row r="26" spans="1:33">
      <c r="A26" s="2" t="s">
        <v>123</v>
      </c>
      <c r="B26" s="28">
        <f>'Annual Cash Flow'!B6</f>
        <v>445.37462213155032</v>
      </c>
      <c r="C26" s="28">
        <f>'Annual Cash Flow'!C6</f>
        <v>834</v>
      </c>
      <c r="D26" s="28">
        <f>'Annual Cash Flow'!D6</f>
        <v>1452</v>
      </c>
      <c r="E26" s="28">
        <f>'Annual Cash Flow'!E6</f>
        <v>2148</v>
      </c>
      <c r="F26" s="28">
        <f>'Annual Cash Flow'!F6</f>
        <v>2840</v>
      </c>
      <c r="G26" s="28">
        <f>'Annual Cash Flow'!G6</f>
        <v>3985</v>
      </c>
      <c r="H26" s="28">
        <f>'Annual Cash Flow'!H6</f>
        <v>4181</v>
      </c>
      <c r="I26" s="28">
        <f>'Annual Cash Flow'!I6</f>
        <v>4144</v>
      </c>
      <c r="J26" s="28">
        <f>'Annual Cash Flow'!J6</f>
        <v>4173</v>
      </c>
      <c r="K26" s="28">
        <f>'Annual Cash Flow'!K6</f>
        <v>4084</v>
      </c>
      <c r="L26" s="28">
        <f>'Annual Cash Flow'!L6</f>
        <v>4355</v>
      </c>
      <c r="M26" s="65">
        <f>'Annual Cash Flow'!M6</f>
        <v>4752.8115568309213</v>
      </c>
      <c r="N26" s="65">
        <f>'Annual Cash Flow'!N6</f>
        <v>4956.4861104070214</v>
      </c>
      <c r="O26" s="65">
        <f>'Annual Cash Flow'!O6</f>
        <v>5201.4290613300609</v>
      </c>
      <c r="P26" s="65">
        <f>'Annual Cash Flow'!P6</f>
        <v>5477.0179252109474</v>
      </c>
      <c r="Q26" s="2"/>
      <c r="R26" s="2" t="s">
        <v>124</v>
      </c>
      <c r="S26" s="34">
        <f>IFERROR('Annual Balance Sheet'!B14/'Annual Balance Sheet'!B19,0)</f>
        <v>3.4729731176464294E-2</v>
      </c>
      <c r="T26" s="34">
        <f>IFERROR('Annual Balance Sheet'!C14/'Annual Balance Sheet'!C19,0)</f>
        <v>1.6174784415832599E-2</v>
      </c>
      <c r="U26" s="34">
        <f>IFERROR('Annual Balance Sheet'!D14/'Annual Balance Sheet'!D19,0)</f>
        <v>1.1872297429434388E-2</v>
      </c>
      <c r="V26" s="34">
        <f>IFERROR('Annual Balance Sheet'!E14/'Annual Balance Sheet'!E19,0)</f>
        <v>9.4401288366805614E-2</v>
      </c>
      <c r="W26" s="34">
        <f>IFERROR('Annual Balance Sheet'!F14/'Annual Balance Sheet'!F19,0)</f>
        <v>0.14486258737910562</v>
      </c>
      <c r="X26" s="34">
        <f>IFERROR('Annual Balance Sheet'!G14/'Annual Balance Sheet'!G19,0)</f>
        <v>9.9434700681258148E-2</v>
      </c>
      <c r="Y26" s="34">
        <f>IFERROR('Annual Balance Sheet'!H14/'Annual Balance Sheet'!H19,0)</f>
        <v>0.10229655194658581</v>
      </c>
      <c r="Z26" s="34">
        <f>IFERROR('Annual Balance Sheet'!I14/'Annual Balance Sheet'!I19,0)</f>
        <v>7.3182666136579103E-2</v>
      </c>
      <c r="AA26" s="34">
        <f>IFERROR('Annual Balance Sheet'!J14/'Annual Balance Sheet'!J19,0)</f>
        <v>8.4311054474081229E-2</v>
      </c>
      <c r="AB26" s="34">
        <f>IFERROR('Annual Balance Sheet'!K14/'Annual Balance Sheet'!K19,0)</f>
        <v>9.0077935498686729E-2</v>
      </c>
      <c r="AC26" s="34">
        <f>IFERROR('Annual Balance Sheet'!L14/'Annual Balance Sheet'!L19,0)</f>
        <v>6.9351170924371985E-2</v>
      </c>
      <c r="AD26" s="35">
        <f>IFERROR('Annual Balance Sheet'!M14/'Annual Balance Sheet'!M19,0)</f>
        <v>0.13325168348130992</v>
      </c>
      <c r="AE26" s="35">
        <f>IFERROR('Annual Balance Sheet'!N14/'Annual Balance Sheet'!N19,0)</f>
        <v>0.1067299226518644</v>
      </c>
      <c r="AF26" s="35">
        <f>IFERROR('Annual Balance Sheet'!O14/'Annual Balance Sheet'!O19,0)</f>
        <v>8.9777292717839366E-2</v>
      </c>
      <c r="AG26" s="35">
        <f>IFERROR('Annual Balance Sheet'!P14/'Annual Balance Sheet'!P19,0)</f>
        <v>7.8092308650885955E-2</v>
      </c>
    </row>
    <row r="27" spans="1:33">
      <c r="A27" s="2" t="s">
        <v>368</v>
      </c>
      <c r="B27" s="28">
        <f>'Annual Cash Flow'!B7</f>
        <v>-823.50020103346083</v>
      </c>
      <c r="C27" s="28">
        <f>'Annual Cash Flow'!C7</f>
        <v>-934</v>
      </c>
      <c r="D27" s="28">
        <f>'Annual Cash Flow'!D7</f>
        <v>-1111</v>
      </c>
      <c r="E27" s="28">
        <f>'Annual Cash Flow'!E7</f>
        <v>-805</v>
      </c>
      <c r="F27" s="28">
        <f>'Annual Cash Flow'!F7</f>
        <v>-179</v>
      </c>
      <c r="G27" s="28">
        <f>'Annual Cash Flow'!G7</f>
        <v>-657</v>
      </c>
      <c r="H27" s="28">
        <f>'Annual Cash Flow'!H7</f>
        <v>-777</v>
      </c>
      <c r="I27" s="28">
        <f>'Annual Cash Flow'!I7</f>
        <v>-1003</v>
      </c>
      <c r="J27" s="28">
        <f>'Annual Cash Flow'!J7</f>
        <v>-940</v>
      </c>
      <c r="K27" s="28">
        <f>'Annual Cash Flow'!K7</f>
        <v>-1841</v>
      </c>
      <c r="L27" s="28">
        <f>'Annual Cash Flow'!L7</f>
        <v>-661</v>
      </c>
      <c r="M27" s="65">
        <f>'Annual Cash Flow'!M7</f>
        <v>0</v>
      </c>
      <c r="N27" s="65">
        <f>'Annual Cash Flow'!N7</f>
        <v>0</v>
      </c>
      <c r="O27" s="65">
        <f>'Annual Cash Flow'!O7</f>
        <v>0</v>
      </c>
      <c r="P27" s="65">
        <f>'Annual Cash Flow'!P7</f>
        <v>0</v>
      </c>
      <c r="Q27" s="2"/>
      <c r="R27" s="2" t="s">
        <v>125</v>
      </c>
      <c r="S27" s="34">
        <f>IFERROR(-'Annual Balance Sheet'!B22/'Annual Balance Sheet'!B19,0)</f>
        <v>-0.38824713351247769</v>
      </c>
      <c r="T27" s="34">
        <f>IFERROR(-'Annual Balance Sheet'!C22/'Annual Balance Sheet'!C19,0)</f>
        <v>-0.36249492391849597</v>
      </c>
      <c r="U27" s="34">
        <f>IFERROR(-'Annual Balance Sheet'!D22/'Annual Balance Sheet'!D19,0)</f>
        <v>-0.26716064405380152</v>
      </c>
      <c r="V27" s="34">
        <f>IFERROR(-'Annual Balance Sheet'!E22/'Annual Balance Sheet'!E19,0)</f>
        <v>-0.18378173550587343</v>
      </c>
      <c r="W27" s="34">
        <f>IFERROR(-'Annual Balance Sheet'!F22/'Annual Balance Sheet'!F19,0)</f>
        <v>-0.14955472565354783</v>
      </c>
      <c r="X27" s="34">
        <f>IFERROR(-'Annual Balance Sheet'!G22/'Annual Balance Sheet'!G19,0)</f>
        <v>-0.23056481615693095</v>
      </c>
      <c r="Y27" s="34">
        <f>IFERROR(-'Annual Balance Sheet'!H22/'Annual Balance Sheet'!H19,0)</f>
        <v>-0.250620907654098</v>
      </c>
      <c r="Z27" s="34">
        <f>IFERROR(-'Annual Balance Sheet'!I22/'Annual Balance Sheet'!I19,0)</f>
        <v>-0.27410624178109422</v>
      </c>
      <c r="AA27" s="34">
        <f>IFERROR(-'Annual Balance Sheet'!J22/'Annual Balance Sheet'!J19,0)</f>
        <v>-0.32564339177688917</v>
      </c>
      <c r="AB27" s="34">
        <f>IFERROR(-'Annual Balance Sheet'!K22/'Annual Balance Sheet'!K19,0)</f>
        <v>-0.33674450648027215</v>
      </c>
      <c r="AC27" s="34">
        <f>IFERROR(-'Annual Balance Sheet'!L22/'Annual Balance Sheet'!L19,0)</f>
        <v>-0.34823197733952155</v>
      </c>
      <c r="AD27" s="35">
        <f>IFERROR(-'Annual Balance Sheet'!M22/'Annual Balance Sheet'!M19,0)</f>
        <v>-0.71964737879343033</v>
      </c>
      <c r="AE27" s="35">
        <f>IFERROR(-'Annual Balance Sheet'!N22/'Annual Balance Sheet'!N19,0)</f>
        <v>0.61500211056404386</v>
      </c>
      <c r="AF27" s="35">
        <f>IFERROR(-'Annual Balance Sheet'!O22/'Annual Balance Sheet'!O19,0)</f>
        <v>1.6174827916117291</v>
      </c>
      <c r="AG27" s="35">
        <f>IFERROR(-'Annual Balance Sheet'!P22/'Annual Balance Sheet'!P19,0)</f>
        <v>2.4524650451129815</v>
      </c>
    </row>
    <row r="28" spans="1:33">
      <c r="A28" s="3" t="s">
        <v>126</v>
      </c>
      <c r="B28" s="30">
        <f>'Annual Cash Flow'!B12</f>
        <v>4157.9723467306012</v>
      </c>
      <c r="C28" s="30">
        <f>'Annual Cash Flow'!C12</f>
        <v>9343.5</v>
      </c>
      <c r="D28" s="30">
        <f>'Annual Cash Flow'!D12</f>
        <v>6898.1</v>
      </c>
      <c r="E28" s="30">
        <f>'Annual Cash Flow'!E12</f>
        <v>9151</v>
      </c>
      <c r="F28" s="30">
        <f>'Annual Cash Flow'!F12</f>
        <v>18739</v>
      </c>
      <c r="G28" s="30">
        <f>'Annual Cash Flow'!G12</f>
        <v>12116</v>
      </c>
      <c r="H28" s="30">
        <f>'Annual Cash Flow'!H12</f>
        <v>14567</v>
      </c>
      <c r="I28" s="30">
        <f>'Annual Cash Flow'!I12</f>
        <v>15691</v>
      </c>
      <c r="J28" s="30">
        <f>'Annual Cash Flow'!J12</f>
        <v>19569</v>
      </c>
      <c r="K28" s="30">
        <f>'Annual Cash Flow'!K12</f>
        <v>21545</v>
      </c>
      <c r="L28" s="30">
        <f>'Annual Cash Flow'!L12</f>
        <v>19642</v>
      </c>
      <c r="M28" s="67">
        <f>'Annual Cash Flow'!M12</f>
        <v>76364.359218175625</v>
      </c>
      <c r="N28" s="67">
        <f>'Annual Cash Flow'!N12</f>
        <v>21468.867499919739</v>
      </c>
      <c r="O28" s="67">
        <f>'Annual Cash Flow'!O12</f>
        <v>20570.162907812613</v>
      </c>
      <c r="P28" s="67">
        <f>'Annual Cash Flow'!P12</f>
        <v>19697.419791084754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33"/>
      <c r="AE28" s="33"/>
      <c r="AF28" s="33"/>
      <c r="AG28" s="33"/>
    </row>
    <row r="29" spans="1:33">
      <c r="A29" s="2" t="s">
        <v>369</v>
      </c>
      <c r="B29" s="8">
        <f>'Annual Cash Flow'!B13</f>
        <v>0.74661505368633974</v>
      </c>
      <c r="C29" s="8">
        <f>'Annual Cash Flow'!C13</f>
        <v>1.1048244058176659</v>
      </c>
      <c r="D29" s="8">
        <f>'Annual Cash Flow'!D13</f>
        <v>0.78548166704623101</v>
      </c>
      <c r="E29" s="8">
        <f>'Annual Cash Flow'!E13</f>
        <v>0.90398103329052648</v>
      </c>
      <c r="F29" s="8">
        <f>'Annual Cash Flow'!F13</f>
        <v>1.6939974688121497</v>
      </c>
      <c r="G29" s="8">
        <f>'Annual Cash Flow'!G13</f>
        <v>0.97450333789109622</v>
      </c>
      <c r="H29" s="8">
        <f>'Annual Cash Flow'!H13</f>
        <v>1.079037037037037</v>
      </c>
      <c r="I29" s="8">
        <f>'Annual Cash Flow'!I13</f>
        <v>1.0565618476870244</v>
      </c>
      <c r="J29" s="8">
        <f>'Annual Cash Flow'!J13</f>
        <v>1.2462743599541459</v>
      </c>
      <c r="K29" s="8">
        <f>'Annual Cash Flow'!K13</f>
        <v>1.2388591800356505</v>
      </c>
      <c r="L29" s="8">
        <f>'Annual Cash Flow'!L13</f>
        <v>1.1313864408732215</v>
      </c>
      <c r="M29" s="66">
        <f>'Annual Cash Flow'!M13</f>
        <v>4.5120642749383801</v>
      </c>
      <c r="N29" s="66">
        <f>'Annual Cash Flow'!N13</f>
        <v>1.2141547893308082</v>
      </c>
      <c r="O29" s="66">
        <f>'Annual Cash Flow'!O13</f>
        <v>1.2262011687263228</v>
      </c>
      <c r="P29" s="66">
        <f>'Annual Cash Flow'!P13</f>
        <v>1.2464198588186755</v>
      </c>
      <c r="Q29" s="2"/>
      <c r="R29" s="104" t="s">
        <v>127</v>
      </c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5"/>
      <c r="AE29" s="105"/>
      <c r="AF29" s="105"/>
      <c r="AG29" s="105"/>
    </row>
    <row r="30" spans="1:33">
      <c r="A30" s="2" t="s">
        <v>128</v>
      </c>
      <c r="B30" s="28">
        <f>'Annual Cash Flow'!B18</f>
        <v>-2164.2746221315501</v>
      </c>
      <c r="C30" s="28">
        <f>'Annual Cash Flow'!C18</f>
        <v>-6197.7</v>
      </c>
      <c r="D30" s="28">
        <f>'Annual Cash Flow'!D18</f>
        <v>-4936.2</v>
      </c>
      <c r="E30" s="28">
        <f>'Annual Cash Flow'!E18</f>
        <v>-6053.6</v>
      </c>
      <c r="F30" s="28">
        <f>'Annual Cash Flow'!F18</f>
        <v>-17633</v>
      </c>
      <c r="G30" s="28">
        <f>'Annual Cash Flow'!G18</f>
        <v>-3483</v>
      </c>
      <c r="H30" s="28">
        <f>'Annual Cash Flow'!H18</f>
        <v>-1600</v>
      </c>
      <c r="I30" s="28">
        <f>'Annual Cash Flow'!I18</f>
        <v>-3597</v>
      </c>
      <c r="J30" s="28">
        <f>'Annual Cash Flow'!J18</f>
        <v>-4685</v>
      </c>
      <c r="K30" s="28">
        <f>'Annual Cash Flow'!K18</f>
        <v>-5144</v>
      </c>
      <c r="L30" s="28">
        <f>'Annual Cash Flow'!L18</f>
        <v>-5563</v>
      </c>
      <c r="M30" s="65">
        <f>'Annual Cash Flow'!M18</f>
        <v>-4752.8115568309204</v>
      </c>
      <c r="N30" s="65">
        <f>'Annual Cash Flow'!N18</f>
        <v>-4956.4861104070205</v>
      </c>
      <c r="O30" s="65">
        <f>'Annual Cash Flow'!O18</f>
        <v>-5201.42906133006</v>
      </c>
      <c r="P30" s="65">
        <f>'Annual Cash Flow'!P18</f>
        <v>-5477.0179252109465</v>
      </c>
      <c r="Q30" s="2"/>
      <c r="R30" s="2" t="s">
        <v>129</v>
      </c>
      <c r="S30" s="28">
        <f>'Revenue Drivers'!B7</f>
        <v>106107</v>
      </c>
      <c r="T30" s="28">
        <f>'Revenue Drivers'!C7</f>
        <v>117781</v>
      </c>
      <c r="U30" s="28">
        <f>'Revenue Drivers'!D7</f>
        <v>120081</v>
      </c>
      <c r="V30" s="28">
        <f>'Revenue Drivers'!E7</f>
        <v>137965</v>
      </c>
      <c r="W30" s="28">
        <f>'Revenue Drivers'!F7</f>
        <v>150423</v>
      </c>
      <c r="X30" s="28">
        <f>'Revenue Drivers'!G7</f>
        <v>168977</v>
      </c>
      <c r="Y30" s="28">
        <f>'Revenue Drivers'!H7</f>
        <v>208877</v>
      </c>
      <c r="Z30" s="28">
        <f>'Revenue Drivers'!I7</f>
        <v>225944</v>
      </c>
      <c r="AA30" s="28">
        <f>'Revenue Drivers'!J7</f>
        <v>219401</v>
      </c>
      <c r="AB30" s="28">
        <f>'Revenue Drivers'!K7</f>
        <v>223420</v>
      </c>
      <c r="AC30" s="28">
        <f>'Revenue Drivers'!L7</f>
        <v>226640</v>
      </c>
      <c r="AD30" s="29">
        <f>'Revenue Drivers'!M7</f>
        <v>234572.4</v>
      </c>
      <c r="AE30" s="29">
        <f>'Revenue Drivers'!N7</f>
        <v>242782.43399999998</v>
      </c>
      <c r="AF30" s="29">
        <f>'Revenue Drivers'!O7</f>
        <v>251279.81918999995</v>
      </c>
      <c r="AG30" s="29">
        <f>'Revenue Drivers'!P7</f>
        <v>260074.61286164992</v>
      </c>
    </row>
    <row r="31" spans="1:33">
      <c r="A31" s="2" t="s">
        <v>130</v>
      </c>
      <c r="B31" s="28">
        <f>'Annual Cash Flow'!B19</f>
        <v>-960.3</v>
      </c>
      <c r="C31" s="28">
        <f>'Annual Cash Flow'!C19</f>
        <v>-3124.5746221315503</v>
      </c>
      <c r="D31" s="28">
        <f>'Annual Cash Flow'!D19</f>
        <v>-9322.2746221315501</v>
      </c>
      <c r="E31" s="28">
        <f>'Annual Cash Flow'!E19</f>
        <v>-14258.474622131551</v>
      </c>
      <c r="F31" s="28">
        <f>'Annual Cash Flow'!F19</f>
        <v>-20312.074622131549</v>
      </c>
      <c r="G31" s="28">
        <f>'Annual Cash Flow'!G19</f>
        <v>-37945.074622131549</v>
      </c>
      <c r="H31" s="28">
        <f>'Annual Cash Flow'!H19</f>
        <v>-41428.074622131549</v>
      </c>
      <c r="I31" s="28">
        <f>'Annual Cash Flow'!I19</f>
        <v>-43028.074622131549</v>
      </c>
      <c r="J31" s="28">
        <f>'Annual Cash Flow'!J19</f>
        <v>-46625.074622131549</v>
      </c>
      <c r="K31" s="28">
        <f>'Annual Cash Flow'!K19</f>
        <v>-51310.074622131549</v>
      </c>
      <c r="L31" s="28">
        <f>'Annual Cash Flow'!L19</f>
        <v>-56454.074622131549</v>
      </c>
      <c r="M31" s="65">
        <f>'Annual Cash Flow'!M19</f>
        <v>-62017.074622131549</v>
      </c>
      <c r="N31" s="65">
        <f>'Annual Cash Flow'!N19</f>
        <v>-66769.886178962464</v>
      </c>
      <c r="O31" s="65">
        <f>'Annual Cash Flow'!O19</f>
        <v>-71726.372289369479</v>
      </c>
      <c r="P31" s="65">
        <f>'Annual Cash Flow'!P19</f>
        <v>-76927.801350699534</v>
      </c>
      <c r="Q31" s="2"/>
      <c r="R31" s="2" t="s">
        <v>131</v>
      </c>
      <c r="S31" s="28">
        <f>'Revenue Drivers'!B9</f>
        <v>82763.460000000006</v>
      </c>
      <c r="T31" s="28">
        <f>'Revenue Drivers'!C9</f>
        <v>91869.180000000008</v>
      </c>
      <c r="U31" s="28">
        <f>'Revenue Drivers'!D9</f>
        <v>94863.99</v>
      </c>
      <c r="V31" s="28">
        <f>'Revenue Drivers'!E9</f>
        <v>108992.35</v>
      </c>
      <c r="W31" s="28">
        <f>'Revenue Drivers'!F9</f>
        <v>120338.40000000001</v>
      </c>
      <c r="X31" s="28">
        <f>'Revenue Drivers'!G9</f>
        <v>135181.6</v>
      </c>
      <c r="Y31" s="28">
        <f>'Revenue Drivers'!H9</f>
        <v>169190.37000000002</v>
      </c>
      <c r="Z31" s="28">
        <f>'Revenue Drivers'!I9</f>
        <v>183014.64</v>
      </c>
      <c r="AA31" s="28">
        <f>'Revenue Drivers'!J9</f>
        <v>179908.81999999998</v>
      </c>
      <c r="AB31" s="28">
        <f>'Revenue Drivers'!K9</f>
        <v>183204.4</v>
      </c>
      <c r="AC31" s="28">
        <f>'Revenue Drivers'!L9</f>
        <v>185844.8</v>
      </c>
      <c r="AD31" s="29">
        <f>'Revenue Drivers'!M9</f>
        <v>193522.22999999998</v>
      </c>
      <c r="AE31" s="29">
        <f>'Revenue Drivers'!N9</f>
        <v>199081.59587999998</v>
      </c>
      <c r="AF31" s="29">
        <f>'Revenue Drivers'!O9</f>
        <v>206049.45173579996</v>
      </c>
      <c r="AG31" s="29">
        <f>'Revenue Drivers'!P9</f>
        <v>213261.18254655291</v>
      </c>
    </row>
    <row r="32" spans="1:33">
      <c r="A32" s="3" t="s">
        <v>132</v>
      </c>
      <c r="B32" s="30">
        <f>'Annual Cash Flow'!B20</f>
        <v>-3124.5746221315503</v>
      </c>
      <c r="C32" s="30">
        <f>'Annual Cash Flow'!C20</f>
        <v>-9322.2746221315501</v>
      </c>
      <c r="D32" s="30">
        <f>'Annual Cash Flow'!D20</f>
        <v>-14258.474622131551</v>
      </c>
      <c r="E32" s="30">
        <f>'Annual Cash Flow'!E20</f>
        <v>-20312.074622131549</v>
      </c>
      <c r="F32" s="30">
        <f>'Annual Cash Flow'!F20</f>
        <v>-37945.074622131549</v>
      </c>
      <c r="G32" s="30">
        <f>'Annual Cash Flow'!G20</f>
        <v>-41428.074622131549</v>
      </c>
      <c r="H32" s="30">
        <f>'Annual Cash Flow'!H20</f>
        <v>-43028.074622131549</v>
      </c>
      <c r="I32" s="30">
        <f>'Annual Cash Flow'!I20</f>
        <v>-46625.074622131549</v>
      </c>
      <c r="J32" s="30">
        <f>'Annual Cash Flow'!J20</f>
        <v>-51310.074622131549</v>
      </c>
      <c r="K32" s="30">
        <f>'Annual Cash Flow'!K20</f>
        <v>-56454.074622131549</v>
      </c>
      <c r="L32" s="30">
        <f>'Annual Cash Flow'!L20</f>
        <v>-62017.074622131549</v>
      </c>
      <c r="M32" s="67">
        <f>'Annual Cash Flow'!M20</f>
        <v>-66769.886178962464</v>
      </c>
      <c r="N32" s="67">
        <f>'Annual Cash Flow'!N20</f>
        <v>-71726.372289369479</v>
      </c>
      <c r="O32" s="67">
        <f>'Annual Cash Flow'!O20</f>
        <v>-76927.801350699534</v>
      </c>
      <c r="P32" s="67">
        <f>'Annual Cash Flow'!P20</f>
        <v>-82404.819275910486</v>
      </c>
      <c r="Q32" s="2"/>
      <c r="R32" s="2" t="s">
        <v>45</v>
      </c>
      <c r="S32" s="8">
        <f>'Revenue Drivers'!B11</f>
        <v>0.37620466809869957</v>
      </c>
      <c r="T32" s="8">
        <f>'Revenue Drivers'!C11</f>
        <v>0.51777973853690651</v>
      </c>
      <c r="U32" s="8">
        <f>'Revenue Drivers'!D11</f>
        <v>0.53306844883922755</v>
      </c>
      <c r="V32" s="8">
        <f>'Revenue Drivers'!E11</f>
        <v>0.5544150575705542</v>
      </c>
      <c r="W32" s="8">
        <f>'Revenue Drivers'!F11</f>
        <v>0.5873104511942987</v>
      </c>
      <c r="X32" s="8">
        <f>'Revenue Drivers'!G11</f>
        <v>0.55761287039064489</v>
      </c>
      <c r="Y32" s="8">
        <f>'Revenue Drivers'!H11</f>
        <v>0.50624039654266362</v>
      </c>
      <c r="Z32" s="8">
        <f>'Revenue Drivers'!I11</f>
        <v>0.55436002278287677</v>
      </c>
      <c r="AA32" s="8">
        <f>'Revenue Drivers'!J11</f>
        <v>0.61093725143658895</v>
      </c>
      <c r="AB32" s="8">
        <f>'Revenue Drivers'!K11</f>
        <v>0.63893116104198378</v>
      </c>
      <c r="AC32" s="8">
        <f>'Revenue Drivers'!L11</f>
        <v>0.70028324709650203</v>
      </c>
      <c r="AD32" s="27">
        <f>'Revenue Drivers'!M11</f>
        <v>0.70170034682555538</v>
      </c>
      <c r="AE32" s="27">
        <f>'Revenue Drivers'!N11</f>
        <v>0.71133591351222814</v>
      </c>
      <c r="AF32" s="27">
        <f>'Revenue Drivers'!O11</f>
        <v>0.72124559246921804</v>
      </c>
      <c r="AG32" s="27">
        <f>'Revenue Drivers'!P11</f>
        <v>0.73377735491286133</v>
      </c>
    </row>
    <row r="33" spans="1:34">
      <c r="A33" s="2" t="s">
        <v>370</v>
      </c>
      <c r="B33" s="28">
        <f>'Annual Cash Flow'!B22</f>
        <v>504.6</v>
      </c>
      <c r="C33" s="28">
        <f>'Annual Cash Flow'!C22</f>
        <v>-431.5</v>
      </c>
      <c r="D33" s="28">
        <f>'Annual Cash Flow'!D22</f>
        <v>-104.6</v>
      </c>
      <c r="E33" s="28">
        <f>'Annual Cash Flow'!E22</f>
        <v>3548.9</v>
      </c>
      <c r="F33" s="28">
        <f>'Annual Cash Flow'!F22</f>
        <v>3578</v>
      </c>
      <c r="G33" s="28">
        <f>'Annual Cash Flow'!G22</f>
        <v>-1390</v>
      </c>
      <c r="H33" s="28">
        <f>'Annual Cash Flow'!H22</f>
        <v>169</v>
      </c>
      <c r="I33" s="28">
        <f>'Annual Cash Flow'!I22</f>
        <v>-1557</v>
      </c>
      <c r="J33" s="28">
        <f>'Annual Cash Flow'!J22</f>
        <v>970</v>
      </c>
      <c r="K33" s="28">
        <f>'Annual Cash Flow'!K22</f>
        <v>520</v>
      </c>
      <c r="L33" s="28">
        <f>'Annual Cash Flow'!L22</f>
        <v>-1061</v>
      </c>
      <c r="M33" s="65">
        <f>'Annual Cash Flow'!M22</f>
        <v>0</v>
      </c>
      <c r="N33" s="65">
        <f>'Annual Cash Flow'!N22</f>
        <v>0</v>
      </c>
      <c r="O33" s="65">
        <f>'Annual Cash Flow'!O22</f>
        <v>0</v>
      </c>
      <c r="P33" s="65">
        <f>'Annual Cash Flow'!P22</f>
        <v>0</v>
      </c>
      <c r="Q33" s="2"/>
      <c r="R33" s="2" t="s">
        <v>133</v>
      </c>
      <c r="S33" s="8">
        <f>'Revenue Drivers'!B28</f>
        <v>0</v>
      </c>
      <c r="T33" s="8">
        <f>'Revenue Drivers'!C28</f>
        <v>0</v>
      </c>
      <c r="U33" s="8">
        <f>'Revenue Drivers'!D28</f>
        <v>0</v>
      </c>
      <c r="V33" s="8">
        <f>'Revenue Drivers'!E28</f>
        <v>0</v>
      </c>
      <c r="W33" s="8">
        <f>'Revenue Drivers'!F28</f>
        <v>0</v>
      </c>
      <c r="X33" s="8">
        <f>'Revenue Drivers'!G28</f>
        <v>0</v>
      </c>
      <c r="Y33" s="8">
        <f>'Revenue Drivers'!H28</f>
        <v>0</v>
      </c>
      <c r="Z33" s="8">
        <f>'Revenue Drivers'!I28</f>
        <v>0</v>
      </c>
      <c r="AA33" s="8">
        <f>'Revenue Drivers'!J28</f>
        <v>0</v>
      </c>
      <c r="AB33" s="8">
        <f>'Revenue Drivers'!K28</f>
        <v>0</v>
      </c>
      <c r="AC33" s="8">
        <f>'Revenue Drivers'!L28</f>
        <v>4.2280414620840152E-2</v>
      </c>
      <c r="AD33" s="27">
        <f>'Revenue Drivers'!M28</f>
        <v>4.4703883170833777E-2</v>
      </c>
      <c r="AE33" s="27">
        <f>'Revenue Drivers'!N28</f>
        <v>5.3797943832611383E-2</v>
      </c>
      <c r="AF33" s="27">
        <f>'Revenue Drivers'!O28</f>
        <v>6.4823984866999002E-2</v>
      </c>
      <c r="AG33" s="27">
        <f>'Revenue Drivers'!P28</f>
        <v>7.8461043875635364E-2</v>
      </c>
    </row>
    <row r="34" spans="1:34">
      <c r="A34" s="2" t="s">
        <v>371</v>
      </c>
      <c r="B34" s="28">
        <f>'Annual Cash Flow'!B23</f>
        <v>585.79860540510526</v>
      </c>
      <c r="C34" s="28">
        <f>'Annual Cash Flow'!C23</f>
        <v>1092.3822044035521</v>
      </c>
      <c r="D34" s="28">
        <f>'Annual Cash Flow'!D23</f>
        <v>-4105.2941771585147</v>
      </c>
      <c r="E34" s="28">
        <f>'Annual Cash Flow'!E23</f>
        <v>-3390.9151111349884</v>
      </c>
      <c r="F34" s="28">
        <f>'Annual Cash Flow'!F23</f>
        <v>890.11498440132277</v>
      </c>
      <c r="G34" s="28">
        <f>'Annual Cash Flow'!G23</f>
        <v>4498.5292496000011</v>
      </c>
      <c r="H34" s="28">
        <f>'Annual Cash Flow'!H23</f>
        <v>-1652.5528241724562</v>
      </c>
      <c r="I34" s="28">
        <f>'Annual Cash Flow'!I23</f>
        <v>1534.0815852489584</v>
      </c>
      <c r="J34" s="28">
        <f>'Annual Cash Flow'!J23</f>
        <v>1253.511210762334</v>
      </c>
      <c r="K34" s="28">
        <f>'Annual Cash Flow'!K23</f>
        <v>273.46919125173008</v>
      </c>
      <c r="L34" s="28">
        <f>'Annual Cash Flow'!L23</f>
        <v>4415.9498982292835</v>
      </c>
      <c r="M34" s="65">
        <f>'Annual Cash Flow'!M23</f>
        <v>0</v>
      </c>
      <c r="N34" s="65">
        <f>'Annual Cash Flow'!N23</f>
        <v>0</v>
      </c>
      <c r="O34" s="65">
        <f>'Annual Cash Flow'!O23</f>
        <v>0</v>
      </c>
      <c r="P34" s="65">
        <f>'Annual Cash Flow'!P23</f>
        <v>0</v>
      </c>
      <c r="Q34" s="2"/>
      <c r="R34" s="2" t="s">
        <v>74</v>
      </c>
      <c r="S34" s="8">
        <f>0</f>
        <v>0</v>
      </c>
      <c r="T34" s="8">
        <f>'Operating Cuts'!C22</f>
        <v>0</v>
      </c>
      <c r="U34" s="8">
        <f>'Operating Cuts'!D22</f>
        <v>0</v>
      </c>
      <c r="V34" s="8">
        <f>'Operating Cuts'!E22</f>
        <v>0</v>
      </c>
      <c r="W34" s="8">
        <f>'Operating Cuts'!F22</f>
        <v>0</v>
      </c>
      <c r="X34" s="8">
        <f>'Operating Cuts'!G22</f>
        <v>0</v>
      </c>
      <c r="Y34" s="8">
        <f>'Operating Cuts'!H22</f>
        <v>0</v>
      </c>
      <c r="Z34" s="8">
        <f>'Operating Cuts'!I22</f>
        <v>5.1999999999999998E-2</v>
      </c>
      <c r="AA34" s="8">
        <f>'Operating Cuts'!J22</f>
        <v>7.0000000000000001E-3</v>
      </c>
      <c r="AB34" s="8">
        <f>'Operating Cuts'!K22</f>
        <v>1.7999999999999999E-2</v>
      </c>
      <c r="AC34" s="8">
        <f>'Operating Cuts'!L22</f>
        <v>1.7999999999999999E-2</v>
      </c>
      <c r="AD34" s="27">
        <f>'Operating Cuts'!M22</f>
        <v>8.0000000000000071E-2</v>
      </c>
      <c r="AE34" s="27">
        <f>'Operating Cuts'!N22</f>
        <v>8.0000000000000071E-2</v>
      </c>
      <c r="AF34" s="27">
        <f>'Operating Cuts'!O22</f>
        <v>8.0000000000000071E-2</v>
      </c>
      <c r="AG34" s="27">
        <f>'Operating Cuts'!P22</f>
        <v>8.0000000000000071E-2</v>
      </c>
    </row>
    <row r="35" spans="1:34">
      <c r="A35" s="2" t="s">
        <v>372</v>
      </c>
      <c r="B35" s="28">
        <f>'Annual Cash Flow'!B24</f>
        <v>-2883.396531037617</v>
      </c>
      <c r="C35" s="28">
        <f>'Annual Cash Flow'!C24</f>
        <v>-4081.0822044035522</v>
      </c>
      <c r="D35" s="28">
        <f>'Annual Cash Flow'!D24</f>
        <v>-1350.3058228414848</v>
      </c>
      <c r="E35" s="28">
        <f>'Annual Cash Flow'!E24</f>
        <v>-1324.8848888650125</v>
      </c>
      <c r="F35" s="28">
        <f>'Annual Cash Flow'!F24</f>
        <v>-1961.1149844013228</v>
      </c>
      <c r="G35" s="28">
        <f>'Annual Cash Flow'!G24</f>
        <v>-7055.5292496000011</v>
      </c>
      <c r="H35" s="28">
        <f>'Annual Cash Flow'!H24</f>
        <v>-11932.447175827543</v>
      </c>
      <c r="I35" s="28">
        <f>'Annual Cash Flow'!I24</f>
        <v>-12993.081585248958</v>
      </c>
      <c r="J35" s="28">
        <f>'Annual Cash Flow'!J24</f>
        <v>-14082.511210762334</v>
      </c>
      <c r="K35" s="28">
        <f>'Annual Cash Flow'!K24</f>
        <v>-16262.46919125173</v>
      </c>
      <c r="L35" s="28">
        <f>'Annual Cash Flow'!L24</f>
        <v>-16252.949898229283</v>
      </c>
      <c r="M35" s="65">
        <f>'Annual Cash Flow'!M24</f>
        <v>-7616.0177591105639</v>
      </c>
      <c r="N35" s="65">
        <f>'Annual Cash Flow'!N24</f>
        <v>-7956.9676451950745</v>
      </c>
      <c r="O35" s="65">
        <f>'Annual Cash Flow'!O24</f>
        <v>-7548.9842487514879</v>
      </c>
      <c r="P35" s="65">
        <f>'Annual Cash Flow'!P24</f>
        <v>-7111.4390895448805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3"/>
      <c r="AE35" s="33"/>
      <c r="AF35" s="33"/>
      <c r="AG35" s="33"/>
    </row>
    <row r="36" spans="1:34">
      <c r="A36" s="3" t="s">
        <v>134</v>
      </c>
      <c r="B36" s="30">
        <f>'Annual Cash Flow'!B26</f>
        <v>-969.49772459905103</v>
      </c>
      <c r="C36" s="30">
        <f>'Annual Cash Flow'!C26</f>
        <v>-2486.1999999999998</v>
      </c>
      <c r="D36" s="30">
        <f>'Annual Cash Flow'!D26</f>
        <v>-4449.2</v>
      </c>
      <c r="E36" s="30">
        <f>'Annual Cash Flow'!E26</f>
        <v>-361.90000000000077</v>
      </c>
      <c r="F36" s="30">
        <f>'Annual Cash Flow'!F26</f>
        <v>2686</v>
      </c>
      <c r="G36" s="30">
        <f>'Annual Cash Flow'!G26</f>
        <v>-3290</v>
      </c>
      <c r="H36" s="30">
        <f>'Annual Cash Flow'!H26</f>
        <v>-12639</v>
      </c>
      <c r="I36" s="30">
        <f>'Annual Cash Flow'!I26</f>
        <v>-12013</v>
      </c>
      <c r="J36" s="30">
        <f>'Annual Cash Flow'!J26</f>
        <v>-10919</v>
      </c>
      <c r="K36" s="30">
        <f>'Annual Cash Flow'!K26</f>
        <v>-13628</v>
      </c>
      <c r="L36" s="30">
        <f>'Annual Cash Flow'!L26</f>
        <v>-12237</v>
      </c>
      <c r="M36" s="67">
        <f>'Annual Cash Flow'!M26</f>
        <v>-7616.0177591105639</v>
      </c>
      <c r="N36" s="67">
        <f>'Annual Cash Flow'!N26</f>
        <v>-7956.9676451950745</v>
      </c>
      <c r="O36" s="67">
        <f>'Annual Cash Flow'!O26</f>
        <v>-7548.9842487514879</v>
      </c>
      <c r="P36" s="67">
        <f>'Annual Cash Flow'!P26</f>
        <v>-7111.4390895448805</v>
      </c>
      <c r="Q36" s="2"/>
      <c r="R36" s="104" t="s">
        <v>135</v>
      </c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5"/>
      <c r="AE36" s="105"/>
      <c r="AF36" s="105"/>
      <c r="AG36" s="105"/>
    </row>
    <row r="37" spans="1:34">
      <c r="A37" s="2" t="s">
        <v>136</v>
      </c>
      <c r="B37" s="28">
        <f>'Annual Cash Flow'!B27</f>
        <v>0</v>
      </c>
      <c r="C37" s="28">
        <f>'Annual Cash Flow'!C27</f>
        <v>0</v>
      </c>
      <c r="D37" s="28">
        <f>'Annual Cash Flow'!D27</f>
        <v>0</v>
      </c>
      <c r="E37" s="28">
        <f>'Annual Cash Flow'!E27</f>
        <v>0</v>
      </c>
      <c r="F37" s="28">
        <f>'Annual Cash Flow'!F27</f>
        <v>0</v>
      </c>
      <c r="G37" s="28">
        <f>'Annual Cash Flow'!G27</f>
        <v>0</v>
      </c>
      <c r="H37" s="28">
        <f>'Annual Cash Flow'!H27</f>
        <v>0</v>
      </c>
      <c r="I37" s="28">
        <f>'Annual Cash Flow'!I27</f>
        <v>0</v>
      </c>
      <c r="J37" s="28">
        <f>'Annual Cash Flow'!J27</f>
        <v>0</v>
      </c>
      <c r="K37" s="28">
        <f>'Annual Cash Flow'!K27</f>
        <v>0</v>
      </c>
      <c r="L37" s="28">
        <f>'Annual Cash Flow'!L27</f>
        <v>0</v>
      </c>
      <c r="M37" s="65">
        <f>'Annual Cash Flow'!M27</f>
        <v>0</v>
      </c>
      <c r="N37" s="65">
        <f>'Annual Cash Flow'!N27</f>
        <v>0</v>
      </c>
      <c r="O37" s="65">
        <f>'Annual Cash Flow'!O27</f>
        <v>0</v>
      </c>
      <c r="P37" s="65">
        <f>'Annual Cash Flow'!P27</f>
        <v>0</v>
      </c>
      <c r="Q37" s="2"/>
      <c r="R37" s="2" t="s">
        <v>137</v>
      </c>
      <c r="S37" s="28">
        <f>'Market Data'!C5</f>
        <v>407.04998779296875</v>
      </c>
      <c r="T37" s="28">
        <f>'Market Data'!C6</f>
        <v>437.375</v>
      </c>
      <c r="U37" s="28">
        <f>'Market Data'!C7</f>
        <v>484.29998779296875</v>
      </c>
      <c r="V37" s="28">
        <f>'Market Data'!C8</f>
        <v>541.45001220703125</v>
      </c>
      <c r="W37" s="28">
        <f>'Market Data'!C9</f>
        <v>436.39999389648438</v>
      </c>
      <c r="X37" s="28">
        <f>'Market Data'!C10</f>
        <v>982.6500244140625</v>
      </c>
      <c r="Y37" s="28">
        <f>'Market Data'!C11</f>
        <v>1163.75</v>
      </c>
      <c r="Z37" s="28">
        <f>'Market Data'!C12</f>
        <v>1085.25</v>
      </c>
      <c r="AA37" s="28">
        <f>'Market Data'!C13</f>
        <v>1543.550048828125</v>
      </c>
      <c r="AB37" s="28">
        <f>'Market Data'!C14</f>
        <v>1592.5</v>
      </c>
      <c r="AC37" s="28">
        <f>'Market Data'!C15</f>
        <v>1341.5999755859375</v>
      </c>
      <c r="AD37" s="29">
        <f>'Market Data'!C16</f>
        <v>1475.7599731445314</v>
      </c>
      <c r="AE37" s="29">
        <f>'Market Data'!C17</f>
        <v>1471.8198013673682</v>
      </c>
      <c r="AF37" s="29">
        <f>'Market Data'!C18</f>
        <v>1346.3550981505614</v>
      </c>
      <c r="AG37" s="29">
        <f>'Market Data'!C19</f>
        <v>1221.2182489378224</v>
      </c>
      <c r="AH37">
        <f>AD37/AC37-1</f>
        <v>0.10000000000000009</v>
      </c>
    </row>
    <row r="38" spans="1:34">
      <c r="A38" s="2" t="s">
        <v>138</v>
      </c>
      <c r="B38" s="28">
        <f>'Annual Cash Flow'!B28</f>
        <v>63.899999999999864</v>
      </c>
      <c r="C38" s="28">
        <f>'Annual Cash Flow'!C28</f>
        <v>-2464.9746221315499</v>
      </c>
      <c r="D38" s="28">
        <f>'Annual Cash Flow'!D28</f>
        <v>-11809.574622131549</v>
      </c>
      <c r="E38" s="28">
        <f>'Annual Cash Flow'!E28</f>
        <v>-11522.974622131551</v>
      </c>
      <c r="F38" s="28">
        <f>'Annual Cash Flow'!F28</f>
        <v>-16520.074622131549</v>
      </c>
      <c r="G38" s="28">
        <f>'Annual Cash Flow'!G28</f>
        <v>-32602.074622131549</v>
      </c>
      <c r="H38" s="28">
        <f>'Annual Cash Flow'!H28</f>
        <v>-41100.074622131549</v>
      </c>
      <c r="I38" s="28">
        <f>'Annual Cash Flow'!I28</f>
        <v>-42947.074622131549</v>
      </c>
      <c r="J38" s="28">
        <f>'Annual Cash Flow'!J28</f>
        <v>-42660.074622131549</v>
      </c>
      <c r="K38" s="28">
        <f>'Annual Cash Flow'!K28</f>
        <v>-48537.074622131549</v>
      </c>
      <c r="L38" s="28">
        <f>'Annual Cash Flow'!L28</f>
        <v>-54612.074622131549</v>
      </c>
      <c r="M38" s="65">
        <f>'Annual Cash Flow'!M28</f>
        <v>1978.4552801025966</v>
      </c>
      <c r="N38" s="65">
        <f>'Annual Cash Flow'!N28</f>
        <v>-58214.472434644813</v>
      </c>
      <c r="O38" s="65">
        <f>'Annual Cash Flow'!O28</f>
        <v>-63906.622691638411</v>
      </c>
      <c r="P38" s="65">
        <f>'Annual Cash Flow'!P28</f>
        <v>-69818.838574370602</v>
      </c>
      <c r="Q38" s="2"/>
      <c r="R38" s="2" t="s">
        <v>139</v>
      </c>
      <c r="S38" s="28">
        <f>S37*'Annual P&amp;L'!B27</f>
        <v>114982.6428719245</v>
      </c>
      <c r="T38" s="28">
        <f>T37*'Annual P&amp;L'!C27</f>
        <v>123590.96772004884</v>
      </c>
      <c r="U38" s="28">
        <f>U37*'Annual P&amp;L'!D27</f>
        <v>135954.11366131966</v>
      </c>
      <c r="V38" s="28">
        <f>V37*'Annual P&amp;L'!E27</f>
        <v>149009.22203231716</v>
      </c>
      <c r="W38" s="28">
        <f>W37*'Annual P&amp;L'!F27</f>
        <v>118421.2536768451</v>
      </c>
      <c r="X38" s="28">
        <f>X37*'Annual P&amp;L'!G27</f>
        <v>266658.30728359893</v>
      </c>
      <c r="Y38" s="28">
        <f>Y37*'Annual P&amp;L'!H27</f>
        <v>315645.42240438069</v>
      </c>
      <c r="Z38" s="28">
        <f>Z37*'Annual P&amp;L'!I27</f>
        <v>294066.7483489851</v>
      </c>
      <c r="AA38" s="28">
        <f>AA37*'Annual P&amp;L'!J27</f>
        <v>418742.6203645338</v>
      </c>
      <c r="AB38" s="28">
        <f>AB37*'Annual P&amp;L'!K27</f>
        <v>431969.66763254849</v>
      </c>
      <c r="AC38" s="28">
        <f>AC37*'Annual P&amp;L'!L27</f>
        <v>363823.23821919865</v>
      </c>
      <c r="AD38" s="29">
        <f>AD37*'Annual P&amp;L'!M27</f>
        <v>400205.56204111857</v>
      </c>
      <c r="AE38" s="29">
        <f>AE37*'Annual P&amp;L'!N27</f>
        <v>399137.04230260162</v>
      </c>
      <c r="AF38" s="29">
        <f>AF37*'Annual P&amp;L'!O27</f>
        <v>365112.76126710651</v>
      </c>
      <c r="AG38" s="29">
        <f>AG37*'Annual P&amp;L'!P27</f>
        <v>331177.38967376528</v>
      </c>
    </row>
    <row r="39" spans="1:34">
      <c r="A39" s="2" t="s">
        <v>140</v>
      </c>
      <c r="B39" s="28">
        <f>'Annual Cash Flow'!B29</f>
        <v>11788.800000000001</v>
      </c>
      <c r="C39" s="28">
        <f>'Annual Cash Flow'!C29</f>
        <v>11852.7</v>
      </c>
      <c r="D39" s="28">
        <f>'Annual Cash Flow'!D29</f>
        <v>12681.8</v>
      </c>
      <c r="E39" s="28">
        <f>'Annual Cash Flow'!E29</f>
        <v>10273.1</v>
      </c>
      <c r="F39" s="28">
        <f>'Annual Cash Flow'!F29</f>
        <v>11746</v>
      </c>
      <c r="G39" s="28">
        <f>'Annual Cash Flow'!G29</f>
        <v>15373</v>
      </c>
      <c r="H39" s="28">
        <f>'Annual Cash Flow'!H29</f>
        <v>20490</v>
      </c>
      <c r="I39" s="28">
        <f>'Annual Cash Flow'!I29</f>
        <v>21883</v>
      </c>
      <c r="J39" s="28">
        <f>'Annual Cash Flow'!J29</f>
        <v>22712</v>
      </c>
      <c r="K39" s="28">
        <f>'Annual Cash Flow'!K29</f>
        <v>27988</v>
      </c>
      <c r="L39" s="28">
        <f>'Annual Cash Flow'!L29</f>
        <v>29738</v>
      </c>
      <c r="M39" s="65">
        <f>'Annual Cash Flow'!M29</f>
        <v>31401</v>
      </c>
      <c r="N39" s="65">
        <f>'Annual Cash Flow'!N29</f>
        <v>33379.4552801026</v>
      </c>
      <c r="O39" s="65">
        <f>'Annual Cash Flow'!O29</f>
        <v>-24835.017154542213</v>
      </c>
      <c r="P39" s="65">
        <f>'Annual Cash Flow'!P29</f>
        <v>-88741.639846180624</v>
      </c>
      <c r="Q39" s="2"/>
      <c r="R39" s="2" t="s">
        <v>141</v>
      </c>
      <c r="S39" s="28">
        <f>S38+'Annual Balance Sheet'!B14-'Annual Balance Sheet'!B5</f>
        <v>104103.1428719245</v>
      </c>
      <c r="T39" s="28">
        <f>T38+'Annual Balance Sheet'!C14-'Annual Balance Sheet'!C5</f>
        <v>111450.86772004883</v>
      </c>
      <c r="U39" s="28">
        <f>U38+'Annual Balance Sheet'!D14-'Annual Balance Sheet'!D5</f>
        <v>126118.11366131966</v>
      </c>
      <c r="V39" s="28">
        <f>V38+'Annual Balance Sheet'!E14-'Annual Balance Sheet'!E5</f>
        <v>141249.22203231716</v>
      </c>
      <c r="W39" s="28">
        <f>W38+'Annual Balance Sheet'!F14-'Annual Balance Sheet'!F5</f>
        <v>110612.2536768451</v>
      </c>
      <c r="X39" s="28">
        <f>X38+'Annual Balance Sheet'!G14-'Annual Balance Sheet'!G5</f>
        <v>252342.30728359893</v>
      </c>
      <c r="Y39" s="28">
        <f>Y38+'Annual Balance Sheet'!H14-'Annual Balance Sheet'!H5</f>
        <v>300105.42240438069</v>
      </c>
      <c r="Z39" s="28">
        <f>Z38+'Annual Balance Sheet'!I14-'Annual Balance Sheet'!I5</f>
        <v>276140.7483489851</v>
      </c>
      <c r="AA39" s="28">
        <f>AA38+'Annual Balance Sheet'!J14-'Annual Balance Sheet'!J5</f>
        <v>396510.6203645338</v>
      </c>
      <c r="AB39" s="28">
        <f>AB38+'Annual Balance Sheet'!K14-'Annual Balance Sheet'!K5</f>
        <v>408507.66763254849</v>
      </c>
      <c r="AC39" s="28">
        <f>AC38+'Annual Balance Sheet'!L14-'Annual Balance Sheet'!L5</f>
        <v>337637.23821919865</v>
      </c>
      <c r="AD39" s="29">
        <f>AD38+'Annual Balance Sheet'!M14-'Annual Balance Sheet'!M5</f>
        <v>372041.10676101595</v>
      </c>
      <c r="AE39" s="29">
        <f>AE38+'Annual Balance Sheet'!N14-'Annual Balance Sheet'!N5</f>
        <v>429187.05945714383</v>
      </c>
      <c r="AF39" s="29">
        <f>AF38+'Annual Balance Sheet'!O14-'Annual Balance Sheet'!O5</f>
        <v>459069.40111328714</v>
      </c>
      <c r="AG39" s="29">
        <f>AG38+'Annual Balance Sheet'!P14-'Annual Balance Sheet'!P5</f>
        <v>494952.86809431651</v>
      </c>
    </row>
    <row r="40" spans="1:34">
      <c r="A40" s="3" t="s">
        <v>142</v>
      </c>
      <c r="B40" s="30">
        <f>'Annual Cash Flow'!B30</f>
        <v>11852.7</v>
      </c>
      <c r="C40" s="30">
        <f>'Annual Cash Flow'!C30</f>
        <v>12681.8</v>
      </c>
      <c r="D40" s="30">
        <f>'Annual Cash Flow'!D30</f>
        <v>10273.1</v>
      </c>
      <c r="E40" s="30">
        <f>'Annual Cash Flow'!E30</f>
        <v>11746</v>
      </c>
      <c r="F40" s="30">
        <f>'Annual Cash Flow'!F30</f>
        <v>15373</v>
      </c>
      <c r="G40" s="30">
        <f>'Annual Cash Flow'!G30</f>
        <v>20490</v>
      </c>
      <c r="H40" s="30">
        <f>'Annual Cash Flow'!H30</f>
        <v>21883</v>
      </c>
      <c r="I40" s="30">
        <f>'Annual Cash Flow'!I30</f>
        <v>22712</v>
      </c>
      <c r="J40" s="30">
        <f>'Annual Cash Flow'!J30</f>
        <v>27988</v>
      </c>
      <c r="K40" s="30">
        <f>'Annual Cash Flow'!K30</f>
        <v>29738</v>
      </c>
      <c r="L40" s="30">
        <f>'Annual Cash Flow'!L30</f>
        <v>31401</v>
      </c>
      <c r="M40" s="67">
        <f>'Annual Cash Flow'!M30</f>
        <v>33379.4552801026</v>
      </c>
      <c r="N40" s="67">
        <f>'Annual Cash Flow'!N30</f>
        <v>-24835.017154542213</v>
      </c>
      <c r="O40" s="67">
        <f>'Annual Cash Flow'!O30</f>
        <v>-88741.639846180624</v>
      </c>
      <c r="P40" s="67">
        <f>'Annual Cash Flow'!P30</f>
        <v>-158560.47842055123</v>
      </c>
      <c r="Q40" s="2"/>
      <c r="R40" s="2" t="s">
        <v>143</v>
      </c>
      <c r="S40" s="34">
        <f>IFERROR(S37/'Annual P&amp;L'!B29,0)</f>
        <v>20.646547144143693</v>
      </c>
      <c r="T40" s="34">
        <f>IFERROR(T37/'Annual P&amp;L'!C29,0)</f>
        <v>14.61404371763614</v>
      </c>
      <c r="U40" s="34">
        <f>IFERROR(U37/'Annual P&amp;L'!D29,0)</f>
        <v>15.480996773094928</v>
      </c>
      <c r="V40" s="34">
        <f>IFERROR(V37/'Annual P&amp;L'!E29,0)</f>
        <v>14.719867828935804</v>
      </c>
      <c r="W40" s="34">
        <f>IFERROR(W37/'Annual P&amp;L'!F29,0)</f>
        <v>10.705229947283049</v>
      </c>
      <c r="X40" s="34">
        <f>IFERROR(X37/'Annual P&amp;L'!G29,0)</f>
        <v>21.447623846505184</v>
      </c>
      <c r="Y40" s="34">
        <f>IFERROR(Y37/'Annual P&amp;L'!H29,0)</f>
        <v>23.381142400324496</v>
      </c>
      <c r="Z40" s="34">
        <f>IFERROR(Z37/'Annual P&amp;L'!I29,0)</f>
        <v>19.801141226111717</v>
      </c>
      <c r="AA40" s="34">
        <f>IFERROR(AA37/'Annual P&amp;L'!J29,0)</f>
        <v>26.668107270700155</v>
      </c>
      <c r="AB40" s="34">
        <f>IFERROR(AB37/'Annual P&amp;L'!K29,0)</f>
        <v>24.838690565956441</v>
      </c>
      <c r="AC40" s="34">
        <f>IFERROR(AC37/'Annual P&amp;L'!L29,0)</f>
        <v>20.956352642082749</v>
      </c>
      <c r="AD40" s="35">
        <f>IFERROR(AD37/'Annual P&amp;L'!M29,0)</f>
        <v>23.64654450852219</v>
      </c>
      <c r="AE40" s="35">
        <f>IFERROR(AE37/'Annual P&amp;L'!N29,0)</f>
        <v>22.572879147577247</v>
      </c>
      <c r="AF40" s="35">
        <f>IFERROR(AF37/'Annual P&amp;L'!O29,0)</f>
        <v>21.764615894829998</v>
      </c>
      <c r="AG40" s="35">
        <f>IFERROR(AG37/'Annual P&amp;L'!P29,0)</f>
        <v>20.956352642082749</v>
      </c>
    </row>
    <row r="41" spans="1:34">
      <c r="A41" s="2" t="s">
        <v>144</v>
      </c>
      <c r="B41" s="28">
        <f>'Annual Cash Flow'!B32</f>
        <v>1993.6977245990511</v>
      </c>
      <c r="C41" s="28">
        <f>'Annual Cash Flow'!C32</f>
        <v>3145.8</v>
      </c>
      <c r="D41" s="28">
        <f>'Annual Cash Flow'!D32</f>
        <v>1961.9000000000005</v>
      </c>
      <c r="E41" s="28">
        <f>'Annual Cash Flow'!E32</f>
        <v>3097.3999999999996</v>
      </c>
      <c r="F41" s="28">
        <f>'Annual Cash Flow'!F32</f>
        <v>1106</v>
      </c>
      <c r="G41" s="28">
        <f>'Annual Cash Flow'!G32</f>
        <v>8633</v>
      </c>
      <c r="H41" s="28">
        <f>'Annual Cash Flow'!H32</f>
        <v>12967</v>
      </c>
      <c r="I41" s="28">
        <f>'Annual Cash Flow'!I32</f>
        <v>12094</v>
      </c>
      <c r="J41" s="28">
        <f>'Annual Cash Flow'!J32</f>
        <v>14884</v>
      </c>
      <c r="K41" s="28">
        <f>'Annual Cash Flow'!K32</f>
        <v>16401</v>
      </c>
      <c r="L41" s="28">
        <f>'Annual Cash Flow'!L32</f>
        <v>14079</v>
      </c>
      <c r="M41" s="65">
        <f>'Annual Cash Flow'!M32</f>
        <v>71611.54766134471</v>
      </c>
      <c r="N41" s="65">
        <f>'Annual Cash Flow'!N32</f>
        <v>16512.381389512717</v>
      </c>
      <c r="O41" s="65">
        <f>'Annual Cash Flow'!O32</f>
        <v>15368.733846482553</v>
      </c>
      <c r="P41" s="65">
        <f>'Annual Cash Flow'!P32</f>
        <v>14220.401865873808</v>
      </c>
      <c r="Q41" s="2"/>
      <c r="R41" s="2" t="s">
        <v>145</v>
      </c>
      <c r="S41" s="34">
        <f>IFERROR(S39/'Annual P&amp;L'!B14,0)</f>
        <v>15.550773135380972</v>
      </c>
      <c r="T41" s="34">
        <f>IFERROR(T39/'Annual P&amp;L'!C14,0)</f>
        <v>10.811026066548534</v>
      </c>
      <c r="U41" s="34">
        <f>IFERROR(U39/'Annual P&amp;L'!D14,0)</f>
        <v>11.024310634730739</v>
      </c>
      <c r="V41" s="34">
        <f>IFERROR(V39/'Annual P&amp;L'!E14,0)</f>
        <v>10.111620161236822</v>
      </c>
      <c r="W41" s="34">
        <f>IFERROR(W39/'Annual P&amp;L'!F14,0)</f>
        <v>6.6262657207718858</v>
      </c>
      <c r="X41" s="34">
        <f>IFERROR(X39/'Annual P&amp;L'!G14,0)</f>
        <v>12.953252260335656</v>
      </c>
      <c r="Y41" s="34">
        <f>IFERROR(Y39/'Annual P&amp;L'!H14,0)</f>
        <v>14.726209451120305</v>
      </c>
      <c r="Z41" s="34">
        <f>IFERROR(Z39/'Annual P&amp;L'!I14,0)</f>
        <v>12.202958519995807</v>
      </c>
      <c r="AA41" s="34">
        <f>IFERROR(AA39/'Annual P&amp;L'!J14,0)</f>
        <v>16.384736378699742</v>
      </c>
      <c r="AB41" s="34">
        <f>IFERROR(AB39/'Annual P&amp;L'!K14,0)</f>
        <v>16.016767991866242</v>
      </c>
      <c r="AC41" s="34">
        <f>IFERROR(AC39/'Annual P&amp;L'!L14,0)</f>
        <v>12.621009203767892</v>
      </c>
      <c r="AD41" s="35">
        <f>IFERROR(AD39/'Annual P&amp;L'!M14,0)</f>
        <v>14.0499172137068</v>
      </c>
      <c r="AE41" s="35">
        <f>IFERROR(AE39/'Annual P&amp;L'!N14,0)</f>
        <v>15.54197329689142</v>
      </c>
      <c r="AF41" s="35">
        <f>IFERROR(AF39/'Annual P&amp;L'!O14,0)</f>
        <v>15.841237287512437</v>
      </c>
      <c r="AG41" s="35">
        <f>IFERROR(AG39/'Annual P&amp;L'!P14,0)</f>
        <v>16.220084631166742</v>
      </c>
    </row>
    <row r="42" spans="1:34">
      <c r="A42" s="2" t="s">
        <v>119</v>
      </c>
      <c r="B42" s="8">
        <f>'Annual Cash Flow'!B33</f>
        <v>6.4031915615334375E-2</v>
      </c>
      <c r="C42" s="8">
        <f>'Annual Cash Flow'!C33</f>
        <v>6.7330165660716576E-2</v>
      </c>
      <c r="D42" s="8">
        <f>'Annual Cash Flow'!D33</f>
        <v>3.879572869290094E-2</v>
      </c>
      <c r="E42" s="8">
        <f>'Annual Cash Flow'!E33</f>
        <v>5.1257695108227967E-2</v>
      </c>
      <c r="F42" s="8">
        <f>'Annual Cash Flow'!F33</f>
        <v>1.5648433741758398E-2</v>
      </c>
      <c r="G42" s="8">
        <f>'Annual Cash Flow'!G33</f>
        <v>0.11452791891640908</v>
      </c>
      <c r="H42" s="8">
        <f>'Annual Cash Flow'!H33</f>
        <v>0.151393445493923</v>
      </c>
      <c r="I42" s="8">
        <f>'Annual Cash Flow'!I33</f>
        <v>0.11920438416653524</v>
      </c>
      <c r="J42" s="8">
        <f>'Annual Cash Flow'!J33</f>
        <v>0.13541619280703829</v>
      </c>
      <c r="K42" s="8">
        <f>'Annual Cash Flow'!K33</f>
        <v>0.14011362180171713</v>
      </c>
      <c r="L42" s="8">
        <f>'Annual Cash Flow'!L33</f>
        <v>0.10818016965822473</v>
      </c>
      <c r="M42" s="66">
        <f>'Annual Cash Flow'!M33</f>
        <v>0.52735189228042623</v>
      </c>
      <c r="N42" s="66">
        <f>'Annual Cash Flow'!N33</f>
        <v>0.11660142604242785</v>
      </c>
      <c r="O42" s="66">
        <f>'Annual Cash Flow'!O33</f>
        <v>0.10341498043796087</v>
      </c>
      <c r="P42" s="66">
        <f>'Annual Cash Flow'!P33</f>
        <v>9.0873185390645567E-2</v>
      </c>
      <c r="Q42" s="2"/>
      <c r="R42" s="2" t="s">
        <v>146</v>
      </c>
      <c r="S42" s="34">
        <f>IFERROR(S38/'Annual Balance Sheet'!B19,0)</f>
        <v>4.1032842960350759</v>
      </c>
      <c r="T42" s="34">
        <f>IFERROR(T38/'Annual Balance Sheet'!C19,0)</f>
        <v>3.6903401488202241</v>
      </c>
      <c r="U42" s="34">
        <f>IFERROR(U38/'Annual Balance Sheet'!D19,0)</f>
        <v>3.6927194558277647</v>
      </c>
      <c r="V42" s="34">
        <f>IFERROR(V38/'Annual Balance Sheet'!E19,0)</f>
        <v>3.529017194778258</v>
      </c>
      <c r="W42" s="34">
        <f>IFERROR(W38/'Annual Balance Sheet'!F19,0)</f>
        <v>2.2679546811614495</v>
      </c>
      <c r="X42" s="34">
        <f>IFERROR(X38/'Annual Balance Sheet'!G19,0)</f>
        <v>4.2946370212043439</v>
      </c>
      <c r="Y42" s="34">
        <f>IFERROR(Y38/'Annual Balance Sheet'!H19,0)</f>
        <v>5.0905625649837223</v>
      </c>
      <c r="Z42" s="34">
        <f>IFERROR(Z38/'Annual Balance Sheet'!I19,0)</f>
        <v>4.4965709708092767</v>
      </c>
      <c r="AA42" s="34">
        <f>IFERROR(AA38/'Annual Balance Sheet'!J19,0)</f>
        <v>6.1335357672296258</v>
      </c>
      <c r="AB42" s="34">
        <f>IFERROR(AB38/'Annual Balance Sheet'!K19,0)</f>
        <v>6.1999579124273172</v>
      </c>
      <c r="AC42" s="34">
        <f>IFERROR(AC38/'Annual Balance Sheet'!L19,0)</f>
        <v>4.8382679923294631</v>
      </c>
      <c r="AD42" s="35">
        <f>IFERROR(AD38/'Annual Balance Sheet'!M19,0)</f>
        <v>10.225899305956446</v>
      </c>
      <c r="AE42" s="35">
        <f>IFERROR(AE38/'Annual Balance Sheet'!N19,0)</f>
        <v>8.168718245915743</v>
      </c>
      <c r="AF42" s="35">
        <f>IFERROR(AF38/'Annual Balance Sheet'!O19,0)</f>
        <v>6.2854909383117201</v>
      </c>
      <c r="AG42" s="35">
        <f>IFERROR(AG38/'Annual Balance Sheet'!P19,0)</f>
        <v>4.9592343111406345</v>
      </c>
    </row>
    <row r="43" spans="1:3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59"/>
      <c r="N43" s="59"/>
      <c r="O43" s="59"/>
      <c r="P43" s="59"/>
      <c r="Q43" s="2"/>
      <c r="R43" s="2" t="s">
        <v>147</v>
      </c>
      <c r="S43" s="36">
        <f>IFERROR(ABS('Annual Cash Flow'!B13)/'Annual P&amp;L'!B27,0)</f>
        <v>2.6430915214532558E-3</v>
      </c>
      <c r="T43" s="36">
        <f>IFERROR(ABS('Annual Cash Flow'!C13)/'Annual P&amp;L'!C27,0)</f>
        <v>3.9098534739939062E-3</v>
      </c>
      <c r="U43" s="36">
        <f>IFERROR(ABS('Annual Cash Flow'!D13)/'Annual P&amp;L'!D27,0)</f>
        <v>2.7980673149011208E-3</v>
      </c>
      <c r="V43" s="36">
        <f>IFERROR(ABS('Annual Cash Flow'!E13)/'Annual P&amp;L'!E27,0)</f>
        <v>3.2847667737230784E-3</v>
      </c>
      <c r="W43" s="36">
        <f>IFERROR(ABS('Annual Cash Flow'!F13)/'Annual P&amp;L'!F27,0)</f>
        <v>6.2426334977640063E-3</v>
      </c>
      <c r="X43" s="36">
        <f>IFERROR(ABS('Annual Cash Flow'!G13)/'Annual P&amp;L'!G27,0)</f>
        <v>3.5910965554575426E-3</v>
      </c>
      <c r="Y43" s="36">
        <f>IFERROR(ABS('Annual Cash Flow'!H13)/'Annual P&amp;L'!H27,0)</f>
        <v>3.9782910275920546E-3</v>
      </c>
      <c r="Z43" s="36">
        <f>IFERROR(ABS('Annual Cash Flow'!I13)/'Annual P&amp;L'!I27,0)</f>
        <v>3.8992295172440585E-3</v>
      </c>
      <c r="AA43" s="36">
        <f>IFERROR(ABS('Annual Cash Flow'!J13)/'Annual P&amp;L'!J27,0)</f>
        <v>4.5939600021746253E-3</v>
      </c>
      <c r="AB43" s="36">
        <f>IFERROR(ABS('Annual Cash Flow'!K13)/'Annual P&amp;L'!K27,0)</f>
        <v>4.5671800407175592E-3</v>
      </c>
      <c r="AC43" s="36">
        <f>'Market Data'!E15</f>
        <v>60</v>
      </c>
      <c r="AD43" s="37">
        <f>'Annual P&amp;L'!M29*'Market Data'!$E$22</f>
        <v>28.084102845373501</v>
      </c>
      <c r="AE43" s="37">
        <f>'Annual P&amp;L'!N29*'Market Data'!$E$22</f>
        <v>29.341357222762724</v>
      </c>
      <c r="AF43" s="37">
        <f>'Annual P&amp;L'!O29*'Market Data'!$E$22</f>
        <v>27.836916447106681</v>
      </c>
      <c r="AG43" s="37">
        <f>'Annual P&amp;L'!P29*'Market Data'!$E$22</f>
        <v>26.223466526253457</v>
      </c>
    </row>
    <row r="44" spans="1:3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59"/>
      <c r="N44" s="59"/>
      <c r="O44" s="59"/>
      <c r="P44" s="59"/>
      <c r="Q44" s="2"/>
      <c r="R44" s="2" t="s">
        <v>148</v>
      </c>
      <c r="S44" s="8">
        <f t="shared" ref="S44:AG44" si="0">IFERROR(S43/S37,0)</f>
        <v>6.4932848562019084E-6</v>
      </c>
      <c r="T44" s="8">
        <f t="shared" si="0"/>
        <v>8.9393620439986425E-6</v>
      </c>
      <c r="U44" s="8">
        <f t="shared" si="0"/>
        <v>5.7775498356965768E-6</v>
      </c>
      <c r="V44" s="8">
        <f t="shared" si="0"/>
        <v>6.0666113208380545E-6</v>
      </c>
      <c r="W44" s="8">
        <f t="shared" si="0"/>
        <v>1.430484322885848E-5</v>
      </c>
      <c r="X44" s="8">
        <f t="shared" si="0"/>
        <v>3.6545020772770574E-6</v>
      </c>
      <c r="Y44" s="8">
        <f t="shared" si="0"/>
        <v>3.4185100129684681E-6</v>
      </c>
      <c r="Z44" s="8">
        <f t="shared" si="0"/>
        <v>3.5929320591974737E-6</v>
      </c>
      <c r="AA44" s="8">
        <f t="shared" si="0"/>
        <v>2.9762300261416174E-6</v>
      </c>
      <c r="AB44" s="8">
        <f t="shared" si="0"/>
        <v>2.8679309517849664E-6</v>
      </c>
      <c r="AC44" s="8">
        <f t="shared" si="0"/>
        <v>4.472271995517537E-2</v>
      </c>
      <c r="AD44" s="27">
        <f t="shared" si="0"/>
        <v>1.9030264647666405E-2</v>
      </c>
      <c r="AE44" s="27">
        <f t="shared" si="0"/>
        <v>1.9935427689927569E-2</v>
      </c>
      <c r="AF44" s="27">
        <f t="shared" si="0"/>
        <v>2.0675761160889303E-2</v>
      </c>
      <c r="AG44" s="27">
        <f t="shared" si="0"/>
        <v>2.1473202311758616E-2</v>
      </c>
    </row>
    <row r="45" spans="1:34">
      <c r="A45" s="25" t="s">
        <v>149</v>
      </c>
      <c r="B45" s="25" t="s">
        <v>29</v>
      </c>
      <c r="C45" s="25" t="s">
        <v>30</v>
      </c>
      <c r="D45" s="25" t="s">
        <v>31</v>
      </c>
      <c r="E45" s="25" t="s">
        <v>32</v>
      </c>
      <c r="F45" s="25" t="s">
        <v>33</v>
      </c>
      <c r="G45" s="25" t="s">
        <v>34</v>
      </c>
      <c r="H45" s="25" t="s">
        <v>35</v>
      </c>
      <c r="I45" s="25" t="s">
        <v>36</v>
      </c>
      <c r="J45" s="25" t="s">
        <v>37</v>
      </c>
      <c r="K45" s="25" t="s">
        <v>38</v>
      </c>
      <c r="L45" s="25" t="s">
        <v>39</v>
      </c>
      <c r="M45" s="127" t="s">
        <v>40</v>
      </c>
      <c r="N45" s="127" t="s">
        <v>41</v>
      </c>
      <c r="O45" s="127" t="s">
        <v>42</v>
      </c>
      <c r="P45" s="127" t="s">
        <v>43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4">
      <c r="A46" s="2" t="s">
        <v>81</v>
      </c>
      <c r="B46" s="28">
        <f>'Annual Balance Sheet'!B5</f>
        <v>11852.7</v>
      </c>
      <c r="C46" s="28">
        <f>'Annual Balance Sheet'!C5</f>
        <v>12681.8</v>
      </c>
      <c r="D46" s="28">
        <f>'Annual Balance Sheet'!D5</f>
        <v>10273.1</v>
      </c>
      <c r="E46" s="28">
        <f>'Annual Balance Sheet'!E5</f>
        <v>11746</v>
      </c>
      <c r="F46" s="28">
        <f>'Annual Balance Sheet'!F5</f>
        <v>15373</v>
      </c>
      <c r="G46" s="28">
        <f>'Annual Balance Sheet'!G5</f>
        <v>20490</v>
      </c>
      <c r="H46" s="28">
        <f>'Annual Balance Sheet'!H5</f>
        <v>21883</v>
      </c>
      <c r="I46" s="28">
        <f>'Annual Balance Sheet'!I5</f>
        <v>22712</v>
      </c>
      <c r="J46" s="28">
        <f>'Annual Balance Sheet'!J5</f>
        <v>27988</v>
      </c>
      <c r="K46" s="28">
        <f>'Annual Balance Sheet'!K5</f>
        <v>29738</v>
      </c>
      <c r="L46" s="28">
        <f>'Annual Balance Sheet'!L5</f>
        <v>31401</v>
      </c>
      <c r="M46" s="65">
        <f>'Annual Balance Sheet'!M5</f>
        <v>33379.4552801026</v>
      </c>
      <c r="N46" s="65">
        <f>'Annual Balance Sheet'!N5</f>
        <v>-24835.017154542213</v>
      </c>
      <c r="O46" s="65">
        <f>'Annual Balance Sheet'!O5</f>
        <v>-88741.639846180624</v>
      </c>
      <c r="P46" s="65">
        <f>'Annual Balance Sheet'!P5</f>
        <v>-158560.47842055123</v>
      </c>
      <c r="Q46" s="2"/>
      <c r="R46" s="104" t="s">
        <v>373</v>
      </c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</row>
    <row r="47" spans="1:34">
      <c r="A47" s="2" t="s">
        <v>374</v>
      </c>
      <c r="B47" s="28">
        <f>'Annual Balance Sheet'!B6</f>
        <v>13133.1</v>
      </c>
      <c r="C47" s="28">
        <f>'Annual Balance Sheet'!C6</f>
        <v>13785.8</v>
      </c>
      <c r="D47" s="28">
        <f>'Annual Balance Sheet'!D6</f>
        <v>14777.3</v>
      </c>
      <c r="E47" s="28">
        <f>'Annual Balance Sheet'!E6</f>
        <v>18326</v>
      </c>
      <c r="F47" s="28">
        <f>'Annual Balance Sheet'!F6</f>
        <v>23051</v>
      </c>
      <c r="G47" s="28">
        <f>'Annual Balance Sheet'!G6</f>
        <v>22562</v>
      </c>
      <c r="H47" s="28">
        <f>'Annual Balance Sheet'!H6</f>
        <v>26158</v>
      </c>
      <c r="I47" s="28">
        <f>'Annual Balance Sheet'!I6</f>
        <v>30865</v>
      </c>
      <c r="J47" s="28">
        <f>'Annual Balance Sheet'!J6</f>
        <v>31343</v>
      </c>
      <c r="K47" s="28">
        <f>'Annual Balance Sheet'!K6</f>
        <v>32371</v>
      </c>
      <c r="L47" s="28">
        <f>'Annual Balance Sheet'!L6</f>
        <v>39141</v>
      </c>
      <c r="M47" s="65">
        <f>'Annual Balance Sheet'!M6</f>
        <v>30507.283574178906</v>
      </c>
      <c r="N47" s="65">
        <f>'Annual Balance Sheet'!N6</f>
        <v>31814.627088326863</v>
      </c>
      <c r="O47" s="65">
        <f>'Annual Balance Sheet'!O6</f>
        <v>33386.863642196869</v>
      </c>
      <c r="P47" s="65">
        <f>'Annual Balance Sheet'!P6</f>
        <v>35155.809774348148</v>
      </c>
      <c r="Q47" s="2"/>
      <c r="R47" s="2" t="s">
        <v>375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49">
        <f>'Market Data'!E29</f>
        <v>1341.5999755859375</v>
      </c>
      <c r="AE47" s="2"/>
      <c r="AF47" s="2"/>
      <c r="AG47" s="2"/>
    </row>
    <row r="48" spans="1:34">
      <c r="A48" s="2" t="s">
        <v>364</v>
      </c>
      <c r="B48" s="28">
        <f>'Annual Balance Sheet'!B7</f>
        <v>24985.800000000003</v>
      </c>
      <c r="C48" s="28">
        <f>'Annual Balance Sheet'!C7</f>
        <v>26467.599999999999</v>
      </c>
      <c r="D48" s="28">
        <f>'Annual Balance Sheet'!D7</f>
        <v>25050.400000000001</v>
      </c>
      <c r="E48" s="28">
        <f>'Annual Balance Sheet'!E7</f>
        <v>30072</v>
      </c>
      <c r="F48" s="28">
        <f>'Annual Balance Sheet'!F7</f>
        <v>38424</v>
      </c>
      <c r="G48" s="28">
        <f>'Annual Balance Sheet'!G7</f>
        <v>43052</v>
      </c>
      <c r="H48" s="28">
        <f>'Annual Balance Sheet'!H7</f>
        <v>48041</v>
      </c>
      <c r="I48" s="28">
        <f>'Annual Balance Sheet'!I7</f>
        <v>53577</v>
      </c>
      <c r="J48" s="28">
        <f>'Annual Balance Sheet'!J7</f>
        <v>59331</v>
      </c>
      <c r="K48" s="28">
        <f>'Annual Balance Sheet'!K7</f>
        <v>62109</v>
      </c>
      <c r="L48" s="28">
        <f>'Annual Balance Sheet'!L7</f>
        <v>70542</v>
      </c>
      <c r="M48" s="65">
        <f>'Annual Balance Sheet'!M7</f>
        <v>19011.246227323685</v>
      </c>
      <c r="N48" s="65">
        <f>'Annual Balance Sheet'!N7</f>
        <v>19825.944441628086</v>
      </c>
      <c r="O48" s="65">
        <f>'Annual Balance Sheet'!O7</f>
        <v>20805.716245320244</v>
      </c>
      <c r="P48" s="65">
        <f>'Annual Balance Sheet'!P7</f>
        <v>21908.07170084379</v>
      </c>
      <c r="Q48" s="2"/>
      <c r="R48" s="2" t="s">
        <v>376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49">
        <f>'Market Data'!C16</f>
        <v>1475.7599731445314</v>
      </c>
      <c r="AE48" s="2"/>
      <c r="AF48" s="2"/>
      <c r="AG48" s="2"/>
    </row>
    <row r="49" spans="1:33">
      <c r="A49" s="3" t="s">
        <v>82</v>
      </c>
      <c r="B49" s="30">
        <f>'Annual Balance Sheet'!B8</f>
        <v>24985.8</v>
      </c>
      <c r="C49" s="30">
        <f>'Annual Balance Sheet'!C8</f>
        <v>26467.599999999999</v>
      </c>
      <c r="D49" s="30">
        <f>'Annual Balance Sheet'!D8</f>
        <v>25050.400000000001</v>
      </c>
      <c r="E49" s="30">
        <f>'Annual Balance Sheet'!E8</f>
        <v>30072</v>
      </c>
      <c r="F49" s="30">
        <f>'Annual Balance Sheet'!F8</f>
        <v>38424</v>
      </c>
      <c r="G49" s="30">
        <f>'Annual Balance Sheet'!G8</f>
        <v>43052</v>
      </c>
      <c r="H49" s="30">
        <f>'Annual Balance Sheet'!H8</f>
        <v>48041</v>
      </c>
      <c r="I49" s="30">
        <f>'Annual Balance Sheet'!I8</f>
        <v>53577</v>
      </c>
      <c r="J49" s="30">
        <f>'Annual Balance Sheet'!J8</f>
        <v>59331</v>
      </c>
      <c r="K49" s="30">
        <f>'Annual Balance Sheet'!K8</f>
        <v>62109</v>
      </c>
      <c r="L49" s="30">
        <f>'Annual Balance Sheet'!L8</f>
        <v>70542</v>
      </c>
      <c r="M49" s="67">
        <f>'Annual Balance Sheet'!M8</f>
        <v>82897.985081605191</v>
      </c>
      <c r="N49" s="67">
        <f>'Annual Balance Sheet'!N8</f>
        <v>26805.554375412736</v>
      </c>
      <c r="O49" s="67">
        <f>'Annual Balance Sheet'!O8</f>
        <v>-34549.059958663507</v>
      </c>
      <c r="P49" s="67">
        <f>'Annual Balance Sheet'!P8</f>
        <v>-101496.59694535928</v>
      </c>
      <c r="Q49" s="2"/>
      <c r="R49" s="2" t="s">
        <v>377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9">
        <f>'Market Data'!E32</f>
        <v>23.381142400324496</v>
      </c>
      <c r="AE49" s="2"/>
      <c r="AF49" s="2"/>
      <c r="AG49" s="2"/>
    </row>
    <row r="50" spans="1:33">
      <c r="A50" s="2" t="s">
        <v>83</v>
      </c>
      <c r="B50" s="28">
        <f>'Annual Balance Sheet'!B9</f>
        <v>4323.1000000000004</v>
      </c>
      <c r="C50" s="28">
        <f>'Annual Balance Sheet'!C9</f>
        <v>4680.6000000000004</v>
      </c>
      <c r="D50" s="28">
        <f>'Annual Balance Sheet'!D9</f>
        <v>5184.7</v>
      </c>
      <c r="E50" s="28">
        <f>'Annual Balance Sheet'!E9</f>
        <v>5801</v>
      </c>
      <c r="F50" s="28">
        <f>'Annual Balance Sheet'!F9</f>
        <v>8868</v>
      </c>
      <c r="G50" s="28">
        <f>'Annual Balance Sheet'!G9</f>
        <v>8637</v>
      </c>
      <c r="H50" s="28">
        <f>'Annual Balance Sheet'!H9</f>
        <v>8046</v>
      </c>
      <c r="I50" s="28">
        <f>'Annual Balance Sheet'!I9</f>
        <v>7748</v>
      </c>
      <c r="J50" s="28">
        <f>'Annual Balance Sheet'!J9</f>
        <v>7909</v>
      </c>
      <c r="K50" s="28">
        <f>'Annual Balance Sheet'!K9</f>
        <v>7576</v>
      </c>
      <c r="L50" s="28">
        <f>'Annual Balance Sheet'!L9</f>
        <v>8309</v>
      </c>
      <c r="M50" s="65">
        <f>'Annual Balance Sheet'!M9</f>
        <v>8309</v>
      </c>
      <c r="N50" s="65">
        <f>'Annual Balance Sheet'!N9</f>
        <v>8309</v>
      </c>
      <c r="O50" s="65">
        <f>'Annual Balance Sheet'!O9</f>
        <v>8309</v>
      </c>
      <c r="P50" s="65">
        <f>'Annual Balance Sheet'!P9</f>
        <v>8309</v>
      </c>
      <c r="Q50" s="2"/>
      <c r="R50" s="2" t="s">
        <v>378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49">
        <f>'Market Data'!E33</f>
        <v>1459.196461806747</v>
      </c>
      <c r="AE50" s="2"/>
      <c r="AF50" s="2"/>
      <c r="AG50" s="2"/>
    </row>
    <row r="51" spans="1:33">
      <c r="A51" s="2" t="s">
        <v>365</v>
      </c>
      <c r="B51" s="28">
        <f>'Annual Balance Sheet'!B10</f>
        <v>6579.5</v>
      </c>
      <c r="C51" s="28">
        <f>'Annual Balance Sheet'!C10</f>
        <v>11572.2</v>
      </c>
      <c r="D51" s="28">
        <f>'Annual Balance Sheet'!D10</f>
        <v>14432.5</v>
      </c>
      <c r="E51" s="28">
        <f>'Annual Balance Sheet'!E10</f>
        <v>17730</v>
      </c>
      <c r="F51" s="28">
        <f>'Annual Balance Sheet'!F10</f>
        <v>29459</v>
      </c>
      <c r="G51" s="28">
        <f>'Annual Balance Sheet'!G10</f>
        <v>29197</v>
      </c>
      <c r="H51" s="28">
        <f>'Annual Balance Sheet'!H10</f>
        <v>27272</v>
      </c>
      <c r="I51" s="28">
        <f>'Annual Balance Sheet'!I10</f>
        <v>27021</v>
      </c>
      <c r="J51" s="28">
        <f>'Annual Balance Sheet'!J10</f>
        <v>27356</v>
      </c>
      <c r="K51" s="28">
        <f>'Annual Balance Sheet'!K10</f>
        <v>28746</v>
      </c>
      <c r="L51" s="28">
        <f>'Annual Balance Sheet'!L10</f>
        <v>29260</v>
      </c>
      <c r="M51" s="65">
        <f>'Annual Balance Sheet'!M10</f>
        <v>29260</v>
      </c>
      <c r="N51" s="65">
        <f>'Annual Balance Sheet'!N10</f>
        <v>29260</v>
      </c>
      <c r="O51" s="65">
        <f>'Annual Balance Sheet'!O10</f>
        <v>29260</v>
      </c>
      <c r="P51" s="65">
        <f>'Annual Balance Sheet'!P10</f>
        <v>29260</v>
      </c>
      <c r="Q51" s="2"/>
      <c r="R51" s="2" t="s">
        <v>379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49">
        <f>'Market Data'!E29*(1+'Market Data'!E30)</f>
        <v>1475.7599731445314</v>
      </c>
      <c r="AE51" s="2"/>
      <c r="AF51" s="2"/>
      <c r="AG51" s="2"/>
    </row>
    <row r="52" spans="1:33">
      <c r="A52" s="2" t="s">
        <v>150</v>
      </c>
      <c r="B52" s="28">
        <f>'Annual Balance Sheet'!B11</f>
        <v>3878.9</v>
      </c>
      <c r="C52" s="28">
        <f>'Annual Balance Sheet'!C11</f>
        <v>3711.8</v>
      </c>
      <c r="D52" s="28">
        <f>'Annual Balance Sheet'!D11</f>
        <v>3767.5</v>
      </c>
      <c r="E52" s="28">
        <f>'Annual Balance Sheet'!E11</f>
        <v>5293</v>
      </c>
      <c r="F52" s="28">
        <f>'Annual Balance Sheet'!F11</f>
        <v>6465</v>
      </c>
      <c r="G52" s="28">
        <f>'Annual Balance Sheet'!G11</f>
        <v>6817</v>
      </c>
      <c r="H52" s="28">
        <f>'Annual Balance Sheet'!H11</f>
        <v>5674</v>
      </c>
      <c r="I52" s="28">
        <f>'Annual Balance Sheet'!I11</f>
        <v>5065</v>
      </c>
      <c r="J52" s="28">
        <f>'Annual Balance Sheet'!J11</f>
        <v>5181</v>
      </c>
      <c r="K52" s="28">
        <f>'Annual Balance Sheet'!K11</f>
        <v>7113</v>
      </c>
      <c r="L52" s="28">
        <f>'Annual Balance Sheet'!L11</f>
        <v>8147</v>
      </c>
      <c r="M52" s="65">
        <f>'Annual Balance Sheet'!M11</f>
        <v>8500.7279307100525</v>
      </c>
      <c r="N52" s="65">
        <f>'Annual Balance Sheet'!N11</f>
        <v>8865.0137740801401</v>
      </c>
      <c r="O52" s="65">
        <f>'Annual Balance Sheet'!O11</f>
        <v>9303.1109633847373</v>
      </c>
      <c r="P52" s="65">
        <f>'Annual Balance Sheet'!P11</f>
        <v>9796.0204601262758</v>
      </c>
      <c r="Q52" s="2"/>
      <c r="R52" s="2" t="s">
        <v>380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50">
        <f>'Market Data'!E34</f>
        <v>1475.7599731445314</v>
      </c>
      <c r="AE52" s="2"/>
      <c r="AF52" s="2"/>
      <c r="AG52" s="2"/>
    </row>
    <row r="53" spans="1:33">
      <c r="A53" s="3" t="s">
        <v>84</v>
      </c>
      <c r="B53" s="30">
        <f>'Annual Balance Sheet'!B12</f>
        <v>39767.300000000003</v>
      </c>
      <c r="C53" s="30">
        <f>'Annual Balance Sheet'!C12</f>
        <v>46432.2</v>
      </c>
      <c r="D53" s="30">
        <f>'Annual Balance Sheet'!D12</f>
        <v>48435.1</v>
      </c>
      <c r="E53" s="30">
        <f>'Annual Balance Sheet'!E12</f>
        <v>58896</v>
      </c>
      <c r="F53" s="30">
        <f>'Annual Balance Sheet'!F12</f>
        <v>83216</v>
      </c>
      <c r="G53" s="30">
        <f>'Annual Balance Sheet'!G12</f>
        <v>87703</v>
      </c>
      <c r="H53" s="30">
        <f>'Annual Balance Sheet'!H12</f>
        <v>89033</v>
      </c>
      <c r="I53" s="30">
        <f>'Annual Balance Sheet'!I12</f>
        <v>93411</v>
      </c>
      <c r="J53" s="30">
        <f>'Annual Balance Sheet'!J12</f>
        <v>99777</v>
      </c>
      <c r="K53" s="30">
        <f>'Annual Balance Sheet'!K12</f>
        <v>105544</v>
      </c>
      <c r="L53" s="30">
        <f>'Annual Balance Sheet'!L12</f>
        <v>116258</v>
      </c>
      <c r="M53" s="67">
        <f>'Annual Balance Sheet'!M12</f>
        <v>128967.71301231525</v>
      </c>
      <c r="N53" s="67">
        <f>'Annual Balance Sheet'!N12</f>
        <v>73239.568149492872</v>
      </c>
      <c r="O53" s="67">
        <f>'Annual Balance Sheet'!O12</f>
        <v>12323.05100472123</v>
      </c>
      <c r="P53" s="67">
        <f>'Annual Balance Sheet'!P12</f>
        <v>-54131.57648523301</v>
      </c>
      <c r="Q53" s="2"/>
      <c r="R53" s="2" t="s">
        <v>381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49">
        <f>'Market Data'!E29*(1+'Market Data'!E31)</f>
        <v>1542.839971923828</v>
      </c>
      <c r="AE53" s="2"/>
      <c r="AF53" s="2"/>
      <c r="AG53" s="2"/>
    </row>
    <row r="54" spans="1:33">
      <c r="A54" s="2" t="s">
        <v>85</v>
      </c>
      <c r="B54" s="28">
        <f>'Annual Balance Sheet'!B13</f>
        <v>9508.5</v>
      </c>
      <c r="C54" s="28">
        <f>'Annual Balance Sheet'!C13</f>
        <v>11147.7</v>
      </c>
      <c r="D54" s="28">
        <f>'Annual Balance Sheet'!D13</f>
        <v>9914.2999999999993</v>
      </c>
      <c r="E54" s="28">
        <f>'Annual Balance Sheet'!E13</f>
        <v>11148</v>
      </c>
      <c r="F54" s="28">
        <f>'Annual Balance Sheet'!F13</f>
        <v>20889</v>
      </c>
      <c r="G54" s="28">
        <f>'Annual Balance Sheet'!G13</f>
        <v>16755</v>
      </c>
      <c r="H54" s="28">
        <f>'Annual Balance Sheet'!H13</f>
        <v>18014</v>
      </c>
      <c r="I54" s="28">
        <f>'Annual Balance Sheet'!I13</f>
        <v>20420</v>
      </c>
      <c r="J54" s="28">
        <f>'Annual Balance Sheet'!J13</f>
        <v>21532</v>
      </c>
      <c r="K54" s="28">
        <f>'Annual Balance Sheet'!K13</f>
        <v>24471</v>
      </c>
      <c r="L54" s="28">
        <f>'Annual Balance Sheet'!L13</f>
        <v>29828</v>
      </c>
      <c r="M54" s="65">
        <f>'Annual Balance Sheet'!M13</f>
        <v>24443.030863701879</v>
      </c>
      <c r="N54" s="65">
        <f>'Annual Balance Sheet'!N13</f>
        <v>25490.499996378963</v>
      </c>
      <c r="O54" s="65">
        <f>'Annual Balance Sheet'!O13</f>
        <v>26750.206601126025</v>
      </c>
      <c r="P54" s="65">
        <f>'Annual Balance Sheet'!P13</f>
        <v>28167.520758227725</v>
      </c>
      <c r="Q54" s="2"/>
      <c r="R54" s="2" t="s">
        <v>382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51">
        <f>'Market Data'!E35</f>
        <v>0.10000000000000009</v>
      </c>
      <c r="AE54" s="2"/>
      <c r="AF54" s="2"/>
      <c r="AG54" s="2"/>
    </row>
    <row r="55" spans="1:33">
      <c r="A55" s="2" t="s">
        <v>86</v>
      </c>
      <c r="B55" s="28">
        <f>'Annual Balance Sheet'!B14</f>
        <v>973.2</v>
      </c>
      <c r="C55" s="28">
        <f>'Annual Balance Sheet'!C14</f>
        <v>541.70000000000005</v>
      </c>
      <c r="D55" s="28">
        <f>'Annual Balance Sheet'!D14</f>
        <v>437.1</v>
      </c>
      <c r="E55" s="28">
        <f>'Annual Balance Sheet'!E14</f>
        <v>3986</v>
      </c>
      <c r="F55" s="28">
        <f>'Annual Balance Sheet'!F14</f>
        <v>7564</v>
      </c>
      <c r="G55" s="28">
        <f>'Annual Balance Sheet'!G14</f>
        <v>6174</v>
      </c>
      <c r="H55" s="28">
        <f>'Annual Balance Sheet'!H14</f>
        <v>6343</v>
      </c>
      <c r="I55" s="28">
        <f>'Annual Balance Sheet'!I14</f>
        <v>4786</v>
      </c>
      <c r="J55" s="28">
        <f>'Annual Balance Sheet'!J14</f>
        <v>5756</v>
      </c>
      <c r="K55" s="28">
        <f>'Annual Balance Sheet'!K14</f>
        <v>6276</v>
      </c>
      <c r="L55" s="28">
        <f>'Annual Balance Sheet'!L14</f>
        <v>5215</v>
      </c>
      <c r="M55" s="65">
        <f>'Annual Balance Sheet'!M14</f>
        <v>5215</v>
      </c>
      <c r="N55" s="65">
        <f>'Annual Balance Sheet'!N14</f>
        <v>5215</v>
      </c>
      <c r="O55" s="65">
        <f>'Annual Balance Sheet'!O14</f>
        <v>5215</v>
      </c>
      <c r="P55" s="65">
        <f>'Annual Balance Sheet'!P14</f>
        <v>5215</v>
      </c>
      <c r="Q55" s="2"/>
      <c r="R55" s="2" t="s">
        <v>383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52">
        <f>'Market Data'!E36</f>
        <v>23.64654450852219</v>
      </c>
      <c r="AE55" s="2"/>
      <c r="AF55" s="2"/>
      <c r="AG55" s="2"/>
    </row>
    <row r="56" spans="1:33">
      <c r="A56" s="2" t="s">
        <v>87</v>
      </c>
      <c r="B56" s="28">
        <f>'Annual Balance Sheet'!B15</f>
        <v>1263.5</v>
      </c>
      <c r="C56" s="28">
        <f>'Annual Balance Sheet'!C15</f>
        <v>1252.5</v>
      </c>
      <c r="D56" s="28">
        <f>'Annual Balance Sheet'!D15</f>
        <v>1266.9000000000001</v>
      </c>
      <c r="E56" s="28">
        <f>'Annual Balance Sheet'!E15</f>
        <v>1538</v>
      </c>
      <c r="F56" s="28">
        <f>'Annual Balance Sheet'!F15</f>
        <v>2548</v>
      </c>
      <c r="G56" s="28">
        <f>'Annual Balance Sheet'!G15</f>
        <v>2683</v>
      </c>
      <c r="H56" s="28">
        <f>'Annual Balance Sheet'!H15</f>
        <v>2670</v>
      </c>
      <c r="I56" s="28">
        <f>'Annual Balance Sheet'!I15</f>
        <v>2807</v>
      </c>
      <c r="J56" s="28">
        <f>'Annual Balance Sheet'!J15</f>
        <v>4218</v>
      </c>
      <c r="K56" s="28">
        <f>'Annual Balance Sheet'!K15</f>
        <v>5124</v>
      </c>
      <c r="L56" s="28">
        <f>'Annual Balance Sheet'!L15</f>
        <v>6018</v>
      </c>
      <c r="M56" s="65">
        <f>'Annual Balance Sheet'!M15</f>
        <v>6279.2906207208898</v>
      </c>
      <c r="N56" s="65">
        <f>'Annual Balance Sheet'!N15</f>
        <v>6548.3801267232448</v>
      </c>
      <c r="O56" s="65">
        <f>'Annual Balance Sheet'!O15</f>
        <v>6871.9923625444135</v>
      </c>
      <c r="P56" s="65">
        <f>'Annual Balance Sheet'!P15</f>
        <v>7236.0931789664801</v>
      </c>
      <c r="Q56" s="2"/>
      <c r="R56" s="2" t="s">
        <v>384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52">
        <f>'Market Data'!E37</f>
        <v>14.0499172137068</v>
      </c>
      <c r="AE56" s="2"/>
      <c r="AF56" s="2"/>
      <c r="AG56" s="2"/>
    </row>
    <row r="57" spans="1:33">
      <c r="A57" s="3" t="s">
        <v>88</v>
      </c>
      <c r="B57" s="30">
        <f>'Annual Balance Sheet'!B16</f>
        <v>11745.2</v>
      </c>
      <c r="C57" s="30">
        <f>'Annual Balance Sheet'!C16</f>
        <v>12941.9</v>
      </c>
      <c r="D57" s="30">
        <f>'Annual Balance Sheet'!D16</f>
        <v>11618.3</v>
      </c>
      <c r="E57" s="30">
        <f>'Annual Balance Sheet'!E16</f>
        <v>16672</v>
      </c>
      <c r="F57" s="30">
        <f>'Annual Balance Sheet'!F16</f>
        <v>31001</v>
      </c>
      <c r="G57" s="30">
        <f>'Annual Balance Sheet'!G16</f>
        <v>25612</v>
      </c>
      <c r="H57" s="30">
        <f>'Annual Balance Sheet'!H16</f>
        <v>27027</v>
      </c>
      <c r="I57" s="30">
        <f>'Annual Balance Sheet'!I16</f>
        <v>28013</v>
      </c>
      <c r="J57" s="30">
        <f>'Annual Balance Sheet'!J16</f>
        <v>31506</v>
      </c>
      <c r="K57" s="30">
        <f>'Annual Balance Sheet'!K16</f>
        <v>35871</v>
      </c>
      <c r="L57" s="30">
        <f>'Annual Balance Sheet'!L16</f>
        <v>41061</v>
      </c>
      <c r="M57" s="67">
        <f>'Annual Balance Sheet'!M16</f>
        <v>35937.32148442277</v>
      </c>
      <c r="N57" s="67">
        <f>'Annual Balance Sheet'!N16</f>
        <v>37253.880123102208</v>
      </c>
      <c r="O57" s="67">
        <f>'Annual Balance Sheet'!O16</f>
        <v>38837.198963670438</v>
      </c>
      <c r="P57" s="67">
        <f>'Annual Balance Sheet'!P16</f>
        <v>40618.613937194204</v>
      </c>
      <c r="Q57" s="2"/>
      <c r="R57" s="2" t="s">
        <v>385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52">
        <f>'Market Data'!E38</f>
        <v>10.225899305956446</v>
      </c>
      <c r="AE57" s="2"/>
      <c r="AF57" s="2"/>
      <c r="AG57" s="2"/>
    </row>
    <row r="58" spans="1:33">
      <c r="A58" s="2" t="s">
        <v>366</v>
      </c>
      <c r="B58" s="28">
        <f>'Annual Balance Sheet'!B17</f>
        <v>0</v>
      </c>
      <c r="C58" s="28">
        <f>'Annual Balance Sheet'!C17</f>
        <v>0</v>
      </c>
      <c r="D58" s="28">
        <f>'Annual Balance Sheet'!D17</f>
        <v>0</v>
      </c>
      <c r="E58" s="28">
        <f>'Annual Balance Sheet'!E17</f>
        <v>0</v>
      </c>
      <c r="F58" s="28">
        <f>'Annual Balance Sheet'!F17</f>
        <v>0</v>
      </c>
      <c r="G58" s="28">
        <f>'Annual Balance Sheet'!G17</f>
        <v>0</v>
      </c>
      <c r="H58" s="28">
        <f>'Annual Balance Sheet'!H17</f>
        <v>0</v>
      </c>
      <c r="I58" s="28">
        <f>'Annual Balance Sheet'!I17</f>
        <v>0</v>
      </c>
      <c r="J58" s="28">
        <f>'Annual Balance Sheet'!J17</f>
        <v>0</v>
      </c>
      <c r="K58" s="28">
        <f>'Annual Balance Sheet'!K17</f>
        <v>0</v>
      </c>
      <c r="L58" s="28">
        <f>'Annual Balance Sheet'!L17</f>
        <v>0</v>
      </c>
      <c r="M58" s="65">
        <f>'Annual Balance Sheet'!M17</f>
        <v>0</v>
      </c>
      <c r="N58" s="65">
        <f>'Annual Balance Sheet'!N17</f>
        <v>0</v>
      </c>
      <c r="O58" s="65">
        <f>'Annual Balance Sheet'!O17</f>
        <v>0</v>
      </c>
      <c r="P58" s="65">
        <f>'Annual Balance Sheet'!P17</f>
        <v>0</v>
      </c>
      <c r="Q58" s="2"/>
      <c r="R58" s="2" t="s">
        <v>386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51">
        <f>IFERROR(AD43/AD52,0)</f>
        <v>1.9030264647666405E-2</v>
      </c>
      <c r="AE58" s="2"/>
      <c r="AF58" s="2"/>
      <c r="AG58" s="2"/>
    </row>
    <row r="59" spans="1:33">
      <c r="A59" s="2" t="s">
        <v>387</v>
      </c>
      <c r="B59" s="28">
        <f>'Annual Balance Sheet'!B18</f>
        <v>9508.5</v>
      </c>
      <c r="C59" s="28">
        <f>'Annual Balance Sheet'!C18</f>
        <v>11147.7</v>
      </c>
      <c r="D59" s="28">
        <f>'Annual Balance Sheet'!D18</f>
        <v>9914.2999999999993</v>
      </c>
      <c r="E59" s="28">
        <f>'Annual Balance Sheet'!E18</f>
        <v>11148</v>
      </c>
      <c r="F59" s="28">
        <f>'Annual Balance Sheet'!F18</f>
        <v>20889</v>
      </c>
      <c r="G59" s="28">
        <f>'Annual Balance Sheet'!G18</f>
        <v>16755</v>
      </c>
      <c r="H59" s="28">
        <f>'Annual Balance Sheet'!H18</f>
        <v>18014</v>
      </c>
      <c r="I59" s="28">
        <f>'Annual Balance Sheet'!I18</f>
        <v>20420</v>
      </c>
      <c r="J59" s="28">
        <f>'Annual Balance Sheet'!J18</f>
        <v>21532</v>
      </c>
      <c r="K59" s="28">
        <f>'Annual Balance Sheet'!K18</f>
        <v>24471</v>
      </c>
      <c r="L59" s="28">
        <f>'Annual Balance Sheet'!L18</f>
        <v>29828</v>
      </c>
      <c r="M59" s="65">
        <f>'Annual Balance Sheet'!M18</f>
        <v>39136.466150024018</v>
      </c>
      <c r="N59" s="65">
        <f>'Annual Balance Sheet'!N18</f>
        <v>48861.648827484671</v>
      </c>
      <c r="O59" s="65">
        <f>'Annual Balance Sheet'!O18</f>
        <v>58088.185131514263</v>
      </c>
      <c r="P59" s="65">
        <f>'Annual Balance Sheet'!P18</f>
        <v>66779.944018735783</v>
      </c>
      <c r="Q59" s="2"/>
      <c r="R59" s="2" t="s">
        <v>388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53" t="str">
        <f>IF(AND(AD54&gt;='Market Data'!E30,AD54&lt;='Market Data'!E31),"MARKET PERFORM","OUTSIDE 10-15% BAND")</f>
        <v>MARKET PERFORM</v>
      </c>
      <c r="AE59" s="2"/>
      <c r="AF59" s="2"/>
      <c r="AG59" s="2"/>
    </row>
    <row r="60" spans="1:33">
      <c r="A60" s="3" t="s">
        <v>89</v>
      </c>
      <c r="B60" s="30">
        <f>'Annual Balance Sheet'!B19</f>
        <v>28022.1</v>
      </c>
      <c r="C60" s="30">
        <f>'Annual Balance Sheet'!C19</f>
        <v>33490.400000000001</v>
      </c>
      <c r="D60" s="30">
        <f>'Annual Balance Sheet'!D19</f>
        <v>36816.800000000003</v>
      </c>
      <c r="E60" s="30">
        <f>'Annual Balance Sheet'!E19</f>
        <v>42224</v>
      </c>
      <c r="F60" s="30">
        <f>'Annual Balance Sheet'!F19</f>
        <v>52215</v>
      </c>
      <c r="G60" s="30">
        <f>'Annual Balance Sheet'!G19</f>
        <v>62091</v>
      </c>
      <c r="H60" s="30">
        <f>'Annual Balance Sheet'!H19</f>
        <v>62006</v>
      </c>
      <c r="I60" s="30">
        <f>'Annual Balance Sheet'!I19</f>
        <v>65398</v>
      </c>
      <c r="J60" s="30">
        <f>'Annual Balance Sheet'!J19</f>
        <v>68271</v>
      </c>
      <c r="K60" s="30">
        <f>'Annual Balance Sheet'!K19</f>
        <v>69673</v>
      </c>
      <c r="L60" s="30">
        <f>'Annual Balance Sheet'!L19</f>
        <v>75197</v>
      </c>
      <c r="M60" s="67">
        <f>'Annual Balance Sheet'!M19</f>
        <v>39136.466150024018</v>
      </c>
      <c r="N60" s="67">
        <f>'Annual Balance Sheet'!N19</f>
        <v>48861.648827484671</v>
      </c>
      <c r="O60" s="67">
        <f>'Annual Balance Sheet'!O19</f>
        <v>58088.185131514263</v>
      </c>
      <c r="P60" s="67">
        <f>'Annual Balance Sheet'!P19</f>
        <v>66779.944018735783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>
      <c r="A61" s="2" t="s">
        <v>90</v>
      </c>
      <c r="B61" s="28">
        <f>'Annual Balance Sheet'!B20</f>
        <v>39767.300000000003</v>
      </c>
      <c r="C61" s="28">
        <f>'Annual Balance Sheet'!C20</f>
        <v>46432.3</v>
      </c>
      <c r="D61" s="28">
        <f>'Annual Balance Sheet'!D20</f>
        <v>48435.100000000006</v>
      </c>
      <c r="E61" s="28">
        <f>'Annual Balance Sheet'!E20</f>
        <v>58896</v>
      </c>
      <c r="F61" s="28">
        <f>'Annual Balance Sheet'!F20</f>
        <v>83216</v>
      </c>
      <c r="G61" s="28">
        <f>'Annual Balance Sheet'!G20</f>
        <v>87703</v>
      </c>
      <c r="H61" s="28">
        <f>'Annual Balance Sheet'!H20</f>
        <v>89033</v>
      </c>
      <c r="I61" s="28">
        <f>'Annual Balance Sheet'!I20</f>
        <v>93411</v>
      </c>
      <c r="J61" s="28">
        <f>'Annual Balance Sheet'!J20</f>
        <v>99777</v>
      </c>
      <c r="K61" s="28">
        <f>'Annual Balance Sheet'!K20</f>
        <v>105544</v>
      </c>
      <c r="L61" s="28">
        <f>'Annual Balance Sheet'!L20</f>
        <v>116258</v>
      </c>
      <c r="M61" s="65">
        <f>'Annual Balance Sheet'!M20</f>
        <v>75073.78763444678</v>
      </c>
      <c r="N61" s="65">
        <f>'Annual Balance Sheet'!N20</f>
        <v>86115.528950586886</v>
      </c>
      <c r="O61" s="65">
        <f>'Annual Balance Sheet'!O20</f>
        <v>96925.384095184709</v>
      </c>
      <c r="P61" s="65">
        <f>'Annual Balance Sheet'!P20</f>
        <v>107398.55795592998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>
      <c r="A62" s="2" t="s">
        <v>92</v>
      </c>
      <c r="B62" s="28">
        <f>'Annual Balance Sheet'!B22</f>
        <v>10879.5</v>
      </c>
      <c r="C62" s="28">
        <f>'Annual Balance Sheet'!C22</f>
        <v>12140.099999999999</v>
      </c>
      <c r="D62" s="28">
        <f>'Annual Balance Sheet'!D22</f>
        <v>9836</v>
      </c>
      <c r="E62" s="28">
        <f>'Annual Balance Sheet'!E22</f>
        <v>7760</v>
      </c>
      <c r="F62" s="28">
        <f>'Annual Balance Sheet'!F22</f>
        <v>7809</v>
      </c>
      <c r="G62" s="28">
        <f>'Annual Balance Sheet'!G22</f>
        <v>14316</v>
      </c>
      <c r="H62" s="28">
        <f>'Annual Balance Sheet'!H22</f>
        <v>15540</v>
      </c>
      <c r="I62" s="28">
        <f>'Annual Balance Sheet'!I22</f>
        <v>17926</v>
      </c>
      <c r="J62" s="28">
        <f>'Annual Balance Sheet'!J22</f>
        <v>22232</v>
      </c>
      <c r="K62" s="28">
        <f>'Annual Balance Sheet'!K22</f>
        <v>23462</v>
      </c>
      <c r="L62" s="28">
        <f>'Annual Balance Sheet'!L22</f>
        <v>26186</v>
      </c>
      <c r="M62" s="65">
        <f>'Annual Balance Sheet'!M22</f>
        <v>28164.4552801026</v>
      </c>
      <c r="N62" s="65">
        <f>'Annual Balance Sheet'!N22</f>
        <v>-30050.017154542213</v>
      </c>
      <c r="O62" s="65">
        <f>'Annual Balance Sheet'!O22</f>
        <v>-93956.639846180624</v>
      </c>
      <c r="P62" s="65">
        <f>'Annual Balance Sheet'!P22</f>
        <v>-163775.47842055123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>
      <c r="A63" s="2" t="s">
        <v>93</v>
      </c>
      <c r="B63" s="48">
        <f>'Annual Balance Sheet'!B23</f>
        <v>0.14004214330951589</v>
      </c>
      <c r="C63" s="48">
        <f>'Annual Balance Sheet'!C23</f>
        <v>0.19621923561041538</v>
      </c>
      <c r="D63" s="48">
        <f>'Annual Balance Sheet'!D23</f>
        <v>0.18514282582090985</v>
      </c>
      <c r="E63" s="48">
        <f>'Annual Balance Sheet'!E23</f>
        <v>0.18863125412857967</v>
      </c>
      <c r="F63" s="48">
        <f>'Annual Balance Sheet'!F23</f>
        <v>0.15568002702094122</v>
      </c>
      <c r="G63" s="48">
        <f>'Annual Balance Sheet'!G23</f>
        <v>0.14548411820804005</v>
      </c>
      <c r="H63" s="48">
        <f>'Annual Balance Sheet'!H23</f>
        <v>0.15277023356871267</v>
      </c>
      <c r="I63" s="48">
        <f>'Annual Balance Sheet'!I23</f>
        <v>0.16280064019644383</v>
      </c>
      <c r="J63" s="48">
        <f>'Annual Balance Sheet'!J23</f>
        <v>0.16255668053916392</v>
      </c>
      <c r="K63" s="48">
        <f>'Annual Balance Sheet'!K23</f>
        <v>0.16940303232499354</v>
      </c>
      <c r="L63" s="48">
        <f>'Annual Balance Sheet'!L23</f>
        <v>0.15654502664538641</v>
      </c>
      <c r="M63" s="70">
        <f>'Annual Balance Sheet'!M23</f>
        <v>0.13803188663404672</v>
      </c>
      <c r="N63" s="70">
        <f>'Annual Balance Sheet'!N23</f>
        <v>0.17489133151942537</v>
      </c>
      <c r="O63" s="70">
        <f>'Annual Balance Sheet'!O23</f>
        <v>0.39212265165809529</v>
      </c>
      <c r="P63" s="70">
        <f>'Annual Balance Sheet'!P23</f>
        <v>-0.75597968572858432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>
      <c r="A64" t="s">
        <v>94</v>
      </c>
      <c r="B64" s="46">
        <f>'Annual Balance Sheet'!B24</f>
        <v>0.19873949224478224</v>
      </c>
      <c r="C64" s="46">
        <f>'Annual Balance Sheet'!C24</f>
        <v>0.27496850233692338</v>
      </c>
      <c r="D64" s="46">
        <f>'Annual Balance Sheet'!D24</f>
        <v>0.2498179418324154</v>
      </c>
      <c r="E64" s="46">
        <f>'Annual Balance Sheet'!E24</f>
        <v>0.25614619285229906</v>
      </c>
      <c r="F64" s="46">
        <f>'Annual Balance Sheet'!F24</f>
        <v>0.23426762248647276</v>
      </c>
      <c r="G64" s="46">
        <f>'Annual Balance Sheet'!G24</f>
        <v>0.21753888684758454</v>
      </c>
      <c r="H64" s="46">
        <f>'Annual Balance Sheet'!H24</f>
        <v>0.21757173823702428</v>
      </c>
      <c r="I64" s="46">
        <f>'Annual Balance Sheet'!I24</f>
        <v>0.23313239772691596</v>
      </c>
      <c r="J64" s="46">
        <f>'Annual Balance Sheet'!J24</f>
        <v>0.23493854221996124</v>
      </c>
      <c r="K64" s="46">
        <f>'Annual Balance Sheet'!K24</f>
        <v>0.25214579829496025</v>
      </c>
      <c r="L64" s="46">
        <f>'Annual Balance Sheet'!L24</f>
        <v>0.23967695174984469</v>
      </c>
      <c r="M64" s="71">
        <f>'Annual Balance Sheet'!M24</f>
        <v>0.2960547681975621</v>
      </c>
      <c r="N64" s="71">
        <f>'Annual Balance Sheet'!N24</f>
        <v>0.40187566124967733</v>
      </c>
      <c r="O64" s="71">
        <f>'Annual Balance Sheet'!O24</f>
        <v>0.31370821125748111</v>
      </c>
      <c r="P64" s="71">
        <f>'Annual Balance Sheet'!P24</f>
        <v>0.25311819892409682</v>
      </c>
    </row>
    <row r="65" spans="13:16">
      <c r="M65" s="64"/>
      <c r="N65" s="64"/>
      <c r="O65" s="64"/>
      <c r="P65" s="64"/>
    </row>
    <row r="66" spans="13:16">
      <c r="M66" s="64"/>
      <c r="N66" s="64"/>
      <c r="O66" s="64"/>
      <c r="P66" s="64"/>
    </row>
    <row r="67" spans="13:16">
      <c r="M67" s="64"/>
      <c r="N67" s="64"/>
      <c r="O67" s="64"/>
      <c r="P67" s="64"/>
    </row>
    <row r="68" spans="13:16">
      <c r="M68" s="64"/>
      <c r="N68" s="64"/>
      <c r="O68" s="64"/>
      <c r="P68" s="64"/>
    </row>
    <row r="69" spans="13:16">
      <c r="M69" s="64"/>
      <c r="N69" s="64"/>
      <c r="O69" s="64"/>
      <c r="P69" s="64"/>
    </row>
    <row r="70" spans="13:16">
      <c r="M70" s="64"/>
      <c r="N70" s="64"/>
      <c r="O70" s="64"/>
      <c r="P70" s="64"/>
    </row>
    <row r="71" spans="13:16">
      <c r="M71" s="64"/>
      <c r="N71" s="64"/>
      <c r="O71" s="64"/>
      <c r="P71" s="64"/>
    </row>
    <row r="72" spans="13:16">
      <c r="M72" s="64"/>
      <c r="N72" s="64"/>
      <c r="O72" s="64"/>
      <c r="P72" s="64"/>
    </row>
    <row r="73" spans="13:16">
      <c r="M73" s="64"/>
      <c r="N73" s="64"/>
      <c r="O73" s="64"/>
      <c r="P73" s="64"/>
    </row>
    <row r="74" spans="13:16">
      <c r="M74" s="64"/>
      <c r="N74" s="64"/>
      <c r="O74" s="64"/>
      <c r="P74" s="64"/>
    </row>
    <row r="75" spans="13:16">
      <c r="M75" s="64"/>
      <c r="N75" s="64"/>
      <c r="O75" s="64"/>
      <c r="P75" s="64"/>
    </row>
    <row r="76" spans="13:16">
      <c r="M76" s="64"/>
      <c r="N76" s="64"/>
      <c r="O76" s="64"/>
      <c r="P76" s="64"/>
    </row>
    <row r="77" spans="13:16">
      <c r="M77" s="64"/>
      <c r="N77" s="64"/>
      <c r="O77" s="64"/>
      <c r="P77" s="64"/>
    </row>
    <row r="78" spans="13:16">
      <c r="M78" s="64"/>
      <c r="N78" s="64"/>
      <c r="O78" s="64"/>
      <c r="P78" s="64"/>
    </row>
    <row r="79" spans="13:16">
      <c r="M79" s="64"/>
      <c r="N79" s="64"/>
      <c r="O79" s="64"/>
      <c r="P79" s="64"/>
    </row>
    <row r="80" spans="13:16">
      <c r="M80" s="64"/>
      <c r="N80" s="64"/>
      <c r="O80" s="64"/>
      <c r="P80" s="64"/>
    </row>
    <row r="81" spans="13:16">
      <c r="M81" s="64"/>
      <c r="N81" s="64"/>
      <c r="O81" s="64"/>
      <c r="P81" s="64"/>
    </row>
    <row r="82" spans="13:16">
      <c r="M82" s="64"/>
      <c r="N82" s="64"/>
      <c r="O82" s="64"/>
      <c r="P82" s="64"/>
    </row>
    <row r="83" spans="13:16">
      <c r="M83" s="64"/>
      <c r="N83" s="64"/>
      <c r="O83" s="64"/>
      <c r="P83" s="64"/>
    </row>
    <row r="84" spans="13:16">
      <c r="M84" s="64"/>
      <c r="N84" s="64"/>
      <c r="O84" s="64"/>
      <c r="P84" s="64"/>
    </row>
    <row r="85" spans="13:16">
      <c r="M85" s="64"/>
      <c r="N85" s="64"/>
      <c r="O85" s="64"/>
      <c r="P85" s="64"/>
    </row>
    <row r="86" spans="13:16">
      <c r="M86" s="64"/>
      <c r="N86" s="64"/>
      <c r="O86" s="64"/>
      <c r="P86" s="64"/>
    </row>
    <row r="87" spans="13:16">
      <c r="M87" s="64"/>
      <c r="N87" s="64"/>
      <c r="O87" s="64"/>
      <c r="P87" s="64"/>
    </row>
    <row r="88" spans="13:16">
      <c r="M88" s="64"/>
      <c r="N88" s="64"/>
      <c r="O88" s="64"/>
      <c r="P88" s="64"/>
    </row>
    <row r="89" spans="13:16">
      <c r="M89" s="64"/>
      <c r="N89" s="64"/>
      <c r="O89" s="64"/>
      <c r="P89" s="64"/>
    </row>
    <row r="90" spans="13:16">
      <c r="M90" s="64"/>
      <c r="N90" s="64"/>
      <c r="O90" s="64"/>
      <c r="P90" s="64"/>
    </row>
    <row r="91" spans="13:16">
      <c r="M91" s="64"/>
      <c r="N91" s="64"/>
      <c r="O91" s="64"/>
      <c r="P91" s="64"/>
    </row>
    <row r="92" spans="13:16">
      <c r="M92" s="64"/>
      <c r="N92" s="64"/>
      <c r="O92" s="64"/>
      <c r="P92" s="64"/>
    </row>
    <row r="93" spans="13:16">
      <c r="M93" s="64"/>
      <c r="N93" s="64"/>
      <c r="O93" s="64"/>
      <c r="P93" s="64"/>
    </row>
    <row r="94" spans="13:16">
      <c r="M94" s="64"/>
      <c r="N94" s="64"/>
      <c r="O94" s="64"/>
      <c r="P94" s="64"/>
    </row>
    <row r="95" spans="13:16">
      <c r="M95" s="64"/>
      <c r="N95" s="64"/>
      <c r="O95" s="64"/>
      <c r="P95" s="64"/>
    </row>
    <row r="96" spans="13:16">
      <c r="M96" s="64"/>
      <c r="N96" s="64"/>
      <c r="O96" s="64"/>
      <c r="P96" s="64"/>
    </row>
    <row r="97" spans="13:16">
      <c r="M97" s="64"/>
      <c r="N97" s="64"/>
      <c r="O97" s="64"/>
      <c r="P97" s="64"/>
    </row>
    <row r="98" spans="13:16">
      <c r="M98" s="64"/>
      <c r="N98" s="64"/>
      <c r="O98" s="64"/>
      <c r="P98" s="64"/>
    </row>
    <row r="99" spans="13:16">
      <c r="M99" s="64"/>
      <c r="N99" s="64"/>
      <c r="O99" s="64"/>
      <c r="P99" s="64"/>
    </row>
    <row r="100" spans="13:16">
      <c r="M100" s="64"/>
      <c r="N100" s="64"/>
      <c r="O100" s="64"/>
      <c r="P100" s="64"/>
    </row>
  </sheetData>
  <mergeCells count="9">
    <mergeCell ref="R46:AG46"/>
    <mergeCell ref="R24:AG24"/>
    <mergeCell ref="R29:AG29"/>
    <mergeCell ref="R36:AG36"/>
    <mergeCell ref="A1:AG1"/>
    <mergeCell ref="A2:AG2"/>
    <mergeCell ref="R5:AG5"/>
    <mergeCell ref="R12:AG12"/>
    <mergeCell ref="R19:A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6"/>
  <sheetViews>
    <sheetView showGridLines="0" workbookViewId="0">
      <selection sqref="A1:P1"/>
    </sheetView>
  </sheetViews>
  <sheetFormatPr defaultRowHeight="13.8"/>
  <cols>
    <col min="1" max="1" width="45" customWidth="1"/>
    <col min="2" max="16" width="12" customWidth="1"/>
  </cols>
  <sheetData>
    <row r="1" spans="1:16" ht="25.95" customHeight="1">
      <c r="A1" s="99" t="s">
        <v>26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1:16" ht="22.05" customHeight="1">
      <c r="A2" s="100" t="s">
        <v>27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6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7" t="s">
        <v>40</v>
      </c>
      <c r="N4" s="7" t="s">
        <v>41</v>
      </c>
      <c r="O4" s="7" t="s">
        <v>42</v>
      </c>
      <c r="P4" s="7" t="s">
        <v>43</v>
      </c>
    </row>
    <row r="5" spans="1:16">
      <c r="A5" s="2" t="s">
        <v>44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9">
        <v>0.16</v>
      </c>
      <c r="N5" s="9">
        <v>0.16</v>
      </c>
      <c r="O5" s="9">
        <v>0.16</v>
      </c>
      <c r="P5" s="9">
        <v>0.16</v>
      </c>
    </row>
    <row r="6" spans="1:16">
      <c r="A6" s="2" t="s">
        <v>45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9">
        <v>0.125</v>
      </c>
      <c r="N6" s="9">
        <v>0.125</v>
      </c>
      <c r="O6" s="9">
        <v>0.125</v>
      </c>
      <c r="P6" s="9">
        <v>0.125</v>
      </c>
    </row>
    <row r="7" spans="1:16">
      <c r="A7" s="2" t="s">
        <v>46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9">
        <v>0.82499999999999996</v>
      </c>
      <c r="N7" s="9">
        <f>M7-0.5%</f>
        <v>0.82</v>
      </c>
      <c r="O7" s="9">
        <f>N7</f>
        <v>0.82</v>
      </c>
      <c r="P7" s="9">
        <f>O7</f>
        <v>0.82</v>
      </c>
    </row>
    <row r="8" spans="1:16">
      <c r="A8" s="2" t="s">
        <v>47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>
        <v>2.5000000000000001E-2</v>
      </c>
      <c r="N8" s="9">
        <v>2.5000000000000001E-2</v>
      </c>
      <c r="O8" s="9">
        <v>2.5000000000000001E-2</v>
      </c>
      <c r="P8" s="9">
        <v>2.5000000000000001E-2</v>
      </c>
    </row>
    <row r="9" spans="1:16">
      <c r="A9" s="2" t="s">
        <v>48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>
        <v>0.61450000000000005</v>
      </c>
      <c r="N9" s="9">
        <f>M9-1.25%</f>
        <v>0.60200000000000009</v>
      </c>
      <c r="O9" s="9">
        <f t="shared" ref="O9:P11" si="0">N9</f>
        <v>0.60200000000000009</v>
      </c>
      <c r="P9" s="9">
        <f t="shared" si="0"/>
        <v>0.60200000000000009</v>
      </c>
    </row>
    <row r="10" spans="1:16">
      <c r="A10" s="2" t="s">
        <v>49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>
        <v>0.03</v>
      </c>
      <c r="N10" s="9">
        <f>M10+0.5%</f>
        <v>3.4999999999999996E-2</v>
      </c>
      <c r="O10" s="9">
        <f t="shared" si="0"/>
        <v>3.4999999999999996E-2</v>
      </c>
      <c r="P10" s="9">
        <f t="shared" si="0"/>
        <v>3.4999999999999996E-2</v>
      </c>
    </row>
    <row r="11" spans="1:16">
      <c r="A11" s="2" t="s">
        <v>50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>
        <v>4.4999999999999998E-2</v>
      </c>
      <c r="N11" s="9">
        <f>M11+0.75%</f>
        <v>5.2499999999999998E-2</v>
      </c>
      <c r="O11" s="9">
        <f t="shared" si="0"/>
        <v>5.2499999999999998E-2</v>
      </c>
      <c r="P11" s="9">
        <f t="shared" si="0"/>
        <v>5.2499999999999998E-2</v>
      </c>
    </row>
    <row r="12" spans="1:16">
      <c r="A12" s="2" t="s">
        <v>51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9">
        <v>0.34</v>
      </c>
      <c r="N12" s="9">
        <v>0.34</v>
      </c>
      <c r="O12" s="9">
        <v>0.34</v>
      </c>
      <c r="P12" s="9">
        <v>0.34</v>
      </c>
    </row>
    <row r="13" spans="1:16">
      <c r="A13" s="2" t="s">
        <v>52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9">
        <v>0.06</v>
      </c>
      <c r="N13" s="9">
        <v>0.06</v>
      </c>
      <c r="O13" s="9">
        <v>0.06</v>
      </c>
      <c r="P13" s="9">
        <v>0.06</v>
      </c>
    </row>
    <row r="14" spans="1:16">
      <c r="A14" s="2" t="s">
        <v>53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9">
        <v>8.5000000000000006E-2</v>
      </c>
      <c r="N14" s="9">
        <v>8.5000000000000006E-2</v>
      </c>
      <c r="O14" s="9">
        <v>8.5000000000000006E-2</v>
      </c>
      <c r="P14" s="9">
        <v>8.5000000000000006E-2</v>
      </c>
    </row>
    <row r="15" spans="1:16">
      <c r="A15" s="2" t="s">
        <v>54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>
        <v>3.5000000000000003E-2</v>
      </c>
      <c r="N15" s="9">
        <v>3.5000000000000003E-2</v>
      </c>
      <c r="O15" s="9">
        <v>3.5000000000000003E-2</v>
      </c>
      <c r="P15" s="9">
        <v>3.5000000000000003E-2</v>
      </c>
    </row>
    <row r="16" spans="1:16">
      <c r="A16" s="2" t="s">
        <v>55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9">
        <v>1.2E-2</v>
      </c>
      <c r="N16" s="9">
        <v>1.2E-2</v>
      </c>
      <c r="O16" s="9">
        <v>1.2E-2</v>
      </c>
      <c r="P16" s="9">
        <v>1.2E-2</v>
      </c>
    </row>
    <row r="17" spans="1:16">
      <c r="A17" s="2" t="s">
        <v>56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>
        <v>0.25</v>
      </c>
      <c r="N17" s="9">
        <v>0.25</v>
      </c>
      <c r="O17" s="9">
        <v>0.25</v>
      </c>
      <c r="P17" s="9">
        <v>0.25</v>
      </c>
    </row>
    <row r="18" spans="1:16">
      <c r="A18" s="2" t="s">
        <v>57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1">
        <v>82</v>
      </c>
      <c r="N18" s="11">
        <v>82</v>
      </c>
      <c r="O18" s="11">
        <v>82</v>
      </c>
      <c r="P18" s="11">
        <v>82</v>
      </c>
    </row>
    <row r="19" spans="1:16">
      <c r="A19" s="2" t="s">
        <v>58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>
        <v>0.14000000000000001</v>
      </c>
      <c r="N19" s="9">
        <v>0.14000000000000001</v>
      </c>
      <c r="O19" s="9">
        <v>0.14000000000000001</v>
      </c>
      <c r="P19" s="9">
        <v>0.14000000000000001</v>
      </c>
    </row>
    <row r="20" spans="1:16">
      <c r="A20" s="2" t="s">
        <v>59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9">
        <v>0.18</v>
      </c>
      <c r="N20" s="9">
        <v>0.18</v>
      </c>
      <c r="O20" s="9">
        <v>0.18</v>
      </c>
      <c r="P20" s="9">
        <v>0.18</v>
      </c>
    </row>
    <row r="21" spans="1:16">
      <c r="A21" s="2" t="s">
        <v>60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9">
        <v>2.1999999999999999E-2</v>
      </c>
      <c r="N21" s="9">
        <v>2.1999999999999999E-2</v>
      </c>
      <c r="O21" s="9">
        <v>2.1999999999999999E-2</v>
      </c>
      <c r="P21" s="9">
        <v>2.1999999999999999E-2</v>
      </c>
    </row>
    <row r="22" spans="1:16">
      <c r="A22" s="2" t="s">
        <v>61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9">
        <v>0.45</v>
      </c>
      <c r="N22" s="9">
        <v>0.45</v>
      </c>
      <c r="O22" s="9">
        <v>0.45</v>
      </c>
      <c r="P22" s="9">
        <v>0.45</v>
      </c>
    </row>
    <row r="23" spans="1:16">
      <c r="A23" s="2" t="s">
        <v>62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>
        <v>0</v>
      </c>
      <c r="N23" s="9">
        <v>0</v>
      </c>
      <c r="O23" s="9">
        <v>0</v>
      </c>
      <c r="P23" s="9">
        <v>0</v>
      </c>
    </row>
    <row r="24" spans="1:16">
      <c r="A24" s="2" t="s">
        <v>63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>
        <v>2E-3</v>
      </c>
      <c r="N24" s="9">
        <v>2E-3</v>
      </c>
      <c r="O24" s="9">
        <v>2E-3</v>
      </c>
      <c r="P24" s="9">
        <v>2E-3</v>
      </c>
    </row>
    <row r="25" spans="1:16">
      <c r="A25" s="2" t="s">
        <v>64</v>
      </c>
      <c r="B25" t="s">
        <v>65</v>
      </c>
      <c r="M25" s="21">
        <v>0</v>
      </c>
      <c r="N25" s="21">
        <v>0</v>
      </c>
      <c r="O25" s="21">
        <v>0</v>
      </c>
      <c r="P25" s="21">
        <v>0</v>
      </c>
    </row>
    <row r="26" spans="1:16">
      <c r="A26" s="2" t="s">
        <v>66</v>
      </c>
      <c r="B26" t="s">
        <v>65</v>
      </c>
      <c r="M26" s="21">
        <v>0</v>
      </c>
      <c r="N26" s="21">
        <v>0</v>
      </c>
      <c r="O26" s="21">
        <v>0</v>
      </c>
      <c r="P26" s="21">
        <v>0</v>
      </c>
    </row>
    <row r="27" spans="1:16">
      <c r="A27" s="2" t="s">
        <v>67</v>
      </c>
      <c r="B27" t="s">
        <v>65</v>
      </c>
      <c r="M27" s="21">
        <v>0</v>
      </c>
      <c r="N27" s="21">
        <v>0</v>
      </c>
      <c r="O27" s="21">
        <v>0</v>
      </c>
      <c r="P27" s="21">
        <v>0</v>
      </c>
    </row>
    <row r="28" spans="1:16">
      <c r="A28" s="2" t="s">
        <v>68</v>
      </c>
      <c r="B28" t="s">
        <v>65</v>
      </c>
      <c r="M28" s="21">
        <v>0</v>
      </c>
      <c r="N28" s="21">
        <v>0</v>
      </c>
      <c r="O28" s="21">
        <v>0</v>
      </c>
      <c r="P28" s="21">
        <v>0</v>
      </c>
    </row>
    <row r="29" spans="1:16">
      <c r="A29" s="2" t="s">
        <v>69</v>
      </c>
      <c r="B29" t="s">
        <v>65</v>
      </c>
      <c r="M29" s="21">
        <v>0</v>
      </c>
      <c r="N29" s="21">
        <v>0</v>
      </c>
      <c r="O29" s="21">
        <v>0</v>
      </c>
      <c r="P29" s="21">
        <v>0</v>
      </c>
    </row>
    <row r="30" spans="1:16">
      <c r="A30" s="2" t="s">
        <v>70</v>
      </c>
      <c r="B30" t="s">
        <v>71</v>
      </c>
      <c r="M30" s="21">
        <v>0.05</v>
      </c>
      <c r="N30" s="21">
        <v>0.05</v>
      </c>
      <c r="O30" s="21">
        <v>0.05</v>
      </c>
      <c r="P30" s="21">
        <v>0.05</v>
      </c>
    </row>
    <row r="31" spans="1:16">
      <c r="A31" s="2" t="s">
        <v>72</v>
      </c>
      <c r="B31" t="s">
        <v>71</v>
      </c>
      <c r="M31" s="21">
        <v>0.03</v>
      </c>
      <c r="N31" s="21">
        <v>0.03</v>
      </c>
      <c r="O31" s="21">
        <v>0.03</v>
      </c>
      <c r="P31" s="21">
        <v>0.03</v>
      </c>
    </row>
    <row r="32" spans="1:16">
      <c r="A32" s="2" t="s">
        <v>73</v>
      </c>
      <c r="B32" t="s">
        <v>71</v>
      </c>
      <c r="M32" s="21">
        <v>0.06</v>
      </c>
      <c r="N32" s="21">
        <v>0.06</v>
      </c>
      <c r="O32" s="21">
        <v>0.06</v>
      </c>
      <c r="P32" s="21">
        <v>0.06</v>
      </c>
    </row>
    <row r="33" spans="1:16">
      <c r="A33" s="2" t="s">
        <v>74</v>
      </c>
      <c r="B33" t="s">
        <v>71</v>
      </c>
      <c r="M33" s="21">
        <v>0.08</v>
      </c>
      <c r="N33" s="21">
        <v>0.08</v>
      </c>
      <c r="O33" s="21">
        <v>0.08</v>
      </c>
      <c r="P33" s="21">
        <v>0.08</v>
      </c>
    </row>
    <row r="34" spans="1:16">
      <c r="A34" s="2" t="s">
        <v>75</v>
      </c>
      <c r="B34" t="s">
        <v>71</v>
      </c>
      <c r="M34" s="21">
        <v>0.16300000000000001</v>
      </c>
      <c r="N34" s="21">
        <v>0.16300000000000001</v>
      </c>
      <c r="O34" s="21">
        <v>0.16300000000000001</v>
      </c>
      <c r="P34" s="21">
        <v>0.16300000000000001</v>
      </c>
    </row>
    <row r="35" spans="1:16">
      <c r="A35" s="2" t="s">
        <v>76</v>
      </c>
      <c r="B35" t="s">
        <v>71</v>
      </c>
      <c r="M35" s="21">
        <v>0.155</v>
      </c>
      <c r="N35" s="21">
        <v>0.155</v>
      </c>
      <c r="O35" s="21">
        <v>0.155</v>
      </c>
      <c r="P35" s="21">
        <v>0.155</v>
      </c>
    </row>
    <row r="36" spans="1:16">
      <c r="A36" s="2" t="s">
        <v>77</v>
      </c>
      <c r="B36" t="s">
        <v>71</v>
      </c>
      <c r="M36" s="21">
        <v>0.20200000000000001</v>
      </c>
      <c r="N36" s="21">
        <v>0.20200000000000001</v>
      </c>
      <c r="O36" s="21">
        <v>0.20200000000000001</v>
      </c>
      <c r="P36" s="21">
        <v>0.20200000000000001</v>
      </c>
    </row>
    <row r="37" spans="1:16">
      <c r="A37" t="s">
        <v>78</v>
      </c>
      <c r="B37" t="s">
        <v>71</v>
      </c>
      <c r="M37" s="21">
        <v>0.25</v>
      </c>
      <c r="N37" s="21">
        <f>M37+0.005</f>
        <v>0.255</v>
      </c>
      <c r="O37" s="21">
        <f>N37+0.95%</f>
        <v>0.26450000000000001</v>
      </c>
      <c r="P37" s="21">
        <f>O37+1%</f>
        <v>0.27450000000000002</v>
      </c>
    </row>
    <row r="38" spans="1:16">
      <c r="A38" t="s">
        <v>353</v>
      </c>
      <c r="M38" s="58">
        <v>0.04</v>
      </c>
      <c r="N38" s="58">
        <v>0.04</v>
      </c>
      <c r="O38" s="58">
        <v>0.04</v>
      </c>
      <c r="P38" s="58">
        <v>0.04</v>
      </c>
    </row>
    <row r="39" spans="1:16">
      <c r="A39" t="s">
        <v>354</v>
      </c>
      <c r="M39" s="58">
        <v>0.08</v>
      </c>
      <c r="N39" s="58">
        <v>0.08</v>
      </c>
      <c r="O39" s="58">
        <v>0.08</v>
      </c>
      <c r="P39" s="58">
        <v>0.08</v>
      </c>
    </row>
    <row r="40" spans="1:16">
      <c r="A40" t="s">
        <v>355</v>
      </c>
      <c r="M40" s="72">
        <v>1.7999999999999999E-2</v>
      </c>
      <c r="N40" s="72">
        <v>1.7999999999999999E-2</v>
      </c>
      <c r="O40" s="72">
        <v>1.7999999999999999E-2</v>
      </c>
      <c r="P40" s="72">
        <v>1.7999999999999999E-2</v>
      </c>
    </row>
    <row r="41" spans="1:16">
      <c r="A41" t="s">
        <v>356</v>
      </c>
      <c r="M41" s="72">
        <v>0.01</v>
      </c>
      <c r="N41" s="72">
        <v>0.01</v>
      </c>
      <c r="O41" s="72">
        <v>0.01</v>
      </c>
      <c r="P41" s="72">
        <v>0.01</v>
      </c>
    </row>
    <row r="42" spans="1:16">
      <c r="A42" t="s">
        <v>357</v>
      </c>
      <c r="M42" s="72">
        <v>7.0000000000000001E-3</v>
      </c>
      <c r="N42" s="72">
        <v>7.0000000000000001E-3</v>
      </c>
      <c r="O42" s="72">
        <v>7.0000000000000001E-3</v>
      </c>
      <c r="P42" s="72">
        <v>7.0000000000000001E-3</v>
      </c>
    </row>
    <row r="43" spans="1:16">
      <c r="A43" t="s">
        <v>358</v>
      </c>
      <c r="M43" s="72">
        <v>0.55000000000000004</v>
      </c>
      <c r="N43" s="72">
        <v>0.56000000000000005</v>
      </c>
      <c r="O43" s="72">
        <v>0.56999999999999995</v>
      </c>
      <c r="P43" s="72">
        <v>0.57999999999999996</v>
      </c>
    </row>
    <row r="44" spans="1:16">
      <c r="A44" t="s">
        <v>359</v>
      </c>
      <c r="M44" s="72">
        <v>0.83</v>
      </c>
      <c r="N44" s="72">
        <v>0.83499999999999996</v>
      </c>
      <c r="O44" s="72">
        <v>0.84</v>
      </c>
      <c r="P44" s="72">
        <v>0.84499999999999997</v>
      </c>
    </row>
    <row r="45" spans="1:16">
      <c r="A45" t="s">
        <v>360</v>
      </c>
      <c r="M45" s="72">
        <v>0.08</v>
      </c>
      <c r="N45" s="72">
        <v>7.8E-2</v>
      </c>
      <c r="O45" s="72">
        <v>7.5999999999999998E-2</v>
      </c>
      <c r="P45" s="72">
        <v>7.4999999999999997E-2</v>
      </c>
    </row>
    <row r="46" spans="1:16">
      <c r="A46" t="s">
        <v>361</v>
      </c>
      <c r="M46" s="72">
        <v>7.0000000000000007E-2</v>
      </c>
      <c r="N46" s="72">
        <v>6.8000000000000005E-2</v>
      </c>
      <c r="O46" s="72">
        <v>6.6000000000000003E-2</v>
      </c>
      <c r="P46" s="72">
        <v>6.5000000000000002E-2</v>
      </c>
    </row>
  </sheetData>
  <mergeCells count="2">
    <mergeCell ref="A1:P1"/>
    <mergeCell ref="A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"/>
  <sheetViews>
    <sheetView showGridLines="0" workbookViewId="0">
      <selection sqref="A1:P1"/>
    </sheetView>
  </sheetViews>
  <sheetFormatPr defaultRowHeight="13.8"/>
  <cols>
    <col min="1" max="1" width="48" customWidth="1"/>
    <col min="2" max="16" width="12" customWidth="1"/>
  </cols>
  <sheetData>
    <row r="1" spans="1:16" ht="25.95" customHeight="1">
      <c r="A1" s="99" t="s">
        <v>79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2"/>
      <c r="N1" s="102"/>
      <c r="O1" s="102"/>
      <c r="P1" s="102"/>
    </row>
    <row r="2" spans="1:16" ht="22.05" customHeight="1">
      <c r="A2" s="100" t="s">
        <v>362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3"/>
      <c r="N2" s="103"/>
      <c r="O2" s="103"/>
      <c r="P2" s="103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59"/>
      <c r="N3" s="59"/>
      <c r="O3" s="59"/>
      <c r="P3" s="59"/>
    </row>
    <row r="4" spans="1:16">
      <c r="A4" s="6" t="s">
        <v>80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60" t="s">
        <v>40</v>
      </c>
      <c r="N4" s="60" t="s">
        <v>41</v>
      </c>
      <c r="O4" s="60" t="s">
        <v>42</v>
      </c>
      <c r="P4" s="60" t="s">
        <v>43</v>
      </c>
    </row>
    <row r="5" spans="1:16">
      <c r="A5" s="2" t="s">
        <v>81</v>
      </c>
      <c r="B5" s="2">
        <v>11852.7</v>
      </c>
      <c r="C5" s="2">
        <v>12681.8</v>
      </c>
      <c r="D5" s="2">
        <v>10273.1</v>
      </c>
      <c r="E5" s="2">
        <v>11746</v>
      </c>
      <c r="F5" s="2">
        <v>15373</v>
      </c>
      <c r="G5" s="2">
        <v>20490</v>
      </c>
      <c r="H5" s="2">
        <v>21883</v>
      </c>
      <c r="I5" s="2">
        <v>22712</v>
      </c>
      <c r="J5" s="2">
        <v>27988</v>
      </c>
      <c r="K5" s="2">
        <v>29738</v>
      </c>
      <c r="L5" s="2">
        <v>31401</v>
      </c>
      <c r="M5" s="59">
        <f>'Annual Cash Flow'!M30</f>
        <v>33379.4552801026</v>
      </c>
      <c r="N5" s="59">
        <f>'Annual Cash Flow'!N30</f>
        <v>-24835.017154542213</v>
      </c>
      <c r="O5" s="59">
        <f>'Annual Cash Flow'!O30</f>
        <v>-88741.639846180624</v>
      </c>
      <c r="P5" s="59">
        <f>'Annual Cash Flow'!P30</f>
        <v>-158560.47842055123</v>
      </c>
    </row>
    <row r="6" spans="1:16">
      <c r="A6" s="2" t="s">
        <v>363</v>
      </c>
      <c r="B6" s="2">
        <v>13133.1</v>
      </c>
      <c r="C6" s="2">
        <v>13785.8</v>
      </c>
      <c r="D6" s="2">
        <v>14777.3</v>
      </c>
      <c r="E6" s="2">
        <v>18326</v>
      </c>
      <c r="F6" s="2">
        <v>23051</v>
      </c>
      <c r="G6" s="2">
        <v>22562</v>
      </c>
      <c r="H6" s="2">
        <v>26158</v>
      </c>
      <c r="I6" s="2">
        <v>30865</v>
      </c>
      <c r="J6" s="2">
        <v>31343</v>
      </c>
      <c r="K6" s="2">
        <v>32371</v>
      </c>
      <c r="L6" s="2">
        <v>39141</v>
      </c>
      <c r="M6" s="59">
        <f>'Annual P&amp;L'!M5*Assumptions!M18/365</f>
        <v>30507.283574178906</v>
      </c>
      <c r="N6" s="59">
        <f>'Annual P&amp;L'!N5*Assumptions!N18/365</f>
        <v>31814.627088326863</v>
      </c>
      <c r="O6" s="59">
        <f>'Annual P&amp;L'!O5*Assumptions!O18/365</f>
        <v>33386.863642196869</v>
      </c>
      <c r="P6" s="59">
        <f>'Annual P&amp;L'!P5*Assumptions!P18/365</f>
        <v>35155.809774348148</v>
      </c>
    </row>
    <row r="7" spans="1:16">
      <c r="A7" s="2" t="s">
        <v>364</v>
      </c>
      <c r="B7" s="2">
        <f t="shared" ref="B7:L7" si="0">SUM(B5:B6)</f>
        <v>24985.800000000003</v>
      </c>
      <c r="C7" s="2">
        <f t="shared" si="0"/>
        <v>26467.599999999999</v>
      </c>
      <c r="D7" s="2">
        <f t="shared" si="0"/>
        <v>25050.400000000001</v>
      </c>
      <c r="E7" s="2">
        <f t="shared" si="0"/>
        <v>30072</v>
      </c>
      <c r="F7" s="2">
        <f t="shared" si="0"/>
        <v>38424</v>
      </c>
      <c r="G7" s="2">
        <f t="shared" si="0"/>
        <v>43052</v>
      </c>
      <c r="H7" s="2">
        <f t="shared" si="0"/>
        <v>48041</v>
      </c>
      <c r="I7" s="2">
        <f t="shared" si="0"/>
        <v>53577</v>
      </c>
      <c r="J7" s="2">
        <f t="shared" si="0"/>
        <v>59331</v>
      </c>
      <c r="K7" s="2">
        <f t="shared" si="0"/>
        <v>62109</v>
      </c>
      <c r="L7" s="2">
        <f t="shared" si="0"/>
        <v>70542</v>
      </c>
      <c r="M7" s="59">
        <f>'Annual P&amp;L'!M5*Assumptions!M19</f>
        <v>19011.246227323685</v>
      </c>
      <c r="N7" s="59">
        <f>'Annual P&amp;L'!N5*Assumptions!N19</f>
        <v>19825.944441628086</v>
      </c>
      <c r="O7" s="59">
        <f>'Annual P&amp;L'!O5*Assumptions!O19</f>
        <v>20805.716245320244</v>
      </c>
      <c r="P7" s="59">
        <f>'Annual P&amp;L'!P5*Assumptions!P19</f>
        <v>21908.07170084379</v>
      </c>
    </row>
    <row r="8" spans="1:16">
      <c r="A8" s="12" t="s">
        <v>82</v>
      </c>
      <c r="B8" s="13">
        <v>24985.8</v>
      </c>
      <c r="C8" s="13">
        <v>26467.599999999999</v>
      </c>
      <c r="D8" s="13">
        <v>25050.400000000001</v>
      </c>
      <c r="E8" s="13">
        <v>30072</v>
      </c>
      <c r="F8" s="13">
        <v>38424</v>
      </c>
      <c r="G8" s="13">
        <v>43052</v>
      </c>
      <c r="H8" s="13">
        <v>48041</v>
      </c>
      <c r="I8" s="13">
        <v>53577</v>
      </c>
      <c r="J8" s="13">
        <v>59331</v>
      </c>
      <c r="K8" s="13">
        <v>62109</v>
      </c>
      <c r="L8" s="13">
        <v>70542</v>
      </c>
      <c r="M8" s="62">
        <f>SUM(M5:M7)</f>
        <v>82897.985081605191</v>
      </c>
      <c r="N8" s="62">
        <f>SUM(N5:N7)</f>
        <v>26805.554375412736</v>
      </c>
      <c r="O8" s="62">
        <f>SUM(O5:O7)</f>
        <v>-34549.059958663507</v>
      </c>
      <c r="P8" s="62">
        <f>SUM(P5:P7)</f>
        <v>-101496.59694535928</v>
      </c>
    </row>
    <row r="9" spans="1:16">
      <c r="A9" s="2" t="s">
        <v>83</v>
      </c>
      <c r="B9" s="2">
        <v>4323.1000000000004</v>
      </c>
      <c r="C9" s="2">
        <v>4680.6000000000004</v>
      </c>
      <c r="D9" s="2">
        <v>5184.7</v>
      </c>
      <c r="E9" s="2">
        <v>5801</v>
      </c>
      <c r="F9" s="2">
        <v>8868</v>
      </c>
      <c r="G9" s="2">
        <v>8637</v>
      </c>
      <c r="H9" s="2">
        <v>8046</v>
      </c>
      <c r="I9" s="2">
        <v>7748</v>
      </c>
      <c r="J9" s="2">
        <v>7909</v>
      </c>
      <c r="K9" s="2">
        <v>7576</v>
      </c>
      <c r="L9" s="2">
        <v>8309</v>
      </c>
      <c r="M9" s="59">
        <f>L9-'Annual Cash Flow'!M18-'Annual P&amp;L'!M16</f>
        <v>8309</v>
      </c>
      <c r="N9" s="59">
        <f>M9-'Annual Cash Flow'!N18-'Annual P&amp;L'!N16</f>
        <v>8309</v>
      </c>
      <c r="O9" s="59">
        <f>N9-'Annual Cash Flow'!O18-'Annual P&amp;L'!O16</f>
        <v>8309</v>
      </c>
      <c r="P9" s="59">
        <f>O9-'Annual Cash Flow'!P18-'Annual P&amp;L'!P16</f>
        <v>8309</v>
      </c>
    </row>
    <row r="10" spans="1:16">
      <c r="A10" s="2" t="s">
        <v>365</v>
      </c>
      <c r="B10" s="2">
        <v>6579.5</v>
      </c>
      <c r="C10" s="2">
        <v>11572.2</v>
      </c>
      <c r="D10" s="2">
        <v>14432.5</v>
      </c>
      <c r="E10" s="2">
        <v>17730</v>
      </c>
      <c r="F10" s="2">
        <v>29459</v>
      </c>
      <c r="G10" s="2">
        <v>29197</v>
      </c>
      <c r="H10" s="2">
        <v>27272</v>
      </c>
      <c r="I10" s="2">
        <v>27021</v>
      </c>
      <c r="J10" s="2">
        <v>27356</v>
      </c>
      <c r="K10" s="2">
        <v>28746</v>
      </c>
      <c r="L10" s="2">
        <v>29260</v>
      </c>
      <c r="M10" s="59">
        <f>L10</f>
        <v>29260</v>
      </c>
      <c r="N10" s="59">
        <f>M10</f>
        <v>29260</v>
      </c>
      <c r="O10" s="59">
        <f>N10</f>
        <v>29260</v>
      </c>
      <c r="P10" s="59">
        <f>O10</f>
        <v>29260</v>
      </c>
    </row>
    <row r="11" spans="1:16">
      <c r="A11" s="2" t="s">
        <v>150</v>
      </c>
      <c r="B11" s="2">
        <v>3878.9</v>
      </c>
      <c r="C11" s="2">
        <v>3711.8</v>
      </c>
      <c r="D11" s="2">
        <v>3767.5</v>
      </c>
      <c r="E11" s="2">
        <v>5293</v>
      </c>
      <c r="F11" s="2">
        <v>6465</v>
      </c>
      <c r="G11" s="2">
        <v>6817</v>
      </c>
      <c r="H11" s="2">
        <v>5674</v>
      </c>
      <c r="I11" s="2">
        <v>5065</v>
      </c>
      <c r="J11" s="2">
        <v>5181</v>
      </c>
      <c r="K11" s="2">
        <v>7113</v>
      </c>
      <c r="L11" s="2">
        <v>8147</v>
      </c>
      <c r="M11" s="59">
        <f>L11*(1+'Annual P&amp;L'!M6)</f>
        <v>8500.7279307100525</v>
      </c>
      <c r="N11" s="59">
        <f>M11*(1+'Annual P&amp;L'!N6)</f>
        <v>8865.0137740801401</v>
      </c>
      <c r="O11" s="59">
        <f>N11*(1+'Annual P&amp;L'!O6)</f>
        <v>9303.1109633847373</v>
      </c>
      <c r="P11" s="59">
        <f>O11*(1+'Annual P&amp;L'!P6)</f>
        <v>9796.0204601262758</v>
      </c>
    </row>
    <row r="12" spans="1:16">
      <c r="A12" s="12" t="s">
        <v>84</v>
      </c>
      <c r="B12" s="13">
        <v>39767.300000000003</v>
      </c>
      <c r="C12" s="13">
        <v>46432.2</v>
      </c>
      <c r="D12" s="13">
        <v>48435.1</v>
      </c>
      <c r="E12" s="13">
        <v>58896</v>
      </c>
      <c r="F12" s="13">
        <v>83216</v>
      </c>
      <c r="G12" s="13">
        <v>87703</v>
      </c>
      <c r="H12" s="13">
        <v>89033</v>
      </c>
      <c r="I12" s="13">
        <v>93411</v>
      </c>
      <c r="J12" s="13">
        <v>99777</v>
      </c>
      <c r="K12" s="13">
        <v>105544</v>
      </c>
      <c r="L12" s="13">
        <v>116258</v>
      </c>
      <c r="M12" s="62">
        <f>SUM(M8:M11)</f>
        <v>128967.71301231525</v>
      </c>
      <c r="N12" s="62">
        <f>SUM(N8:N11)</f>
        <v>73239.568149492872</v>
      </c>
      <c r="O12" s="62">
        <f>SUM(O8:O11)</f>
        <v>12323.05100472123</v>
      </c>
      <c r="P12" s="62">
        <f>SUM(P8:P11)</f>
        <v>-54131.57648523301</v>
      </c>
    </row>
    <row r="13" spans="1:16">
      <c r="A13" s="2" t="s">
        <v>85</v>
      </c>
      <c r="B13" s="2">
        <v>9508.5</v>
      </c>
      <c r="C13" s="2">
        <v>11147.7</v>
      </c>
      <c r="D13" s="2">
        <v>9914.2999999999993</v>
      </c>
      <c r="E13" s="2">
        <v>11148</v>
      </c>
      <c r="F13" s="2">
        <v>20889</v>
      </c>
      <c r="G13" s="2">
        <v>16755</v>
      </c>
      <c r="H13" s="2">
        <v>18014</v>
      </c>
      <c r="I13" s="2">
        <v>20420</v>
      </c>
      <c r="J13" s="2">
        <v>21532</v>
      </c>
      <c r="K13" s="2">
        <v>24471</v>
      </c>
      <c r="L13" s="2">
        <v>29828</v>
      </c>
      <c r="M13" s="59">
        <f>'Annual P&amp;L'!M5*Assumptions!M20</f>
        <v>24443.030863701879</v>
      </c>
      <c r="N13" s="59">
        <f>'Annual P&amp;L'!N5*Assumptions!N20</f>
        <v>25490.499996378963</v>
      </c>
      <c r="O13" s="59">
        <f>'Annual P&amp;L'!O5*Assumptions!O20</f>
        <v>26750.206601126025</v>
      </c>
      <c r="P13" s="59">
        <f>'Annual P&amp;L'!P5*Assumptions!P20</f>
        <v>28167.520758227725</v>
      </c>
    </row>
    <row r="14" spans="1:16">
      <c r="A14" s="2" t="s">
        <v>86</v>
      </c>
      <c r="B14" s="2">
        <v>973.2</v>
      </c>
      <c r="C14" s="2">
        <v>541.70000000000005</v>
      </c>
      <c r="D14" s="2">
        <v>437.1</v>
      </c>
      <c r="E14" s="2">
        <v>3986</v>
      </c>
      <c r="F14" s="2">
        <v>7564</v>
      </c>
      <c r="G14" s="2">
        <v>6174</v>
      </c>
      <c r="H14" s="2">
        <v>6343</v>
      </c>
      <c r="I14" s="2">
        <v>4786</v>
      </c>
      <c r="J14" s="2">
        <v>5756</v>
      </c>
      <c r="K14" s="2">
        <v>6276</v>
      </c>
      <c r="L14" s="2">
        <v>5215</v>
      </c>
      <c r="M14" s="59">
        <v>5215</v>
      </c>
      <c r="N14" s="59">
        <v>5215</v>
      </c>
      <c r="O14" s="59">
        <v>5215</v>
      </c>
      <c r="P14" s="59">
        <v>5215</v>
      </c>
    </row>
    <row r="15" spans="1:16">
      <c r="A15" s="2" t="s">
        <v>87</v>
      </c>
      <c r="B15" s="2">
        <v>1263.5</v>
      </c>
      <c r="C15" s="2">
        <v>1252.5</v>
      </c>
      <c r="D15" s="2">
        <v>1266.9000000000001</v>
      </c>
      <c r="E15" s="2">
        <v>1538</v>
      </c>
      <c r="F15" s="2">
        <v>2548</v>
      </c>
      <c r="G15" s="2">
        <v>2683</v>
      </c>
      <c r="H15" s="2">
        <v>2670</v>
      </c>
      <c r="I15" s="2">
        <v>2807</v>
      </c>
      <c r="J15" s="2">
        <v>4218</v>
      </c>
      <c r="K15" s="2">
        <v>5124</v>
      </c>
      <c r="L15" s="2">
        <v>6018</v>
      </c>
      <c r="M15" s="59">
        <v>6279.2906207208898</v>
      </c>
      <c r="N15" s="59">
        <v>6548.3801267232448</v>
      </c>
      <c r="O15" s="59">
        <v>6871.9923625444135</v>
      </c>
      <c r="P15" s="59">
        <v>7236.0931789664801</v>
      </c>
    </row>
    <row r="16" spans="1:16">
      <c r="A16" s="12" t="s">
        <v>88</v>
      </c>
      <c r="B16" s="13">
        <v>11745.2</v>
      </c>
      <c r="C16" s="13">
        <v>12941.9</v>
      </c>
      <c r="D16" s="13">
        <v>11618.3</v>
      </c>
      <c r="E16" s="13">
        <v>16672</v>
      </c>
      <c r="F16" s="13">
        <v>31001</v>
      </c>
      <c r="G16" s="13">
        <v>25612</v>
      </c>
      <c r="H16" s="13">
        <v>27027</v>
      </c>
      <c r="I16" s="13">
        <v>28013</v>
      </c>
      <c r="J16" s="13">
        <v>31506</v>
      </c>
      <c r="K16" s="13">
        <v>35871</v>
      </c>
      <c r="L16" s="13">
        <v>41061</v>
      </c>
      <c r="M16" s="62">
        <f>SUM(M13:M15)</f>
        <v>35937.32148442277</v>
      </c>
      <c r="N16" s="62">
        <f>SUM(N13:N15)</f>
        <v>37253.880123102208</v>
      </c>
      <c r="O16" s="62">
        <f>SUM(O13:O15)</f>
        <v>38837.198963670438</v>
      </c>
      <c r="P16" s="62">
        <f>SUM(P13:P15)</f>
        <v>40618.613937194204</v>
      </c>
    </row>
    <row r="17" spans="1:16">
      <c r="A17" s="2" t="s">
        <v>366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59">
        <f>L17</f>
        <v>0</v>
      </c>
      <c r="N17" s="59">
        <f>M17</f>
        <v>0</v>
      </c>
      <c r="O17" s="59">
        <f>N17</f>
        <v>0</v>
      </c>
      <c r="P17" s="59">
        <f>O17</f>
        <v>0</v>
      </c>
    </row>
    <row r="18" spans="1:16">
      <c r="A18" s="2" t="s">
        <v>367</v>
      </c>
      <c r="B18" s="2">
        <f t="shared" ref="B18:L18" si="1">B13</f>
        <v>9508.5</v>
      </c>
      <c r="C18" s="2">
        <f t="shared" si="1"/>
        <v>11147.7</v>
      </c>
      <c r="D18" s="2">
        <f t="shared" si="1"/>
        <v>9914.2999999999993</v>
      </c>
      <c r="E18" s="2">
        <f t="shared" si="1"/>
        <v>11148</v>
      </c>
      <c r="F18" s="2">
        <f t="shared" si="1"/>
        <v>20889</v>
      </c>
      <c r="G18" s="2">
        <f t="shared" si="1"/>
        <v>16755</v>
      </c>
      <c r="H18" s="2">
        <f t="shared" si="1"/>
        <v>18014</v>
      </c>
      <c r="I18" s="2">
        <f t="shared" si="1"/>
        <v>20420</v>
      </c>
      <c r="J18" s="2">
        <f t="shared" si="1"/>
        <v>21532</v>
      </c>
      <c r="K18" s="2">
        <f t="shared" si="1"/>
        <v>24471</v>
      </c>
      <c r="L18" s="2">
        <f t="shared" si="1"/>
        <v>29828</v>
      </c>
      <c r="M18" s="59">
        <f>L18+'Annual P&amp;L'!M25+'Annual Cash Flow'!M23+'Annual Cash Flow'!M24</f>
        <v>39136.466150024018</v>
      </c>
      <c r="N18" s="59">
        <f>M18+'Annual P&amp;L'!N25+'Annual Cash Flow'!N23+'Annual Cash Flow'!N24</f>
        <v>48861.648827484671</v>
      </c>
      <c r="O18" s="59">
        <f>N18+'Annual P&amp;L'!O25+'Annual Cash Flow'!O23+'Annual Cash Flow'!O24</f>
        <v>58088.185131514263</v>
      </c>
      <c r="P18" s="59">
        <f>O18+'Annual P&amp;L'!P25+'Annual Cash Flow'!P23+'Annual Cash Flow'!P24</f>
        <v>66779.944018735783</v>
      </c>
    </row>
    <row r="19" spans="1:16">
      <c r="A19" s="12" t="s">
        <v>89</v>
      </c>
      <c r="B19" s="13">
        <v>28022.1</v>
      </c>
      <c r="C19" s="13">
        <v>33490.400000000001</v>
      </c>
      <c r="D19" s="13">
        <v>36816.800000000003</v>
      </c>
      <c r="E19" s="13">
        <v>42224</v>
      </c>
      <c r="F19" s="13">
        <v>52215</v>
      </c>
      <c r="G19" s="13">
        <v>62091</v>
      </c>
      <c r="H19" s="13">
        <v>62006</v>
      </c>
      <c r="I19" s="13">
        <v>65398</v>
      </c>
      <c r="J19" s="13">
        <v>68271</v>
      </c>
      <c r="K19" s="13">
        <v>69673</v>
      </c>
      <c r="L19" s="13">
        <v>75197</v>
      </c>
      <c r="M19" s="62">
        <f>SUM(M17:M18)</f>
        <v>39136.466150024018</v>
      </c>
      <c r="N19" s="62">
        <f>SUM(N17:N18)</f>
        <v>48861.648827484671</v>
      </c>
      <c r="O19" s="62">
        <f>SUM(O17:O18)</f>
        <v>58088.185131514263</v>
      </c>
      <c r="P19" s="62">
        <f>SUM(P17:P18)</f>
        <v>66779.944018735783</v>
      </c>
    </row>
    <row r="20" spans="1:16">
      <c r="A20" s="12" t="s">
        <v>90</v>
      </c>
      <c r="B20" s="13">
        <f t="shared" ref="B20:P20" si="2">SUM(B16,B19)</f>
        <v>39767.300000000003</v>
      </c>
      <c r="C20" s="13">
        <f t="shared" si="2"/>
        <v>46432.3</v>
      </c>
      <c r="D20" s="13">
        <f t="shared" si="2"/>
        <v>48435.100000000006</v>
      </c>
      <c r="E20" s="13">
        <f t="shared" si="2"/>
        <v>58896</v>
      </c>
      <c r="F20" s="13">
        <f t="shared" si="2"/>
        <v>83216</v>
      </c>
      <c r="G20" s="13">
        <f t="shared" si="2"/>
        <v>87703</v>
      </c>
      <c r="H20" s="13">
        <f t="shared" si="2"/>
        <v>89033</v>
      </c>
      <c r="I20" s="13">
        <f t="shared" si="2"/>
        <v>93411</v>
      </c>
      <c r="J20" s="13">
        <f t="shared" si="2"/>
        <v>99777</v>
      </c>
      <c r="K20" s="13">
        <f t="shared" si="2"/>
        <v>105544</v>
      </c>
      <c r="L20" s="13">
        <f t="shared" si="2"/>
        <v>116258</v>
      </c>
      <c r="M20" s="62">
        <f t="shared" si="2"/>
        <v>75073.78763444678</v>
      </c>
      <c r="N20" s="62">
        <f t="shared" si="2"/>
        <v>86115.528950586886</v>
      </c>
      <c r="O20" s="62">
        <f t="shared" si="2"/>
        <v>96925.384095184709</v>
      </c>
      <c r="P20" s="62">
        <f t="shared" si="2"/>
        <v>107398.55795592998</v>
      </c>
    </row>
    <row r="21" spans="1:16">
      <c r="A21" s="2" t="s">
        <v>91</v>
      </c>
      <c r="B21" s="2">
        <f t="shared" ref="B21:L21" si="3">B12-B20</f>
        <v>0</v>
      </c>
      <c r="C21" s="2">
        <f t="shared" si="3"/>
        <v>-0.10000000000582077</v>
      </c>
      <c r="D21" s="2">
        <f t="shared" si="3"/>
        <v>0</v>
      </c>
      <c r="E21" s="2">
        <f t="shared" si="3"/>
        <v>0</v>
      </c>
      <c r="F21" s="2">
        <f t="shared" si="3"/>
        <v>0</v>
      </c>
      <c r="G21" s="2">
        <f t="shared" si="3"/>
        <v>0</v>
      </c>
      <c r="H21" s="2">
        <f t="shared" si="3"/>
        <v>0</v>
      </c>
      <c r="I21" s="2">
        <f t="shared" si="3"/>
        <v>0</v>
      </c>
      <c r="J21" s="2">
        <f t="shared" si="3"/>
        <v>0</v>
      </c>
      <c r="K21" s="2">
        <f t="shared" si="3"/>
        <v>0</v>
      </c>
      <c r="L21" s="2">
        <f t="shared" si="3"/>
        <v>0</v>
      </c>
      <c r="M21" s="59">
        <f>M12-M20</f>
        <v>53893.925377868465</v>
      </c>
      <c r="N21" s="59">
        <f>N12-N20</f>
        <v>-12875.960801094014</v>
      </c>
      <c r="O21" s="59">
        <f>O12-O20</f>
        <v>-84602.333090463479</v>
      </c>
      <c r="P21" s="59">
        <f>P12-P20</f>
        <v>-161530.13444116298</v>
      </c>
    </row>
    <row r="22" spans="1:16">
      <c r="A22" s="12" t="s">
        <v>92</v>
      </c>
      <c r="B22" s="13">
        <f t="shared" ref="B22:L22" si="4">B5-B14</f>
        <v>10879.5</v>
      </c>
      <c r="C22" s="13">
        <f t="shared" si="4"/>
        <v>12140.099999999999</v>
      </c>
      <c r="D22" s="13">
        <f t="shared" si="4"/>
        <v>9836</v>
      </c>
      <c r="E22" s="13">
        <f t="shared" si="4"/>
        <v>7760</v>
      </c>
      <c r="F22" s="13">
        <f t="shared" si="4"/>
        <v>7809</v>
      </c>
      <c r="G22" s="13">
        <f t="shared" si="4"/>
        <v>14316</v>
      </c>
      <c r="H22" s="13">
        <f t="shared" si="4"/>
        <v>15540</v>
      </c>
      <c r="I22" s="13">
        <f t="shared" si="4"/>
        <v>17926</v>
      </c>
      <c r="J22" s="13">
        <f t="shared" si="4"/>
        <v>22232</v>
      </c>
      <c r="K22" s="13">
        <f t="shared" si="4"/>
        <v>23462</v>
      </c>
      <c r="L22" s="13">
        <f t="shared" si="4"/>
        <v>26186</v>
      </c>
      <c r="M22" s="62">
        <f>M5-M14</f>
        <v>28164.4552801026</v>
      </c>
      <c r="N22" s="62">
        <f>N5-N14</f>
        <v>-30050.017154542213</v>
      </c>
      <c r="O22" s="62">
        <f>O5-O14</f>
        <v>-93956.639846180624</v>
      </c>
      <c r="P22" s="62">
        <f>P5-P14</f>
        <v>-163775.47842055123</v>
      </c>
    </row>
    <row r="23" spans="1:16">
      <c r="A23" s="2" t="s">
        <v>93</v>
      </c>
      <c r="B23" s="8">
        <v>0.14004214330951589</v>
      </c>
      <c r="C23" s="8">
        <v>0.19621923561041538</v>
      </c>
      <c r="D23" s="8">
        <v>0.18514282582090985</v>
      </c>
      <c r="E23" s="8">
        <v>0.18863125412857967</v>
      </c>
      <c r="F23" s="8">
        <v>0.15568002702094122</v>
      </c>
      <c r="G23" s="8">
        <v>0.14548411820804005</v>
      </c>
      <c r="H23" s="8">
        <v>0.15277023356871267</v>
      </c>
      <c r="I23" s="8">
        <v>0.16280064019644383</v>
      </c>
      <c r="J23" s="8">
        <v>0.16255668053916392</v>
      </c>
      <c r="K23" s="8">
        <v>0.16940303232499354</v>
      </c>
      <c r="L23" s="8">
        <v>0.15654502664538641</v>
      </c>
      <c r="M23" s="61">
        <f>IFERROR('Annual P&amp;L'!M25/AVERAGE(L12,M12),0)</f>
        <v>0.13803188663404672</v>
      </c>
      <c r="N23" s="61">
        <f>IFERROR('Annual P&amp;L'!N25/AVERAGE(M12,N12),0)</f>
        <v>0.17489133151942537</v>
      </c>
      <c r="O23" s="61">
        <f>IFERROR('Annual P&amp;L'!O25/AVERAGE(N12,O12),0)</f>
        <v>0.39212265165809529</v>
      </c>
      <c r="P23" s="61">
        <f>IFERROR('Annual P&amp;L'!P25/AVERAGE(O12,P12),0)</f>
        <v>-0.75597968572858432</v>
      </c>
    </row>
    <row r="24" spans="1:16">
      <c r="A24" s="2" t="s">
        <v>94</v>
      </c>
      <c r="B24" s="8">
        <f>IFERROR('Annual P&amp;L'!B25/B19,0)</f>
        <v>0.19873949224478224</v>
      </c>
      <c r="C24" s="8">
        <f>IFERROR('Annual P&amp;L'!C25/AVERAGE(B19,C19),0)</f>
        <v>0.27496850233692338</v>
      </c>
      <c r="D24" s="8">
        <f>IFERROR('Annual P&amp;L'!D25/AVERAGE(C19,D19),0)</f>
        <v>0.2498179418324154</v>
      </c>
      <c r="E24" s="8">
        <f>IFERROR('Annual P&amp;L'!E25/AVERAGE(D19,E19),0)</f>
        <v>0.25614619285229906</v>
      </c>
      <c r="F24" s="8">
        <f>IFERROR('Annual P&amp;L'!F25/AVERAGE(E19,F19),0)</f>
        <v>0.23426762248647276</v>
      </c>
      <c r="G24" s="8">
        <f>IFERROR('Annual P&amp;L'!G25/AVERAGE(F19,G19),0)</f>
        <v>0.21753888684758454</v>
      </c>
      <c r="H24" s="8">
        <f>IFERROR('Annual P&amp;L'!H25/AVERAGE(G19,H19),0)</f>
        <v>0.21757173823702428</v>
      </c>
      <c r="I24" s="8">
        <f>IFERROR('Annual P&amp;L'!I25/AVERAGE(H19,I19),0)</f>
        <v>0.23313239772691596</v>
      </c>
      <c r="J24" s="8">
        <f>IFERROR('Annual P&amp;L'!J25/AVERAGE(I19,J19),0)</f>
        <v>0.23493854221996124</v>
      </c>
      <c r="K24" s="8">
        <f>IFERROR('Annual P&amp;L'!K25/AVERAGE(J19,K19),0)</f>
        <v>0.25214579829496025</v>
      </c>
      <c r="L24" s="8">
        <f>IFERROR('Annual P&amp;L'!L25/AVERAGE(K19,L19),0)</f>
        <v>0.23967695174984469</v>
      </c>
      <c r="M24" s="61">
        <f>IFERROR('Annual P&amp;L'!M25/AVERAGE(L19,M19),0)</f>
        <v>0.2960547681975621</v>
      </c>
      <c r="N24" s="61">
        <f>IFERROR('Annual P&amp;L'!N25/AVERAGE(M19,N19),0)</f>
        <v>0.40187566124967733</v>
      </c>
      <c r="O24" s="61">
        <f>IFERROR('Annual P&amp;L'!O25/AVERAGE(N19,O19),0)</f>
        <v>0.31370821125748111</v>
      </c>
      <c r="P24" s="61">
        <f>IFERROR('Annual P&amp;L'!P25/AVERAGE(O19,P19),0)</f>
        <v>0.25311819892409682</v>
      </c>
    </row>
    <row r="25" spans="1:16">
      <c r="M25" s="64"/>
      <c r="N25" s="64"/>
      <c r="O25" s="64"/>
      <c r="P25" s="64"/>
    </row>
    <row r="26" spans="1:16">
      <c r="M26" s="64"/>
      <c r="N26" s="64"/>
      <c r="O26" s="64"/>
      <c r="P26" s="64"/>
    </row>
    <row r="27" spans="1:16">
      <c r="M27" s="64"/>
      <c r="N27" s="64"/>
      <c r="O27" s="64"/>
      <c r="P27" s="64"/>
    </row>
    <row r="28" spans="1:16">
      <c r="M28" s="64"/>
      <c r="N28" s="64"/>
      <c r="O28" s="64"/>
      <c r="P28" s="64"/>
    </row>
    <row r="29" spans="1:16">
      <c r="M29" s="64"/>
      <c r="N29" s="64"/>
      <c r="O29" s="64"/>
      <c r="P29" s="64"/>
    </row>
    <row r="30" spans="1:16">
      <c r="M30" s="64"/>
      <c r="N30" s="64"/>
      <c r="O30" s="64"/>
      <c r="P30" s="64"/>
    </row>
    <row r="31" spans="1:16">
      <c r="M31" s="64"/>
      <c r="N31" s="64"/>
      <c r="O31" s="64"/>
      <c r="P31" s="64"/>
    </row>
    <row r="32" spans="1:16">
      <c r="M32" s="64"/>
      <c r="N32" s="64"/>
      <c r="O32" s="64"/>
      <c r="P32" s="64"/>
    </row>
    <row r="33" spans="13:16">
      <c r="M33" s="64"/>
      <c r="N33" s="64"/>
      <c r="O33" s="64"/>
      <c r="P33" s="64"/>
    </row>
    <row r="34" spans="13:16">
      <c r="M34" s="64"/>
      <c r="N34" s="64"/>
      <c r="O34" s="64"/>
      <c r="P34" s="64"/>
    </row>
    <row r="35" spans="13:16">
      <c r="M35" s="64"/>
      <c r="N35" s="64"/>
      <c r="O35" s="64"/>
      <c r="P35" s="64"/>
    </row>
    <row r="36" spans="13:16">
      <c r="M36" s="64"/>
      <c r="N36" s="64"/>
      <c r="O36" s="64"/>
      <c r="P36" s="64"/>
    </row>
    <row r="37" spans="13:16">
      <c r="M37" s="64"/>
      <c r="N37" s="64"/>
      <c r="O37" s="64"/>
      <c r="P37" s="64"/>
    </row>
    <row r="38" spans="13:16">
      <c r="M38" s="64"/>
      <c r="N38" s="64"/>
      <c r="O38" s="64"/>
      <c r="P38" s="64"/>
    </row>
    <row r="39" spans="13:16">
      <c r="M39" s="64"/>
      <c r="N39" s="64"/>
      <c r="O39" s="64"/>
      <c r="P39" s="64"/>
    </row>
    <row r="40" spans="13:16">
      <c r="M40" s="64"/>
      <c r="N40" s="64"/>
      <c r="O40" s="64"/>
      <c r="P40" s="64"/>
    </row>
    <row r="41" spans="13:16">
      <c r="M41" s="64"/>
      <c r="N41" s="64"/>
      <c r="O41" s="64"/>
      <c r="P41" s="64"/>
    </row>
    <row r="42" spans="13:16">
      <c r="M42" s="64"/>
      <c r="N42" s="64"/>
      <c r="O42" s="64"/>
      <c r="P42" s="64"/>
    </row>
    <row r="43" spans="13:16">
      <c r="M43" s="64"/>
      <c r="N43" s="64"/>
      <c r="O43" s="64"/>
      <c r="P43" s="64"/>
    </row>
    <row r="44" spans="13:16">
      <c r="M44" s="64"/>
      <c r="N44" s="64"/>
      <c r="O44" s="64"/>
      <c r="P44" s="64"/>
    </row>
    <row r="45" spans="13:16">
      <c r="M45" s="64"/>
      <c r="N45" s="64"/>
      <c r="O45" s="64"/>
      <c r="P45" s="64"/>
    </row>
    <row r="46" spans="13:16">
      <c r="M46" s="64"/>
      <c r="N46" s="64"/>
      <c r="O46" s="64"/>
      <c r="P46" s="64"/>
    </row>
    <row r="47" spans="13:16">
      <c r="M47" s="64"/>
      <c r="N47" s="64"/>
      <c r="O47" s="64"/>
      <c r="P47" s="64"/>
    </row>
    <row r="48" spans="13:16">
      <c r="M48" s="64"/>
      <c r="N48" s="64"/>
      <c r="O48" s="64"/>
      <c r="P48" s="64"/>
    </row>
    <row r="49" spans="13:16">
      <c r="M49" s="64"/>
      <c r="N49" s="64"/>
      <c r="O49" s="64"/>
      <c r="P49" s="64"/>
    </row>
    <row r="50" spans="13:16">
      <c r="M50" s="64"/>
      <c r="N50" s="64"/>
      <c r="O50" s="64"/>
      <c r="P50" s="64"/>
    </row>
    <row r="51" spans="13:16">
      <c r="M51" s="64"/>
      <c r="N51" s="64"/>
      <c r="O51" s="64"/>
      <c r="P51" s="64"/>
    </row>
    <row r="52" spans="13:16">
      <c r="M52" s="64"/>
      <c r="N52" s="64"/>
      <c r="O52" s="64"/>
      <c r="P52" s="64"/>
    </row>
    <row r="53" spans="13:16">
      <c r="M53" s="64"/>
      <c r="N53" s="64"/>
      <c r="O53" s="64"/>
      <c r="P53" s="64"/>
    </row>
    <row r="54" spans="13:16">
      <c r="M54" s="64"/>
      <c r="N54" s="64"/>
      <c r="O54" s="64"/>
      <c r="P54" s="64"/>
    </row>
    <row r="55" spans="13:16">
      <c r="M55" s="64"/>
      <c r="N55" s="64"/>
      <c r="O55" s="64"/>
      <c r="P55" s="64"/>
    </row>
    <row r="56" spans="13:16">
      <c r="M56" s="64"/>
      <c r="N56" s="64"/>
      <c r="O56" s="64"/>
      <c r="P56" s="64"/>
    </row>
    <row r="57" spans="13:16">
      <c r="M57" s="64"/>
      <c r="N57" s="64"/>
      <c r="O57" s="64"/>
      <c r="P57" s="64"/>
    </row>
    <row r="58" spans="13:16">
      <c r="M58" s="64"/>
      <c r="N58" s="64"/>
      <c r="O58" s="64"/>
      <c r="P58" s="64"/>
    </row>
    <row r="59" spans="13:16">
      <c r="M59" s="64"/>
      <c r="N59" s="64"/>
      <c r="O59" s="64"/>
      <c r="P59" s="64"/>
    </row>
    <row r="60" spans="13:16">
      <c r="M60" s="64"/>
      <c r="N60" s="64"/>
      <c r="O60" s="64"/>
      <c r="P60" s="64"/>
    </row>
    <row r="61" spans="13:16">
      <c r="M61" s="64"/>
      <c r="N61" s="64"/>
      <c r="O61" s="64"/>
      <c r="P61" s="64"/>
    </row>
    <row r="62" spans="13:16">
      <c r="M62" s="64"/>
      <c r="N62" s="64"/>
      <c r="O62" s="64"/>
      <c r="P62" s="64"/>
    </row>
    <row r="63" spans="13:16">
      <c r="M63" s="64"/>
      <c r="N63" s="64"/>
      <c r="O63" s="64"/>
      <c r="P63" s="64"/>
    </row>
    <row r="64" spans="13:16">
      <c r="M64" s="64"/>
      <c r="N64" s="64"/>
      <c r="O64" s="64"/>
      <c r="P64" s="64"/>
    </row>
    <row r="65" spans="13:16">
      <c r="M65" s="64"/>
      <c r="N65" s="64"/>
      <c r="O65" s="64"/>
      <c r="P65" s="64"/>
    </row>
    <row r="66" spans="13:16">
      <c r="M66" s="64"/>
      <c r="N66" s="64"/>
      <c r="O66" s="64"/>
      <c r="P66" s="64"/>
    </row>
    <row r="67" spans="13:16">
      <c r="M67" s="64"/>
      <c r="N67" s="64"/>
      <c r="O67" s="64"/>
      <c r="P67" s="64"/>
    </row>
    <row r="68" spans="13:16">
      <c r="M68" s="64"/>
      <c r="N68" s="64"/>
      <c r="O68" s="64"/>
      <c r="P68" s="64"/>
    </row>
    <row r="69" spans="13:16">
      <c r="M69" s="64"/>
      <c r="N69" s="64"/>
      <c r="O69" s="64"/>
      <c r="P69" s="64"/>
    </row>
    <row r="70" spans="13:16">
      <c r="M70" s="64"/>
      <c r="N70" s="64"/>
      <c r="O70" s="64"/>
      <c r="P70" s="64"/>
    </row>
    <row r="71" spans="13:16">
      <c r="M71" s="64"/>
      <c r="N71" s="64"/>
      <c r="O71" s="64"/>
      <c r="P71" s="64"/>
    </row>
    <row r="72" spans="13:16">
      <c r="M72" s="64"/>
      <c r="N72" s="64"/>
      <c r="O72" s="64"/>
      <c r="P72" s="64"/>
    </row>
    <row r="73" spans="13:16">
      <c r="M73" s="64"/>
      <c r="N73" s="64"/>
      <c r="O73" s="64"/>
      <c r="P73" s="64"/>
    </row>
    <row r="74" spans="13:16">
      <c r="M74" s="64"/>
      <c r="N74" s="64"/>
      <c r="O74" s="64"/>
      <c r="P74" s="64"/>
    </row>
    <row r="75" spans="13:16">
      <c r="M75" s="64"/>
      <c r="N75" s="64"/>
      <c r="O75" s="64"/>
      <c r="P75" s="64"/>
    </row>
    <row r="76" spans="13:16">
      <c r="M76" s="64"/>
      <c r="N76" s="64"/>
      <c r="O76" s="64"/>
      <c r="P76" s="64"/>
    </row>
    <row r="77" spans="13:16">
      <c r="M77" s="64"/>
      <c r="N77" s="64"/>
      <c r="O77" s="64"/>
      <c r="P77" s="64"/>
    </row>
    <row r="78" spans="13:16">
      <c r="M78" s="64"/>
      <c r="N78" s="64"/>
      <c r="O78" s="64"/>
      <c r="P78" s="64"/>
    </row>
    <row r="79" spans="13:16">
      <c r="M79" s="64"/>
      <c r="N79" s="64"/>
      <c r="O79" s="64"/>
      <c r="P79" s="64"/>
    </row>
    <row r="80" spans="13:16">
      <c r="M80" s="64"/>
      <c r="N80" s="64"/>
      <c r="O80" s="64"/>
      <c r="P80" s="64"/>
    </row>
    <row r="81" spans="13:16">
      <c r="M81" s="64"/>
      <c r="N81" s="64"/>
      <c r="O81" s="64"/>
      <c r="P81" s="64"/>
    </row>
    <row r="82" spans="13:16">
      <c r="M82" s="64"/>
      <c r="N82" s="64"/>
      <c r="O82" s="64"/>
      <c r="P82" s="64"/>
    </row>
    <row r="83" spans="13:16">
      <c r="M83" s="64"/>
      <c r="N83" s="64"/>
      <c r="O83" s="64"/>
      <c r="P83" s="64"/>
    </row>
    <row r="84" spans="13:16">
      <c r="M84" s="64"/>
      <c r="N84" s="64"/>
      <c r="O84" s="64"/>
      <c r="P84" s="64"/>
    </row>
    <row r="85" spans="13:16">
      <c r="M85" s="64"/>
      <c r="N85" s="64"/>
      <c r="O85" s="64"/>
      <c r="P85" s="64"/>
    </row>
    <row r="86" spans="13:16">
      <c r="M86" s="64"/>
      <c r="N86" s="64"/>
      <c r="O86" s="64"/>
      <c r="P86" s="64"/>
    </row>
    <row r="87" spans="13:16">
      <c r="M87" s="64"/>
      <c r="N87" s="64"/>
      <c r="O87" s="64"/>
      <c r="P87" s="64"/>
    </row>
    <row r="88" spans="13:16">
      <c r="M88" s="64"/>
      <c r="N88" s="64"/>
      <c r="O88" s="64"/>
      <c r="P88" s="64"/>
    </row>
    <row r="89" spans="13:16">
      <c r="M89" s="64"/>
      <c r="N89" s="64"/>
      <c r="O89" s="64"/>
      <c r="P89" s="64"/>
    </row>
    <row r="90" spans="13:16">
      <c r="M90" s="64"/>
      <c r="N90" s="64"/>
      <c r="O90" s="64"/>
      <c r="P90" s="64"/>
    </row>
    <row r="91" spans="13:16">
      <c r="M91" s="64"/>
      <c r="N91" s="64"/>
      <c r="O91" s="64"/>
      <c r="P91" s="64"/>
    </row>
    <row r="92" spans="13:16">
      <c r="M92" s="64"/>
      <c r="N92" s="64"/>
      <c r="O92" s="64"/>
      <c r="P92" s="64"/>
    </row>
    <row r="93" spans="13:16">
      <c r="M93" s="64"/>
      <c r="N93" s="64"/>
      <c r="O93" s="64"/>
      <c r="P93" s="64"/>
    </row>
    <row r="94" spans="13:16">
      <c r="M94" s="64"/>
      <c r="N94" s="64"/>
      <c r="O94" s="64"/>
      <c r="P94" s="64"/>
    </row>
    <row r="95" spans="13:16">
      <c r="M95" s="64"/>
      <c r="N95" s="64"/>
      <c r="O95" s="64"/>
      <c r="P95" s="64"/>
    </row>
    <row r="96" spans="13:16">
      <c r="M96" s="64"/>
      <c r="N96" s="64"/>
      <c r="O96" s="64"/>
      <c r="P96" s="64"/>
    </row>
    <row r="97" spans="13:16">
      <c r="M97" s="64"/>
      <c r="N97" s="64"/>
      <c r="O97" s="64"/>
      <c r="P97" s="64"/>
    </row>
    <row r="98" spans="13:16">
      <c r="M98" s="64"/>
      <c r="N98" s="64"/>
      <c r="O98" s="64"/>
      <c r="P98" s="64"/>
    </row>
    <row r="99" spans="13:16">
      <c r="M99" s="64"/>
      <c r="N99" s="64"/>
      <c r="O99" s="64"/>
      <c r="P99" s="64"/>
    </row>
    <row r="100" spans="13:16">
      <c r="M100" s="64"/>
      <c r="N100" s="64"/>
      <c r="O100" s="64"/>
      <c r="P100" s="64"/>
    </row>
  </sheetData>
  <mergeCells count="2">
    <mergeCell ref="A1:P1"/>
    <mergeCell ref="A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38"/>
  <sheetViews>
    <sheetView showGridLines="0" tabSelected="1" workbookViewId="0">
      <selection activeCell="AS34" sqref="AS34"/>
    </sheetView>
  </sheetViews>
  <sheetFormatPr defaultRowHeight="13.8"/>
  <cols>
    <col min="1" max="1" width="38" customWidth="1"/>
    <col min="2" max="60" width="12" customWidth="1"/>
  </cols>
  <sheetData>
    <row r="1" spans="1:61" ht="25.95" customHeight="1">
      <c r="A1" s="112" t="s">
        <v>389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</row>
    <row r="2" spans="1:61" ht="22.05" customHeight="1">
      <c r="A2" s="100" t="s">
        <v>390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6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61">
      <c r="A4" s="74" t="s">
        <v>80</v>
      </c>
      <c r="B4" s="74" t="s">
        <v>391</v>
      </c>
      <c r="C4" s="74" t="s">
        <v>392</v>
      </c>
      <c r="D4" s="74" t="s">
        <v>393</v>
      </c>
      <c r="E4" s="74" t="s">
        <v>394</v>
      </c>
      <c r="F4" s="74" t="s">
        <v>395</v>
      </c>
      <c r="G4" s="74" t="s">
        <v>396</v>
      </c>
      <c r="H4" s="74" t="s">
        <v>397</v>
      </c>
      <c r="I4" s="74" t="s">
        <v>398</v>
      </c>
      <c r="J4" s="74" t="s">
        <v>399</v>
      </c>
      <c r="K4" s="74" t="s">
        <v>400</v>
      </c>
      <c r="L4" s="74" t="s">
        <v>401</v>
      </c>
      <c r="M4" s="74" t="s">
        <v>402</v>
      </c>
      <c r="N4" s="74" t="s">
        <v>403</v>
      </c>
      <c r="O4" s="74" t="s">
        <v>404</v>
      </c>
      <c r="P4" s="74" t="s">
        <v>405</v>
      </c>
      <c r="Q4" s="74" t="s">
        <v>406</v>
      </c>
      <c r="R4" s="74" t="s">
        <v>407</v>
      </c>
      <c r="S4" s="74" t="s">
        <v>408</v>
      </c>
      <c r="T4" s="74" t="s">
        <v>409</v>
      </c>
      <c r="U4" s="74" t="s">
        <v>410</v>
      </c>
      <c r="V4" s="74" t="s">
        <v>411</v>
      </c>
      <c r="W4" s="74" t="s">
        <v>412</v>
      </c>
      <c r="X4" s="74" t="s">
        <v>413</v>
      </c>
      <c r="Y4" s="74" t="s">
        <v>414</v>
      </c>
      <c r="Z4" s="74" t="s">
        <v>415</v>
      </c>
      <c r="AA4" s="74" t="s">
        <v>416</v>
      </c>
      <c r="AB4" s="74" t="s">
        <v>417</v>
      </c>
      <c r="AC4" s="74" t="s">
        <v>418</v>
      </c>
      <c r="AD4" s="74" t="s">
        <v>419</v>
      </c>
      <c r="AE4" s="74" t="s">
        <v>420</v>
      </c>
      <c r="AF4" s="74" t="s">
        <v>421</v>
      </c>
      <c r="AG4" s="74" t="s">
        <v>422</v>
      </c>
      <c r="AH4" s="74" t="s">
        <v>423</v>
      </c>
      <c r="AI4" s="74" t="s">
        <v>424</v>
      </c>
      <c r="AJ4" s="74" t="s">
        <v>425</v>
      </c>
      <c r="AK4" s="75" t="s">
        <v>426</v>
      </c>
      <c r="AL4" s="75" t="s">
        <v>427</v>
      </c>
      <c r="AM4" s="75" t="s">
        <v>428</v>
      </c>
      <c r="AN4" s="75" t="s">
        <v>429</v>
      </c>
      <c r="AO4" s="75" t="s">
        <v>430</v>
      </c>
      <c r="AP4" s="75" t="s">
        <v>431</v>
      </c>
      <c r="AQ4" s="75" t="s">
        <v>432</v>
      </c>
      <c r="AR4" s="75" t="s">
        <v>433</v>
      </c>
      <c r="AS4" s="75" t="s">
        <v>434</v>
      </c>
      <c r="AT4" s="75" t="s">
        <v>435</v>
      </c>
      <c r="AU4" s="75" t="s">
        <v>436</v>
      </c>
      <c r="AV4" s="75" t="s">
        <v>437</v>
      </c>
      <c r="AW4" s="75" t="s">
        <v>438</v>
      </c>
      <c r="AX4" s="75" t="s">
        <v>439</v>
      </c>
      <c r="AY4" s="75" t="s">
        <v>440</v>
      </c>
      <c r="AZ4" s="75" t="s">
        <v>441</v>
      </c>
      <c r="BA4" s="75" t="s">
        <v>442</v>
      </c>
      <c r="BB4" s="75" t="s">
        <v>443</v>
      </c>
      <c r="BC4" s="75" t="s">
        <v>444</v>
      </c>
      <c r="BD4" s="75" t="s">
        <v>445</v>
      </c>
      <c r="BE4" s="75" t="s">
        <v>446</v>
      </c>
      <c r="BF4" s="75" t="s">
        <v>447</v>
      </c>
      <c r="BG4" s="75" t="s">
        <v>448</v>
      </c>
      <c r="BH4" s="75" t="s">
        <v>449</v>
      </c>
      <c r="BI4" s="76"/>
    </row>
    <row r="5" spans="1:61">
      <c r="A5" s="2" t="s">
        <v>99</v>
      </c>
      <c r="B5" s="28">
        <v>1544.519</v>
      </c>
      <c r="C5" s="28">
        <v>1566.1</v>
      </c>
      <c r="D5" s="28">
        <v>1587.2</v>
      </c>
      <c r="E5" s="28">
        <v>1690.7</v>
      </c>
      <c r="F5" s="28">
        <v>1722.4</v>
      </c>
      <c r="G5" s="28">
        <v>1745.3</v>
      </c>
      <c r="H5" s="28">
        <v>1816.8</v>
      </c>
      <c r="I5" s="28">
        <v>1884.2</v>
      </c>
      <c r="J5" s="28">
        <v>1928</v>
      </c>
      <c r="K5" s="28">
        <v>1988</v>
      </c>
      <c r="L5" s="28">
        <v>2038</v>
      </c>
      <c r="M5" s="28">
        <v>2054.5</v>
      </c>
      <c r="N5" s="28">
        <v>2098.6</v>
      </c>
      <c r="O5" s="28">
        <v>2201.5</v>
      </c>
      <c r="P5" s="28">
        <v>2277.8000000000002</v>
      </c>
      <c r="Q5" s="28">
        <v>2363.6</v>
      </c>
      <c r="R5" s="28">
        <v>2485.6</v>
      </c>
      <c r="S5" s="28">
        <v>2543.4</v>
      </c>
      <c r="T5" s="28">
        <v>2543.4</v>
      </c>
      <c r="U5" s="28">
        <v>2355.5</v>
      </c>
      <c r="V5" s="28">
        <v>2507</v>
      </c>
      <c r="W5" s="28">
        <v>2616.6</v>
      </c>
      <c r="X5" s="28">
        <v>2695.9</v>
      </c>
      <c r="Y5" s="28">
        <v>2719.6</v>
      </c>
      <c r="Z5" s="28">
        <v>2790.7</v>
      </c>
      <c r="AA5" s="28">
        <v>2977.5</v>
      </c>
      <c r="AB5" s="28">
        <v>2993.1</v>
      </c>
      <c r="AC5" s="28">
        <v>3024.9</v>
      </c>
      <c r="AD5" s="28">
        <v>3082.1</v>
      </c>
      <c r="AE5" s="28">
        <v>3244</v>
      </c>
      <c r="AF5" s="28">
        <v>3234.6</v>
      </c>
      <c r="AG5" s="28">
        <v>3200</v>
      </c>
      <c r="AH5" s="28">
        <v>3224.7</v>
      </c>
      <c r="AI5" s="28">
        <v>3415</v>
      </c>
      <c r="AJ5" s="28">
        <v>3429.9</v>
      </c>
      <c r="AK5" s="22">
        <v>3363.8</v>
      </c>
      <c r="AL5" s="22">
        <v>3445.2</v>
      </c>
      <c r="AM5" s="22">
        <v>3533</v>
      </c>
      <c r="AN5" s="22">
        <v>3498.2</v>
      </c>
      <c r="AO5" s="22">
        <v>3545</v>
      </c>
      <c r="AP5" s="22">
        <v>3644</v>
      </c>
      <c r="AQ5" s="22">
        <v>3793</v>
      </c>
      <c r="AR5" s="22">
        <v>3682</v>
      </c>
      <c r="AS5" s="22">
        <v>3650</v>
      </c>
      <c r="AT5" s="77">
        <f>('Revenue Drivers'!M25-AS5)/3</f>
        <v>3883.5614081229164</v>
      </c>
      <c r="AU5" s="77">
        <f>('Revenue Drivers'!M25-AS5)/3</f>
        <v>3883.5614081229164</v>
      </c>
      <c r="AV5" s="77">
        <f>('Revenue Drivers'!M25-AS5)/3</f>
        <v>3883.5614081229164</v>
      </c>
      <c r="AW5" s="77">
        <f>'Revenue Drivers'!N25/4</f>
        <v>3989.092978492426</v>
      </c>
      <c r="AX5" s="77">
        <f>'Revenue Drivers'!N25/4</f>
        <v>3989.092978492426</v>
      </c>
      <c r="AY5" s="77">
        <f>'Revenue Drivers'!N25/4</f>
        <v>3989.092978492426</v>
      </c>
      <c r="AZ5" s="77">
        <f>'Revenue Drivers'!N25/4</f>
        <v>3989.092978492426</v>
      </c>
      <c r="BA5" s="77">
        <f>'Revenue Drivers'!O25/4</f>
        <v>4186.228647571922</v>
      </c>
      <c r="BB5" s="77">
        <f>'Revenue Drivers'!O25/4</f>
        <v>4186.228647571922</v>
      </c>
      <c r="BC5" s="77">
        <f>'Revenue Drivers'!O25/4</f>
        <v>4186.228647571922</v>
      </c>
      <c r="BD5" s="77">
        <f>'Revenue Drivers'!O25/4</f>
        <v>4186.228647571922</v>
      </c>
      <c r="BE5" s="77">
        <f>'Revenue Drivers'!P25/4</f>
        <v>4408.0288458110872</v>
      </c>
      <c r="BF5" s="77">
        <f>'Revenue Drivers'!P25/4</f>
        <v>4408.0288458110872</v>
      </c>
      <c r="BG5" s="77">
        <f>'Revenue Drivers'!P25/4</f>
        <v>4408.0288458110872</v>
      </c>
      <c r="BH5" s="77">
        <f>'Revenue Drivers'!P25/4</f>
        <v>4408.0288458110872</v>
      </c>
      <c r="BI5" s="22"/>
    </row>
    <row r="6" spans="1:61">
      <c r="A6" s="2" t="s">
        <v>450</v>
      </c>
      <c r="B6" s="8">
        <f>0</f>
        <v>0</v>
      </c>
      <c r="C6" s="8">
        <f t="shared" ref="C6:H6" si="0">IFERROR(C5/B5-1,0)</f>
        <v>1.3972634846188381E-2</v>
      </c>
      <c r="D6" s="8">
        <f t="shared" si="0"/>
        <v>1.3472958304067584E-2</v>
      </c>
      <c r="E6" s="8">
        <f t="shared" si="0"/>
        <v>6.5209173387096753E-2</v>
      </c>
      <c r="F6" s="8">
        <f t="shared" si="0"/>
        <v>1.8749630330632261E-2</v>
      </c>
      <c r="G6" s="8">
        <f t="shared" si="0"/>
        <v>1.329540176497912E-2</v>
      </c>
      <c r="H6" s="8">
        <f t="shared" si="0"/>
        <v>4.0967168968085721E-2</v>
      </c>
      <c r="I6" s="8">
        <f t="shared" ref="I6:AN6" si="1">IFERROR(I5/H5-1,0)</f>
        <v>3.7098194627917191E-2</v>
      </c>
      <c r="J6" s="8">
        <f t="shared" si="1"/>
        <v>2.3245939921451964E-2</v>
      </c>
      <c r="K6" s="8">
        <f t="shared" si="1"/>
        <v>3.1120331950207358E-2</v>
      </c>
      <c r="L6" s="8">
        <f t="shared" si="1"/>
        <v>2.5150905432595572E-2</v>
      </c>
      <c r="M6" s="8">
        <f t="shared" si="1"/>
        <v>8.0961727183512799E-3</v>
      </c>
      <c r="N6" s="8">
        <f t="shared" si="1"/>
        <v>2.1465076660988069E-2</v>
      </c>
      <c r="O6" s="8">
        <f t="shared" si="1"/>
        <v>4.9032688458972684E-2</v>
      </c>
      <c r="P6" s="8">
        <f t="shared" si="1"/>
        <v>3.4658187599364121E-2</v>
      </c>
      <c r="Q6" s="8">
        <f t="shared" si="1"/>
        <v>3.7667925190973728E-2</v>
      </c>
      <c r="R6" s="8">
        <f t="shared" si="1"/>
        <v>5.1616178710441663E-2</v>
      </c>
      <c r="S6" s="8">
        <f t="shared" si="1"/>
        <v>2.3253942710009801E-2</v>
      </c>
      <c r="T6" s="8">
        <f t="shared" si="1"/>
        <v>0</v>
      </c>
      <c r="U6" s="8">
        <f t="shared" si="1"/>
        <v>-7.3877486828654582E-2</v>
      </c>
      <c r="V6" s="8">
        <f t="shared" si="1"/>
        <v>6.4317554659307996E-2</v>
      </c>
      <c r="W6" s="8">
        <f t="shared" si="1"/>
        <v>4.3717590745911306E-2</v>
      </c>
      <c r="X6" s="8">
        <f t="shared" si="1"/>
        <v>3.0306504624321606E-2</v>
      </c>
      <c r="Y6" s="8">
        <f t="shared" si="1"/>
        <v>8.7911272673317775E-3</v>
      </c>
      <c r="Z6" s="8">
        <f t="shared" si="1"/>
        <v>2.6143550522135683E-2</v>
      </c>
      <c r="AA6" s="8">
        <f t="shared" si="1"/>
        <v>6.6936610886157766E-2</v>
      </c>
      <c r="AB6" s="8">
        <f t="shared" si="1"/>
        <v>5.239294710327469E-3</v>
      </c>
      <c r="AC6" s="8">
        <f t="shared" si="1"/>
        <v>1.0624436203267473E-2</v>
      </c>
      <c r="AD6" s="8">
        <f t="shared" si="1"/>
        <v>1.8909716023670198E-2</v>
      </c>
      <c r="AE6" s="8">
        <f t="shared" si="1"/>
        <v>5.2529119756010489E-2</v>
      </c>
      <c r="AF6" s="8">
        <f t="shared" si="1"/>
        <v>-2.8976572133169176E-3</v>
      </c>
      <c r="AG6" s="8">
        <f t="shared" si="1"/>
        <v>-1.0696840413034092E-2</v>
      </c>
      <c r="AH6" s="8">
        <f t="shared" si="1"/>
        <v>7.7187499999999964E-3</v>
      </c>
      <c r="AI6" s="8">
        <f t="shared" si="1"/>
        <v>5.9013241541848949E-2</v>
      </c>
      <c r="AJ6" s="8">
        <f t="shared" si="1"/>
        <v>4.3631039531479843E-3</v>
      </c>
      <c r="AK6" s="5">
        <f t="shared" si="1"/>
        <v>-1.9271698883349342E-2</v>
      </c>
      <c r="AL6" s="5">
        <f t="shared" si="1"/>
        <v>2.4198822759973648E-2</v>
      </c>
      <c r="AM6" s="5">
        <f t="shared" si="1"/>
        <v>2.5484732381284125E-2</v>
      </c>
      <c r="AN6" s="5">
        <f t="shared" si="1"/>
        <v>-9.8499858477215652E-3</v>
      </c>
      <c r="AO6" s="5">
        <f t="shared" ref="AO6:BH6" si="2">IFERROR(AO5/AN5-1,0)</f>
        <v>1.3378308844548714E-2</v>
      </c>
      <c r="AP6" s="5">
        <f t="shared" si="2"/>
        <v>2.7926657263751764E-2</v>
      </c>
      <c r="AQ6" s="5">
        <f t="shared" si="2"/>
        <v>4.0889132821075647E-2</v>
      </c>
      <c r="AR6" s="5">
        <f t="shared" si="2"/>
        <v>-2.9264434484576829E-2</v>
      </c>
      <c r="AS6" s="5">
        <f t="shared" si="2"/>
        <v>-8.6909288430201403E-3</v>
      </c>
      <c r="AT6" s="79">
        <f t="shared" si="2"/>
        <v>6.3989426882990807E-2</v>
      </c>
      <c r="AU6" s="79">
        <f t="shared" si="2"/>
        <v>0</v>
      </c>
      <c r="AV6" s="79">
        <f t="shared" si="2"/>
        <v>0</v>
      </c>
      <c r="AW6" s="79">
        <f t="shared" si="2"/>
        <v>2.7173915712721319E-2</v>
      </c>
      <c r="AX6" s="79">
        <f t="shared" si="2"/>
        <v>0</v>
      </c>
      <c r="AY6" s="79">
        <f t="shared" si="2"/>
        <v>0</v>
      </c>
      <c r="AZ6" s="79">
        <f t="shared" si="2"/>
        <v>0</v>
      </c>
      <c r="BA6" s="79">
        <f t="shared" si="2"/>
        <v>4.9418669893725564E-2</v>
      </c>
      <c r="BB6" s="79">
        <f t="shared" si="2"/>
        <v>0</v>
      </c>
      <c r="BC6" s="79">
        <f t="shared" si="2"/>
        <v>0</v>
      </c>
      <c r="BD6" s="79">
        <f t="shared" si="2"/>
        <v>0</v>
      </c>
      <c r="BE6" s="79">
        <f t="shared" si="2"/>
        <v>5.2983297595990742E-2</v>
      </c>
      <c r="BF6" s="79">
        <f t="shared" si="2"/>
        <v>0</v>
      </c>
      <c r="BG6" s="79">
        <f t="shared" si="2"/>
        <v>0</v>
      </c>
      <c r="BH6" s="79">
        <f t="shared" si="2"/>
        <v>0</v>
      </c>
      <c r="BI6" s="5"/>
    </row>
    <row r="7" spans="1:61">
      <c r="A7" s="2" t="s">
        <v>451</v>
      </c>
      <c r="B7" s="8">
        <f>0</f>
        <v>0</v>
      </c>
      <c r="C7" s="8">
        <f>0</f>
        <v>0</v>
      </c>
      <c r="D7" s="8">
        <f>0</f>
        <v>0</v>
      </c>
      <c r="E7" s="8">
        <f>E5/B5-1</f>
        <v>9.4644999511174666E-2</v>
      </c>
      <c r="F7" s="8">
        <f>F5/C5-1</f>
        <v>9.9802056062831435E-2</v>
      </c>
      <c r="G7" s="8">
        <f>G5/D5-1</f>
        <v>9.9609375E-2</v>
      </c>
      <c r="H7" s="8">
        <f>0</f>
        <v>0</v>
      </c>
      <c r="I7" s="8">
        <f>I5/E5-1</f>
        <v>0.11444963624534221</v>
      </c>
      <c r="J7" s="8">
        <v>0.11936832326985591</v>
      </c>
      <c r="K7" s="8">
        <v>0.13905918753222934</v>
      </c>
      <c r="L7" s="8">
        <v>0.1217525319242625</v>
      </c>
      <c r="M7" s="8">
        <v>9.0383186498248502E-2</v>
      </c>
      <c r="N7" s="8">
        <v>8.8485477178423144E-2</v>
      </c>
      <c r="O7" s="8">
        <v>0.10739436619718301</v>
      </c>
      <c r="P7" s="8">
        <v>0.11766437684003939</v>
      </c>
      <c r="Q7" s="8">
        <v>0.15045023119980527</v>
      </c>
      <c r="R7" s="8">
        <v>0.18440865338797297</v>
      </c>
      <c r="S7" s="8">
        <v>0.15530320236202599</v>
      </c>
      <c r="T7" s="8">
        <v>0.11660374045131272</v>
      </c>
      <c r="U7" s="8">
        <v>-3.4269757996276962E-3</v>
      </c>
      <c r="V7" s="8">
        <v>8.6095912455745882E-3</v>
      </c>
      <c r="W7" s="8">
        <v>2.8780372729417136E-2</v>
      </c>
      <c r="X7" s="8">
        <v>5.995910985295283E-2</v>
      </c>
      <c r="Y7" s="8">
        <v>0.15457440033963055</v>
      </c>
      <c r="Z7" s="8">
        <v>0.11316314319904253</v>
      </c>
      <c r="AA7" s="8">
        <v>0.13792708094473749</v>
      </c>
      <c r="AB7" s="8">
        <v>0.11024147779962168</v>
      </c>
      <c r="AC7" s="8">
        <v>0.11225915575819978</v>
      </c>
      <c r="AD7" s="8">
        <v>0.10441824631812802</v>
      </c>
      <c r="AE7" s="8">
        <v>8.9504617968094058E-2</v>
      </c>
      <c r="AF7" s="8">
        <v>8.0685576826701411E-2</v>
      </c>
      <c r="AG7" s="8">
        <v>5.7886211114416941E-2</v>
      </c>
      <c r="AH7" s="8">
        <v>4.626715551085292E-2</v>
      </c>
      <c r="AI7" s="8">
        <v>5.2712700369913712E-2</v>
      </c>
      <c r="AJ7" s="8">
        <v>6.0378408458542143E-2</v>
      </c>
      <c r="AK7" s="5">
        <v>5.1187500000000163E-2</v>
      </c>
      <c r="AL7" s="5">
        <v>6.8378453809656792E-2</v>
      </c>
      <c r="AM7" s="5">
        <v>3.4553440702781879E-2</v>
      </c>
      <c r="AN7" s="5">
        <v>1.9913117000495584E-2</v>
      </c>
      <c r="AO7" s="5">
        <f>AO5/AK5-1</f>
        <v>5.386764968190727E-2</v>
      </c>
      <c r="AP7" s="5">
        <v>5.7703471496574954E-2</v>
      </c>
      <c r="AQ7" s="5">
        <v>7.3591848287574368E-2</v>
      </c>
      <c r="AR7" s="5">
        <v>5.2541306957864187E-2</v>
      </c>
      <c r="AS7" s="5">
        <v>2.9619181946403339E-2</v>
      </c>
      <c r="AT7" s="79">
        <v>9.5819825777097023E-2</v>
      </c>
      <c r="AU7" s="79">
        <v>5.2772856612639529E-2</v>
      </c>
      <c r="AV7" s="79">
        <v>8.4510441372010137E-2</v>
      </c>
      <c r="AW7" s="79">
        <v>0.12810397032144483</v>
      </c>
      <c r="AX7" s="79">
        <v>3.1156230799489482E-2</v>
      </c>
      <c r="AY7" s="79">
        <v>3.1156230799489482E-2</v>
      </c>
      <c r="AZ7" s="79">
        <v>3.1156230799489482E-2</v>
      </c>
      <c r="BA7" s="79">
        <v>6.0222288540555668E-2</v>
      </c>
      <c r="BB7" s="79">
        <v>6.0222288540555668E-2</v>
      </c>
      <c r="BC7" s="79">
        <v>6.0222288540555668E-2</v>
      </c>
      <c r="BD7" s="79">
        <v>6.0222288540555668E-2</v>
      </c>
      <c r="BE7" s="79">
        <v>6.0222288540555891E-2</v>
      </c>
      <c r="BF7" s="79">
        <v>6.0222288540555891E-2</v>
      </c>
      <c r="BG7" s="79">
        <v>6.0222288540555891E-2</v>
      </c>
      <c r="BH7" s="79">
        <v>6.0222288540555891E-2</v>
      </c>
      <c r="BI7" s="5"/>
    </row>
    <row r="8" spans="1:61">
      <c r="A8" s="2" t="s">
        <v>153</v>
      </c>
      <c r="B8" s="28">
        <v>1031.5740000000001</v>
      </c>
      <c r="C8" s="28">
        <v>1024.9845082680592</v>
      </c>
      <c r="D8" s="28">
        <v>1032.7630585156103</v>
      </c>
      <c r="E8" s="28">
        <v>1109.6337332392379</v>
      </c>
      <c r="F8" s="28">
        <v>1144.3291257921696</v>
      </c>
      <c r="G8" s="28">
        <v>1153.6353224987304</v>
      </c>
      <c r="H8" s="28">
        <v>1203.9145109101469</v>
      </c>
      <c r="I8" s="28">
        <v>1249.5678162811755</v>
      </c>
      <c r="J8" s="28">
        <v>1272.7218915875826</v>
      </c>
      <c r="K8" s="28">
        <v>1305.6727045596501</v>
      </c>
      <c r="L8" s="28">
        <v>1323.7180362698232</v>
      </c>
      <c r="M8" s="28">
        <v>1348.0528174088486</v>
      </c>
      <c r="N8" s="28">
        <v>1354.1131417804993</v>
      </c>
      <c r="O8" s="28">
        <v>1423.6338620294287</v>
      </c>
      <c r="P8" s="28">
        <v>1484.4874171357098</v>
      </c>
      <c r="Q8" s="28">
        <v>1571.4162557077625</v>
      </c>
      <c r="R8" s="28">
        <v>1614.6189867640346</v>
      </c>
      <c r="S8" s="28">
        <v>1614.2560794044664</v>
      </c>
      <c r="T8" s="28">
        <v>1570.5050349650351</v>
      </c>
      <c r="U8" s="28">
        <v>1461.5427946863965</v>
      </c>
      <c r="V8" s="28">
        <v>1520.7299666559106</v>
      </c>
      <c r="W8" s="28">
        <v>1565.8660553310538</v>
      </c>
      <c r="X8" s="28">
        <v>1657.3155737704919</v>
      </c>
      <c r="Y8" s="28">
        <v>1687.8920669722943</v>
      </c>
      <c r="Z8" s="28">
        <v>1753.7296538368432</v>
      </c>
      <c r="AA8" s="28">
        <v>1907.8880256146165</v>
      </c>
      <c r="AB8" s="28">
        <v>1943.3890870469531</v>
      </c>
      <c r="AC8" s="28">
        <v>1992.6644774974432</v>
      </c>
      <c r="AD8" s="28">
        <v>2027.0993923681438</v>
      </c>
      <c r="AE8" s="28">
        <v>2081.8704119850186</v>
      </c>
      <c r="AF8" s="28">
        <v>2106.5141020822371</v>
      </c>
      <c r="AG8" s="28">
        <v>2108.913903255248</v>
      </c>
      <c r="AH8" s="28">
        <v>2105.7513459808038</v>
      </c>
      <c r="AI8" s="28">
        <v>2210.8781551008929</v>
      </c>
      <c r="AJ8" s="28">
        <v>2282.106873925401</v>
      </c>
      <c r="AK8" s="22">
        <v>2250.4861460598067</v>
      </c>
      <c r="AL8" s="22">
        <v>2289.9562331092784</v>
      </c>
      <c r="AM8" s="22">
        <v>2323.9315155570425</v>
      </c>
      <c r="AN8" s="22">
        <v>2336.1813727435028</v>
      </c>
      <c r="AO8" s="22">
        <v>2404.2550001647501</v>
      </c>
      <c r="AP8" s="22">
        <v>2457.0932314820616</v>
      </c>
      <c r="AQ8" s="22">
        <v>2533.3325165328292</v>
      </c>
      <c r="AR8" s="22">
        <v>2499.4171448750772</v>
      </c>
      <c r="AS8" s="22">
        <v>2488.0462130194624</v>
      </c>
      <c r="AT8" s="77">
        <f>AT5*(1-'Annual P&amp;L'!M9)</f>
        <v>2563.1505293611244</v>
      </c>
      <c r="AU8" s="77">
        <f>AU5*(1-'Annual P&amp;L'!M9)</f>
        <v>2563.1505293611244</v>
      </c>
      <c r="AV8" s="77">
        <f>AV5*(1-'Annual P&amp;L'!M9)</f>
        <v>2563.1505293611244</v>
      </c>
      <c r="AW8" s="77">
        <f>AW5*(1-'Annual P&amp;L'!N9)</f>
        <v>2632.8013658050008</v>
      </c>
      <c r="AX8" s="77">
        <f>AX5*(1-'Annual P&amp;L'!N9)</f>
        <v>2632.8013658050008</v>
      </c>
      <c r="AY8" s="77">
        <f>AY5*(1-'Annual P&amp;L'!N9)</f>
        <v>2632.8013658050008</v>
      </c>
      <c r="AZ8" s="77">
        <f>AZ5*(1-'Annual P&amp;L'!N9)</f>
        <v>2632.8013658050008</v>
      </c>
      <c r="BA8" s="77">
        <f>BA5*(1-'Annual P&amp;L'!O9)</f>
        <v>2762.9109073974682</v>
      </c>
      <c r="BB8" s="77">
        <f>BB5*(1-'Annual P&amp;L'!O9)</f>
        <v>2762.9109073974682</v>
      </c>
      <c r="BC8" s="77">
        <f>BC5*(1-'Annual P&amp;L'!O9)</f>
        <v>2762.9109073974682</v>
      </c>
      <c r="BD8" s="77">
        <f>BD5*(1-'Annual P&amp;L'!O9)</f>
        <v>2762.9109073974682</v>
      </c>
      <c r="BE8" s="77">
        <f>BE5*(1-'Annual P&amp;L'!P9)</f>
        <v>2909.2990382353173</v>
      </c>
      <c r="BF8" s="77">
        <f>BF5*(1-'Annual P&amp;L'!P9)</f>
        <v>2909.2990382353173</v>
      </c>
      <c r="BG8" s="77">
        <f>BG5*(1-'Annual P&amp;L'!P9)</f>
        <v>2909.2990382353173</v>
      </c>
      <c r="BH8" s="77">
        <f>BH5*(1-'Annual P&amp;L'!P9)</f>
        <v>2909.2990382353173</v>
      </c>
      <c r="BI8" s="22"/>
    </row>
    <row r="9" spans="1:61">
      <c r="A9" s="80" t="s">
        <v>102</v>
      </c>
      <c r="B9" s="81">
        <f t="shared" ref="B9:AG9" si="3">IFERROR(B8/B5,0)</f>
        <v>0.66789337003947513</v>
      </c>
      <c r="C9" s="81">
        <f t="shared" si="3"/>
        <v>0.65448215839860757</v>
      </c>
      <c r="D9" s="81">
        <f t="shared" si="3"/>
        <v>0.65068237053654876</v>
      </c>
      <c r="E9" s="81">
        <f t="shared" si="3"/>
        <v>0.6563161609033169</v>
      </c>
      <c r="F9" s="81">
        <f t="shared" si="3"/>
        <v>0.66438058859275984</v>
      </c>
      <c r="G9" s="81">
        <f t="shared" si="3"/>
        <v>0.66099542915185383</v>
      </c>
      <c r="H9" s="81">
        <f t="shared" si="3"/>
        <v>0.66265660001659343</v>
      </c>
      <c r="I9" s="81">
        <f t="shared" si="3"/>
        <v>0.6631821549098692</v>
      </c>
      <c r="J9" s="81">
        <f t="shared" si="3"/>
        <v>0.66012546244169223</v>
      </c>
      <c r="K9" s="81">
        <f t="shared" si="3"/>
        <v>0.65677701436602121</v>
      </c>
      <c r="L9" s="81">
        <f t="shared" si="3"/>
        <v>0.64951817285074742</v>
      </c>
      <c r="M9" s="81">
        <f t="shared" si="3"/>
        <v>0.65614641879233315</v>
      </c>
      <c r="N9" s="81">
        <f t="shared" si="3"/>
        <v>0.64524594576408045</v>
      </c>
      <c r="O9" s="81">
        <f t="shared" si="3"/>
        <v>0.64666539270017198</v>
      </c>
      <c r="P9" s="81">
        <f t="shared" si="3"/>
        <v>0.65171982489055658</v>
      </c>
      <c r="Q9" s="81">
        <f t="shared" si="3"/>
        <v>0.66484018264840183</v>
      </c>
      <c r="R9" s="81">
        <f t="shared" si="3"/>
        <v>0.64958922866271107</v>
      </c>
      <c r="S9" s="81">
        <f t="shared" si="3"/>
        <v>0.63468431210366683</v>
      </c>
      <c r="T9" s="81">
        <f t="shared" si="3"/>
        <v>0.61748251748251748</v>
      </c>
      <c r="U9" s="81">
        <f t="shared" si="3"/>
        <v>0.62048091474693123</v>
      </c>
      <c r="V9" s="81">
        <f t="shared" si="3"/>
        <v>0.60659352479294404</v>
      </c>
      <c r="W9" s="81">
        <f t="shared" si="3"/>
        <v>0.59843539529582424</v>
      </c>
      <c r="X9" s="81">
        <f t="shared" si="3"/>
        <v>0.61475409836065575</v>
      </c>
      <c r="Y9" s="81">
        <f t="shared" si="3"/>
        <v>0.62063982459637235</v>
      </c>
      <c r="Z9" s="81">
        <f t="shared" si="3"/>
        <v>0.62841926894214473</v>
      </c>
      <c r="AA9" s="81">
        <f t="shared" si="3"/>
        <v>0.64076843849357401</v>
      </c>
      <c r="AB9" s="81">
        <f t="shared" si="3"/>
        <v>0.64928972872505197</v>
      </c>
      <c r="AC9" s="81">
        <f t="shared" si="3"/>
        <v>0.65875383566314361</v>
      </c>
      <c r="AD9" s="81">
        <f t="shared" si="3"/>
        <v>0.65770072105646926</v>
      </c>
      <c r="AE9" s="81">
        <f t="shared" si="3"/>
        <v>0.6417602996254681</v>
      </c>
      <c r="AF9" s="81">
        <f t="shared" si="3"/>
        <v>0.65124408028264302</v>
      </c>
      <c r="AG9" s="81">
        <f t="shared" si="3"/>
        <v>0.65903559476726503</v>
      </c>
      <c r="AH9" s="81">
        <f t="shared" ref="AH9:BH9" si="4">IFERROR(AH8/AH5,0)</f>
        <v>0.65300689862027594</v>
      </c>
      <c r="AI9" s="81">
        <f t="shared" si="4"/>
        <v>0.6474020951979188</v>
      </c>
      <c r="AJ9" s="81">
        <f t="shared" si="4"/>
        <v>0.6653566791817257</v>
      </c>
      <c r="AK9" s="82">
        <f t="shared" si="4"/>
        <v>0.66903090137933485</v>
      </c>
      <c r="AL9" s="82">
        <f t="shared" si="4"/>
        <v>0.66468020234217995</v>
      </c>
      <c r="AM9" s="82">
        <f t="shared" si="4"/>
        <v>0.65777852124456337</v>
      </c>
      <c r="AN9" s="82">
        <f t="shared" si="4"/>
        <v>0.66782384447530241</v>
      </c>
      <c r="AO9" s="82">
        <f t="shared" si="4"/>
        <v>0.67821015519456984</v>
      </c>
      <c r="AP9" s="82">
        <f t="shared" si="4"/>
        <v>0.67428464091165241</v>
      </c>
      <c r="AQ9" s="82">
        <f t="shared" si="4"/>
        <v>0.66789678790741613</v>
      </c>
      <c r="AR9" s="82">
        <f t="shared" si="4"/>
        <v>0.6788205173479297</v>
      </c>
      <c r="AS9" s="82">
        <f t="shared" si="4"/>
        <v>0.68165649671766093</v>
      </c>
      <c r="AT9" s="83">
        <f t="shared" si="4"/>
        <v>0.65999999999999992</v>
      </c>
      <c r="AU9" s="83">
        <f t="shared" si="4"/>
        <v>0.65999999999999992</v>
      </c>
      <c r="AV9" s="83">
        <f t="shared" si="4"/>
        <v>0.65999999999999992</v>
      </c>
      <c r="AW9" s="83">
        <f t="shared" si="4"/>
        <v>0.65999999999999992</v>
      </c>
      <c r="AX9" s="83">
        <f t="shared" si="4"/>
        <v>0.65999999999999992</v>
      </c>
      <c r="AY9" s="83">
        <f t="shared" si="4"/>
        <v>0.65999999999999992</v>
      </c>
      <c r="AZ9" s="83">
        <f t="shared" si="4"/>
        <v>0.65999999999999992</v>
      </c>
      <c r="BA9" s="83">
        <f t="shared" si="4"/>
        <v>0.65999999999999992</v>
      </c>
      <c r="BB9" s="83">
        <f t="shared" si="4"/>
        <v>0.65999999999999992</v>
      </c>
      <c r="BC9" s="83">
        <f t="shared" si="4"/>
        <v>0.65999999999999992</v>
      </c>
      <c r="BD9" s="83">
        <f t="shared" si="4"/>
        <v>0.65999999999999992</v>
      </c>
      <c r="BE9" s="83">
        <f t="shared" si="4"/>
        <v>0.65999999999999992</v>
      </c>
      <c r="BF9" s="83">
        <f t="shared" si="4"/>
        <v>0.65999999999999992</v>
      </c>
      <c r="BG9" s="83">
        <f t="shared" si="4"/>
        <v>0.65999999999999992</v>
      </c>
      <c r="BH9" s="83">
        <f t="shared" si="4"/>
        <v>0.65999999999999992</v>
      </c>
      <c r="BI9" s="82"/>
    </row>
    <row r="10" spans="1:61">
      <c r="A10" s="2" t="s">
        <v>51</v>
      </c>
      <c r="B10" s="8">
        <f>IFERROR(B8/B5,0)</f>
        <v>0.66789337003947513</v>
      </c>
      <c r="C10" s="8">
        <v>0.34551784160139248</v>
      </c>
      <c r="D10" s="8">
        <v>0.34931762946345107</v>
      </c>
      <c r="E10" s="8">
        <v>0.34368383909668315</v>
      </c>
      <c r="F10" s="8">
        <v>0.33561941140724022</v>
      </c>
      <c r="G10" s="8">
        <v>0.33900457084814628</v>
      </c>
      <c r="H10" s="8">
        <v>0.33734339998340668</v>
      </c>
      <c r="I10" s="8">
        <v>0.33681784509013091</v>
      </c>
      <c r="J10" s="8">
        <v>0.33987453755830788</v>
      </c>
      <c r="K10" s="8">
        <v>0.34322298563397874</v>
      </c>
      <c r="L10" s="8">
        <v>0.35048182714925258</v>
      </c>
      <c r="M10" s="8">
        <v>0.34385358120766679</v>
      </c>
      <c r="N10" s="8">
        <v>0.35475405423591955</v>
      </c>
      <c r="O10" s="8">
        <v>0.35333460729982802</v>
      </c>
      <c r="P10" s="8">
        <v>0.34828017510944337</v>
      </c>
      <c r="Q10" s="8">
        <v>0.33515981735159822</v>
      </c>
      <c r="R10" s="8">
        <v>0.35041077133728887</v>
      </c>
      <c r="S10" s="8">
        <v>0.36531568789633301</v>
      </c>
      <c r="T10" s="8">
        <v>0.38251748251748252</v>
      </c>
      <c r="U10" s="8">
        <v>0.37951908525306877</v>
      </c>
      <c r="V10" s="8">
        <v>0.39340647520705607</v>
      </c>
      <c r="W10" s="8">
        <v>0.40156460470417571</v>
      </c>
      <c r="X10" s="8">
        <v>0.38524590163934425</v>
      </c>
      <c r="Y10" s="8">
        <v>0.37936017540362771</v>
      </c>
      <c r="Z10" s="8">
        <v>0.37158073105785516</v>
      </c>
      <c r="AA10" s="8">
        <v>0.35923156150642604</v>
      </c>
      <c r="AB10" s="8">
        <v>0.35071027127494797</v>
      </c>
      <c r="AC10" s="8">
        <v>0.34124616433685645</v>
      </c>
      <c r="AD10" s="8">
        <v>0.34229927894353079</v>
      </c>
      <c r="AE10" s="8">
        <v>0.35823970037453179</v>
      </c>
      <c r="AF10" s="8">
        <v>0.34875591971735703</v>
      </c>
      <c r="AG10" s="8">
        <v>0.34096440523273502</v>
      </c>
      <c r="AH10" s="8">
        <f>IFERROR(AH8/AH5,0)</f>
        <v>0.65300689862027594</v>
      </c>
      <c r="AI10" s="8">
        <v>0.35259790480208114</v>
      </c>
      <c r="AJ10" s="8">
        <v>0.33464332081827436</v>
      </c>
      <c r="AK10" s="5">
        <v>0.33096909862066509</v>
      </c>
      <c r="AL10" s="5">
        <v>0.33531979765781994</v>
      </c>
      <c r="AM10" s="5">
        <v>0.34222147875543657</v>
      </c>
      <c r="AN10" s="5">
        <v>0.33217615552469743</v>
      </c>
      <c r="AO10" s="5">
        <v>0.32178984480543016</v>
      </c>
      <c r="AP10" s="5">
        <v>0.32571535908834764</v>
      </c>
      <c r="AQ10" s="5">
        <v>0.33210321209258387</v>
      </c>
      <c r="AR10" s="5">
        <v>0.32117948265207025</v>
      </c>
      <c r="AS10" s="5">
        <v>0.31834350328233896</v>
      </c>
      <c r="AT10" s="79">
        <f t="shared" ref="AT10:BH10" ca="1" si="5">AT8-AT11</f>
        <v>0.34000000000000008</v>
      </c>
      <c r="AU10" s="79">
        <f t="shared" si="5"/>
        <v>1844.3803892374108</v>
      </c>
      <c r="AV10" s="79">
        <f t="shared" si="5"/>
        <v>1844.3803892374108</v>
      </c>
      <c r="AW10" s="79">
        <f t="shared" si="5"/>
        <v>1891.6370573038112</v>
      </c>
      <c r="AX10" s="79">
        <f t="shared" si="5"/>
        <v>1891.6370573038112</v>
      </c>
      <c r="AY10" s="79">
        <f t="shared" si="5"/>
        <v>1891.6370573038112</v>
      </c>
      <c r="AZ10" s="79">
        <f t="shared" si="5"/>
        <v>1891.6370573038112</v>
      </c>
      <c r="BA10" s="79">
        <f t="shared" si="5"/>
        <v>1977.1119880537588</v>
      </c>
      <c r="BB10" s="79">
        <f t="shared" si="5"/>
        <v>1977.1119880537588</v>
      </c>
      <c r="BC10" s="79">
        <f t="shared" si="5"/>
        <v>1977.1119880537588</v>
      </c>
      <c r="BD10" s="79">
        <f t="shared" si="5"/>
        <v>1977.1119880537588</v>
      </c>
      <c r="BE10" s="79">
        <f t="shared" si="5"/>
        <v>2076.1775096360338</v>
      </c>
      <c r="BF10" s="79">
        <f t="shared" si="5"/>
        <v>2076.1775096360338</v>
      </c>
      <c r="BG10" s="79">
        <f t="shared" si="5"/>
        <v>2076.1775096360338</v>
      </c>
      <c r="BH10" s="79">
        <f t="shared" si="5"/>
        <v>2076.1775096360338</v>
      </c>
      <c r="BI10" s="5"/>
    </row>
    <row r="11" spans="1:61">
      <c r="A11" s="2" t="s">
        <v>452</v>
      </c>
      <c r="B11" s="28">
        <v>213.55147015945323</v>
      </c>
      <c r="C11" s="28">
        <v>225.65409534861226</v>
      </c>
      <c r="D11" s="28">
        <v>224.32664049355014</v>
      </c>
      <c r="E11" s="28">
        <v>223.26904551870155</v>
      </c>
      <c r="F11" s="28">
        <v>226.83225974476949</v>
      </c>
      <c r="G11" s="28">
        <v>229.57475876079229</v>
      </c>
      <c r="H11" s="28">
        <v>241.47627976437406</v>
      </c>
      <c r="I11" s="28">
        <v>238.84006914149313</v>
      </c>
      <c r="J11" s="28">
        <v>252.90075599163583</v>
      </c>
      <c r="K11" s="28">
        <v>272.86883198001249</v>
      </c>
      <c r="L11" s="28">
        <v>289.94992032779413</v>
      </c>
      <c r="M11" s="28">
        <v>281.12808041504536</v>
      </c>
      <c r="N11" s="28">
        <v>315.89853980216674</v>
      </c>
      <c r="O11" s="28">
        <v>352.68313268361038</v>
      </c>
      <c r="P11" s="28">
        <v>357.12599124452788</v>
      </c>
      <c r="Q11" s="28">
        <v>385.80283713850844</v>
      </c>
      <c r="R11" s="28">
        <v>376.49863076220896</v>
      </c>
      <c r="S11" s="28">
        <v>412.61002481389573</v>
      </c>
      <c r="T11" s="28">
        <v>446.83939752555136</v>
      </c>
      <c r="U11" s="28">
        <v>410.7370943332773</v>
      </c>
      <c r="V11" s="28">
        <v>445.20350650747559</v>
      </c>
      <c r="W11" s="28">
        <v>451.96064656512272</v>
      </c>
      <c r="X11" s="28">
        <v>564.79118725180729</v>
      </c>
      <c r="Y11" s="28">
        <v>493.0189754833566</v>
      </c>
      <c r="Z11" s="28">
        <v>493.42224158799308</v>
      </c>
      <c r="AA11" s="28">
        <v>493.07218664636605</v>
      </c>
      <c r="AB11" s="28">
        <v>492.86742045404253</v>
      </c>
      <c r="AC11" s="28">
        <v>507.02913825434712</v>
      </c>
      <c r="AD11" s="28">
        <v>496.41212023008995</v>
      </c>
      <c r="AE11" s="28">
        <v>526.45138576779016</v>
      </c>
      <c r="AF11" s="28">
        <v>545.01660527700528</v>
      </c>
      <c r="AG11" s="28">
        <v>551.01916641314267</v>
      </c>
      <c r="AH11" s="28">
        <v>524.23137372525491</v>
      </c>
      <c r="AI11" s="28">
        <v>526.54819658299937</v>
      </c>
      <c r="AJ11" s="28">
        <v>543.14673146426207</v>
      </c>
      <c r="AK11" s="22">
        <v>528.60228107067758</v>
      </c>
      <c r="AL11" s="22">
        <v>514.83430115723081</v>
      </c>
      <c r="AM11" s="22">
        <v>520.19849447975912</v>
      </c>
      <c r="AN11" s="22">
        <v>533.18461945381193</v>
      </c>
      <c r="AO11" s="22">
        <v>562.89680055356018</v>
      </c>
      <c r="AP11" s="22">
        <v>559.79926116085414</v>
      </c>
      <c r="AQ11" s="22">
        <v>563.14941544638646</v>
      </c>
      <c r="AR11" s="22">
        <v>587.4990141549689</v>
      </c>
      <c r="AS11" s="22">
        <v>550.47138436623379</v>
      </c>
      <c r="AT11" s="77">
        <f ca="1">AT8-AT11</f>
        <v>2563.1505293611244</v>
      </c>
      <c r="AU11" s="77">
        <v>718.77014012371376</v>
      </c>
      <c r="AV11" s="77">
        <v>718.77014012371376</v>
      </c>
      <c r="AW11" s="77">
        <v>741.16430850118968</v>
      </c>
      <c r="AX11" s="77">
        <v>741.16430850118968</v>
      </c>
      <c r="AY11" s="77">
        <v>741.16430850118968</v>
      </c>
      <c r="AZ11" s="77">
        <v>741.16430850118968</v>
      </c>
      <c r="BA11" s="77">
        <v>785.79891934370949</v>
      </c>
      <c r="BB11" s="77">
        <v>785.79891934370949</v>
      </c>
      <c r="BC11" s="77">
        <v>785.79891934370949</v>
      </c>
      <c r="BD11" s="77">
        <v>785.79891934370949</v>
      </c>
      <c r="BE11" s="77">
        <v>833.12152859928335</v>
      </c>
      <c r="BF11" s="77">
        <v>833.12152859928335</v>
      </c>
      <c r="BG11" s="77">
        <v>833.12152859928335</v>
      </c>
      <c r="BH11" s="77">
        <v>833.12152859928335</v>
      </c>
      <c r="BI11" s="22"/>
    </row>
    <row r="12" spans="1:61">
      <c r="A12" s="2" t="s">
        <v>453</v>
      </c>
      <c r="B12" s="28">
        <v>205.21533514161763</v>
      </c>
      <c r="C12" s="28">
        <v>216.84552566398762</v>
      </c>
      <c r="D12" s="28">
        <v>215.56988896261754</v>
      </c>
      <c r="E12" s="28">
        <v>214.55357796721398</v>
      </c>
      <c r="F12" s="28">
        <v>217.97769956674185</v>
      </c>
      <c r="G12" s="28">
        <v>220.61314316391514</v>
      </c>
      <c r="H12" s="28">
        <v>232.05007974703199</v>
      </c>
      <c r="I12" s="28">
        <v>229.5167754992342</v>
      </c>
      <c r="J12" s="28">
        <v>243.02859333930274</v>
      </c>
      <c r="K12" s="28">
        <v>262.21720113970008</v>
      </c>
      <c r="L12" s="28">
        <v>278.63151693558893</v>
      </c>
      <c r="M12" s="28">
        <v>270.15404387998939</v>
      </c>
      <c r="N12" s="28">
        <v>303.56721341157009</v>
      </c>
      <c r="O12" s="28">
        <v>338.91589328990085</v>
      </c>
      <c r="P12" s="28">
        <v>343.18532167587603</v>
      </c>
      <c r="Q12" s="28">
        <v>370.74274629366778</v>
      </c>
      <c r="R12" s="28">
        <v>361.80173629587472</v>
      </c>
      <c r="S12" s="28">
        <v>396.50349614428319</v>
      </c>
      <c r="T12" s="28">
        <v>429.39670070740249</v>
      </c>
      <c r="U12" s="28">
        <v>394.70367685018016</v>
      </c>
      <c r="V12" s="28">
        <v>427.82466787017165</v>
      </c>
      <c r="W12" s="28">
        <v>434.31803811245334</v>
      </c>
      <c r="X12" s="28">
        <v>542.74415760457862</v>
      </c>
      <c r="Y12" s="28">
        <v>473.77362567183104</v>
      </c>
      <c r="Z12" s="28">
        <v>474.16114999443312</v>
      </c>
      <c r="AA12" s="28">
        <v>473.82475969887429</v>
      </c>
      <c r="AB12" s="28">
        <v>473.62798670193837</v>
      </c>
      <c r="AC12" s="28">
        <v>487.23689167646529</v>
      </c>
      <c r="AD12" s="28">
        <v>477.0343165763</v>
      </c>
      <c r="AE12" s="28">
        <v>505.90097780848117</v>
      </c>
      <c r="AF12" s="28">
        <v>523.74149063996185</v>
      </c>
      <c r="AG12" s="28">
        <v>529.50973749090008</v>
      </c>
      <c r="AH12" s="28">
        <v>503.76762553051691</v>
      </c>
      <c r="AI12" s="28">
        <v>505.99400954398578</v>
      </c>
      <c r="AJ12" s="28">
        <v>521.94460869450802</v>
      </c>
      <c r="AK12" s="22">
        <v>507.96791136837192</v>
      </c>
      <c r="AL12" s="22">
        <v>494.73737443949301</v>
      </c>
      <c r="AM12" s="22">
        <v>499.89217262292448</v>
      </c>
      <c r="AN12" s="22">
        <v>512.37137488152439</v>
      </c>
      <c r="AO12" s="22">
        <v>540.92371965171264</v>
      </c>
      <c r="AP12" s="22">
        <v>537.94709493396238</v>
      </c>
      <c r="AQ12" s="22">
        <v>541.16647354076053</v>
      </c>
      <c r="AR12" s="22">
        <v>564.56556817501701</v>
      </c>
      <c r="AS12" s="22">
        <v>528.98333850962854</v>
      </c>
      <c r="AT12" s="77">
        <v>2463.0961075028381</v>
      </c>
      <c r="AU12" s="77">
        <v>690.71243145804181</v>
      </c>
      <c r="AV12" s="77">
        <v>690.71243145804181</v>
      </c>
      <c r="AW12" s="77">
        <v>712.23242738862518</v>
      </c>
      <c r="AX12" s="77">
        <v>712.23242738862518</v>
      </c>
      <c r="AY12" s="77">
        <v>712.23242738862518</v>
      </c>
      <c r="AZ12" s="77">
        <v>712.23242738862518</v>
      </c>
      <c r="BA12" s="77">
        <v>755.12469413876306</v>
      </c>
      <c r="BB12" s="77">
        <v>755.12469413876306</v>
      </c>
      <c r="BC12" s="77">
        <v>755.12469413876306</v>
      </c>
      <c r="BD12" s="77">
        <v>755.12469413876306</v>
      </c>
      <c r="BE12" s="77">
        <v>800.60003135328668</v>
      </c>
      <c r="BF12" s="77">
        <v>800.60003135328668</v>
      </c>
      <c r="BG12" s="77">
        <v>800.60003135328668</v>
      </c>
      <c r="BH12" s="77">
        <v>800.60003135328668</v>
      </c>
      <c r="BI12" s="22"/>
    </row>
    <row r="13" spans="1:61">
      <c r="A13" s="2" t="s">
        <v>454</v>
      </c>
      <c r="B13" s="28">
        <f t="shared" ref="B13:AS13" si="6">B11-B12</f>
        <v>8.336135017835602</v>
      </c>
      <c r="C13" s="28">
        <f t="shared" si="6"/>
        <v>8.8085696846246435</v>
      </c>
      <c r="D13" s="28">
        <f t="shared" si="6"/>
        <v>8.7567515309326041</v>
      </c>
      <c r="E13" s="28">
        <f t="shared" si="6"/>
        <v>8.7154675514875635</v>
      </c>
      <c r="F13" s="28">
        <f t="shared" si="6"/>
        <v>8.8545601780276399</v>
      </c>
      <c r="G13" s="28">
        <f t="shared" si="6"/>
        <v>8.9616155968771523</v>
      </c>
      <c r="H13" s="28">
        <f t="shared" si="6"/>
        <v>9.4262000173420688</v>
      </c>
      <c r="I13" s="28">
        <f t="shared" si="6"/>
        <v>9.3232936422589319</v>
      </c>
      <c r="J13" s="28">
        <f t="shared" si="6"/>
        <v>9.8721626523330883</v>
      </c>
      <c r="K13" s="28">
        <f t="shared" si="6"/>
        <v>10.651630840312407</v>
      </c>
      <c r="L13" s="28">
        <f t="shared" si="6"/>
        <v>11.318403392205198</v>
      </c>
      <c r="M13" s="28">
        <f t="shared" si="6"/>
        <v>10.974036535055973</v>
      </c>
      <c r="N13" s="28">
        <f t="shared" si="6"/>
        <v>12.331326390596644</v>
      </c>
      <c r="O13" s="28">
        <f t="shared" si="6"/>
        <v>13.767239393709531</v>
      </c>
      <c r="P13" s="28">
        <f t="shared" si="6"/>
        <v>13.940669568651856</v>
      </c>
      <c r="Q13" s="28">
        <f t="shared" si="6"/>
        <v>15.060090844840659</v>
      </c>
      <c r="R13" s="28">
        <f t="shared" si="6"/>
        <v>14.696894466334243</v>
      </c>
      <c r="S13" s="28">
        <f t="shared" si="6"/>
        <v>16.106528669612544</v>
      </c>
      <c r="T13" s="28">
        <f t="shared" si="6"/>
        <v>17.442696818148875</v>
      </c>
      <c r="U13" s="28">
        <f t="shared" si="6"/>
        <v>16.033417483097139</v>
      </c>
      <c r="V13" s="28">
        <f t="shared" si="6"/>
        <v>17.378838637303943</v>
      </c>
      <c r="W13" s="28">
        <f t="shared" si="6"/>
        <v>17.642608452669378</v>
      </c>
      <c r="X13" s="28">
        <f t="shared" si="6"/>
        <v>22.047029647228669</v>
      </c>
      <c r="Y13" s="28">
        <f t="shared" si="6"/>
        <v>19.245349811525557</v>
      </c>
      <c r="Z13" s="28">
        <f t="shared" si="6"/>
        <v>19.261091593559968</v>
      </c>
      <c r="AA13" s="28">
        <f t="shared" si="6"/>
        <v>19.247426947491761</v>
      </c>
      <c r="AB13" s="28">
        <f t="shared" si="6"/>
        <v>19.239433752104162</v>
      </c>
      <c r="AC13" s="28">
        <f t="shared" si="6"/>
        <v>19.792246577881826</v>
      </c>
      <c r="AD13" s="28">
        <f t="shared" si="6"/>
        <v>19.377803653789954</v>
      </c>
      <c r="AE13" s="28">
        <f t="shared" si="6"/>
        <v>20.550407959308984</v>
      </c>
      <c r="AF13" s="28">
        <f t="shared" si="6"/>
        <v>21.27511463704343</v>
      </c>
      <c r="AG13" s="28">
        <f t="shared" si="6"/>
        <v>21.509428922242591</v>
      </c>
      <c r="AH13" s="28">
        <f t="shared" si="6"/>
        <v>20.463748194738002</v>
      </c>
      <c r="AI13" s="28">
        <f t="shared" si="6"/>
        <v>20.554187039013584</v>
      </c>
      <c r="AJ13" s="28">
        <f t="shared" si="6"/>
        <v>21.202122769754055</v>
      </c>
      <c r="AK13" s="22">
        <f t="shared" si="6"/>
        <v>20.634369702305662</v>
      </c>
      <c r="AL13" s="22">
        <f t="shared" si="6"/>
        <v>20.096926717737801</v>
      </c>
      <c r="AM13" s="22">
        <f t="shared" si="6"/>
        <v>20.306321856834643</v>
      </c>
      <c r="AN13" s="22">
        <f t="shared" si="6"/>
        <v>20.813244572287545</v>
      </c>
      <c r="AO13" s="22">
        <f t="shared" si="6"/>
        <v>21.973080901847538</v>
      </c>
      <c r="AP13" s="22">
        <f t="shared" si="6"/>
        <v>21.852166226891768</v>
      </c>
      <c r="AQ13" s="22">
        <f t="shared" si="6"/>
        <v>21.982941905625921</v>
      </c>
      <c r="AR13" s="22">
        <f t="shared" si="6"/>
        <v>22.933445979951898</v>
      </c>
      <c r="AS13" s="22">
        <f t="shared" si="6"/>
        <v>21.488045856605254</v>
      </c>
      <c r="AT13" s="77">
        <f t="shared" ref="AT13:BH13" ca="1" si="7">AT11-AT12</f>
        <v>100.05442185828633</v>
      </c>
      <c r="AU13" s="77">
        <f t="shared" si="7"/>
        <v>28.057708665671953</v>
      </c>
      <c r="AV13" s="77">
        <f t="shared" si="7"/>
        <v>28.057708665671953</v>
      </c>
      <c r="AW13" s="77">
        <f t="shared" si="7"/>
        <v>28.931881112564497</v>
      </c>
      <c r="AX13" s="77">
        <f t="shared" si="7"/>
        <v>28.931881112564497</v>
      </c>
      <c r="AY13" s="77">
        <f t="shared" si="7"/>
        <v>28.931881112564497</v>
      </c>
      <c r="AZ13" s="77">
        <f t="shared" si="7"/>
        <v>28.931881112564497</v>
      </c>
      <c r="BA13" s="77">
        <f t="shared" si="7"/>
        <v>30.674225204946424</v>
      </c>
      <c r="BB13" s="77">
        <f t="shared" si="7"/>
        <v>30.674225204946424</v>
      </c>
      <c r="BC13" s="77">
        <f t="shared" si="7"/>
        <v>30.674225204946424</v>
      </c>
      <c r="BD13" s="77">
        <f t="shared" si="7"/>
        <v>30.674225204946424</v>
      </c>
      <c r="BE13" s="77">
        <f t="shared" si="7"/>
        <v>32.52149724599667</v>
      </c>
      <c r="BF13" s="77">
        <f t="shared" si="7"/>
        <v>32.52149724599667</v>
      </c>
      <c r="BG13" s="77">
        <f t="shared" si="7"/>
        <v>32.52149724599667</v>
      </c>
      <c r="BH13" s="77">
        <f t="shared" si="7"/>
        <v>32.52149724599667</v>
      </c>
      <c r="BI13" s="22"/>
    </row>
    <row r="14" spans="1:61">
      <c r="A14" s="2" t="s">
        <v>123</v>
      </c>
      <c r="B14" s="28">
        <f>IFERROR('Annual P&amp;L'!F16*B5/'Annual P&amp;L'!F5,0)</f>
        <v>62.062225303489065</v>
      </c>
      <c r="C14" s="28">
        <f>IFERROR('Annual P&amp;L'!F16*C5/'Annual P&amp;L'!F5,0)</f>
        <v>62.929398115396587</v>
      </c>
      <c r="D14" s="28">
        <f>IFERROR('Annual P&amp;L'!F16*D5/'Annual P&amp;L'!F5,0)</f>
        <v>63.777243272305384</v>
      </c>
      <c r="E14" s="28">
        <f>IFERROR('Annual P&amp;L'!F16*E5/'Annual P&amp;L'!F5,0)</f>
        <v>67.936104587000202</v>
      </c>
      <c r="F14" s="28">
        <f>IFERROR('Annual P&amp;L'!F16*F5/'Annual P&amp;L'!F5,0)</f>
        <v>69.209881434109619</v>
      </c>
      <c r="G14" s="28">
        <f>IFERROR('Annual P&amp;L'!F16*G5/'Annual P&amp;L'!F5,0)</f>
        <v>70.130054613882677</v>
      </c>
      <c r="H14" s="28">
        <f>IFERROR('Annual P&amp;L'!F16*H5/'Annual P&amp;L'!F5,0)</f>
        <v>73.003084410990695</v>
      </c>
      <c r="I14" s="28">
        <f>IFERROR('Annual P&amp;L'!F16*I5/'Annual P&amp;L'!F5,0)</f>
        <v>75.711367044907888</v>
      </c>
      <c r="J14" s="28">
        <f>IFERROR('Annual P&amp;L'!F16*J5/'Annual P&amp;L'!F5,0)</f>
        <v>77.471348934604833</v>
      </c>
      <c r="K14" s="28">
        <f>IFERROR('Annual P&amp;L'!F16*K5/'Annual P&amp;L'!F5,0)</f>
        <v>79.882283030080075</v>
      </c>
      <c r="L14" s="28">
        <f>IFERROR('Annual P&amp;L'!F16*L5/'Annual P&amp;L'!F5,0)</f>
        <v>81.891394776309454</v>
      </c>
      <c r="M14" s="28">
        <f>IFERROR('Annual P&amp;L'!F16*M5/'Annual P&amp;L'!F5,0)</f>
        <v>82.554401652565161</v>
      </c>
      <c r="N14" s="28">
        <f>IFERROR('Annual P&amp;L'!F16*N5/'Annual P&amp;L'!F5,0)</f>
        <v>84.326438212739461</v>
      </c>
      <c r="O14" s="28">
        <f>IFERROR('Annual P&amp;L'!F16*O5/'Annual P&amp;L'!F5,0)</f>
        <v>88.461190186479527</v>
      </c>
      <c r="P14" s="28">
        <f>IFERROR('Annual P&amp;L'!F16*P5/'Annual P&amp;L'!F5,0)</f>
        <v>91.527094711225573</v>
      </c>
      <c r="Q14" s="28">
        <f>IFERROR('Annual P&amp;L'!F16*Q5/'Annual P&amp;L'!F5,0)</f>
        <v>94.974730467755165</v>
      </c>
      <c r="R14" s="28">
        <f>IFERROR('Annual P&amp;L'!F16*R5/'Annual P&amp;L'!F5,0)</f>
        <v>99.876963128554848</v>
      </c>
      <c r="S14" s="28">
        <f>IFERROR('Annual P&amp;L'!F16*S5/'Annual P&amp;L'!F5,0)</f>
        <v>102.19949630719601</v>
      </c>
      <c r="T14" s="28">
        <f>IFERROR('Annual P&amp;L'!F16*T5/'Annual P&amp;L'!F5,0)</f>
        <v>102.19949630719601</v>
      </c>
      <c r="U14" s="28">
        <f>IFERROR('Annual P&amp;L'!F16*U5/'Annual P&amp;L'!F5,0)</f>
        <v>94.64925436486601</v>
      </c>
      <c r="V14" s="28">
        <f>IFERROR('Annual P&amp;L'!F16*V5/'Annual P&amp;L'!F5,0)</f>
        <v>100.73686295594104</v>
      </c>
      <c r="W14" s="28">
        <f>IFERROR('Annual P&amp;L'!F16*W5/'Annual P&amp;L'!F5,0)</f>
        <v>105.14083590367582</v>
      </c>
      <c r="X14" s="28">
        <f>IFERROR('Annual P&amp;L'!F16*X5/'Annual P&amp;L'!F5,0)</f>
        <v>108.32728713319563</v>
      </c>
      <c r="Y14" s="28">
        <f>IFERROR('Annual P&amp;L'!F16*Y5/'Annual P&amp;L'!F5,0)</f>
        <v>109.27960610090834</v>
      </c>
      <c r="Z14" s="28">
        <f>IFERROR('Annual P&amp;L'!F16*Z5/'Annual P&amp;L'!F5,0)</f>
        <v>112.13656300404651</v>
      </c>
      <c r="AA14" s="28">
        <f>IFERROR('Annual P&amp;L'!F16*AA5/'Annual P&amp;L'!F5,0)</f>
        <v>119.64260448795947</v>
      </c>
      <c r="AB14" s="28">
        <f>IFERROR('Annual P&amp;L'!F16*AB5/'Annual P&amp;L'!F5,0)</f>
        <v>120.26944735278305</v>
      </c>
      <c r="AC14" s="28">
        <f>IFERROR('Annual P&amp;L'!F16*AC5/'Annual P&amp;L'!F5,0)</f>
        <v>121.54724242338493</v>
      </c>
      <c r="AD14" s="28">
        <f>IFERROR('Annual P&amp;L'!F16*AD5/'Annual P&amp;L'!F5,0)</f>
        <v>123.84566626107134</v>
      </c>
      <c r="AE14" s="28">
        <f>IFERROR('Annual P&amp;L'!F16*AE5/'Annual P&amp;L'!F5,0)</f>
        <v>130.35117009536205</v>
      </c>
      <c r="AF14" s="28">
        <f>IFERROR('Annual P&amp;L'!F16*AF5/'Annual P&amp;L'!F5,0)</f>
        <v>129.97345708707095</v>
      </c>
      <c r="AG14" s="28">
        <f>IFERROR('Annual P&amp;L'!F16*AG5/'Annual P&amp;L'!F5,0)</f>
        <v>128.5831517586802</v>
      </c>
      <c r="AH14" s="28">
        <f>IFERROR('Annual P&amp;L'!F16*AH5/'Annual P&amp;L'!F5,0)</f>
        <v>129.57565296131753</v>
      </c>
      <c r="AI14" s="28">
        <f>IFERROR('Annual P&amp;L'!F16*AI5/'Annual P&amp;L'!F5,0)</f>
        <v>137.22233226746653</v>
      </c>
      <c r="AJ14" s="28">
        <f>IFERROR('Annual P&amp;L'!F16*AJ5/'Annual P&amp;L'!F5,0)</f>
        <v>137.8210475678429</v>
      </c>
      <c r="AK14" s="22">
        <f>IFERROR('Annual P&amp;L'!F16*AK5/'Annual P&amp;L'!F5,0)</f>
        <v>135.16500183932766</v>
      </c>
      <c r="AL14" s="22">
        <f>IFERROR('Annual P&amp;L'!F16*AL5/'Annual P&amp;L'!F5,0)</f>
        <v>138.43583576218907</v>
      </c>
      <c r="AM14" s="22">
        <f>IFERROR('Annual P&amp;L'!F16*AM5/'Annual P&amp;L'!F5,0)</f>
        <v>141.96383598856787</v>
      </c>
      <c r="AN14" s="22">
        <f>IFERROR('Annual P&amp;L'!F16*AN5/'Annual P&amp;L'!F5,0)</f>
        <v>140.56549421319221</v>
      </c>
      <c r="AO14" s="22">
        <f>IFERROR('Annual P&amp;L'!F16*AO5/'Annual P&amp;L'!F5,0)</f>
        <v>142.44602280766293</v>
      </c>
      <c r="AP14" s="22">
        <f>IFERROR('Annual P&amp;L'!F16*AP5/'Annual P&amp;L'!F5,0)</f>
        <v>146.42406406519709</v>
      </c>
      <c r="AQ14" s="22">
        <f>IFERROR('Annual P&amp;L'!F16*AQ5/'Annual P&amp;L'!F5,0)</f>
        <v>152.41121706896064</v>
      </c>
      <c r="AR14" s="22">
        <f>IFERROR('Annual P&amp;L'!F16*AR5/'Annual P&amp;L'!F5,0)</f>
        <v>147.95098899233142</v>
      </c>
      <c r="AS14" s="22">
        <f>IFERROR('Annual P&amp;L'!F16*AS5/'Annual P&amp;L'!F5,0)</f>
        <v>146.6651574747446</v>
      </c>
      <c r="AT14" s="77">
        <f>IFERROR('Annual P&amp;L'!F16*AT5/'Annual P&amp;L'!F5,0)</f>
        <v>156.05017684525711</v>
      </c>
      <c r="AU14" s="77">
        <f>IFERROR('Annual P&amp;L'!F16*AU5/'Annual P&amp;L'!F5,0)</f>
        <v>156.05017684525711</v>
      </c>
      <c r="AV14" s="77">
        <f>IFERROR('Annual P&amp;L'!F16*AV5/'Annual P&amp;L'!F5,0)</f>
        <v>156.05017684525711</v>
      </c>
      <c r="AW14" s="77">
        <f>IFERROR('Annual P&amp;L'!F16*AW5/'Annual P&amp;L'!F5,0)</f>
        <v>160.29067119780538</v>
      </c>
      <c r="AX14" s="77">
        <f>IFERROR('Annual P&amp;L'!F16*AX5/'Annual P&amp;L'!F5,0)</f>
        <v>160.29067119780538</v>
      </c>
      <c r="AY14" s="77">
        <f>IFERROR('Annual P&amp;L'!F16*AY5/'Annual P&amp;L'!F5,0)</f>
        <v>160.29067119780538</v>
      </c>
      <c r="AZ14" s="77">
        <f>IFERROR('Annual P&amp;L'!F16*AZ5/'Annual P&amp;L'!F5,0)</f>
        <v>160.29067119780538</v>
      </c>
      <c r="BA14" s="77">
        <f>IFERROR('Annual P&amp;L'!F16*BA5/'Annual P&amp;L'!F5,0)</f>
        <v>168.21202296477347</v>
      </c>
      <c r="BB14" s="77">
        <f>IFERROR('Annual P&amp;L'!F16*BB5/'Annual P&amp;L'!F5,0)</f>
        <v>168.21202296477347</v>
      </c>
      <c r="BC14" s="77">
        <f>IFERROR('Annual P&amp;L'!F16*BC5/'Annual P&amp;L'!F5,0)</f>
        <v>168.21202296477347</v>
      </c>
      <c r="BD14" s="77">
        <f>IFERROR('Annual P&amp;L'!F16*BD5/'Annual P&amp;L'!F5,0)</f>
        <v>168.21202296477347</v>
      </c>
      <c r="BE14" s="77">
        <f>IFERROR('Annual P&amp;L'!F16*BE5/'Annual P&amp;L'!F5,0)</f>
        <v>177.12445063673968</v>
      </c>
      <c r="BF14" s="77">
        <f>IFERROR('Annual P&amp;L'!F16*BF5/'Annual P&amp;L'!F5,0)</f>
        <v>177.12445063673968</v>
      </c>
      <c r="BG14" s="77">
        <f>IFERROR('Annual P&amp;L'!F16*BG5/'Annual P&amp;L'!F5,0)</f>
        <v>177.12445063673968</v>
      </c>
      <c r="BH14" s="77">
        <f>IFERROR('Annual P&amp;L'!F16*BH5/'Annual P&amp;L'!F5,0)</f>
        <v>177.12445063673968</v>
      </c>
      <c r="BI14" s="22"/>
    </row>
    <row r="15" spans="1:61">
      <c r="A15" s="80" t="s">
        <v>103</v>
      </c>
      <c r="B15" s="81">
        <f t="shared" ref="B15:AG15" ca="1" si="8">B17+B14</f>
        <v>361.45575514403589</v>
      </c>
      <c r="C15" s="81">
        <f t="shared" ca="1" si="8"/>
        <v>378.39079449872509</v>
      </c>
      <c r="D15" s="81">
        <f t="shared" ca="1" si="8"/>
        <v>393.88754426314478</v>
      </c>
      <c r="E15" s="81">
        <f t="shared" ca="1" si="8"/>
        <v>425.7333258290609</v>
      </c>
      <c r="F15" s="81">
        <f t="shared" ca="1" si="8"/>
        <v>420.44849589717069</v>
      </c>
      <c r="G15" s="81">
        <f t="shared" ca="1" si="8"/>
        <v>432.21997335436009</v>
      </c>
      <c r="H15" s="81">
        <f t="shared" ca="1" si="8"/>
        <v>444.41229373646985</v>
      </c>
      <c r="I15" s="81">
        <f t="shared" ca="1" si="8"/>
        <v>471.50348162223941</v>
      </c>
      <c r="J15" s="81">
        <f t="shared" ca="1" si="8"/>
        <v>479.84870135538665</v>
      </c>
      <c r="K15" s="81">
        <f t="shared" ca="1" si="8"/>
        <v>489.34074649041736</v>
      </c>
      <c r="L15" s="81">
        <f t="shared" ca="1" si="8"/>
        <v>506.22343817869205</v>
      </c>
      <c r="M15" s="81">
        <f t="shared" ca="1" si="8"/>
        <v>507.87350382867123</v>
      </c>
      <c r="N15" s="81">
        <f t="shared" ca="1" si="8"/>
        <v>512.9147566300735</v>
      </c>
      <c r="O15" s="81">
        <f t="shared" ca="1" si="8"/>
        <v>513.6441954734405</v>
      </c>
      <c r="P15" s="81">
        <f t="shared" ca="1" si="8"/>
        <v>527.71368633098791</v>
      </c>
      <c r="Q15" s="81">
        <f t="shared" ca="1" si="8"/>
        <v>501.35563762148422</v>
      </c>
      <c r="R15" s="81">
        <f t="shared" ca="1" si="8"/>
        <v>594.35934560231112</v>
      </c>
      <c r="S15" s="81">
        <f t="shared" ca="1" si="8"/>
        <v>618.73339208883374</v>
      </c>
      <c r="T15" s="81">
        <f t="shared" ca="1" si="8"/>
        <v>628.25506381660978</v>
      </c>
      <c r="U15" s="81">
        <f t="shared" ca="1" si="8"/>
        <v>577.86936534519214</v>
      </c>
      <c r="V15" s="81">
        <f t="shared" ca="1" si="8"/>
        <v>641.80338979255498</v>
      </c>
      <c r="W15" s="81">
        <f t="shared" ca="1" si="8"/>
        <v>703.91413400749923</v>
      </c>
      <c r="X15" s="81">
        <f t="shared" ca="1" si="8"/>
        <v>582.12052611089644</v>
      </c>
      <c r="Y15" s="81">
        <f t="shared" ca="1" si="8"/>
        <v>647.96856364525763</v>
      </c>
      <c r="Z15" s="81">
        <f t="shared" ca="1" si="8"/>
        <v>655.68466757920976</v>
      </c>
      <c r="AA15" s="81">
        <f t="shared" ca="1" si="8"/>
        <v>696.18239222697696</v>
      </c>
      <c r="AB15" s="81">
        <f t="shared" ca="1" si="8"/>
        <v>677.11293985178725</v>
      </c>
      <c r="AC15" s="81">
        <f t="shared" ca="1" si="8"/>
        <v>646.75362667159493</v>
      </c>
      <c r="AD15" s="81">
        <f t="shared" ca="1" si="8"/>
        <v>682.4341536628375</v>
      </c>
      <c r="AE15" s="81">
        <f t="shared" ca="1" si="8"/>
        <v>766.02937234255307</v>
      </c>
      <c r="AF15" s="81">
        <f t="shared" ca="1" si="8"/>
        <v>713.04274972782878</v>
      </c>
      <c r="AG15" s="81">
        <f t="shared" ca="1" si="8"/>
        <v>668.65008209028952</v>
      </c>
      <c r="AH15" s="81">
        <f t="shared" ref="AH15:BH15" ca="1" si="9">AH17+AH14</f>
        <v>724.29293325525873</v>
      </c>
      <c r="AI15" s="81">
        <f t="shared" ca="1" si="9"/>
        <v>814.79598058357431</v>
      </c>
      <c r="AJ15" s="81">
        <f t="shared" ca="1" si="9"/>
        <v>742.46744217818014</v>
      </c>
      <c r="AK15" s="82">
        <f t="shared" ca="1" si="9"/>
        <v>719.87657470884324</v>
      </c>
      <c r="AL15" s="82">
        <f t="shared" ca="1" si="9"/>
        <v>778.84530149567945</v>
      </c>
      <c r="AM15" s="82">
        <f t="shared" ca="1" si="9"/>
        <v>830.83382595176624</v>
      </c>
      <c r="AN15" s="82">
        <f t="shared" ca="1" si="9"/>
        <v>769.39950201587681</v>
      </c>
      <c r="AO15" s="82">
        <f t="shared" ca="1" si="9"/>
        <v>720.29422208935262</v>
      </c>
      <c r="AP15" s="82">
        <f t="shared" ca="1" si="9"/>
        <v>773.53157142228179</v>
      </c>
      <c r="AQ15" s="82">
        <f t="shared" ca="1" si="9"/>
        <v>848.92928508974478</v>
      </c>
      <c r="AR15" s="82">
        <f t="shared" ca="1" si="9"/>
        <v>743.03482996228513</v>
      </c>
      <c r="AS15" s="82">
        <f t="shared" ca="1" si="9"/>
        <v>758.14756008904806</v>
      </c>
      <c r="AT15" s="83">
        <f t="shared" ca="1" si="9"/>
        <v>777.42000214492373</v>
      </c>
      <c r="AU15" s="83">
        <f t="shared" ca="1" si="9"/>
        <v>777.42000214492373</v>
      </c>
      <c r="AV15" s="83">
        <f t="shared" ca="1" si="9"/>
        <v>777.42000214492373</v>
      </c>
      <c r="AW15" s="83">
        <f t="shared" ca="1" si="9"/>
        <v>798.54554775659358</v>
      </c>
      <c r="AX15" s="83">
        <f t="shared" ca="1" si="9"/>
        <v>798.54554775659358</v>
      </c>
      <c r="AY15" s="83">
        <f t="shared" ca="1" si="9"/>
        <v>798.54554775659358</v>
      </c>
      <c r="AZ15" s="83">
        <f t="shared" ca="1" si="9"/>
        <v>798.54554775659358</v>
      </c>
      <c r="BA15" s="83">
        <f t="shared" ca="1" si="9"/>
        <v>838.00860657628095</v>
      </c>
      <c r="BB15" s="83">
        <f t="shared" ca="1" si="9"/>
        <v>838.00860657628095</v>
      </c>
      <c r="BC15" s="83">
        <f t="shared" ca="1" si="9"/>
        <v>838.00860657628095</v>
      </c>
      <c r="BD15" s="83">
        <f t="shared" ca="1" si="9"/>
        <v>838.00860657628095</v>
      </c>
      <c r="BE15" s="83">
        <f t="shared" ca="1" si="9"/>
        <v>882.40906596651371</v>
      </c>
      <c r="BF15" s="83">
        <f t="shared" ca="1" si="9"/>
        <v>882.40906596651371</v>
      </c>
      <c r="BG15" s="83">
        <f t="shared" ca="1" si="9"/>
        <v>882.40906596651371</v>
      </c>
      <c r="BH15" s="83">
        <f t="shared" ca="1" si="9"/>
        <v>882.40906596651371</v>
      </c>
      <c r="BI15" s="82"/>
    </row>
    <row r="16" spans="1:61">
      <c r="A16" s="2" t="s">
        <v>106</v>
      </c>
      <c r="B16" s="8">
        <f t="shared" ref="B16:AG16" ca="1" si="10">IFERROR(B15/B5,0)</f>
        <v>0.23402480328441144</v>
      </c>
      <c r="C16" s="8">
        <f t="shared" ca="1" si="10"/>
        <v>0.24161343113385167</v>
      </c>
      <c r="D16" s="8">
        <f t="shared" ca="1" si="10"/>
        <v>0.24816503544804988</v>
      </c>
      <c r="E16" s="8">
        <f t="shared" ca="1" si="10"/>
        <v>0.25180891100080494</v>
      </c>
      <c r="F16" s="8">
        <f t="shared" ca="1" si="10"/>
        <v>0.24410618665650874</v>
      </c>
      <c r="G16" s="8">
        <f t="shared" ca="1" si="10"/>
        <v>0.24764795356349056</v>
      </c>
      <c r="H16" s="8">
        <f t="shared" ca="1" si="10"/>
        <v>0.24461266718211683</v>
      </c>
      <c r="I16" s="8">
        <f t="shared" ca="1" si="10"/>
        <v>0.25024067594854016</v>
      </c>
      <c r="J16" s="8">
        <f t="shared" ca="1" si="10"/>
        <v>0.24888418120092667</v>
      </c>
      <c r="K16" s="8">
        <f t="shared" ca="1" si="10"/>
        <v>0.24614725678592422</v>
      </c>
      <c r="L16" s="8">
        <f t="shared" ca="1" si="10"/>
        <v>0.24839226603468698</v>
      </c>
      <c r="M16" s="8">
        <f t="shared" ca="1" si="10"/>
        <v>0.24720053727362923</v>
      </c>
      <c r="N16" s="8">
        <f t="shared" ca="1" si="10"/>
        <v>0.24440806091207162</v>
      </c>
      <c r="O16" s="8">
        <f t="shared" ca="1" si="10"/>
        <v>0.23331555551825597</v>
      </c>
      <c r="P16" s="8">
        <f t="shared" ca="1" si="10"/>
        <v>0.23167691910219856</v>
      </c>
      <c r="Q16" s="8">
        <f t="shared" ca="1" si="10"/>
        <v>0.21211526384391785</v>
      </c>
      <c r="R16" s="8">
        <f t="shared" ca="1" si="10"/>
        <v>0.23912107563659121</v>
      </c>
      <c r="S16" s="8">
        <f t="shared" ca="1" si="10"/>
        <v>0.2432701863996358</v>
      </c>
      <c r="T16" s="8">
        <f t="shared" ca="1" si="10"/>
        <v>0.24701386483314058</v>
      </c>
      <c r="U16" s="8">
        <f t="shared" ca="1" si="10"/>
        <v>0.24532768641273281</v>
      </c>
      <c r="V16" s="8">
        <f t="shared" ca="1" si="10"/>
        <v>0.25600454319607296</v>
      </c>
      <c r="W16" s="8">
        <f t="shared" ca="1" si="10"/>
        <v>0.26901862493598533</v>
      </c>
      <c r="X16" s="8">
        <f t="shared" ca="1" si="10"/>
        <v>0.21592808565261931</v>
      </c>
      <c r="Y16" s="8">
        <f t="shared" ca="1" si="10"/>
        <v>0.23825877468938728</v>
      </c>
      <c r="Z16" s="8">
        <f t="shared" ca="1" si="10"/>
        <v>0.23495347675465289</v>
      </c>
      <c r="AA16" s="8">
        <f t="shared" ca="1" si="10"/>
        <v>0.23381440544986631</v>
      </c>
      <c r="AB16" s="8">
        <f t="shared" ca="1" si="10"/>
        <v>0.22622462993277448</v>
      </c>
      <c r="AC16" s="8">
        <f t="shared" ca="1" si="10"/>
        <v>0.21380991988878803</v>
      </c>
      <c r="AD16" s="8">
        <f t="shared" ca="1" si="10"/>
        <v>0.22141856320782502</v>
      </c>
      <c r="AE16" s="8">
        <f t="shared" ca="1" si="10"/>
        <v>0.23613729110436285</v>
      </c>
      <c r="AF16" s="8">
        <f t="shared" ca="1" si="10"/>
        <v>0.22044232663322474</v>
      </c>
      <c r="AG16" s="8">
        <f t="shared" ca="1" si="10"/>
        <v>0.20895315065321549</v>
      </c>
      <c r="AH16" s="8">
        <f t="shared" ref="AH16:BM16" ca="1" si="11">IFERROR(AH15/AH5,0)</f>
        <v>0.22460784980161216</v>
      </c>
      <c r="AI16" s="8">
        <f t="shared" ca="1" si="11"/>
        <v>0.23859325932169087</v>
      </c>
      <c r="AJ16" s="8">
        <f t="shared" ca="1" si="11"/>
        <v>0.21646912218378964</v>
      </c>
      <c r="AK16" s="5">
        <f t="shared" ca="1" si="11"/>
        <v>0.21400694889970961</v>
      </c>
      <c r="AL16" s="5">
        <f t="shared" ca="1" si="11"/>
        <v>0.22606678900954358</v>
      </c>
      <c r="AM16" s="5">
        <f t="shared" ca="1" si="11"/>
        <v>0.23516383412164343</v>
      </c>
      <c r="AN16" s="5">
        <f t="shared" ca="1" si="11"/>
        <v>0.21994154194039131</v>
      </c>
      <c r="AO16" s="5">
        <f t="shared" ca="1" si="11"/>
        <v>0.20318595827626307</v>
      </c>
      <c r="AP16" s="5">
        <f t="shared" ca="1" si="11"/>
        <v>0.21227540379316184</v>
      </c>
      <c r="AQ16" s="5">
        <f t="shared" ca="1" si="11"/>
        <v>0.22381473374367117</v>
      </c>
      <c r="AR16" s="5">
        <f t="shared" ca="1" si="11"/>
        <v>0.20180196359649244</v>
      </c>
      <c r="AS16" s="5">
        <f t="shared" ca="1" si="11"/>
        <v>0.20771166029836932</v>
      </c>
      <c r="AT16" s="79">
        <f t="shared" ca="1" si="11"/>
        <v>0.20018223492458756</v>
      </c>
      <c r="AU16" s="79">
        <f t="shared" ca="1" si="11"/>
        <v>0.20018223492458756</v>
      </c>
      <c r="AV16" s="79">
        <f t="shared" ca="1" si="11"/>
        <v>0.20018223492458756</v>
      </c>
      <c r="AW16" s="79">
        <f t="shared" ca="1" si="11"/>
        <v>0.20018223492458756</v>
      </c>
      <c r="AX16" s="79">
        <f t="shared" ca="1" si="11"/>
        <v>0.20018223492458756</v>
      </c>
      <c r="AY16" s="79">
        <f t="shared" ca="1" si="11"/>
        <v>0.20018223492458756</v>
      </c>
      <c r="AZ16" s="79">
        <f t="shared" ca="1" si="11"/>
        <v>0.20018223492458756</v>
      </c>
      <c r="BA16" s="79">
        <f t="shared" ca="1" si="11"/>
        <v>0.20018223492458756</v>
      </c>
      <c r="BB16" s="79">
        <f t="shared" ca="1" si="11"/>
        <v>0.20018223492458756</v>
      </c>
      <c r="BC16" s="79">
        <f t="shared" ca="1" si="11"/>
        <v>0.20018223492458756</v>
      </c>
      <c r="BD16" s="79">
        <f t="shared" ca="1" si="11"/>
        <v>0.20018223492458756</v>
      </c>
      <c r="BE16" s="79">
        <f t="shared" ca="1" si="11"/>
        <v>0.20018223492458759</v>
      </c>
      <c r="BF16" s="79">
        <f t="shared" ca="1" si="11"/>
        <v>0.20018223492458759</v>
      </c>
      <c r="BG16" s="79">
        <f t="shared" ca="1" si="11"/>
        <v>0.20018223492458759</v>
      </c>
      <c r="BH16" s="79">
        <f t="shared" ca="1" si="11"/>
        <v>0.20018223492458759</v>
      </c>
      <c r="BI16" s="5"/>
    </row>
    <row r="17" spans="1:61">
      <c r="A17" s="80" t="s">
        <v>104</v>
      </c>
      <c r="B17" s="81">
        <f t="shared" ref="B17:AG17" ca="1" si="12">IFERROR(B16/B14,0)</f>
        <v>299.39352984054682</v>
      </c>
      <c r="C17" s="81">
        <f t="shared" ca="1" si="12"/>
        <v>315.46139638332852</v>
      </c>
      <c r="D17" s="81">
        <f t="shared" ca="1" si="12"/>
        <v>330.11030099083939</v>
      </c>
      <c r="E17" s="81">
        <f t="shared" ca="1" si="12"/>
        <v>357.79722124206069</v>
      </c>
      <c r="F17" s="81">
        <f t="shared" ca="1" si="12"/>
        <v>351.23861446306108</v>
      </c>
      <c r="G17" s="81">
        <f t="shared" ca="1" si="12"/>
        <v>362.0899187404774</v>
      </c>
      <c r="H17" s="81">
        <f t="shared" ca="1" si="12"/>
        <v>371.40920932547914</v>
      </c>
      <c r="I17" s="81">
        <f t="shared" ca="1" si="12"/>
        <v>395.79211457733152</v>
      </c>
      <c r="J17" s="81">
        <f t="shared" ca="1" si="12"/>
        <v>402.37735242078179</v>
      </c>
      <c r="K17" s="81">
        <f t="shared" ca="1" si="12"/>
        <v>409.45846346033727</v>
      </c>
      <c r="L17" s="81">
        <f t="shared" ca="1" si="12"/>
        <v>424.33204340238257</v>
      </c>
      <c r="M17" s="81">
        <f t="shared" ca="1" si="12"/>
        <v>425.31910217610607</v>
      </c>
      <c r="N17" s="81">
        <f t="shared" ca="1" si="12"/>
        <v>428.58831841733399</v>
      </c>
      <c r="O17" s="81">
        <f t="shared" ca="1" si="12"/>
        <v>425.18300528696096</v>
      </c>
      <c r="P17" s="81">
        <f t="shared" ca="1" si="12"/>
        <v>436.18659161976234</v>
      </c>
      <c r="Q17" s="81">
        <f t="shared" ca="1" si="12"/>
        <v>406.38090715372908</v>
      </c>
      <c r="R17" s="81">
        <f t="shared" ca="1" si="12"/>
        <v>494.48238247375622</v>
      </c>
      <c r="S17" s="81">
        <f t="shared" ca="1" si="12"/>
        <v>516.53389578163774</v>
      </c>
      <c r="T17" s="81">
        <f t="shared" ca="1" si="12"/>
        <v>526.05556750941378</v>
      </c>
      <c r="U17" s="81">
        <f t="shared" ca="1" si="12"/>
        <v>483.22011098032618</v>
      </c>
      <c r="V17" s="81">
        <f t="shared" ca="1" si="12"/>
        <v>541.066526836614</v>
      </c>
      <c r="W17" s="81">
        <f t="shared" ca="1" si="12"/>
        <v>598.77329810382344</v>
      </c>
      <c r="X17" s="81">
        <f t="shared" ca="1" si="12"/>
        <v>473.79323897770087</v>
      </c>
      <c r="Y17" s="81">
        <f t="shared" ca="1" si="12"/>
        <v>538.68895754434925</v>
      </c>
      <c r="Z17" s="81">
        <f t="shared" ca="1" si="12"/>
        <v>543.54810457516328</v>
      </c>
      <c r="AA17" s="81">
        <f t="shared" ca="1" si="12"/>
        <v>576.53978773901747</v>
      </c>
      <c r="AB17" s="81">
        <f t="shared" ca="1" si="12"/>
        <v>556.84349249900424</v>
      </c>
      <c r="AC17" s="81">
        <f t="shared" ca="1" si="12"/>
        <v>525.20638424821004</v>
      </c>
      <c r="AD17" s="81">
        <f t="shared" ca="1" si="12"/>
        <v>558.5884874017662</v>
      </c>
      <c r="AE17" s="81">
        <f t="shared" ca="1" si="12"/>
        <v>635.67820224719105</v>
      </c>
      <c r="AF17" s="81">
        <f t="shared" ca="1" si="12"/>
        <v>583.06929264075779</v>
      </c>
      <c r="AG17" s="81">
        <f t="shared" ca="1" si="12"/>
        <v>540.06693033160934</v>
      </c>
      <c r="AH17" s="81">
        <f t="shared" ref="AH17:BH17" ca="1" si="13">IFERROR(AH16/AH14,0)</f>
        <v>594.71728029394114</v>
      </c>
      <c r="AI17" s="81">
        <f t="shared" ca="1" si="13"/>
        <v>677.57364831610778</v>
      </c>
      <c r="AJ17" s="81">
        <f t="shared" ca="1" si="13"/>
        <v>604.64639461033721</v>
      </c>
      <c r="AK17" s="82">
        <f t="shared" ca="1" si="13"/>
        <v>584.71157286951563</v>
      </c>
      <c r="AL17" s="82">
        <f t="shared" ca="1" si="13"/>
        <v>640.40946573349038</v>
      </c>
      <c r="AM17" s="82">
        <f t="shared" ca="1" si="13"/>
        <v>688.86998996319835</v>
      </c>
      <c r="AN17" s="82">
        <f t="shared" ca="1" si="13"/>
        <v>628.8340078026846</v>
      </c>
      <c r="AO17" s="82">
        <f t="shared" ca="1" si="13"/>
        <v>577.84819928168974</v>
      </c>
      <c r="AP17" s="82">
        <f t="shared" ca="1" si="13"/>
        <v>627.10750735708473</v>
      </c>
      <c r="AQ17" s="82">
        <f t="shared" ca="1" si="13"/>
        <v>696.51806802078409</v>
      </c>
      <c r="AR17" s="82">
        <f t="shared" ca="1" si="13"/>
        <v>595.08384096995371</v>
      </c>
      <c r="AS17" s="82">
        <f t="shared" ca="1" si="13"/>
        <v>611.4824026143034</v>
      </c>
      <c r="AT17" s="83">
        <f t="shared" ca="1" si="13"/>
        <v>621.36982529966667</v>
      </c>
      <c r="AU17" s="83">
        <f t="shared" ca="1" si="13"/>
        <v>621.36982529966667</v>
      </c>
      <c r="AV17" s="83">
        <f t="shared" ca="1" si="13"/>
        <v>621.36982529966667</v>
      </c>
      <c r="AW17" s="83">
        <f t="shared" ca="1" si="13"/>
        <v>638.25487655878817</v>
      </c>
      <c r="AX17" s="83">
        <f t="shared" ca="1" si="13"/>
        <v>638.25487655878817</v>
      </c>
      <c r="AY17" s="83">
        <f t="shared" ca="1" si="13"/>
        <v>638.25487655878817</v>
      </c>
      <c r="AZ17" s="83">
        <f t="shared" ca="1" si="13"/>
        <v>638.25487655878817</v>
      </c>
      <c r="BA17" s="83">
        <f t="shared" ca="1" si="13"/>
        <v>669.79658361150746</v>
      </c>
      <c r="BB17" s="83">
        <f t="shared" ca="1" si="13"/>
        <v>669.79658361150746</v>
      </c>
      <c r="BC17" s="83">
        <f t="shared" ca="1" si="13"/>
        <v>669.79658361150746</v>
      </c>
      <c r="BD17" s="83">
        <f t="shared" ca="1" si="13"/>
        <v>669.79658361150746</v>
      </c>
      <c r="BE17" s="83">
        <f t="shared" ca="1" si="13"/>
        <v>705.28461532977406</v>
      </c>
      <c r="BF17" s="83">
        <f t="shared" ca="1" si="13"/>
        <v>705.28461532977406</v>
      </c>
      <c r="BG17" s="83">
        <f t="shared" ca="1" si="13"/>
        <v>705.28461532977406</v>
      </c>
      <c r="BH17" s="83">
        <f t="shared" ca="1" si="13"/>
        <v>705.28461532977406</v>
      </c>
      <c r="BI17" s="82"/>
    </row>
    <row r="18" spans="1:61">
      <c r="A18" s="2" t="s">
        <v>108</v>
      </c>
      <c r="B18" s="8">
        <f>IFERROR(B11/B5,0)</f>
        <v>0.13826406160070107</v>
      </c>
      <c r="C18" s="8">
        <v>0.20143119620926411</v>
      </c>
      <c r="D18" s="8">
        <v>0.20798280052346232</v>
      </c>
      <c r="E18" s="8">
        <v>0.21162667607621735</v>
      </c>
      <c r="F18" s="8">
        <v>0.20392395173192118</v>
      </c>
      <c r="G18" s="8">
        <v>0.20746571863890301</v>
      </c>
      <c r="H18" s="8">
        <v>0.20443043225752924</v>
      </c>
      <c r="I18" s="8">
        <v>0.2100584410239526</v>
      </c>
      <c r="J18" s="8">
        <v>0.20870194627633909</v>
      </c>
      <c r="K18" s="8">
        <v>0.20596502186133667</v>
      </c>
      <c r="L18" s="8">
        <v>0.20821003111009939</v>
      </c>
      <c r="M18" s="8">
        <v>0.20701830234904164</v>
      </c>
      <c r="N18" s="8">
        <v>0.20422582598748404</v>
      </c>
      <c r="O18" s="8">
        <v>0.19313332059366839</v>
      </c>
      <c r="P18" s="8">
        <v>0.19149468417761098</v>
      </c>
      <c r="Q18" s="8">
        <v>0.17193302891933029</v>
      </c>
      <c r="R18" s="8">
        <v>0.19893884071200363</v>
      </c>
      <c r="S18" s="8">
        <v>0.20308795147504824</v>
      </c>
      <c r="T18" s="8">
        <v>0.20683162990855303</v>
      </c>
      <c r="U18" s="8">
        <v>0.20514545148814528</v>
      </c>
      <c r="V18" s="8">
        <v>0.21582230827148544</v>
      </c>
      <c r="W18" s="8">
        <v>0.2288363900113978</v>
      </c>
      <c r="X18" s="8">
        <v>0.17574585072803178</v>
      </c>
      <c r="Y18" s="8">
        <v>0.19807653976479969</v>
      </c>
      <c r="Z18" s="8">
        <v>0.19477124183006533</v>
      </c>
      <c r="AA18" s="8">
        <v>0.19363217052527876</v>
      </c>
      <c r="AB18" s="8">
        <v>0.18604239500818692</v>
      </c>
      <c r="AC18" s="8">
        <v>0.17362768496420047</v>
      </c>
      <c r="AD18" s="8">
        <v>0.18123632828323746</v>
      </c>
      <c r="AE18" s="8">
        <v>0.19595505617977529</v>
      </c>
      <c r="AF18" s="8">
        <v>0.18026009170863719</v>
      </c>
      <c r="AG18" s="8">
        <v>0.16877091572862793</v>
      </c>
      <c r="AH18" s="8">
        <f>IFERROR(AH11/AH5,0)</f>
        <v>0.16256748650269945</v>
      </c>
      <c r="AI18" s="8">
        <v>0.19841102439710331</v>
      </c>
      <c r="AJ18" s="8">
        <v>0.17628688725920208</v>
      </c>
      <c r="AK18" s="5">
        <v>0.17382471397512206</v>
      </c>
      <c r="AL18" s="5">
        <v>0.18588455408495599</v>
      </c>
      <c r="AM18" s="5">
        <v>0.19498159919705585</v>
      </c>
      <c r="AN18" s="5">
        <v>0.17975930701580373</v>
      </c>
      <c r="AO18" s="5">
        <v>0.16300372335167554</v>
      </c>
      <c r="AP18" s="5">
        <v>0.17209316886857429</v>
      </c>
      <c r="AQ18" s="5">
        <v>0.18363249881908358</v>
      </c>
      <c r="AR18" s="5">
        <v>0.16161972867190486</v>
      </c>
      <c r="AS18" s="5">
        <v>0.16752942537378177</v>
      </c>
      <c r="AT18" s="79">
        <f t="shared" ref="AT18:BH18" ca="1" si="14">AT14-AT16</f>
        <v>0.16000000000000003</v>
      </c>
      <c r="AU18" s="79">
        <f t="shared" ca="1" si="14"/>
        <v>0.16000000000000003</v>
      </c>
      <c r="AV18" s="79">
        <f t="shared" ca="1" si="14"/>
        <v>0.16000000000000003</v>
      </c>
      <c r="AW18" s="79">
        <f t="shared" ca="1" si="14"/>
        <v>0.16</v>
      </c>
      <c r="AX18" s="79">
        <f t="shared" ca="1" si="14"/>
        <v>0.16</v>
      </c>
      <c r="AY18" s="79">
        <f t="shared" ca="1" si="14"/>
        <v>0.16</v>
      </c>
      <c r="AZ18" s="79">
        <f t="shared" ca="1" si="14"/>
        <v>0.16</v>
      </c>
      <c r="BA18" s="79">
        <f t="shared" ca="1" si="14"/>
        <v>0.16</v>
      </c>
      <c r="BB18" s="79">
        <f t="shared" ca="1" si="14"/>
        <v>0.16</v>
      </c>
      <c r="BC18" s="79">
        <f t="shared" ca="1" si="14"/>
        <v>0.16</v>
      </c>
      <c r="BD18" s="79">
        <f t="shared" ca="1" si="14"/>
        <v>0.16</v>
      </c>
      <c r="BE18" s="79">
        <f t="shared" ca="1" si="14"/>
        <v>0.16000000000000006</v>
      </c>
      <c r="BF18" s="79">
        <f t="shared" ca="1" si="14"/>
        <v>0.16000000000000006</v>
      </c>
      <c r="BG18" s="79">
        <f t="shared" ca="1" si="14"/>
        <v>0.16000000000000006</v>
      </c>
      <c r="BH18" s="79">
        <f t="shared" ca="1" si="14"/>
        <v>0.16000000000000006</v>
      </c>
      <c r="BI18" s="5"/>
    </row>
    <row r="19" spans="1:61">
      <c r="A19" s="2" t="s">
        <v>455</v>
      </c>
      <c r="B19" s="28">
        <f t="shared" ref="B19:AG19" si="15">0</f>
        <v>0</v>
      </c>
      <c r="C19" s="28">
        <f t="shared" si="15"/>
        <v>0</v>
      </c>
      <c r="D19" s="28">
        <f t="shared" si="15"/>
        <v>0</v>
      </c>
      <c r="E19" s="28">
        <f t="shared" si="15"/>
        <v>0</v>
      </c>
      <c r="F19" s="28">
        <f t="shared" si="15"/>
        <v>0</v>
      </c>
      <c r="G19" s="28">
        <f t="shared" si="15"/>
        <v>0</v>
      </c>
      <c r="H19" s="28">
        <f t="shared" si="15"/>
        <v>0</v>
      </c>
      <c r="I19" s="28">
        <f t="shared" si="15"/>
        <v>0</v>
      </c>
      <c r="J19" s="28">
        <f t="shared" si="15"/>
        <v>0</v>
      </c>
      <c r="K19" s="28">
        <f t="shared" si="15"/>
        <v>0</v>
      </c>
      <c r="L19" s="28">
        <f t="shared" si="15"/>
        <v>0</v>
      </c>
      <c r="M19" s="28">
        <f t="shared" si="15"/>
        <v>0</v>
      </c>
      <c r="N19" s="28">
        <f t="shared" si="15"/>
        <v>0</v>
      </c>
      <c r="O19" s="28">
        <f t="shared" si="15"/>
        <v>0</v>
      </c>
      <c r="P19" s="28">
        <f t="shared" si="15"/>
        <v>0</v>
      </c>
      <c r="Q19" s="28">
        <f t="shared" si="15"/>
        <v>0</v>
      </c>
      <c r="R19" s="28">
        <f t="shared" si="15"/>
        <v>0</v>
      </c>
      <c r="S19" s="28">
        <f t="shared" si="15"/>
        <v>0</v>
      </c>
      <c r="T19" s="28">
        <f t="shared" si="15"/>
        <v>0</v>
      </c>
      <c r="U19" s="28">
        <f t="shared" si="15"/>
        <v>0</v>
      </c>
      <c r="V19" s="28">
        <f t="shared" si="15"/>
        <v>0</v>
      </c>
      <c r="W19" s="28">
        <f t="shared" si="15"/>
        <v>0</v>
      </c>
      <c r="X19" s="28">
        <f t="shared" si="15"/>
        <v>0</v>
      </c>
      <c r="Y19" s="28">
        <f t="shared" si="15"/>
        <v>0</v>
      </c>
      <c r="Z19" s="28">
        <f t="shared" si="15"/>
        <v>0</v>
      </c>
      <c r="AA19" s="28">
        <f t="shared" si="15"/>
        <v>0</v>
      </c>
      <c r="AB19" s="28">
        <f t="shared" si="15"/>
        <v>0</v>
      </c>
      <c r="AC19" s="28">
        <f t="shared" si="15"/>
        <v>0</v>
      </c>
      <c r="AD19" s="28">
        <f t="shared" si="15"/>
        <v>0</v>
      </c>
      <c r="AE19" s="28">
        <f t="shared" si="15"/>
        <v>0</v>
      </c>
      <c r="AF19" s="28">
        <f t="shared" si="15"/>
        <v>0</v>
      </c>
      <c r="AG19" s="28">
        <f t="shared" si="15"/>
        <v>0</v>
      </c>
      <c r="AH19" s="28">
        <f t="shared" ref="AH19:BH19" si="16">0</f>
        <v>0</v>
      </c>
      <c r="AI19" s="28">
        <f t="shared" si="16"/>
        <v>0</v>
      </c>
      <c r="AJ19" s="28">
        <f t="shared" si="16"/>
        <v>0</v>
      </c>
      <c r="AK19" s="22">
        <f t="shared" si="16"/>
        <v>0</v>
      </c>
      <c r="AL19" s="22">
        <f t="shared" si="16"/>
        <v>0</v>
      </c>
      <c r="AM19" s="22">
        <f t="shared" si="16"/>
        <v>0</v>
      </c>
      <c r="AN19" s="22">
        <f t="shared" si="16"/>
        <v>0</v>
      </c>
      <c r="AO19" s="22">
        <f t="shared" si="16"/>
        <v>0</v>
      </c>
      <c r="AP19" s="22">
        <f t="shared" si="16"/>
        <v>0</v>
      </c>
      <c r="AQ19" s="22">
        <f t="shared" si="16"/>
        <v>0</v>
      </c>
      <c r="AR19" s="22">
        <f t="shared" si="16"/>
        <v>0</v>
      </c>
      <c r="AS19" s="22">
        <f t="shared" si="16"/>
        <v>0</v>
      </c>
      <c r="AT19" s="77">
        <f t="shared" si="16"/>
        <v>0</v>
      </c>
      <c r="AU19" s="77">
        <f t="shared" si="16"/>
        <v>0</v>
      </c>
      <c r="AV19" s="77">
        <f t="shared" si="16"/>
        <v>0</v>
      </c>
      <c r="AW19" s="77">
        <f t="shared" si="16"/>
        <v>0</v>
      </c>
      <c r="AX19" s="77">
        <f t="shared" si="16"/>
        <v>0</v>
      </c>
      <c r="AY19" s="77">
        <f t="shared" si="16"/>
        <v>0</v>
      </c>
      <c r="AZ19" s="77">
        <f t="shared" si="16"/>
        <v>0</v>
      </c>
      <c r="BA19" s="77">
        <f t="shared" si="16"/>
        <v>0</v>
      </c>
      <c r="BB19" s="77">
        <f t="shared" si="16"/>
        <v>0</v>
      </c>
      <c r="BC19" s="77">
        <f t="shared" si="16"/>
        <v>0</v>
      </c>
      <c r="BD19" s="77">
        <f t="shared" si="16"/>
        <v>0</v>
      </c>
      <c r="BE19" s="77">
        <f t="shared" si="16"/>
        <v>0</v>
      </c>
      <c r="BF19" s="77">
        <f t="shared" si="16"/>
        <v>0</v>
      </c>
      <c r="BG19" s="77">
        <f t="shared" si="16"/>
        <v>0</v>
      </c>
      <c r="BH19" s="77">
        <f t="shared" si="16"/>
        <v>0</v>
      </c>
      <c r="BI19" s="22"/>
    </row>
    <row r="20" spans="1:61">
      <c r="A20" s="2" t="s">
        <v>456</v>
      </c>
      <c r="B20" s="28">
        <f>44.5394701594533+B21</f>
        <v>44.539470159453302</v>
      </c>
      <c r="C20" s="28">
        <f>52.0973213422299+C21</f>
        <v>52.097321342229897</v>
      </c>
      <c r="D20" s="28">
        <f>29.3761076836791+D21</f>
        <v>29.376107683679098</v>
      </c>
      <c r="E20" s="28">
        <f>27.8899876499647+E21</f>
        <v>27.889987649964699</v>
      </c>
      <c r="F20" s="28">
        <f>30.5034812049657+F21</f>
        <v>30.503481204965698</v>
      </c>
      <c r="G20" s="28">
        <f>27.773522938886+G21</f>
        <v>27.773522938886</v>
      </c>
      <c r="H20" s="28">
        <f>25.1726209242512+H21</f>
        <v>25.172620924251198</v>
      </c>
      <c r="I20" s="28">
        <f>25.1247345460531+I21</f>
        <v>25.124734546053102</v>
      </c>
      <c r="J20" s="28">
        <f>23.879041338266+J21</f>
        <v>23.879041338265999</v>
      </c>
      <c r="K20" s="28">
        <f>20.9540911930043+K21</f>
        <v>20.954091193004299</v>
      </c>
      <c r="L20" s="28">
        <f>18.4021549434706+L21</f>
        <v>18.402154943470599</v>
      </c>
      <c r="M20" s="28">
        <f>22.6501297016861+M21</f>
        <v>22.650129701686101</v>
      </c>
      <c r="N20" s="28">
        <f>25.8423928403203+N21</f>
        <v>25.842392840320301</v>
      </c>
      <c r="O20" s="28">
        <f>22.296866042423+O21</f>
        <v>22.296866042423002</v>
      </c>
      <c r="P20" s="28">
        <f>18.3762476547842+P21</f>
        <v>18.376247654784201</v>
      </c>
      <c r="Q20" s="28">
        <f>15.6853820395738+Q21</f>
        <v>15.685382039573801</v>
      </c>
      <c r="R20" s="28">
        <f>0.992651757188498+R21</f>
        <v>0.99265175718849796</v>
      </c>
      <c r="S20" s="28">
        <f>7.57339950372208+S21</f>
        <v>7.5733995037220803</v>
      </c>
      <c r="T20" s="28">
        <f>3.14675632060247+T21</f>
        <v>3.1467563206024698</v>
      </c>
      <c r="U20" s="28">
        <f>27.0656073090073+U21</f>
        <v>27.065607309007301</v>
      </c>
      <c r="V20" s="28">
        <f>18.7411530601269+V21</f>
        <v>18.741153060126901</v>
      </c>
      <c r="W20" s="28">
        <f>16.809574137395+W21</f>
        <v>16.809574137395</v>
      </c>
      <c r="X20" s="28">
        <f>19.6270084512778+X21</f>
        <v>19.627008451277799</v>
      </c>
      <c r="Y20" s="28">
        <f>16.939904325294+Y21</f>
        <v>16.939904325293998</v>
      </c>
      <c r="Z20" s="28">
        <f>10.4034809973372+Z21</f>
        <v>10.4034809973372</v>
      </c>
      <c r="AA20" s="28">
        <f>17.3335273834579+AA21</f>
        <v>17.333527383457898</v>
      </c>
      <c r="AB20" s="28">
        <f>15.4973093773509+AB21</f>
        <v>15.4973093773509</v>
      </c>
      <c r="AC20" s="28">
        <f>33.9050758608932+AC21</f>
        <v>33.905075860893199</v>
      </c>
      <c r="AD20" s="28">
        <f>13.8585878635663+AD21</f>
        <v>13.858587863566299</v>
      </c>
      <c r="AE20" s="28">
        <f>17.1312359550561+AE21</f>
        <v>17.131235955056098</v>
      </c>
      <c r="AF20" s="28">
        <f>48.2649101706382+AF21</f>
        <v>48.264910170638203</v>
      </c>
      <c r="AG20" s="28">
        <f>31.3964101003955+AG21</f>
        <v>31.396410100395499</v>
      </c>
      <c r="AH20" s="28">
        <f>25.2685325434912+AH21</f>
        <v>25.268532543491201</v>
      </c>
      <c r="AI20" s="28">
        <f>27.6119665330802+AI21</f>
        <v>27.611966533080199</v>
      </c>
      <c r="AJ20" s="28">
        <f>29.4861398645566+AJ21</f>
        <v>29.486139864556598</v>
      </c>
      <c r="AK20" s="22">
        <f>99.6299604376804+AK21</f>
        <v>99.629960437680396</v>
      </c>
      <c r="AL20" s="22">
        <f>38.4365047467257+AL21</f>
        <v>38.436504746725703</v>
      </c>
      <c r="AM20" s="22">
        <f>35.9328203412512+AM21</f>
        <v>35.932820341251201</v>
      </c>
      <c r="AN20" s="22">
        <f>34.4661641208754+AN21</f>
        <v>34.466164120875398</v>
      </c>
      <c r="AO20" s="22">
        <f>28.2674882203697+AO21</f>
        <v>28.2674882203697</v>
      </c>
      <c r="AP20" s="22">
        <f>23.3867635088598+AP21</f>
        <v>23.386763508859801</v>
      </c>
      <c r="AQ20" s="22">
        <f>27.4351972130373+AQ21</f>
        <v>27.435197213037299</v>
      </c>
      <c r="AR20" s="22">
        <f>22.7544804449545+AR21</f>
        <v>22.754480444954499</v>
      </c>
      <c r="AS20" s="22">
        <f>33.249949391249+AS21</f>
        <v>33.249949391248997</v>
      </c>
      <c r="AT20" s="77">
        <f ca="1">AT14-AT11+AT21</f>
        <v>-2407.1003525158671</v>
      </c>
      <c r="AU20" s="77">
        <f>47.9180093415809+AU21</f>
        <v>47.918009341580898</v>
      </c>
      <c r="AV20" s="77">
        <f>47.9180093415809+AV21</f>
        <v>47.918009341580898</v>
      </c>
      <c r="AW20" s="77">
        <f>49.4109539000793+AW21</f>
        <v>49.410953900079299</v>
      </c>
      <c r="AX20" s="77">
        <f>49.4109539000793+AX21</f>
        <v>49.410953900079299</v>
      </c>
      <c r="AY20" s="77">
        <f>49.4109539000793+AY21</f>
        <v>49.410953900079299</v>
      </c>
      <c r="AZ20" s="77">
        <f>49.4109539000793+AZ21</f>
        <v>49.410953900079299</v>
      </c>
      <c r="BA20" s="77">
        <f>52.386594622914+BA21</f>
        <v>52.386594622913996</v>
      </c>
      <c r="BB20" s="77">
        <f>52.386594622914+BB21</f>
        <v>52.386594622913996</v>
      </c>
      <c r="BC20" s="77">
        <f>52.386594622914+BC21</f>
        <v>52.386594622913996</v>
      </c>
      <c r="BD20" s="77">
        <f>52.386594622914+BD21</f>
        <v>52.386594622913996</v>
      </c>
      <c r="BE20" s="77">
        <f>55.5414352399521+BE21</f>
        <v>55.541435239952101</v>
      </c>
      <c r="BF20" s="77">
        <f>55.5414352399521+BF21</f>
        <v>55.541435239952101</v>
      </c>
      <c r="BG20" s="77">
        <f>55.5414352399521+BG21</f>
        <v>55.541435239952101</v>
      </c>
      <c r="BH20" s="77">
        <f>55.5414352399521+BH21</f>
        <v>55.541435239952101</v>
      </c>
      <c r="BI20" s="22"/>
    </row>
    <row r="21" spans="1:61">
      <c r="A21" t="s">
        <v>157</v>
      </c>
      <c r="B21" s="22">
        <f>IFERROR('Annual P&amp;L'!F20*B5/'Annual P&amp;L'!F5,0)</f>
        <v>0</v>
      </c>
      <c r="C21" s="22">
        <f>IFERROR('Annual P&amp;L'!F20*C5/'Annual P&amp;L'!F5,0)</f>
        <v>0</v>
      </c>
      <c r="D21" s="22">
        <f>IFERROR('Annual P&amp;L'!F20*D5/'Annual P&amp;L'!F5,0)</f>
        <v>0</v>
      </c>
      <c r="E21" s="22">
        <f>IFERROR('Annual P&amp;L'!F20*E5/'Annual P&amp;L'!F5,0)</f>
        <v>0</v>
      </c>
      <c r="F21" s="22">
        <f>IFERROR('Annual P&amp;L'!F20*F5/'Annual P&amp;L'!F5,0)</f>
        <v>0</v>
      </c>
      <c r="G21" s="22">
        <f>IFERROR('Annual P&amp;L'!F20*G5/'Annual P&amp;L'!F5,0)</f>
        <v>0</v>
      </c>
      <c r="H21" s="22">
        <f>IFERROR('Annual P&amp;L'!F20*H5/'Annual P&amp;L'!F5,0)</f>
        <v>0</v>
      </c>
      <c r="I21" s="22">
        <f>IFERROR('Annual P&amp;L'!F20*I5/'Annual P&amp;L'!F5,0)</f>
        <v>0</v>
      </c>
      <c r="J21" s="22">
        <f>IFERROR('Annual P&amp;L'!F20*J5/'Annual P&amp;L'!F5,0)</f>
        <v>0</v>
      </c>
      <c r="K21" s="22">
        <f>IFERROR('Annual P&amp;L'!F20*K5/'Annual P&amp;L'!F5,0)</f>
        <v>0</v>
      </c>
      <c r="L21" s="22">
        <f>IFERROR('Annual P&amp;L'!F20*L5/'Annual P&amp;L'!F5,0)</f>
        <v>0</v>
      </c>
      <c r="M21" s="22">
        <f>IFERROR('Annual P&amp;L'!F20*M5/'Annual P&amp;L'!F5,0)</f>
        <v>0</v>
      </c>
      <c r="N21" s="22">
        <f>IFERROR('Annual P&amp;L'!F20*N5/'Annual P&amp;L'!F5,0)</f>
        <v>0</v>
      </c>
      <c r="O21" s="22">
        <f>IFERROR('Annual P&amp;L'!F20*O5/'Annual P&amp;L'!F5,0)</f>
        <v>0</v>
      </c>
      <c r="P21" s="22">
        <f>IFERROR('Annual P&amp;L'!F20*P5/'Annual P&amp;L'!F5,0)</f>
        <v>0</v>
      </c>
      <c r="Q21" s="22">
        <f>IFERROR('Annual P&amp;L'!F20*Q5/'Annual P&amp;L'!F5,0)</f>
        <v>0</v>
      </c>
      <c r="R21" s="22">
        <f>IFERROR('Annual P&amp;L'!F20*R5/'Annual P&amp;L'!F5,0)</f>
        <v>0</v>
      </c>
      <c r="S21" s="22">
        <f>IFERROR('Annual P&amp;L'!F20*S5/'Annual P&amp;L'!F5,0)</f>
        <v>0</v>
      </c>
      <c r="T21" s="22">
        <f>IFERROR('Annual P&amp;L'!F20*T5/'Annual P&amp;L'!F5,0)</f>
        <v>0</v>
      </c>
      <c r="U21" s="22">
        <f>IFERROR('Annual P&amp;L'!F20*U5/'Annual P&amp;L'!F5,0)</f>
        <v>0</v>
      </c>
      <c r="V21" s="22">
        <f>IFERROR('Annual P&amp;L'!F20*V5/'Annual P&amp;L'!F5,0)</f>
        <v>0</v>
      </c>
      <c r="W21" s="22">
        <f>IFERROR('Annual P&amp;L'!F20*W5/'Annual P&amp;L'!F5,0)</f>
        <v>0</v>
      </c>
      <c r="X21" s="22">
        <f>IFERROR('Annual P&amp;L'!F20*X5/'Annual P&amp;L'!F5,0)</f>
        <v>0</v>
      </c>
      <c r="Y21" s="22">
        <f>IFERROR('Annual P&amp;L'!F20*Y5/'Annual P&amp;L'!F5,0)</f>
        <v>0</v>
      </c>
      <c r="Z21" s="22">
        <f>IFERROR('Annual P&amp;L'!F20*Z5/'Annual P&amp;L'!F5,0)</f>
        <v>0</v>
      </c>
      <c r="AA21" s="22">
        <f>IFERROR('Annual P&amp;L'!F20*AA5/'Annual P&amp;L'!F5,0)</f>
        <v>0</v>
      </c>
      <c r="AB21" s="22">
        <f>IFERROR('Annual P&amp;L'!F20*AB5/'Annual P&amp;L'!F5,0)</f>
        <v>0</v>
      </c>
      <c r="AC21" s="22">
        <f>IFERROR('Annual P&amp;L'!F20*AC5/'Annual P&amp;L'!F5,0)</f>
        <v>0</v>
      </c>
      <c r="AD21" s="22">
        <f>IFERROR('Annual P&amp;L'!F20*AD5/'Annual P&amp;L'!F5,0)</f>
        <v>0</v>
      </c>
      <c r="AE21" s="22">
        <f>IFERROR('Annual P&amp;L'!F20*AE5/'Annual P&amp;L'!F5,0)</f>
        <v>0</v>
      </c>
      <c r="AF21" s="22">
        <f>IFERROR('Annual P&amp;L'!F20*AF5/'Annual P&amp;L'!F5,0)</f>
        <v>0</v>
      </c>
      <c r="AG21" s="22">
        <f>IFERROR('Annual P&amp;L'!F20*AG5/'Annual P&amp;L'!F5,0)</f>
        <v>0</v>
      </c>
      <c r="AH21" s="22">
        <f>IFERROR('Annual P&amp;L'!F20*AH5/'Annual P&amp;L'!F5,0)</f>
        <v>0</v>
      </c>
      <c r="AI21" s="22">
        <f>IFERROR('Annual P&amp;L'!F20*AI5/'Annual P&amp;L'!F5,0)</f>
        <v>0</v>
      </c>
      <c r="AJ21" s="22">
        <f>IFERROR('Annual P&amp;L'!F20*AJ5/'Annual P&amp;L'!F5,0)</f>
        <v>0</v>
      </c>
      <c r="AK21" s="22">
        <f>IFERROR('Annual P&amp;L'!F20*AK5/'Annual P&amp;L'!F5,0)</f>
        <v>0</v>
      </c>
      <c r="AL21" s="22">
        <f>IFERROR('Annual P&amp;L'!F20*AL5/'Annual P&amp;L'!F5,0)</f>
        <v>0</v>
      </c>
      <c r="AM21" s="22">
        <f>IFERROR('Annual P&amp;L'!F20*AM5/'Annual P&amp;L'!F5,0)</f>
        <v>0</v>
      </c>
      <c r="AN21" s="22">
        <f>IFERROR('Annual P&amp;L'!F20*AN5/'Annual P&amp;L'!F5,0)</f>
        <v>0</v>
      </c>
      <c r="AO21" s="22">
        <f>IFERROR('Annual P&amp;L'!F20*AO5/'Annual P&amp;L'!F5,0)</f>
        <v>0</v>
      </c>
      <c r="AP21" s="22">
        <f>IFERROR('Annual P&amp;L'!F20*AP5/'Annual P&amp;L'!F5,0)</f>
        <v>0</v>
      </c>
      <c r="AQ21" s="22">
        <f>IFERROR('Annual P&amp;L'!F20*AQ5/'Annual P&amp;L'!F5,0)</f>
        <v>0</v>
      </c>
      <c r="AR21" s="22">
        <f>IFERROR('Annual P&amp;L'!F20*AR5/'Annual P&amp;L'!F5,0)</f>
        <v>0</v>
      </c>
      <c r="AS21" s="22">
        <f>IFERROR('Annual P&amp;L'!F20*AS5/'Annual P&amp;L'!F5,0)</f>
        <v>0</v>
      </c>
      <c r="AT21" s="77">
        <f>IFERROR('Annual P&amp;L'!F20*AT5/'Annual P&amp;L'!F5,0)</f>
        <v>0</v>
      </c>
      <c r="AU21" s="77">
        <f>IFERROR('Annual P&amp;L'!F20*AU5/'Annual P&amp;L'!F5,0)</f>
        <v>0</v>
      </c>
      <c r="AV21" s="77">
        <f>IFERROR('Annual P&amp;L'!F20*AV5/'Annual P&amp;L'!F5,0)</f>
        <v>0</v>
      </c>
      <c r="AW21" s="77">
        <f>IFERROR('Annual P&amp;L'!F20*AW5/'Annual P&amp;L'!F5,0)</f>
        <v>0</v>
      </c>
      <c r="AX21" s="77">
        <f>IFERROR('Annual P&amp;L'!F20*AX5/'Annual P&amp;L'!F5,0)</f>
        <v>0</v>
      </c>
      <c r="AY21" s="77">
        <f>IFERROR('Annual P&amp;L'!F20*AY5/'Annual P&amp;L'!F5,0)</f>
        <v>0</v>
      </c>
      <c r="AZ21" s="77">
        <f>IFERROR('Annual P&amp;L'!F20*AZ5/'Annual P&amp;L'!F5,0)</f>
        <v>0</v>
      </c>
      <c r="BA21" s="77">
        <f>IFERROR('Annual P&amp;L'!F20*BA5/'Annual P&amp;L'!F5,0)</f>
        <v>0</v>
      </c>
      <c r="BB21" s="77">
        <f>IFERROR('Annual P&amp;L'!F20*BB5/'Annual P&amp;L'!F5,0)</f>
        <v>0</v>
      </c>
      <c r="BC21" s="77">
        <f>IFERROR('Annual P&amp;L'!F20*BC5/'Annual P&amp;L'!F5,0)</f>
        <v>0</v>
      </c>
      <c r="BD21" s="77">
        <f>IFERROR('Annual P&amp;L'!F20*BD5/'Annual P&amp;L'!F5,0)</f>
        <v>0</v>
      </c>
      <c r="BE21" s="77">
        <f>IFERROR('Annual P&amp;L'!F20*BE5/'Annual P&amp;L'!F5,0)</f>
        <v>0</v>
      </c>
      <c r="BF21" s="77">
        <f>IFERROR('Annual P&amp;L'!F20*BF5/'Annual P&amp;L'!F5,0)</f>
        <v>0</v>
      </c>
      <c r="BG21" s="77">
        <f>IFERROR('Annual P&amp;L'!F20*BG5/'Annual P&amp;L'!F5,0)</f>
        <v>0</v>
      </c>
      <c r="BH21" s="77">
        <f>IFERROR('Annual P&amp;L'!F20*BH5/'Annual P&amp;L'!F5,0)</f>
        <v>0</v>
      </c>
      <c r="BI21" s="22"/>
    </row>
    <row r="22" spans="1:61">
      <c r="A22" s="84" t="s">
        <v>110</v>
      </c>
      <c r="B22" s="82">
        <f t="shared" ref="B22:AS22" ca="1" si="17">B17+B19+B20-B21</f>
        <v>343.93300000000011</v>
      </c>
      <c r="C22" s="82">
        <f t="shared" ca="1" si="17"/>
        <v>367.55871772555849</v>
      </c>
      <c r="D22" s="82">
        <f t="shared" ca="1" si="17"/>
        <v>359.4864086745186</v>
      </c>
      <c r="E22" s="82">
        <f t="shared" ca="1" si="17"/>
        <v>385.68720889202541</v>
      </c>
      <c r="F22" s="82">
        <f t="shared" ca="1" si="17"/>
        <v>381.74209566802682</v>
      </c>
      <c r="G22" s="82">
        <f t="shared" ca="1" si="17"/>
        <v>389.86344167936346</v>
      </c>
      <c r="H22" s="82">
        <f t="shared" ca="1" si="17"/>
        <v>396.58183024973039</v>
      </c>
      <c r="I22" s="82">
        <f t="shared" ca="1" si="17"/>
        <v>420.91684912338468</v>
      </c>
      <c r="J22" s="82">
        <f t="shared" ca="1" si="17"/>
        <v>426.25639375904785</v>
      </c>
      <c r="K22" s="82">
        <f t="shared" ca="1" si="17"/>
        <v>430.41255465334166</v>
      </c>
      <c r="L22" s="82">
        <f t="shared" ca="1" si="17"/>
        <v>442.73419834585326</v>
      </c>
      <c r="M22" s="82">
        <f t="shared" ca="1" si="17"/>
        <v>447.9692318777922</v>
      </c>
      <c r="N22" s="82">
        <f t="shared" ca="1" si="17"/>
        <v>454.43071125765431</v>
      </c>
      <c r="O22" s="82">
        <f t="shared" ca="1" si="17"/>
        <v>447.47987132938403</v>
      </c>
      <c r="P22" s="82">
        <f t="shared" ca="1" si="17"/>
        <v>454.5628392745466</v>
      </c>
      <c r="Q22" s="82">
        <f t="shared" ca="1" si="17"/>
        <v>422.06628919330291</v>
      </c>
      <c r="R22" s="82">
        <f t="shared" ca="1" si="17"/>
        <v>495.47503423094474</v>
      </c>
      <c r="S22" s="82">
        <f t="shared" ca="1" si="17"/>
        <v>524.10729528535978</v>
      </c>
      <c r="T22" s="82">
        <f t="shared" ca="1" si="17"/>
        <v>529.20232383001621</v>
      </c>
      <c r="U22" s="82">
        <f t="shared" ca="1" si="17"/>
        <v>510.28571828933354</v>
      </c>
      <c r="V22" s="82">
        <f t="shared" ca="1" si="17"/>
        <v>559.80767989674098</v>
      </c>
      <c r="W22" s="82">
        <f t="shared" ca="1" si="17"/>
        <v>615.58287224121852</v>
      </c>
      <c r="X22" s="82">
        <f t="shared" ca="1" si="17"/>
        <v>493.42024742897877</v>
      </c>
      <c r="Y22" s="82">
        <f t="shared" ca="1" si="17"/>
        <v>555.62886186964329</v>
      </c>
      <c r="Z22" s="82">
        <f t="shared" ca="1" si="17"/>
        <v>553.95158557250045</v>
      </c>
      <c r="AA22" s="82">
        <f t="shared" ca="1" si="17"/>
        <v>593.87331512247545</v>
      </c>
      <c r="AB22" s="82">
        <f t="shared" ca="1" si="17"/>
        <v>572.34080187635527</v>
      </c>
      <c r="AC22" s="82">
        <f t="shared" ca="1" si="17"/>
        <v>559.11146010910329</v>
      </c>
      <c r="AD22" s="82">
        <f t="shared" ca="1" si="17"/>
        <v>572.44707526533261</v>
      </c>
      <c r="AE22" s="82">
        <f t="shared" ca="1" si="17"/>
        <v>652.80943820224718</v>
      </c>
      <c r="AF22" s="82">
        <f t="shared" ca="1" si="17"/>
        <v>631.33420281139604</v>
      </c>
      <c r="AG22" s="82">
        <f t="shared" ca="1" si="17"/>
        <v>571.46334043200488</v>
      </c>
      <c r="AH22" s="82">
        <f t="shared" ca="1" si="17"/>
        <v>619.98581283743249</v>
      </c>
      <c r="AI22" s="82">
        <f t="shared" ca="1" si="17"/>
        <v>705.18561484918803</v>
      </c>
      <c r="AJ22" s="82">
        <f t="shared" ca="1" si="17"/>
        <v>634.13253447489387</v>
      </c>
      <c r="AK22" s="82">
        <f t="shared" ca="1" si="17"/>
        <v>684.34153330719607</v>
      </c>
      <c r="AL22" s="82">
        <f t="shared" ca="1" si="17"/>
        <v>678.84597048021612</v>
      </c>
      <c r="AM22" s="82">
        <f t="shared" ca="1" si="17"/>
        <v>724.80281030444962</v>
      </c>
      <c r="AN22" s="82">
        <f t="shared" ca="1" si="17"/>
        <v>663.30017192356013</v>
      </c>
      <c r="AO22" s="82">
        <f t="shared" ca="1" si="17"/>
        <v>606.11568750205947</v>
      </c>
      <c r="AP22" s="82">
        <f t="shared" ca="1" si="17"/>
        <v>650.49427086594449</v>
      </c>
      <c r="AQ22" s="82">
        <f t="shared" ca="1" si="17"/>
        <v>723.95326523382141</v>
      </c>
      <c r="AR22" s="82">
        <f t="shared" ca="1" si="17"/>
        <v>617.83832141490825</v>
      </c>
      <c r="AS22" s="82">
        <f t="shared" ca="1" si="17"/>
        <v>644.73235200555246</v>
      </c>
      <c r="AT22" s="83">
        <f t="shared" ref="AT22:BH22" ca="1" si="18">AT17+AT19+AT20-AT21</f>
        <v>-1785.7305272162005</v>
      </c>
      <c r="AU22" s="83">
        <f t="shared" ca="1" si="18"/>
        <v>669.28783464124763</v>
      </c>
      <c r="AV22" s="83">
        <f t="shared" ca="1" si="18"/>
        <v>669.28783464124763</v>
      </c>
      <c r="AW22" s="83">
        <f t="shared" ca="1" si="18"/>
        <v>687.6658304588675</v>
      </c>
      <c r="AX22" s="83">
        <f t="shared" ca="1" si="18"/>
        <v>687.6658304588675</v>
      </c>
      <c r="AY22" s="83">
        <f t="shared" ca="1" si="18"/>
        <v>687.6658304588675</v>
      </c>
      <c r="AZ22" s="83">
        <f t="shared" ca="1" si="18"/>
        <v>687.6658304588675</v>
      </c>
      <c r="BA22" s="83">
        <f t="shared" ca="1" si="18"/>
        <v>722.18317823442146</v>
      </c>
      <c r="BB22" s="83">
        <f t="shared" ca="1" si="18"/>
        <v>722.18317823442146</v>
      </c>
      <c r="BC22" s="83">
        <f t="shared" ca="1" si="18"/>
        <v>722.18317823442146</v>
      </c>
      <c r="BD22" s="83">
        <f t="shared" ca="1" si="18"/>
        <v>722.18317823442146</v>
      </c>
      <c r="BE22" s="83">
        <f t="shared" ca="1" si="18"/>
        <v>760.82605056972625</v>
      </c>
      <c r="BF22" s="83">
        <f t="shared" ca="1" si="18"/>
        <v>760.82605056972625</v>
      </c>
      <c r="BG22" s="83">
        <f t="shared" ca="1" si="18"/>
        <v>760.82605056972625</v>
      </c>
      <c r="BH22" s="83">
        <f t="shared" ca="1" si="18"/>
        <v>760.82605056972625</v>
      </c>
      <c r="BI22" s="82"/>
    </row>
    <row r="23" spans="1:61">
      <c r="A23" t="s">
        <v>111</v>
      </c>
      <c r="B23" s="5">
        <f t="shared" ref="B23:AS23" si="19">IFERROR(B14/B5,0)</f>
        <v>4.018223492458757E-2</v>
      </c>
      <c r="C23" s="5">
        <f t="shared" si="19"/>
        <v>4.018223492458757E-2</v>
      </c>
      <c r="D23" s="5">
        <f t="shared" si="19"/>
        <v>4.0182234924587563E-2</v>
      </c>
      <c r="E23" s="5">
        <f t="shared" si="19"/>
        <v>4.018223492458757E-2</v>
      </c>
      <c r="F23" s="5">
        <f t="shared" si="19"/>
        <v>4.0182234924587563E-2</v>
      </c>
      <c r="G23" s="5">
        <f t="shared" si="19"/>
        <v>4.0182234924587563E-2</v>
      </c>
      <c r="H23" s="5">
        <f t="shared" si="19"/>
        <v>4.018223492458757E-2</v>
      </c>
      <c r="I23" s="5">
        <f t="shared" si="19"/>
        <v>4.0182234924587563E-2</v>
      </c>
      <c r="J23" s="5">
        <f t="shared" si="19"/>
        <v>4.018223492458757E-2</v>
      </c>
      <c r="K23" s="5">
        <f t="shared" si="19"/>
        <v>4.0182234924587563E-2</v>
      </c>
      <c r="L23" s="5">
        <f t="shared" si="19"/>
        <v>4.0182234924587563E-2</v>
      </c>
      <c r="M23" s="5">
        <f t="shared" si="19"/>
        <v>4.018223492458757E-2</v>
      </c>
      <c r="N23" s="5">
        <f t="shared" si="19"/>
        <v>4.0182234924587563E-2</v>
      </c>
      <c r="O23" s="5">
        <f t="shared" si="19"/>
        <v>4.0182234924587563E-2</v>
      </c>
      <c r="P23" s="5">
        <f t="shared" si="19"/>
        <v>4.018223492458757E-2</v>
      </c>
      <c r="Q23" s="5">
        <f t="shared" si="19"/>
        <v>4.0182234924587563E-2</v>
      </c>
      <c r="R23" s="5">
        <f t="shared" si="19"/>
        <v>4.0182234924587563E-2</v>
      </c>
      <c r="S23" s="5">
        <f t="shared" si="19"/>
        <v>4.0182234924587563E-2</v>
      </c>
      <c r="T23" s="5">
        <f t="shared" si="19"/>
        <v>4.0182234924587563E-2</v>
      </c>
      <c r="U23" s="5">
        <f t="shared" si="19"/>
        <v>4.0182234924587563E-2</v>
      </c>
      <c r="V23" s="5">
        <f t="shared" si="19"/>
        <v>4.018223492458757E-2</v>
      </c>
      <c r="W23" s="5">
        <f t="shared" si="19"/>
        <v>4.0182234924587563E-2</v>
      </c>
      <c r="X23" s="5">
        <f t="shared" si="19"/>
        <v>4.0182234924587563E-2</v>
      </c>
      <c r="Y23" s="5">
        <f t="shared" si="19"/>
        <v>4.0182234924587563E-2</v>
      </c>
      <c r="Z23" s="5">
        <f t="shared" si="19"/>
        <v>4.0182234924587563E-2</v>
      </c>
      <c r="AA23" s="5">
        <f t="shared" si="19"/>
        <v>4.0182234924587563E-2</v>
      </c>
      <c r="AB23" s="5">
        <f t="shared" si="19"/>
        <v>4.018223492458757E-2</v>
      </c>
      <c r="AC23" s="5">
        <f t="shared" si="19"/>
        <v>4.0182234924587563E-2</v>
      </c>
      <c r="AD23" s="5">
        <f t="shared" si="19"/>
        <v>4.018223492458757E-2</v>
      </c>
      <c r="AE23" s="5">
        <f t="shared" si="19"/>
        <v>4.0182234924587563E-2</v>
      </c>
      <c r="AF23" s="5">
        <f t="shared" si="19"/>
        <v>4.018223492458757E-2</v>
      </c>
      <c r="AG23" s="5">
        <f t="shared" si="19"/>
        <v>4.0182234924587563E-2</v>
      </c>
      <c r="AH23" s="5">
        <f t="shared" si="19"/>
        <v>4.018223492458757E-2</v>
      </c>
      <c r="AI23" s="5">
        <f t="shared" si="19"/>
        <v>4.0182234924587563E-2</v>
      </c>
      <c r="AJ23" s="5">
        <f t="shared" si="19"/>
        <v>4.0182234924587563E-2</v>
      </c>
      <c r="AK23" s="5">
        <f t="shared" si="19"/>
        <v>4.0182234924587563E-2</v>
      </c>
      <c r="AL23" s="5">
        <f t="shared" si="19"/>
        <v>4.0182234924587563E-2</v>
      </c>
      <c r="AM23" s="5">
        <f t="shared" si="19"/>
        <v>4.0182234924587563E-2</v>
      </c>
      <c r="AN23" s="5">
        <f t="shared" si="19"/>
        <v>4.0182234924587563E-2</v>
      </c>
      <c r="AO23" s="5">
        <f t="shared" si="19"/>
        <v>4.018223492458757E-2</v>
      </c>
      <c r="AP23" s="5">
        <f t="shared" si="19"/>
        <v>4.0182234924587563E-2</v>
      </c>
      <c r="AQ23" s="5">
        <f t="shared" si="19"/>
        <v>4.0182234924587563E-2</v>
      </c>
      <c r="AR23" s="5">
        <f t="shared" si="19"/>
        <v>4.0182234924587563E-2</v>
      </c>
      <c r="AS23" s="5">
        <f t="shared" si="19"/>
        <v>4.0182234924587563E-2</v>
      </c>
      <c r="AT23" s="79">
        <f t="shared" ref="AT23:BH23" si="20">AT21/AT5</f>
        <v>0</v>
      </c>
      <c r="AU23" s="79">
        <f t="shared" si="20"/>
        <v>0</v>
      </c>
      <c r="AV23" s="79">
        <f t="shared" si="20"/>
        <v>0</v>
      </c>
      <c r="AW23" s="79">
        <f t="shared" si="20"/>
        <v>0</v>
      </c>
      <c r="AX23" s="79">
        <f t="shared" si="20"/>
        <v>0</v>
      </c>
      <c r="AY23" s="79">
        <f t="shared" si="20"/>
        <v>0</v>
      </c>
      <c r="AZ23" s="79">
        <f t="shared" si="20"/>
        <v>0</v>
      </c>
      <c r="BA23" s="79">
        <f t="shared" si="20"/>
        <v>0</v>
      </c>
      <c r="BB23" s="79">
        <f t="shared" si="20"/>
        <v>0</v>
      </c>
      <c r="BC23" s="79">
        <f t="shared" si="20"/>
        <v>0</v>
      </c>
      <c r="BD23" s="79">
        <f t="shared" si="20"/>
        <v>0</v>
      </c>
      <c r="BE23" s="79">
        <f t="shared" si="20"/>
        <v>0</v>
      </c>
      <c r="BF23" s="79">
        <f t="shared" si="20"/>
        <v>0</v>
      </c>
      <c r="BG23" s="79">
        <f t="shared" si="20"/>
        <v>0</v>
      </c>
      <c r="BH23" s="79">
        <f t="shared" si="20"/>
        <v>0</v>
      </c>
      <c r="BI23" s="5"/>
    </row>
    <row r="24" spans="1:61">
      <c r="A24" t="s">
        <v>112</v>
      </c>
      <c r="B24" s="22">
        <f t="shared" ref="B24:AG24" si="21">B21*4</f>
        <v>0</v>
      </c>
      <c r="C24" s="22">
        <f t="shared" si="21"/>
        <v>0</v>
      </c>
      <c r="D24" s="22">
        <f t="shared" si="21"/>
        <v>0</v>
      </c>
      <c r="E24" s="22">
        <f t="shared" si="21"/>
        <v>0</v>
      </c>
      <c r="F24" s="22">
        <f t="shared" si="21"/>
        <v>0</v>
      </c>
      <c r="G24" s="22">
        <f t="shared" si="21"/>
        <v>0</v>
      </c>
      <c r="H24" s="22">
        <f t="shared" si="21"/>
        <v>0</v>
      </c>
      <c r="I24" s="22">
        <f t="shared" si="21"/>
        <v>0</v>
      </c>
      <c r="J24" s="22">
        <f t="shared" si="21"/>
        <v>0</v>
      </c>
      <c r="K24" s="22">
        <f t="shared" si="21"/>
        <v>0</v>
      </c>
      <c r="L24" s="22">
        <f t="shared" si="21"/>
        <v>0</v>
      </c>
      <c r="M24" s="22">
        <f t="shared" si="21"/>
        <v>0</v>
      </c>
      <c r="N24" s="22">
        <f t="shared" si="21"/>
        <v>0</v>
      </c>
      <c r="O24" s="22">
        <f t="shared" si="21"/>
        <v>0</v>
      </c>
      <c r="P24" s="22">
        <f t="shared" si="21"/>
        <v>0</v>
      </c>
      <c r="Q24" s="22">
        <f t="shared" si="21"/>
        <v>0</v>
      </c>
      <c r="R24" s="22">
        <f t="shared" si="21"/>
        <v>0</v>
      </c>
      <c r="S24" s="22">
        <f t="shared" si="21"/>
        <v>0</v>
      </c>
      <c r="T24" s="22">
        <f t="shared" si="21"/>
        <v>0</v>
      </c>
      <c r="U24" s="22">
        <f t="shared" si="21"/>
        <v>0</v>
      </c>
      <c r="V24" s="22">
        <f t="shared" si="21"/>
        <v>0</v>
      </c>
      <c r="W24" s="22">
        <f t="shared" si="21"/>
        <v>0</v>
      </c>
      <c r="X24" s="22">
        <f t="shared" si="21"/>
        <v>0</v>
      </c>
      <c r="Y24" s="22">
        <f t="shared" si="21"/>
        <v>0</v>
      </c>
      <c r="Z24" s="22">
        <f t="shared" si="21"/>
        <v>0</v>
      </c>
      <c r="AA24" s="22">
        <f t="shared" si="21"/>
        <v>0</v>
      </c>
      <c r="AB24" s="22">
        <f t="shared" si="21"/>
        <v>0</v>
      </c>
      <c r="AC24" s="22">
        <f t="shared" si="21"/>
        <v>0</v>
      </c>
      <c r="AD24" s="22">
        <f t="shared" si="21"/>
        <v>0</v>
      </c>
      <c r="AE24" s="22">
        <f t="shared" si="21"/>
        <v>0</v>
      </c>
      <c r="AF24" s="22">
        <f t="shared" si="21"/>
        <v>0</v>
      </c>
      <c r="AG24" s="22">
        <f t="shared" si="21"/>
        <v>0</v>
      </c>
      <c r="AH24" s="22">
        <f t="shared" ref="AH24:BH24" si="22">AH21*4</f>
        <v>0</v>
      </c>
      <c r="AI24" s="22">
        <f t="shared" si="22"/>
        <v>0</v>
      </c>
      <c r="AJ24" s="22">
        <f t="shared" si="22"/>
        <v>0</v>
      </c>
      <c r="AK24" s="22">
        <f t="shared" si="22"/>
        <v>0</v>
      </c>
      <c r="AL24" s="22">
        <f t="shared" si="22"/>
        <v>0</v>
      </c>
      <c r="AM24" s="22">
        <f t="shared" si="22"/>
        <v>0</v>
      </c>
      <c r="AN24" s="22">
        <f t="shared" si="22"/>
        <v>0</v>
      </c>
      <c r="AO24" s="22">
        <f t="shared" si="22"/>
        <v>0</v>
      </c>
      <c r="AP24" s="22">
        <f t="shared" si="22"/>
        <v>0</v>
      </c>
      <c r="AQ24" s="22">
        <f t="shared" si="22"/>
        <v>0</v>
      </c>
      <c r="AR24" s="22">
        <f t="shared" si="22"/>
        <v>0</v>
      </c>
      <c r="AS24" s="22">
        <f t="shared" si="22"/>
        <v>0</v>
      </c>
      <c r="AT24" s="77">
        <f t="shared" si="22"/>
        <v>0</v>
      </c>
      <c r="AU24" s="77">
        <f t="shared" si="22"/>
        <v>0</v>
      </c>
      <c r="AV24" s="77">
        <f t="shared" si="22"/>
        <v>0</v>
      </c>
      <c r="AW24" s="77">
        <f t="shared" si="22"/>
        <v>0</v>
      </c>
      <c r="AX24" s="77">
        <f t="shared" si="22"/>
        <v>0</v>
      </c>
      <c r="AY24" s="77">
        <f t="shared" si="22"/>
        <v>0</v>
      </c>
      <c r="AZ24" s="77">
        <f t="shared" si="22"/>
        <v>0</v>
      </c>
      <c r="BA24" s="77">
        <f t="shared" si="22"/>
        <v>0</v>
      </c>
      <c r="BB24" s="77">
        <f t="shared" si="22"/>
        <v>0</v>
      </c>
      <c r="BC24" s="77">
        <f t="shared" si="22"/>
        <v>0</v>
      </c>
      <c r="BD24" s="77">
        <f t="shared" si="22"/>
        <v>0</v>
      </c>
      <c r="BE24" s="77">
        <f t="shared" si="22"/>
        <v>0</v>
      </c>
      <c r="BF24" s="77">
        <f t="shared" si="22"/>
        <v>0</v>
      </c>
      <c r="BG24" s="77">
        <f t="shared" si="22"/>
        <v>0</v>
      </c>
      <c r="BH24" s="77">
        <f t="shared" si="22"/>
        <v>0</v>
      </c>
      <c r="BI24" s="22"/>
    </row>
    <row r="25" spans="1:61">
      <c r="A25" t="s">
        <v>457</v>
      </c>
      <c r="B25" s="5">
        <f ca="1">IFERROR(B16/B14,0)</f>
        <v>3.7708090894261704E-3</v>
      </c>
      <c r="C25" s="5">
        <v>0.20931190770498556</v>
      </c>
      <c r="D25" s="5">
        <v>0.20511762278167561</v>
      </c>
      <c r="E25" s="5">
        <v>0.20997679814385151</v>
      </c>
      <c r="F25" s="5">
        <v>0.21073247160203681</v>
      </c>
      <c r="G25" s="5">
        <v>0.21523304281924974</v>
      </c>
      <c r="H25" s="5">
        <v>0.11516533637400228</v>
      </c>
      <c r="I25" s="5">
        <v>0.20007369196757555</v>
      </c>
      <c r="J25" s="5">
        <v>0.20407420880320118</v>
      </c>
      <c r="K25" s="5">
        <v>0.20879913451135956</v>
      </c>
      <c r="L25" s="5">
        <v>0.22144603562696474</v>
      </c>
      <c r="M25" s="5">
        <v>0.20555188367481825</v>
      </c>
      <c r="N25" s="5">
        <v>0.21068986948415164</v>
      </c>
      <c r="O25" s="5">
        <v>0.17737386399247887</v>
      </c>
      <c r="P25" s="5">
        <v>0.19272955186461924</v>
      </c>
      <c r="Q25" s="5">
        <v>0.24036822366177976</v>
      </c>
      <c r="R25" s="5">
        <v>0.23898111047510015</v>
      </c>
      <c r="S25" s="5">
        <v>0.18490767995718491</v>
      </c>
      <c r="T25" s="5">
        <v>0.1827817993795243</v>
      </c>
      <c r="U25" s="5">
        <v>0.24036222509702457</v>
      </c>
      <c r="V25" s="5">
        <v>0.24060693641618494</v>
      </c>
      <c r="W25" s="5">
        <v>0.11979740145342435</v>
      </c>
      <c r="X25" s="5">
        <v>0.33129346314325453</v>
      </c>
      <c r="Y25" s="5">
        <v>0.21634146341463417</v>
      </c>
      <c r="Z25" s="5">
        <v>0.20439024390243901</v>
      </c>
      <c r="AA25" s="5">
        <v>0.22384373596766954</v>
      </c>
      <c r="AB25" s="5">
        <v>0.16685952325850495</v>
      </c>
      <c r="AC25" s="5">
        <v>0.24348628083928983</v>
      </c>
      <c r="AD25" s="5">
        <v>0.23904034896401308</v>
      </c>
      <c r="AE25" s="5">
        <v>0.23748371487064956</v>
      </c>
      <c r="AF25" s="5">
        <v>0.23377623724244176</v>
      </c>
      <c r="AG25" s="5">
        <v>0.24808347529812605</v>
      </c>
      <c r="AH25" s="5">
        <f ca="1">IFERROR(AH16/AH14,0)</f>
        <v>1.7334109045058393E-3</v>
      </c>
      <c r="AI25" s="5">
        <v>0.25927817500851214</v>
      </c>
      <c r="AJ25" s="5">
        <v>0.2417916113114443</v>
      </c>
      <c r="AK25" s="5">
        <v>0.25367904695164684</v>
      </c>
      <c r="AL25" s="5">
        <v>0.25496746966766309</v>
      </c>
      <c r="AM25" s="5">
        <v>0.2508153946510111</v>
      </c>
      <c r="AN25" s="5">
        <v>0.24864864864864866</v>
      </c>
      <c r="AO25" s="5">
        <v>0.25920215841202543</v>
      </c>
      <c r="AP25" s="5">
        <v>0.25710277095755873</v>
      </c>
      <c r="AQ25" s="5">
        <v>0.25738592420726997</v>
      </c>
      <c r="AR25" s="5">
        <v>0.21255699754472118</v>
      </c>
      <c r="AS25" s="5">
        <v>0.24263261296660116</v>
      </c>
      <c r="AT25" s="5">
        <v>0.25</v>
      </c>
      <c r="AU25" s="5">
        <v>0.25</v>
      </c>
      <c r="AV25" s="5">
        <v>0.25</v>
      </c>
      <c r="AW25" s="5">
        <v>0.25</v>
      </c>
      <c r="AX25" s="5">
        <v>0.25</v>
      </c>
      <c r="AY25" s="5">
        <v>0.25</v>
      </c>
      <c r="AZ25" s="5">
        <v>0.25</v>
      </c>
      <c r="BA25" s="5">
        <v>0.25</v>
      </c>
      <c r="BB25" s="5">
        <v>0.25</v>
      </c>
      <c r="BC25" s="5">
        <v>0.25</v>
      </c>
      <c r="BD25" s="5">
        <v>0.25</v>
      </c>
      <c r="BE25" s="5">
        <v>0.25</v>
      </c>
      <c r="BF25" s="5">
        <v>0.25</v>
      </c>
      <c r="BG25" s="5">
        <v>0.25</v>
      </c>
      <c r="BH25" s="5">
        <v>0.25</v>
      </c>
      <c r="BI25" s="5"/>
    </row>
    <row r="26" spans="1:61">
      <c r="A26" t="s">
        <v>458</v>
      </c>
      <c r="B26" s="22">
        <f>0</f>
        <v>0</v>
      </c>
      <c r="C26" s="22">
        <f>0</f>
        <v>0</v>
      </c>
      <c r="D26" s="22">
        <f>0</f>
        <v>0</v>
      </c>
      <c r="E26" s="22">
        <f>0</f>
        <v>0</v>
      </c>
      <c r="F26" s="22">
        <f>0</f>
        <v>0</v>
      </c>
      <c r="G26" s="22">
        <f>0</f>
        <v>0</v>
      </c>
      <c r="H26" s="22">
        <f>0</f>
        <v>0</v>
      </c>
      <c r="I26" s="22">
        <f>0</f>
        <v>0</v>
      </c>
      <c r="J26" s="22">
        <f>0</f>
        <v>0</v>
      </c>
      <c r="K26" s="22">
        <f>0</f>
        <v>0</v>
      </c>
      <c r="L26" s="22">
        <f>0</f>
        <v>0</v>
      </c>
      <c r="M26" s="22">
        <f>0</f>
        <v>0</v>
      </c>
      <c r="N26" s="22">
        <f>0</f>
        <v>0</v>
      </c>
      <c r="O26" s="22">
        <f>0</f>
        <v>0</v>
      </c>
      <c r="P26" s="22">
        <f>0</f>
        <v>0</v>
      </c>
      <c r="Q26" s="22">
        <f>0</f>
        <v>0</v>
      </c>
      <c r="R26" s="22">
        <f>0</f>
        <v>0</v>
      </c>
      <c r="S26" s="22">
        <f>0</f>
        <v>0</v>
      </c>
      <c r="T26" s="22">
        <f>0</f>
        <v>0</v>
      </c>
      <c r="U26" s="22">
        <f>0</f>
        <v>0</v>
      </c>
      <c r="V26" s="22">
        <f>0</f>
        <v>0</v>
      </c>
      <c r="W26" s="22">
        <f>0</f>
        <v>0</v>
      </c>
      <c r="X26" s="22">
        <f>0</f>
        <v>0</v>
      </c>
      <c r="Y26" s="22">
        <f>0</f>
        <v>0</v>
      </c>
      <c r="Z26" s="22">
        <f>0</f>
        <v>0</v>
      </c>
      <c r="AA26" s="22">
        <f>0</f>
        <v>0</v>
      </c>
      <c r="AB26" s="22">
        <f>0</f>
        <v>0</v>
      </c>
      <c r="AC26" s="22">
        <f>0</f>
        <v>0</v>
      </c>
      <c r="AD26" s="22">
        <f>0</f>
        <v>0</v>
      </c>
      <c r="AE26" s="22">
        <f>0</f>
        <v>0</v>
      </c>
      <c r="AF26" s="22">
        <f>0</f>
        <v>0</v>
      </c>
      <c r="AG26" s="22">
        <f>0</f>
        <v>0</v>
      </c>
      <c r="AH26" s="22">
        <f>0</f>
        <v>0</v>
      </c>
      <c r="AI26" s="22">
        <f>0</f>
        <v>0</v>
      </c>
      <c r="AJ26" s="22">
        <f>0</f>
        <v>0</v>
      </c>
      <c r="AK26" s="22">
        <f>0</f>
        <v>0</v>
      </c>
      <c r="AL26" s="22">
        <f>0</f>
        <v>0</v>
      </c>
      <c r="AM26" s="22">
        <f>0</f>
        <v>0</v>
      </c>
      <c r="AN26" s="22">
        <f>0</f>
        <v>0</v>
      </c>
      <c r="AO26" s="22">
        <f>0</f>
        <v>0</v>
      </c>
      <c r="AP26" s="22">
        <f>0</f>
        <v>0</v>
      </c>
      <c r="AQ26" s="22">
        <f>0</f>
        <v>0</v>
      </c>
      <c r="AR26" s="22">
        <f>0</f>
        <v>0</v>
      </c>
      <c r="AS26" s="22">
        <f>0</f>
        <v>0</v>
      </c>
      <c r="AT26" s="22">
        <f>0</f>
        <v>0</v>
      </c>
      <c r="AU26" s="22">
        <f>0</f>
        <v>0</v>
      </c>
      <c r="AV26" s="22">
        <f>0</f>
        <v>0</v>
      </c>
      <c r="AW26" s="22">
        <f>0</f>
        <v>0</v>
      </c>
      <c r="AX26" s="22">
        <f>0</f>
        <v>0</v>
      </c>
      <c r="AY26" s="22">
        <f>0</f>
        <v>0</v>
      </c>
      <c r="AZ26" s="22">
        <f>0</f>
        <v>0</v>
      </c>
      <c r="BA26" s="22">
        <f>0</f>
        <v>0</v>
      </c>
      <c r="BB26" s="22">
        <f>0</f>
        <v>0</v>
      </c>
      <c r="BC26" s="22">
        <f>0</f>
        <v>0</v>
      </c>
      <c r="BD26" s="22">
        <f>0</f>
        <v>0</v>
      </c>
      <c r="BE26" s="22">
        <f>0</f>
        <v>0</v>
      </c>
      <c r="BF26" s="22">
        <f>0</f>
        <v>0</v>
      </c>
      <c r="BG26" s="22">
        <f>0</f>
        <v>0</v>
      </c>
      <c r="BH26" s="22">
        <f>0</f>
        <v>0</v>
      </c>
      <c r="BI26" s="22"/>
    </row>
    <row r="27" spans="1:61">
      <c r="A27" s="84" t="s">
        <v>105</v>
      </c>
      <c r="B27" s="82">
        <f t="shared" ref="B27:AG27" ca="1" si="23">B22-B24+B26</f>
        <v>271.64600000000007</v>
      </c>
      <c r="C27" s="82">
        <f t="shared" ca="1" si="23"/>
        <v>290.62430132482359</v>
      </c>
      <c r="D27" s="82">
        <f t="shared" ca="1" si="23"/>
        <v>285.74941110487941</v>
      </c>
      <c r="E27" s="82">
        <f t="shared" ca="1" si="23"/>
        <v>304.70184368383912</v>
      </c>
      <c r="F27" s="82">
        <f t="shared" ca="1" si="23"/>
        <v>301.29664033336235</v>
      </c>
      <c r="G27" s="82">
        <f t="shared" ca="1" si="23"/>
        <v>305.95194684272894</v>
      </c>
      <c r="H27" s="82">
        <f t="shared" ca="1" si="23"/>
        <v>350.90935036920274</v>
      </c>
      <c r="I27" s="82">
        <f t="shared" ca="1" si="23"/>
        <v>336.70246110791015</v>
      </c>
      <c r="J27" s="82">
        <f t="shared" ca="1" si="23"/>
        <v>339.2684574553644</v>
      </c>
      <c r="K27" s="82">
        <f t="shared" ca="1" si="23"/>
        <v>340.54278575890066</v>
      </c>
      <c r="L27" s="82">
        <f t="shared" ca="1" si="23"/>
        <v>344.69246528568181</v>
      </c>
      <c r="M27" s="82">
        <f t="shared" ca="1" si="23"/>
        <v>355.88831243695057</v>
      </c>
      <c r="N27" s="82">
        <f t="shared" ca="1" si="23"/>
        <v>358.68676401318891</v>
      </c>
      <c r="O27" s="82">
        <f t="shared" ca="1" si="23"/>
        <v>368.10863749283391</v>
      </c>
      <c r="P27" s="82">
        <f t="shared" ca="1" si="23"/>
        <v>366.95514696685427</v>
      </c>
      <c r="Q27" s="82">
        <f t="shared" ca="1" si="23"/>
        <v>320.61496499238967</v>
      </c>
      <c r="R27" s="82">
        <f t="shared" ca="1" si="23"/>
        <v>377.06586033774533</v>
      </c>
      <c r="S27" s="82">
        <f t="shared" ca="1" si="23"/>
        <v>427.19583126550867</v>
      </c>
      <c r="T27" s="82">
        <f t="shared" ca="1" si="23"/>
        <v>432.47377084454013</v>
      </c>
      <c r="U27" s="82">
        <f t="shared" ca="1" si="23"/>
        <v>387.63230760607587</v>
      </c>
      <c r="V27" s="82">
        <f t="shared" ca="1" si="23"/>
        <v>425.11406905453384</v>
      </c>
      <c r="W27" s="82">
        <f t="shared" ca="1" si="23"/>
        <v>541.83764376748525</v>
      </c>
      <c r="X27" s="82">
        <f t="shared" ca="1" si="23"/>
        <v>329.95334487323089</v>
      </c>
      <c r="Y27" s="82">
        <f t="shared" ca="1" si="23"/>
        <v>435.42330077735704</v>
      </c>
      <c r="Z27" s="82">
        <f t="shared" ca="1" si="23"/>
        <v>440.72928588719424</v>
      </c>
      <c r="AA27" s="82">
        <f t="shared" ca="1" si="23"/>
        <v>460.93849357395544</v>
      </c>
      <c r="AB27" s="82">
        <f t="shared" ca="1" si="23"/>
        <v>476.84028853387622</v>
      </c>
      <c r="AC27" s="82">
        <f t="shared" ca="1" si="23"/>
        <v>422.97549011251272</v>
      </c>
      <c r="AD27" s="82">
        <f t="shared" ca="1" si="23"/>
        <v>435.60912663047884</v>
      </c>
      <c r="AE27" s="82">
        <f t="shared" ca="1" si="23"/>
        <v>497.77782771535578</v>
      </c>
      <c r="AF27" s="82">
        <f t="shared" ca="1" si="23"/>
        <v>483.74326843569133</v>
      </c>
      <c r="AG27" s="82">
        <f t="shared" ca="1" si="23"/>
        <v>429.69272893215702</v>
      </c>
      <c r="AH27" s="82">
        <f t="shared" ref="AH27:BM27" ca="1" si="24">AH22-AH24+AH26</f>
        <v>463.41763272345531</v>
      </c>
      <c r="AI27" s="82">
        <f t="shared" ca="1" si="24"/>
        <v>522.34637558883503</v>
      </c>
      <c r="AJ27" s="82">
        <f t="shared" ca="1" si="24"/>
        <v>480.80460717919925</v>
      </c>
      <c r="AK27" s="82">
        <f t="shared" ca="1" si="24"/>
        <v>510.73842534839787</v>
      </c>
      <c r="AL27" s="82">
        <f t="shared" ca="1" si="24"/>
        <v>505.76233109278633</v>
      </c>
      <c r="AM27" s="82">
        <f t="shared" ca="1" si="24"/>
        <v>543.01110739377714</v>
      </c>
      <c r="AN27" s="82">
        <f t="shared" ca="1" si="24"/>
        <v>498.37148052635064</v>
      </c>
      <c r="AO27" s="82">
        <f t="shared" ca="1" si="24"/>
        <v>449.00919305413697</v>
      </c>
      <c r="AP27" s="82">
        <f t="shared" ca="1" si="24"/>
        <v>483.25039133429334</v>
      </c>
      <c r="AQ27" s="82">
        <f t="shared" ca="1" si="24"/>
        <v>537.6178849787434</v>
      </c>
      <c r="AR27" s="82">
        <f t="shared" ca="1" si="24"/>
        <v>486.51246284688494</v>
      </c>
      <c r="AS27" s="82">
        <f t="shared" ca="1" si="24"/>
        <v>488.29925677434278</v>
      </c>
      <c r="AT27" s="82">
        <f t="shared" ca="1" si="24"/>
        <v>-1824.7430714275147</v>
      </c>
      <c r="AU27" s="82">
        <f t="shared" ca="1" si="24"/>
        <v>630.27529042993331</v>
      </c>
      <c r="AV27" s="82">
        <f t="shared" ca="1" si="24"/>
        <v>630.27529042993331</v>
      </c>
      <c r="AW27" s="82">
        <f t="shared" ca="1" si="24"/>
        <v>647.59316265941618</v>
      </c>
      <c r="AX27" s="82">
        <f t="shared" ca="1" si="24"/>
        <v>647.59316265941618</v>
      </c>
      <c r="AY27" s="82">
        <f t="shared" ca="1" si="24"/>
        <v>647.59316265941618</v>
      </c>
      <c r="AZ27" s="82">
        <f t="shared" ca="1" si="24"/>
        <v>647.59316265941618</v>
      </c>
      <c r="BA27" s="82">
        <f t="shared" ca="1" si="24"/>
        <v>680.13017249322809</v>
      </c>
      <c r="BB27" s="82">
        <f t="shared" ca="1" si="24"/>
        <v>680.13017249322809</v>
      </c>
      <c r="BC27" s="82">
        <f t="shared" ca="1" si="24"/>
        <v>680.13017249322809</v>
      </c>
      <c r="BD27" s="82">
        <f t="shared" ca="1" si="24"/>
        <v>680.13017249322809</v>
      </c>
      <c r="BE27" s="82">
        <f t="shared" ca="1" si="24"/>
        <v>716.54493791054131</v>
      </c>
      <c r="BF27" s="82">
        <f t="shared" ca="1" si="24"/>
        <v>716.54493791054131</v>
      </c>
      <c r="BG27" s="82">
        <f t="shared" ca="1" si="24"/>
        <v>716.54493791054131</v>
      </c>
      <c r="BH27" s="82">
        <f t="shared" ca="1" si="24"/>
        <v>716.54493791054131</v>
      </c>
      <c r="BI27" s="82"/>
    </row>
    <row r="28" spans="1:61">
      <c r="A28" t="s">
        <v>113</v>
      </c>
      <c r="B28" s="5">
        <f>IFERROR(B18/B5,0)</f>
        <v>8.9519171729645974E-5</v>
      </c>
      <c r="C28" s="5">
        <v>0.18557199497147281</v>
      </c>
      <c r="D28" s="5">
        <v>0.18003365114974762</v>
      </c>
      <c r="E28" s="5">
        <v>0.18022230063514469</v>
      </c>
      <c r="F28" s="5">
        <v>0.17492837919958329</v>
      </c>
      <c r="G28" s="5">
        <v>0.17530049094294906</v>
      </c>
      <c r="H28" s="5">
        <v>0.19314693437318511</v>
      </c>
      <c r="I28" s="5">
        <v>0.17869783521277474</v>
      </c>
      <c r="J28" s="5">
        <v>0.17596911693742964</v>
      </c>
      <c r="K28" s="5">
        <v>0.1712991880074953</v>
      </c>
      <c r="L28" s="5">
        <v>0.16913271113134531</v>
      </c>
      <c r="M28" s="5">
        <v>0.17322380746505261</v>
      </c>
      <c r="N28" s="5">
        <v>0.17091716573581861</v>
      </c>
      <c r="O28" s="5">
        <v>0.16720810242690617</v>
      </c>
      <c r="P28" s="5">
        <v>0.16110068792995622</v>
      </c>
      <c r="Q28" s="5">
        <v>0.1356468797564688</v>
      </c>
      <c r="R28" s="5">
        <v>0.15170013692377909</v>
      </c>
      <c r="S28" s="5">
        <v>0.16796250344637439</v>
      </c>
      <c r="T28" s="5">
        <v>0.17003765465303927</v>
      </c>
      <c r="U28" s="5">
        <v>0.16456476654896024</v>
      </c>
      <c r="V28" s="5">
        <v>0.16957082929977416</v>
      </c>
      <c r="W28" s="5">
        <v>0.20707698684074191</v>
      </c>
      <c r="X28" s="5">
        <v>0.12239079523470114</v>
      </c>
      <c r="Y28" s="5">
        <v>0.1601056408212079</v>
      </c>
      <c r="Z28" s="5">
        <v>0.15792786250302587</v>
      </c>
      <c r="AA28" s="5">
        <v>0.15480721866463662</v>
      </c>
      <c r="AB28" s="5">
        <v>0.15931318316590698</v>
      </c>
      <c r="AC28" s="5">
        <v>0.1398312308216843</v>
      </c>
      <c r="AD28" s="5">
        <v>0.1413351697318318</v>
      </c>
      <c r="AE28" s="5">
        <v>0.15344569288389515</v>
      </c>
      <c r="AF28" s="5">
        <v>0.14955273246636097</v>
      </c>
      <c r="AG28" s="5">
        <v>0.13427897779129908</v>
      </c>
      <c r="AH28" s="5">
        <f>IFERROR(AH18/AH5,0)</f>
        <v>5.0413212547740706E-5</v>
      </c>
      <c r="AI28" s="5">
        <v>0.15295647894255784</v>
      </c>
      <c r="AJ28" s="5">
        <v>0.140180357205516</v>
      </c>
      <c r="AK28" s="5">
        <v>0.15183376697437359</v>
      </c>
      <c r="AL28" s="5">
        <v>0.14680202342180029</v>
      </c>
      <c r="AM28" s="5">
        <v>0.15369688859150216</v>
      </c>
      <c r="AN28" s="5">
        <v>0.14246511935462539</v>
      </c>
      <c r="AO28" s="5">
        <v>0.12665985699693566</v>
      </c>
      <c r="AP28" s="5">
        <v>0.13261536534969634</v>
      </c>
      <c r="AQ28" s="5">
        <v>0.14173948984411905</v>
      </c>
      <c r="AR28" s="5">
        <v>0.13213266237014801</v>
      </c>
      <c r="AS28" s="5">
        <v>0.13378061829434049</v>
      </c>
      <c r="AT28" s="5">
        <v>0.12900000000000006</v>
      </c>
      <c r="AU28" s="5">
        <v>0.12900000000000006</v>
      </c>
      <c r="AV28" s="5">
        <v>0.12900000000000006</v>
      </c>
      <c r="AW28" s="5">
        <v>0.12900000000000003</v>
      </c>
      <c r="AX28" s="5">
        <v>0.12900000000000003</v>
      </c>
      <c r="AY28" s="5">
        <v>0.12900000000000003</v>
      </c>
      <c r="AZ28" s="5">
        <v>0.12900000000000003</v>
      </c>
      <c r="BA28" s="5">
        <v>0.129</v>
      </c>
      <c r="BB28" s="5">
        <v>0.129</v>
      </c>
      <c r="BC28" s="5">
        <v>0.129</v>
      </c>
      <c r="BD28" s="5">
        <v>0.129</v>
      </c>
      <c r="BE28" s="5">
        <v>0.12900000000000003</v>
      </c>
      <c r="BF28" s="5">
        <v>0.12900000000000003</v>
      </c>
      <c r="BG28" s="5">
        <v>0.12900000000000003</v>
      </c>
      <c r="BH28" s="5">
        <v>0.12900000000000003</v>
      </c>
      <c r="BI28" s="5"/>
    </row>
    <row r="29" spans="1:61">
      <c r="A29" t="s">
        <v>158</v>
      </c>
      <c r="B29" s="22">
        <f>'Annual P&amp;L'!F27</f>
        <v>271.35943018581946</v>
      </c>
      <c r="C29" s="22">
        <f>'Annual P&amp;L'!F27</f>
        <v>271.35943018581946</v>
      </c>
      <c r="D29" s="22">
        <f>'Annual P&amp;L'!F27</f>
        <v>271.35943018581946</v>
      </c>
      <c r="E29" s="22">
        <f>'Annual P&amp;L'!F27</f>
        <v>271.35943018581946</v>
      </c>
      <c r="F29" s="22">
        <f>'Annual P&amp;L'!F27</f>
        <v>271.35943018581946</v>
      </c>
      <c r="G29" s="22">
        <f>'Annual P&amp;L'!F27</f>
        <v>271.35943018581946</v>
      </c>
      <c r="H29" s="22">
        <f>'Annual P&amp;L'!F27</f>
        <v>271.35943018581946</v>
      </c>
      <c r="I29" s="22">
        <f>'Annual P&amp;L'!F27</f>
        <v>271.35943018581946</v>
      </c>
      <c r="J29" s="22">
        <f>'Annual P&amp;L'!F27</f>
        <v>271.35943018581946</v>
      </c>
      <c r="K29" s="22">
        <f>'Annual P&amp;L'!F27</f>
        <v>271.35943018581946</v>
      </c>
      <c r="L29" s="22">
        <f>'Annual P&amp;L'!F27</f>
        <v>271.35943018581946</v>
      </c>
      <c r="M29" s="22">
        <f>'Annual P&amp;L'!F27</f>
        <v>271.35943018581946</v>
      </c>
      <c r="N29" s="22">
        <f>'Annual P&amp;L'!F27</f>
        <v>271.35943018581946</v>
      </c>
      <c r="O29" s="22">
        <f>'Annual P&amp;L'!F27</f>
        <v>271.35943018581946</v>
      </c>
      <c r="P29" s="22">
        <f>'Annual P&amp;L'!F27</f>
        <v>271.35943018581946</v>
      </c>
      <c r="Q29" s="22">
        <f>'Annual P&amp;L'!F27</f>
        <v>271.35943018581946</v>
      </c>
      <c r="R29" s="22">
        <f>'Annual P&amp;L'!F27</f>
        <v>271.35943018581946</v>
      </c>
      <c r="S29" s="22">
        <f>'Annual P&amp;L'!F27</f>
        <v>271.35943018581946</v>
      </c>
      <c r="T29" s="22">
        <f>'Annual P&amp;L'!F27</f>
        <v>271.35943018581946</v>
      </c>
      <c r="U29" s="22">
        <f>'Annual P&amp;L'!F27</f>
        <v>271.35943018581946</v>
      </c>
      <c r="V29" s="22">
        <f>'Annual P&amp;L'!F27</f>
        <v>271.35943018581946</v>
      </c>
      <c r="W29" s="22">
        <f>'Annual P&amp;L'!F27</f>
        <v>271.35943018581946</v>
      </c>
      <c r="X29" s="22">
        <f>'Annual P&amp;L'!F27</f>
        <v>271.35943018581946</v>
      </c>
      <c r="Y29" s="22">
        <f>'Annual P&amp;L'!F27</f>
        <v>271.35943018581946</v>
      </c>
      <c r="Z29" s="22">
        <f>'Annual P&amp;L'!F27</f>
        <v>271.35943018581946</v>
      </c>
      <c r="AA29" s="22">
        <f>'Annual P&amp;L'!F27</f>
        <v>271.35943018581946</v>
      </c>
      <c r="AB29" s="22">
        <f>'Annual P&amp;L'!F27</f>
        <v>271.35943018581946</v>
      </c>
      <c r="AC29" s="22">
        <f>'Annual P&amp;L'!F27</f>
        <v>271.35943018581946</v>
      </c>
      <c r="AD29" s="22">
        <f>'Annual P&amp;L'!F27</f>
        <v>271.35943018581946</v>
      </c>
      <c r="AE29" s="22">
        <f>'Annual P&amp;L'!F27</f>
        <v>271.35943018581946</v>
      </c>
      <c r="AF29" s="22">
        <f>'Annual P&amp;L'!F27</f>
        <v>271.35943018581946</v>
      </c>
      <c r="AG29" s="22">
        <f>'Annual P&amp;L'!F27</f>
        <v>271.35943018581946</v>
      </c>
      <c r="AH29" s="22">
        <f>'Annual P&amp;L'!F27</f>
        <v>271.35943018581946</v>
      </c>
      <c r="AI29" s="22">
        <f>'Annual P&amp;L'!F27</f>
        <v>271.35943018581946</v>
      </c>
      <c r="AJ29" s="22">
        <f>'Annual P&amp;L'!F27</f>
        <v>271.35943018581946</v>
      </c>
      <c r="AK29" s="22">
        <f>'Annual P&amp;L'!F27</f>
        <v>271.35943018581946</v>
      </c>
      <c r="AL29" s="22">
        <f>'Annual P&amp;L'!F27</f>
        <v>271.35943018581946</v>
      </c>
      <c r="AM29" s="22">
        <f>'Annual P&amp;L'!F27</f>
        <v>271.35943018581946</v>
      </c>
      <c r="AN29" s="22">
        <f>'Annual P&amp;L'!F27</f>
        <v>271.35943018581946</v>
      </c>
      <c r="AO29" s="22">
        <f>'Annual P&amp;L'!F27</f>
        <v>271.35943018581946</v>
      </c>
      <c r="AP29" s="22">
        <f>'Annual P&amp;L'!F27</f>
        <v>271.35943018581946</v>
      </c>
      <c r="AQ29" s="22">
        <f>'Annual P&amp;L'!F27</f>
        <v>271.35943018581946</v>
      </c>
      <c r="AR29" s="22">
        <f>'Annual P&amp;L'!F27</f>
        <v>271.35943018581946</v>
      </c>
      <c r="AS29" s="22">
        <f>'Annual P&amp;L'!F27</f>
        <v>271.35943018581946</v>
      </c>
      <c r="AT29" s="22">
        <f>'Annual P&amp;L'!F27</f>
        <v>271.35943018581946</v>
      </c>
      <c r="AU29" s="22">
        <f>'Annual P&amp;L'!F27</f>
        <v>271.35943018581946</v>
      </c>
      <c r="AV29" s="22">
        <f>'Annual P&amp;L'!F27</f>
        <v>271.35943018581946</v>
      </c>
      <c r="AW29" s="22">
        <f>'Annual P&amp;L'!F27</f>
        <v>271.35943018581946</v>
      </c>
      <c r="AX29" s="22">
        <f>'Annual P&amp;L'!F27</f>
        <v>271.35943018581946</v>
      </c>
      <c r="AY29" s="22">
        <f>'Annual P&amp;L'!F27</f>
        <v>271.35943018581946</v>
      </c>
      <c r="AZ29" s="22">
        <f>'Annual P&amp;L'!F27</f>
        <v>271.35943018581946</v>
      </c>
      <c r="BA29" s="22">
        <f>'Annual P&amp;L'!F27</f>
        <v>271.35943018581946</v>
      </c>
      <c r="BB29" s="22">
        <f>'Annual P&amp;L'!F27</f>
        <v>271.35943018581946</v>
      </c>
      <c r="BC29" s="22">
        <f>'Annual P&amp;L'!F27</f>
        <v>271.35943018581946</v>
      </c>
      <c r="BD29" s="22">
        <f>'Annual P&amp;L'!F27</f>
        <v>271.35943018581946</v>
      </c>
      <c r="BE29" s="22">
        <f>'Annual P&amp;L'!F27</f>
        <v>271.35943018581946</v>
      </c>
      <c r="BF29" s="22">
        <f>'Annual P&amp;L'!F27</f>
        <v>271.35943018581946</v>
      </c>
      <c r="BG29" s="22">
        <f>'Annual P&amp;L'!F27</f>
        <v>271.35943018581946</v>
      </c>
      <c r="BH29" s="22">
        <f>'Annual P&amp;L'!F27</f>
        <v>271.35943018581946</v>
      </c>
      <c r="BI29" s="22"/>
    </row>
    <row r="30" spans="1:61">
      <c r="A30" t="s">
        <v>159</v>
      </c>
      <c r="B30" s="22">
        <f>'Annual P&amp;L'!F28</f>
        <v>271.35943018581946</v>
      </c>
      <c r="C30" s="22">
        <f>'Annual P&amp;L'!F28</f>
        <v>271.35943018581946</v>
      </c>
      <c r="D30" s="22">
        <f>'Annual P&amp;L'!F28</f>
        <v>271.35943018581946</v>
      </c>
      <c r="E30" s="22">
        <f>'Annual P&amp;L'!F28</f>
        <v>271.35943018581946</v>
      </c>
      <c r="F30" s="22">
        <f>'Annual P&amp;L'!F28</f>
        <v>271.35943018581946</v>
      </c>
      <c r="G30" s="22">
        <f>'Annual P&amp;L'!F28</f>
        <v>271.35943018581946</v>
      </c>
      <c r="H30" s="22">
        <f>'Annual P&amp;L'!F28</f>
        <v>271.35943018581946</v>
      </c>
      <c r="I30" s="22">
        <f>'Annual P&amp;L'!F28</f>
        <v>271.35943018581946</v>
      </c>
      <c r="J30" s="22">
        <f>'Annual P&amp;L'!F28</f>
        <v>271.35943018581946</v>
      </c>
      <c r="K30" s="22">
        <f>'Annual P&amp;L'!F28</f>
        <v>271.35943018581946</v>
      </c>
      <c r="L30" s="22">
        <f>'Annual P&amp;L'!F28</f>
        <v>271.35943018581946</v>
      </c>
      <c r="M30" s="22">
        <f>'Annual P&amp;L'!F28</f>
        <v>271.35943018581946</v>
      </c>
      <c r="N30" s="22">
        <f>'Annual P&amp;L'!F28</f>
        <v>271.35943018581946</v>
      </c>
      <c r="O30" s="22">
        <f>'Annual P&amp;L'!F28</f>
        <v>271.35943018581946</v>
      </c>
      <c r="P30" s="22">
        <f>'Annual P&amp;L'!F28</f>
        <v>271.35943018581946</v>
      </c>
      <c r="Q30" s="22">
        <f>'Annual P&amp;L'!F28</f>
        <v>271.35943018581946</v>
      </c>
      <c r="R30" s="22">
        <f>'Annual P&amp;L'!F28</f>
        <v>271.35943018581946</v>
      </c>
      <c r="S30" s="22">
        <f>'Annual P&amp;L'!F28</f>
        <v>271.35943018581946</v>
      </c>
      <c r="T30" s="22">
        <f>'Annual P&amp;L'!F28</f>
        <v>271.35943018581946</v>
      </c>
      <c r="U30" s="22">
        <f>'Annual P&amp;L'!F28</f>
        <v>271.35943018581946</v>
      </c>
      <c r="V30" s="22">
        <f>'Annual P&amp;L'!F28</f>
        <v>271.35943018581946</v>
      </c>
      <c r="W30" s="22">
        <f>'Annual P&amp;L'!F28</f>
        <v>271.35943018581946</v>
      </c>
      <c r="X30" s="22">
        <f>'Annual P&amp;L'!F28</f>
        <v>271.35943018581946</v>
      </c>
      <c r="Y30" s="22">
        <f>'Annual P&amp;L'!F28</f>
        <v>271.35943018581946</v>
      </c>
      <c r="Z30" s="22">
        <f>'Annual P&amp;L'!F28</f>
        <v>271.35943018581946</v>
      </c>
      <c r="AA30" s="22">
        <f>'Annual P&amp;L'!F28</f>
        <v>271.35943018581946</v>
      </c>
      <c r="AB30" s="22">
        <f>'Annual P&amp;L'!F28</f>
        <v>271.35943018581946</v>
      </c>
      <c r="AC30" s="22">
        <f>'Annual P&amp;L'!F28</f>
        <v>271.35943018581946</v>
      </c>
      <c r="AD30" s="22">
        <f>'Annual P&amp;L'!F28</f>
        <v>271.35943018581946</v>
      </c>
      <c r="AE30" s="22">
        <f>'Annual P&amp;L'!F28</f>
        <v>271.35943018581946</v>
      </c>
      <c r="AF30" s="22">
        <f>'Annual P&amp;L'!F28</f>
        <v>271.35943018581946</v>
      </c>
      <c r="AG30" s="22">
        <f>'Annual P&amp;L'!F28</f>
        <v>271.35943018581946</v>
      </c>
      <c r="AH30" s="22">
        <f>'Annual P&amp;L'!F28</f>
        <v>271.35943018581946</v>
      </c>
      <c r="AI30" s="22">
        <f>'Annual P&amp;L'!F28</f>
        <v>271.35943018581946</v>
      </c>
      <c r="AJ30" s="22">
        <f>'Annual P&amp;L'!F28</f>
        <v>271.35943018581946</v>
      </c>
      <c r="AK30" s="22">
        <f>'Annual P&amp;L'!F28</f>
        <v>271.35943018581946</v>
      </c>
      <c r="AL30" s="22">
        <f>'Annual P&amp;L'!F28</f>
        <v>271.35943018581946</v>
      </c>
      <c r="AM30" s="22">
        <f>'Annual P&amp;L'!F28</f>
        <v>271.35943018581946</v>
      </c>
      <c r="AN30" s="22">
        <f>'Annual P&amp;L'!F28</f>
        <v>271.35943018581946</v>
      </c>
      <c r="AO30" s="22">
        <f>'Annual P&amp;L'!F28</f>
        <v>271.35943018581946</v>
      </c>
      <c r="AP30" s="22">
        <f>'Annual P&amp;L'!F28</f>
        <v>271.35943018581946</v>
      </c>
      <c r="AQ30" s="22">
        <f>'Annual P&amp;L'!F28</f>
        <v>271.35943018581946</v>
      </c>
      <c r="AR30" s="22">
        <f>'Annual P&amp;L'!F28</f>
        <v>271.35943018581946</v>
      </c>
      <c r="AS30" s="22">
        <f>'Annual P&amp;L'!F28</f>
        <v>271.35943018581946</v>
      </c>
      <c r="AT30" s="22">
        <f>'Annual P&amp;L'!F28</f>
        <v>271.35943018581946</v>
      </c>
      <c r="AU30" s="22">
        <f>'Annual P&amp;L'!F28</f>
        <v>271.35943018581946</v>
      </c>
      <c r="AV30" s="22">
        <f>'Annual P&amp;L'!F28</f>
        <v>271.35943018581946</v>
      </c>
      <c r="AW30" s="22">
        <f>'Annual P&amp;L'!F28</f>
        <v>271.35943018581946</v>
      </c>
      <c r="AX30" s="22">
        <f>'Annual P&amp;L'!F28</f>
        <v>271.35943018581946</v>
      </c>
      <c r="AY30" s="22">
        <f>'Annual P&amp;L'!F28</f>
        <v>271.35943018581946</v>
      </c>
      <c r="AZ30" s="22">
        <f>'Annual P&amp;L'!F28</f>
        <v>271.35943018581946</v>
      </c>
      <c r="BA30" s="22">
        <f>'Annual P&amp;L'!F28</f>
        <v>271.35943018581946</v>
      </c>
      <c r="BB30" s="22">
        <f>'Annual P&amp;L'!F28</f>
        <v>271.35943018581946</v>
      </c>
      <c r="BC30" s="22">
        <f>'Annual P&amp;L'!F28</f>
        <v>271.35943018581946</v>
      </c>
      <c r="BD30" s="22">
        <f>'Annual P&amp;L'!F28</f>
        <v>271.35943018581946</v>
      </c>
      <c r="BE30" s="22">
        <f>'Annual P&amp;L'!F28</f>
        <v>271.35943018581946</v>
      </c>
      <c r="BF30" s="22">
        <f>'Annual P&amp;L'!F28</f>
        <v>271.35943018581946</v>
      </c>
      <c r="BG30" s="22">
        <f>'Annual P&amp;L'!F28</f>
        <v>271.35943018581946</v>
      </c>
      <c r="BH30" s="22">
        <f>'Annual P&amp;L'!F28</f>
        <v>271.35943018581946</v>
      </c>
      <c r="BI30" s="22"/>
    </row>
    <row r="31" spans="1:61">
      <c r="A31" s="84" t="s">
        <v>160</v>
      </c>
      <c r="B31" s="82">
        <f t="shared" ref="B31:AG31" ca="1" si="25">IFERROR(B27/B29,0)</f>
        <v>1.0010560525351353</v>
      </c>
      <c r="C31" s="82">
        <f t="shared" ca="1" si="25"/>
        <v>1.0709939253845429</v>
      </c>
      <c r="D31" s="82">
        <f t="shared" ca="1" si="25"/>
        <v>1.0530292273579955</v>
      </c>
      <c r="E31" s="82">
        <f t="shared" ca="1" si="25"/>
        <v>1.1228717700180446</v>
      </c>
      <c r="F31" s="82">
        <f t="shared" ca="1" si="25"/>
        <v>1.1103230874528396</v>
      </c>
      <c r="G31" s="82">
        <f t="shared" ca="1" si="25"/>
        <v>1.1274785867335493</v>
      </c>
      <c r="H31" s="82">
        <f t="shared" ca="1" si="25"/>
        <v>1.293153328516756</v>
      </c>
      <c r="I31" s="82">
        <f t="shared" ca="1" si="25"/>
        <v>1.2407988212436383</v>
      </c>
      <c r="J31" s="82">
        <f t="shared" ca="1" si="25"/>
        <v>1.2502549007530075</v>
      </c>
      <c r="K31" s="82">
        <f t="shared" ca="1" si="25"/>
        <v>1.2549509907420808</v>
      </c>
      <c r="L31" s="82">
        <f t="shared" ca="1" si="25"/>
        <v>1.2702431791283093</v>
      </c>
      <c r="M31" s="82">
        <f t="shared" ca="1" si="25"/>
        <v>1.3115015468349416</v>
      </c>
      <c r="N31" s="82">
        <f t="shared" ca="1" si="25"/>
        <v>1.3218142585557837</v>
      </c>
      <c r="O31" s="82">
        <f t="shared" ca="1" si="25"/>
        <v>1.3565352685210286</v>
      </c>
      <c r="P31" s="82">
        <f t="shared" ca="1" si="25"/>
        <v>1.3522844837770094</v>
      </c>
      <c r="Q31" s="82">
        <f t="shared" ca="1" si="25"/>
        <v>1.1815139970364819</v>
      </c>
      <c r="R31" s="82">
        <f t="shared" ca="1" si="25"/>
        <v>1.3895439715492512</v>
      </c>
      <c r="S31" s="82">
        <f t="shared" ca="1" si="25"/>
        <v>1.5742803961998915</v>
      </c>
      <c r="T31" s="82">
        <f t="shared" ca="1" si="25"/>
        <v>1.593730391268857</v>
      </c>
      <c r="U31" s="82">
        <f t="shared" ca="1" si="25"/>
        <v>1.4284829067507843</v>
      </c>
      <c r="V31" s="82">
        <f t="shared" ca="1" si="25"/>
        <v>1.5666087917542701</v>
      </c>
      <c r="W31" s="82">
        <f t="shared" ca="1" si="25"/>
        <v>1.9967525852941603</v>
      </c>
      <c r="X31" s="82">
        <f t="shared" ca="1" si="25"/>
        <v>1.2159273206289087</v>
      </c>
      <c r="Y31" s="82">
        <f t="shared" ca="1" si="25"/>
        <v>1.6045998492817852</v>
      </c>
      <c r="Z31" s="82">
        <f t="shared" ca="1" si="25"/>
        <v>1.6241531963175002</v>
      </c>
      <c r="AA31" s="82">
        <f t="shared" ca="1" si="25"/>
        <v>1.6986271428205664</v>
      </c>
      <c r="AB31" s="82">
        <f t="shared" ca="1" si="25"/>
        <v>1.7572276305538714</v>
      </c>
      <c r="AC31" s="82">
        <f t="shared" ca="1" si="25"/>
        <v>1.5587278091749779</v>
      </c>
      <c r="AD31" s="82">
        <f t="shared" ca="1" si="25"/>
        <v>1.6052846452846166</v>
      </c>
      <c r="AE31" s="82">
        <f t="shared" ca="1" si="25"/>
        <v>1.83438558731676</v>
      </c>
      <c r="AF31" s="82">
        <f t="shared" ca="1" si="25"/>
        <v>1.7826661417457919</v>
      </c>
      <c r="AG31" s="82">
        <f t="shared" ca="1" si="25"/>
        <v>1.5834818367576733</v>
      </c>
      <c r="AH31" s="82">
        <f t="shared" ref="AH31:BH31" ca="1" si="26">IFERROR(AH27/AH29,0)</f>
        <v>1.7077631405922384</v>
      </c>
      <c r="AI31" s="82">
        <f t="shared" ca="1" si="26"/>
        <v>1.924924353029289</v>
      </c>
      <c r="AJ31" s="82">
        <f t="shared" ca="1" si="26"/>
        <v>1.7718367364272452</v>
      </c>
      <c r="AK31" s="82">
        <f t="shared" ca="1" si="26"/>
        <v>1.8821473239336413</v>
      </c>
      <c r="AL31" s="82">
        <f t="shared" ca="1" si="26"/>
        <v>1.8638096739311922</v>
      </c>
      <c r="AM31" s="82">
        <f t="shared" ca="1" si="26"/>
        <v>2.001076973893769</v>
      </c>
      <c r="AN31" s="82">
        <f t="shared" ca="1" si="26"/>
        <v>1.8365732865265805</v>
      </c>
      <c r="AO31" s="82">
        <f t="shared" ca="1" si="26"/>
        <v>1.6546658899846149</v>
      </c>
      <c r="AP31" s="82">
        <f t="shared" ca="1" si="26"/>
        <v>1.7808498160663766</v>
      </c>
      <c r="AQ31" s="82">
        <f t="shared" ca="1" si="26"/>
        <v>1.9812021443684396</v>
      </c>
      <c r="AR31" s="82">
        <f t="shared" ca="1" si="26"/>
        <v>1.7928710364468801</v>
      </c>
      <c r="AS31" s="82">
        <f t="shared" ca="1" si="26"/>
        <v>1.7994556387444096</v>
      </c>
      <c r="AT31" s="82">
        <f t="shared" ca="1" si="26"/>
        <v>-6.7244505568794155</v>
      </c>
      <c r="AU31" s="82">
        <f t="shared" ca="1" si="26"/>
        <v>2.322658512358823</v>
      </c>
      <c r="AV31" s="82">
        <f t="shared" ca="1" si="26"/>
        <v>2.322658512358823</v>
      </c>
      <c r="AW31" s="82">
        <f t="shared" ca="1" si="26"/>
        <v>2.3864774561767108</v>
      </c>
      <c r="AX31" s="82">
        <f t="shared" ca="1" si="26"/>
        <v>2.3864774561767108</v>
      </c>
      <c r="AY31" s="82">
        <f t="shared" ca="1" si="26"/>
        <v>2.3864774561767108</v>
      </c>
      <c r="AZ31" s="82">
        <f t="shared" ca="1" si="26"/>
        <v>2.3864774561767108</v>
      </c>
      <c r="BA31" s="82">
        <f t="shared" ca="1" si="26"/>
        <v>2.5063811934875222</v>
      </c>
      <c r="BB31" s="82">
        <f t="shared" ca="1" si="26"/>
        <v>2.5063811934875222</v>
      </c>
      <c r="BC31" s="82">
        <f t="shared" ca="1" si="26"/>
        <v>2.5063811934875222</v>
      </c>
      <c r="BD31" s="82">
        <f t="shared" ca="1" si="26"/>
        <v>2.5063811934875222</v>
      </c>
      <c r="BE31" s="82">
        <f t="shared" ca="1" si="26"/>
        <v>2.6405750388695579</v>
      </c>
      <c r="BF31" s="82">
        <f t="shared" ca="1" si="26"/>
        <v>2.6405750388695579</v>
      </c>
      <c r="BG31" s="82">
        <f t="shared" ca="1" si="26"/>
        <v>2.6405750388695579</v>
      </c>
      <c r="BH31" s="82">
        <f t="shared" ca="1" si="26"/>
        <v>2.6405750388695579</v>
      </c>
      <c r="BI31" s="82"/>
    </row>
    <row r="32" spans="1:61">
      <c r="A32" s="84" t="s">
        <v>161</v>
      </c>
      <c r="B32" s="82">
        <f t="shared" ref="B32:AG32" ca="1" si="27">IFERROR(B27/B30,0)</f>
        <v>1.0010560525351353</v>
      </c>
      <c r="C32" s="82">
        <f t="shared" ca="1" si="27"/>
        <v>1.0709939253845429</v>
      </c>
      <c r="D32" s="82">
        <f t="shared" ca="1" si="27"/>
        <v>1.0530292273579955</v>
      </c>
      <c r="E32" s="82">
        <f t="shared" ca="1" si="27"/>
        <v>1.1228717700180446</v>
      </c>
      <c r="F32" s="82">
        <f t="shared" ca="1" si="27"/>
        <v>1.1103230874528396</v>
      </c>
      <c r="G32" s="82">
        <f t="shared" ca="1" si="27"/>
        <v>1.1274785867335493</v>
      </c>
      <c r="H32" s="82">
        <f t="shared" ca="1" si="27"/>
        <v>1.293153328516756</v>
      </c>
      <c r="I32" s="82">
        <f t="shared" ca="1" si="27"/>
        <v>1.2407988212436383</v>
      </c>
      <c r="J32" s="82">
        <f t="shared" ca="1" si="27"/>
        <v>1.2502549007530075</v>
      </c>
      <c r="K32" s="82">
        <f t="shared" ca="1" si="27"/>
        <v>1.2549509907420808</v>
      </c>
      <c r="L32" s="82">
        <f t="shared" ca="1" si="27"/>
        <v>1.2702431791283093</v>
      </c>
      <c r="M32" s="82">
        <f t="shared" ca="1" si="27"/>
        <v>1.3115015468349416</v>
      </c>
      <c r="N32" s="82">
        <f t="shared" ca="1" si="27"/>
        <v>1.3218142585557837</v>
      </c>
      <c r="O32" s="82">
        <f t="shared" ca="1" si="27"/>
        <v>1.3565352685210286</v>
      </c>
      <c r="P32" s="82">
        <f t="shared" ca="1" si="27"/>
        <v>1.3522844837770094</v>
      </c>
      <c r="Q32" s="82">
        <f t="shared" ca="1" si="27"/>
        <v>1.1815139970364819</v>
      </c>
      <c r="R32" s="82">
        <f t="shared" ca="1" si="27"/>
        <v>1.3895439715492512</v>
      </c>
      <c r="S32" s="82">
        <f t="shared" ca="1" si="27"/>
        <v>1.5742803961998915</v>
      </c>
      <c r="T32" s="82">
        <f t="shared" ca="1" si="27"/>
        <v>1.593730391268857</v>
      </c>
      <c r="U32" s="82">
        <f t="shared" ca="1" si="27"/>
        <v>1.4284829067507843</v>
      </c>
      <c r="V32" s="82">
        <f t="shared" ca="1" si="27"/>
        <v>1.5666087917542701</v>
      </c>
      <c r="W32" s="82">
        <f t="shared" ca="1" si="27"/>
        <v>1.9967525852941603</v>
      </c>
      <c r="X32" s="82">
        <f t="shared" ca="1" si="27"/>
        <v>1.2159273206289087</v>
      </c>
      <c r="Y32" s="82">
        <f t="shared" ca="1" si="27"/>
        <v>1.6045998492817852</v>
      </c>
      <c r="Z32" s="82">
        <f t="shared" ca="1" si="27"/>
        <v>1.6241531963175002</v>
      </c>
      <c r="AA32" s="82">
        <f t="shared" ca="1" si="27"/>
        <v>1.6986271428205664</v>
      </c>
      <c r="AB32" s="82">
        <f t="shared" ca="1" si="27"/>
        <v>1.7572276305538714</v>
      </c>
      <c r="AC32" s="82">
        <f t="shared" ca="1" si="27"/>
        <v>1.5587278091749779</v>
      </c>
      <c r="AD32" s="82">
        <f t="shared" ca="1" si="27"/>
        <v>1.6052846452846166</v>
      </c>
      <c r="AE32" s="82">
        <f t="shared" ca="1" si="27"/>
        <v>1.83438558731676</v>
      </c>
      <c r="AF32" s="82">
        <f t="shared" ca="1" si="27"/>
        <v>1.7826661417457919</v>
      </c>
      <c r="AG32" s="82">
        <f t="shared" ca="1" si="27"/>
        <v>1.5834818367576733</v>
      </c>
      <c r="AH32" s="82">
        <f t="shared" ref="AH32:BH32" ca="1" si="28">IFERROR(AH27/AH30,0)</f>
        <v>1.7077631405922384</v>
      </c>
      <c r="AI32" s="82">
        <f t="shared" ca="1" si="28"/>
        <v>1.924924353029289</v>
      </c>
      <c r="AJ32" s="82">
        <f t="shared" ca="1" si="28"/>
        <v>1.7718367364272452</v>
      </c>
      <c r="AK32" s="82">
        <f t="shared" ca="1" si="28"/>
        <v>1.8821473239336413</v>
      </c>
      <c r="AL32" s="82">
        <f t="shared" ca="1" si="28"/>
        <v>1.8638096739311922</v>
      </c>
      <c r="AM32" s="82">
        <f t="shared" ca="1" si="28"/>
        <v>2.001076973893769</v>
      </c>
      <c r="AN32" s="82">
        <f t="shared" ca="1" si="28"/>
        <v>1.8365732865265805</v>
      </c>
      <c r="AO32" s="82">
        <f t="shared" ca="1" si="28"/>
        <v>1.6546658899846149</v>
      </c>
      <c r="AP32" s="82">
        <f t="shared" ca="1" si="28"/>
        <v>1.7808498160663766</v>
      </c>
      <c r="AQ32" s="82">
        <f t="shared" ca="1" si="28"/>
        <v>1.9812021443684396</v>
      </c>
      <c r="AR32" s="82">
        <f t="shared" ca="1" si="28"/>
        <v>1.7928710364468801</v>
      </c>
      <c r="AS32" s="82">
        <f t="shared" ca="1" si="28"/>
        <v>1.7994556387444096</v>
      </c>
      <c r="AT32" s="82">
        <f t="shared" ca="1" si="28"/>
        <v>-6.7244505568794155</v>
      </c>
      <c r="AU32" s="82">
        <f t="shared" ca="1" si="28"/>
        <v>2.322658512358823</v>
      </c>
      <c r="AV32" s="82">
        <f t="shared" ca="1" si="28"/>
        <v>2.322658512358823</v>
      </c>
      <c r="AW32" s="82">
        <f t="shared" ca="1" si="28"/>
        <v>2.3864774561767108</v>
      </c>
      <c r="AX32" s="82">
        <f t="shared" ca="1" si="28"/>
        <v>2.3864774561767108</v>
      </c>
      <c r="AY32" s="82">
        <f t="shared" ca="1" si="28"/>
        <v>2.3864774561767108</v>
      </c>
      <c r="AZ32" s="82">
        <f t="shared" ca="1" si="28"/>
        <v>2.3864774561767108</v>
      </c>
      <c r="BA32" s="82">
        <f t="shared" ca="1" si="28"/>
        <v>2.5063811934875222</v>
      </c>
      <c r="BB32" s="82">
        <f t="shared" ca="1" si="28"/>
        <v>2.5063811934875222</v>
      </c>
      <c r="BC32" s="82">
        <f t="shared" ca="1" si="28"/>
        <v>2.5063811934875222</v>
      </c>
      <c r="BD32" s="82">
        <f t="shared" ca="1" si="28"/>
        <v>2.5063811934875222</v>
      </c>
      <c r="BE32" s="82">
        <f t="shared" ca="1" si="28"/>
        <v>2.6405750388695579</v>
      </c>
      <c r="BF32" s="82">
        <f t="shared" ca="1" si="28"/>
        <v>2.6405750388695579</v>
      </c>
      <c r="BG32" s="82">
        <f t="shared" ca="1" si="28"/>
        <v>2.6405750388695579</v>
      </c>
      <c r="BH32" s="82">
        <f t="shared" ca="1" si="28"/>
        <v>2.6405750388695579</v>
      </c>
      <c r="BI32" s="82"/>
    </row>
    <row r="33" spans="1:61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>
      <c r="A34" s="76" t="s">
        <v>459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</row>
    <row r="35" spans="1:61">
      <c r="A35" t="s">
        <v>78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130">
        <v>146</v>
      </c>
      <c r="AR35" s="130">
        <v>155.1</v>
      </c>
      <c r="AS35" s="130">
        <v>171</v>
      </c>
      <c r="AT35" s="5">
        <f>AS21*(1+Assumptions!M37)^(1/4)</f>
        <v>0</v>
      </c>
      <c r="AU35" s="5">
        <f>AT21*(1+Assumptions!M37)^(1/4)</f>
        <v>0</v>
      </c>
      <c r="AV35" s="5">
        <f>AU21*(1+Assumptions!M37)^(1/4)</f>
        <v>0</v>
      </c>
      <c r="AW35" s="5">
        <f>AV21*(1+Assumptions!N37)^(1/4)</f>
        <v>0</v>
      </c>
      <c r="AX35" s="5">
        <f>AW21*(1+Assumptions!N37)^(1/4)</f>
        <v>0</v>
      </c>
      <c r="AY35" s="5">
        <f>AX21*(1+Assumptions!N37)^(1/4)</f>
        <v>0</v>
      </c>
      <c r="AZ35" s="5">
        <f>AY21*(1+Assumptions!N37)^(1/4)</f>
        <v>0</v>
      </c>
      <c r="BA35" s="5">
        <f>AZ21*(1+Assumptions!O37)^(1/4)</f>
        <v>0</v>
      </c>
      <c r="BB35" s="5">
        <f>BA21*(1+Assumptions!O37)^(1/4)</f>
        <v>0</v>
      </c>
      <c r="BC35" s="5">
        <f>BB21*(1+Assumptions!O37)^(1/4)</f>
        <v>0</v>
      </c>
      <c r="BD35" s="5">
        <f>BC21*(1+Assumptions!O37)^(1/4)</f>
        <v>0</v>
      </c>
      <c r="BE35" s="5">
        <f>BD21*(1+Assumptions!P37)^(1/4)</f>
        <v>0</v>
      </c>
      <c r="BF35" s="5">
        <f>BE21*(1+Assumptions!P37)^(1/4)</f>
        <v>0</v>
      </c>
      <c r="BG35" s="5">
        <f>BF21*(1+Assumptions!P37)^(1/4)</f>
        <v>0</v>
      </c>
      <c r="BH35" s="5">
        <f>BG21*(1+Assumptions!P37)^(1/4)</f>
        <v>0</v>
      </c>
      <c r="BI35" s="5"/>
    </row>
    <row r="36" spans="1:61">
      <c r="A36" t="s">
        <v>460</v>
      </c>
      <c r="B36" s="5">
        <f t="shared" ref="B36:AG36" si="29">IFERROR(B37/B5,0)</f>
        <v>0</v>
      </c>
      <c r="C36" s="5">
        <f t="shared" si="29"/>
        <v>0</v>
      </c>
      <c r="D36" s="5">
        <f t="shared" si="29"/>
        <v>0</v>
      </c>
      <c r="E36" s="5">
        <f t="shared" si="29"/>
        <v>0</v>
      </c>
      <c r="F36" s="5">
        <f t="shared" si="29"/>
        <v>0</v>
      </c>
      <c r="G36" s="5">
        <f t="shared" si="29"/>
        <v>0</v>
      </c>
      <c r="H36" s="5">
        <f t="shared" si="29"/>
        <v>0</v>
      </c>
      <c r="I36" s="5">
        <f t="shared" si="29"/>
        <v>0</v>
      </c>
      <c r="J36" s="5">
        <f t="shared" si="29"/>
        <v>0</v>
      </c>
      <c r="K36" s="5">
        <f t="shared" si="29"/>
        <v>0</v>
      </c>
      <c r="L36" s="5">
        <f t="shared" si="29"/>
        <v>0</v>
      </c>
      <c r="M36" s="5">
        <f t="shared" si="29"/>
        <v>0</v>
      </c>
      <c r="N36" s="5">
        <f t="shared" si="29"/>
        <v>0</v>
      </c>
      <c r="O36" s="5">
        <f t="shared" si="29"/>
        <v>0</v>
      </c>
      <c r="P36" s="5">
        <f t="shared" si="29"/>
        <v>0</v>
      </c>
      <c r="Q36" s="5">
        <f t="shared" si="29"/>
        <v>0</v>
      </c>
      <c r="R36" s="5">
        <f t="shared" si="29"/>
        <v>0</v>
      </c>
      <c r="S36" s="5">
        <f t="shared" si="29"/>
        <v>0</v>
      </c>
      <c r="T36" s="5">
        <f t="shared" si="29"/>
        <v>0</v>
      </c>
      <c r="U36" s="5">
        <f t="shared" si="29"/>
        <v>0</v>
      </c>
      <c r="V36" s="5">
        <f t="shared" si="29"/>
        <v>0</v>
      </c>
      <c r="W36" s="5">
        <f t="shared" si="29"/>
        <v>0</v>
      </c>
      <c r="X36" s="5">
        <f t="shared" si="29"/>
        <v>0</v>
      </c>
      <c r="Y36" s="5">
        <f t="shared" si="29"/>
        <v>0</v>
      </c>
      <c r="Z36" s="5">
        <f t="shared" si="29"/>
        <v>0</v>
      </c>
      <c r="AA36" s="5">
        <f t="shared" si="29"/>
        <v>0</v>
      </c>
      <c r="AB36" s="5">
        <f t="shared" si="29"/>
        <v>0</v>
      </c>
      <c r="AC36" s="5">
        <f t="shared" si="29"/>
        <v>0</v>
      </c>
      <c r="AD36" s="5">
        <f t="shared" si="29"/>
        <v>0</v>
      </c>
      <c r="AE36" s="5">
        <f t="shared" si="29"/>
        <v>0</v>
      </c>
      <c r="AF36" s="5">
        <f t="shared" si="29"/>
        <v>0</v>
      </c>
      <c r="AG36" s="5">
        <f t="shared" si="29"/>
        <v>0</v>
      </c>
      <c r="AH36" s="5">
        <f t="shared" ref="AH36:BM36" si="30">IFERROR(AH37/AH5,0)</f>
        <v>0</v>
      </c>
      <c r="AI36" s="5">
        <f t="shared" si="30"/>
        <v>0</v>
      </c>
      <c r="AJ36" s="5">
        <f t="shared" si="30"/>
        <v>0</v>
      </c>
      <c r="AK36" s="5">
        <f t="shared" si="30"/>
        <v>0</v>
      </c>
      <c r="AL36" s="5">
        <f t="shared" si="30"/>
        <v>0</v>
      </c>
      <c r="AM36" s="5">
        <f t="shared" si="30"/>
        <v>0</v>
      </c>
      <c r="AN36" s="5">
        <f t="shared" si="30"/>
        <v>0</v>
      </c>
      <c r="AO36" s="5">
        <f t="shared" si="30"/>
        <v>0</v>
      </c>
      <c r="AP36" s="5">
        <f t="shared" si="30"/>
        <v>0</v>
      </c>
      <c r="AQ36" s="5">
        <f t="shared" si="30"/>
        <v>1.0148156834064219E-5</v>
      </c>
      <c r="AR36" s="5">
        <f t="shared" si="30"/>
        <v>1.1440479558938901E-5</v>
      </c>
      <c r="AS36" s="131">
        <f t="shared" si="30"/>
        <v>1.2835428785888535E-5</v>
      </c>
      <c r="AT36" s="5">
        <f t="shared" si="30"/>
        <v>0</v>
      </c>
      <c r="AU36" s="5">
        <f t="shared" si="30"/>
        <v>1.23283063662821E-5</v>
      </c>
      <c r="AV36" s="5">
        <f t="shared" si="30"/>
        <v>1.3035596878598054E-5</v>
      </c>
      <c r="AW36" s="5">
        <f t="shared" si="30"/>
        <v>1.3026369721460787E-5</v>
      </c>
      <c r="AX36" s="5">
        <f t="shared" si="30"/>
        <v>1.3787462106947616E-5</v>
      </c>
      <c r="AY36" s="5">
        <f t="shared" si="30"/>
        <v>1.4593022877075157E-5</v>
      </c>
      <c r="AZ36" s="5">
        <f t="shared" si="30"/>
        <v>1.5445650188480186E-5</v>
      </c>
      <c r="BA36" s="5">
        <f t="shared" si="30"/>
        <v>1.4721097424964226E-5</v>
      </c>
      <c r="BB36" s="5">
        <f t="shared" si="30"/>
        <v>1.5610610770412742E-5</v>
      </c>
      <c r="BC36" s="5">
        <f t="shared" si="30"/>
        <v>1.6553872417967409E-5</v>
      </c>
      <c r="BD36" s="5">
        <f t="shared" si="30"/>
        <v>1.7554130076045501E-5</v>
      </c>
      <c r="BE36" s="5">
        <f t="shared" si="30"/>
        <v>1.6706899483038493E-5</v>
      </c>
      <c r="BF36" s="5">
        <f t="shared" si="30"/>
        <v>1.7751326810377032E-5</v>
      </c>
      <c r="BG36" s="5">
        <f t="shared" si="30"/>
        <v>1.8861046231152717E-5</v>
      </c>
      <c r="BH36" s="5">
        <f t="shared" si="30"/>
        <v>2.0040139463024419E-5</v>
      </c>
      <c r="BI36" s="5"/>
    </row>
    <row r="37" spans="1:61">
      <c r="A37" t="s">
        <v>174</v>
      </c>
      <c r="B37" s="22">
        <f>IFERROR(B21/B5,0)</f>
        <v>0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3.8491958871605586E-2</v>
      </c>
      <c r="AR37" s="22">
        <v>4.2123845736013035E-2</v>
      </c>
      <c r="AS37" s="22">
        <v>4.6849315068493151E-2</v>
      </c>
      <c r="AT37" s="22">
        <f>AT21/AT5</f>
        <v>0</v>
      </c>
      <c r="AU37" s="22">
        <v>4.7877734831609224E-2</v>
      </c>
      <c r="AV37" s="22">
        <v>5.0624540969570954E-2</v>
      </c>
      <c r="AW37" s="22">
        <v>5.1963399991125564E-2</v>
      </c>
      <c r="AX37" s="22">
        <v>5.4999468282055125E-2</v>
      </c>
      <c r="AY37" s="22">
        <v>5.821292509391985E-2</v>
      </c>
      <c r="AZ37" s="22">
        <v>6.1614134715116529E-2</v>
      </c>
      <c r="BA37" s="22">
        <v>6.1625879764082493E-2</v>
      </c>
      <c r="BB37" s="22">
        <v>6.5349586013196612E-2</v>
      </c>
      <c r="BC37" s="22">
        <v>6.9298294944345848E-2</v>
      </c>
      <c r="BD37" s="22">
        <v>7.3485602207545561E-2</v>
      </c>
      <c r="BE37" s="22">
        <v>7.3644494845300015E-2</v>
      </c>
      <c r="BF37" s="22">
        <v>7.8248360631561681E-2</v>
      </c>
      <c r="BG37" s="22">
        <v>8.3140035849097668E-2</v>
      </c>
      <c r="BH37" s="22">
        <v>8.8337512827088752E-2</v>
      </c>
      <c r="BI37" s="22"/>
    </row>
    <row r="38" spans="1:61">
      <c r="A38" t="s">
        <v>172</v>
      </c>
      <c r="B38" s="22">
        <f>B21*4</f>
        <v>0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f>AH21*4</f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584</v>
      </c>
      <c r="AR38" s="22">
        <v>620.4</v>
      </c>
      <c r="AS38" s="22">
        <v>684</v>
      </c>
      <c r="AT38" s="22">
        <v>723.24194419334583</v>
      </c>
      <c r="AU38" s="22">
        <v>764.73524830492806</v>
      </c>
      <c r="AV38" s="22">
        <v>808.6090756977153</v>
      </c>
      <c r="AW38" s="22">
        <v>855.8537204842952</v>
      </c>
      <c r="AX38" s="22">
        <v>905.85873060449956</v>
      </c>
      <c r="AY38" s="22">
        <v>958.78538606814743</v>
      </c>
      <c r="AZ38" s="22">
        <v>1014.8043900006326</v>
      </c>
      <c r="BA38" s="22">
        <v>1076.1233271604754</v>
      </c>
      <c r="BB38" s="22">
        <v>1141.1474237495263</v>
      </c>
      <c r="BC38" s="22">
        <v>1210.1005617695246</v>
      </c>
      <c r="BD38" s="22">
        <v>1283.2201511558001</v>
      </c>
      <c r="BE38" s="22">
        <v>1363.4403137430752</v>
      </c>
      <c r="BF38" s="22">
        <v>1448.6754182167699</v>
      </c>
      <c r="BG38" s="22">
        <v>1539.2389723199881</v>
      </c>
      <c r="BH38" s="22">
        <v>1635.4640826480661</v>
      </c>
      <c r="BI38" s="22"/>
    </row>
  </sheetData>
  <mergeCells count="2">
    <mergeCell ref="A1:AJ1"/>
    <mergeCell ref="A2:A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"/>
  <sheetViews>
    <sheetView showGridLines="0" topLeftCell="A17" workbookViewId="0">
      <selection activeCell="A2" sqref="A2:P2"/>
    </sheetView>
  </sheetViews>
  <sheetFormatPr defaultRowHeight="13.8"/>
  <cols>
    <col min="1" max="1" width="34" customWidth="1"/>
    <col min="2" max="16" width="12" customWidth="1"/>
  </cols>
  <sheetData>
    <row r="1" spans="1:16" ht="25.95" customHeight="1">
      <c r="A1" s="99" t="s">
        <v>151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2"/>
      <c r="N1" s="102"/>
      <c r="O1" s="102"/>
      <c r="P1" s="102"/>
    </row>
    <row r="2" spans="1:16" ht="22.05" customHeight="1">
      <c r="A2" s="100" t="s">
        <v>152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3"/>
      <c r="N2" s="103"/>
      <c r="O2" s="103"/>
      <c r="P2" s="103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59"/>
      <c r="N3" s="59"/>
      <c r="O3" s="59"/>
      <c r="P3" s="59"/>
    </row>
    <row r="4" spans="1:16">
      <c r="A4" s="6" t="s">
        <v>80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118" t="s">
        <v>40</v>
      </c>
      <c r="N4" s="118" t="s">
        <v>41</v>
      </c>
      <c r="O4" s="118" t="s">
        <v>42</v>
      </c>
      <c r="P4" s="118" t="s">
        <v>43</v>
      </c>
    </row>
    <row r="5" spans="1:16">
      <c r="A5" s="2" t="s">
        <v>99</v>
      </c>
      <c r="B5" s="2">
        <v>31136</v>
      </c>
      <c r="C5" s="2">
        <v>46722</v>
      </c>
      <c r="D5" s="2">
        <v>50570</v>
      </c>
      <c r="E5" s="2">
        <v>60428</v>
      </c>
      <c r="F5" s="2">
        <v>70678</v>
      </c>
      <c r="G5" s="2">
        <v>75379</v>
      </c>
      <c r="H5" s="2">
        <v>85651</v>
      </c>
      <c r="I5" s="2">
        <v>101456</v>
      </c>
      <c r="J5" s="2">
        <v>109913</v>
      </c>
      <c r="K5" s="2">
        <v>117055</v>
      </c>
      <c r="L5" s="2">
        <v>130144</v>
      </c>
      <c r="M5" s="59">
        <f>'Revenue Drivers'!M5</f>
        <v>135794.61590945488</v>
      </c>
      <c r="N5" s="59">
        <f>'Revenue Drivers'!N5</f>
        <v>141613.88886877202</v>
      </c>
      <c r="O5" s="59">
        <f>'Revenue Drivers'!O5</f>
        <v>148612.25889514459</v>
      </c>
      <c r="P5" s="59">
        <f>'Revenue Drivers'!P5</f>
        <v>156486.22643459847</v>
      </c>
    </row>
    <row r="6" spans="1:16">
      <c r="A6" s="2" t="s">
        <v>101</v>
      </c>
      <c r="B6" s="8">
        <f>0</f>
        <v>0</v>
      </c>
      <c r="C6" s="8">
        <f t="shared" ref="C6:P6" si="0">C5/B5-1</f>
        <v>0.5005781089414183</v>
      </c>
      <c r="D6" s="8">
        <f t="shared" si="0"/>
        <v>8.2359488035614881E-2</v>
      </c>
      <c r="E6" s="8">
        <f t="shared" si="0"/>
        <v>0.19493771010480532</v>
      </c>
      <c r="F6" s="8">
        <f t="shared" si="0"/>
        <v>0.16962335341232548</v>
      </c>
      <c r="G6" s="8">
        <f t="shared" si="0"/>
        <v>6.6512917739607769E-2</v>
      </c>
      <c r="H6" s="8">
        <f t="shared" si="0"/>
        <v>0.13627137531673283</v>
      </c>
      <c r="I6" s="8">
        <f t="shared" si="0"/>
        <v>0.18452790977338274</v>
      </c>
      <c r="J6" s="8">
        <f t="shared" si="0"/>
        <v>8.3356331808863038E-2</v>
      </c>
      <c r="K6" s="8">
        <f t="shared" si="0"/>
        <v>6.4978664944092213E-2</v>
      </c>
      <c r="L6" s="8">
        <f t="shared" si="0"/>
        <v>0.11181923027636587</v>
      </c>
      <c r="M6" s="61">
        <f t="shared" si="0"/>
        <v>4.3418182240094749E-2</v>
      </c>
      <c r="N6" s="61">
        <f t="shared" si="0"/>
        <v>4.2853488117653438E-2</v>
      </c>
      <c r="O6" s="61">
        <f t="shared" si="0"/>
        <v>4.9418669893725564E-2</v>
      </c>
      <c r="P6" s="61">
        <f t="shared" si="0"/>
        <v>5.2983297595990742E-2</v>
      </c>
    </row>
    <row r="7" spans="1:16">
      <c r="A7" s="2" t="s">
        <v>153</v>
      </c>
      <c r="B7" s="2">
        <v>20472.719357288581</v>
      </c>
      <c r="C7" s="2">
        <v>30889</v>
      </c>
      <c r="D7" s="2">
        <v>33237</v>
      </c>
      <c r="E7" s="2">
        <v>39268</v>
      </c>
      <c r="F7" s="2">
        <v>45295</v>
      </c>
      <c r="G7" s="2">
        <v>45975</v>
      </c>
      <c r="H7" s="2">
        <v>54416</v>
      </c>
      <c r="I7" s="2">
        <v>66155</v>
      </c>
      <c r="J7" s="2">
        <v>72125</v>
      </c>
      <c r="K7" s="2">
        <v>77815</v>
      </c>
      <c r="L7" s="2">
        <v>87811</v>
      </c>
      <c r="M7" s="59">
        <f>M5-M8</f>
        <v>89624.446500240214</v>
      </c>
      <c r="N7" s="59">
        <f>N5-N8</f>
        <v>93465.166653389519</v>
      </c>
      <c r="O7" s="59">
        <f>O5-O8</f>
        <v>98084.090870795422</v>
      </c>
      <c r="P7" s="59">
        <f>P5-P8</f>
        <v>103280.90944683499</v>
      </c>
    </row>
    <row r="8" spans="1:16">
      <c r="A8" s="12" t="s">
        <v>102</v>
      </c>
      <c r="B8" s="13">
        <v>10663.280642711421</v>
      </c>
      <c r="C8" s="13">
        <v>15833</v>
      </c>
      <c r="D8" s="13">
        <v>17333</v>
      </c>
      <c r="E8" s="13">
        <v>21160</v>
      </c>
      <c r="F8" s="13">
        <v>25383</v>
      </c>
      <c r="G8" s="13">
        <v>29404</v>
      </c>
      <c r="H8" s="13">
        <v>31235</v>
      </c>
      <c r="I8" s="13">
        <v>35301</v>
      </c>
      <c r="J8" s="13">
        <v>37788</v>
      </c>
      <c r="K8" s="13">
        <v>39240</v>
      </c>
      <c r="L8" s="13">
        <v>42333</v>
      </c>
      <c r="M8" s="62">
        <f>M5*Assumptions!M12</f>
        <v>46170.169409214664</v>
      </c>
      <c r="N8" s="62">
        <f>N5*Assumptions!N12</f>
        <v>48148.722215382491</v>
      </c>
      <c r="O8" s="62">
        <f>O5*Assumptions!O12</f>
        <v>50528.168024349165</v>
      </c>
      <c r="P8" s="62">
        <f>P5*Assumptions!P12</f>
        <v>53205.316987763486</v>
      </c>
    </row>
    <row r="9" spans="1:16">
      <c r="A9" s="2" t="s">
        <v>51</v>
      </c>
      <c r="B9" s="8">
        <f t="shared" ref="B9:L9" si="1">B8/B5</f>
        <v>0.34247432691133806</v>
      </c>
      <c r="C9" s="8">
        <f t="shared" si="1"/>
        <v>0.33887676041265358</v>
      </c>
      <c r="D9" s="8">
        <f t="shared" si="1"/>
        <v>0.34275262013051216</v>
      </c>
      <c r="E9" s="8">
        <f t="shared" si="1"/>
        <v>0.35016879592242006</v>
      </c>
      <c r="F9" s="8">
        <f t="shared" si="1"/>
        <v>0.35913579897563597</v>
      </c>
      <c r="G9" s="8">
        <f t="shared" si="1"/>
        <v>0.39008211836187795</v>
      </c>
      <c r="H9" s="8">
        <f t="shared" si="1"/>
        <v>0.36467758695169933</v>
      </c>
      <c r="I9" s="8">
        <f t="shared" si="1"/>
        <v>0.3479439362876518</v>
      </c>
      <c r="J9" s="8">
        <f t="shared" si="1"/>
        <v>0.3437991866294251</v>
      </c>
      <c r="K9" s="8">
        <f t="shared" si="1"/>
        <v>0.33522703002861903</v>
      </c>
      <c r="L9" s="8">
        <f t="shared" si="1"/>
        <v>0.32527815343004673</v>
      </c>
      <c r="M9" s="61">
        <f>IFERROR(M8/M5,0)</f>
        <v>0.34</v>
      </c>
      <c r="N9" s="61">
        <f>IFERROR(N8/N5,0)</f>
        <v>0.34</v>
      </c>
      <c r="O9" s="61">
        <f>IFERROR(O8/O5,0)</f>
        <v>0.34</v>
      </c>
      <c r="P9" s="61">
        <f>IFERROR(P8/P5,0)</f>
        <v>0.34</v>
      </c>
    </row>
    <row r="10" spans="1:16">
      <c r="A10" s="2" t="s">
        <v>154</v>
      </c>
      <c r="B10" s="2">
        <v>3968.877607850729</v>
      </c>
      <c r="C10" s="2">
        <v>5524</v>
      </c>
      <c r="D10" s="2">
        <v>5893</v>
      </c>
      <c r="E10" s="2">
        <v>7191</v>
      </c>
      <c r="F10" s="2">
        <v>8690</v>
      </c>
      <c r="G10" s="2">
        <v>9923</v>
      </c>
      <c r="H10" s="2">
        <v>10856</v>
      </c>
      <c r="I10" s="2">
        <v>12672</v>
      </c>
      <c r="J10" s="2">
        <v>13588</v>
      </c>
      <c r="K10" s="2">
        <v>13735</v>
      </c>
      <c r="L10" s="2">
        <v>15581</v>
      </c>
      <c r="M10" s="59">
        <f>M5*Assumptions!M13</f>
        <v>8147.6769545672923</v>
      </c>
      <c r="N10" s="59">
        <f>N5*Assumptions!N13</f>
        <v>8496.8333321263199</v>
      </c>
      <c r="O10" s="59">
        <f>O5*Assumptions!O13</f>
        <v>8916.7355337086756</v>
      </c>
      <c r="P10" s="59">
        <f>P5*Assumptions!P13</f>
        <v>9389.1735860759072</v>
      </c>
    </row>
    <row r="11" spans="1:16">
      <c r="A11" s="2" t="s">
        <v>52</v>
      </c>
      <c r="B11" s="8">
        <f t="shared" ref="B11:L11" si="2">B10/B5</f>
        <v>0.1274690906940753</v>
      </c>
      <c r="C11" s="8">
        <f t="shared" si="2"/>
        <v>0.11823124010102307</v>
      </c>
      <c r="D11" s="8">
        <f t="shared" si="2"/>
        <v>0.11653154043899545</v>
      </c>
      <c r="E11" s="8">
        <f t="shared" si="2"/>
        <v>0.11900112530614947</v>
      </c>
      <c r="F11" s="8">
        <f t="shared" si="2"/>
        <v>0.12295197939953026</v>
      </c>
      <c r="G11" s="8">
        <f t="shared" si="2"/>
        <v>0.13164143859695671</v>
      </c>
      <c r="H11" s="8">
        <f t="shared" si="2"/>
        <v>0.12674691480543135</v>
      </c>
      <c r="I11" s="8">
        <f t="shared" si="2"/>
        <v>0.12490143510487305</v>
      </c>
      <c r="J11" s="8">
        <f t="shared" si="2"/>
        <v>0.12362504890231364</v>
      </c>
      <c r="K11" s="8">
        <f t="shared" si="2"/>
        <v>0.11733800350262696</v>
      </c>
      <c r="L11" s="8">
        <f t="shared" si="2"/>
        <v>0.11972123186624047</v>
      </c>
      <c r="M11" s="61">
        <f>IFERROR(M10/M5,0)</f>
        <v>0.06</v>
      </c>
      <c r="N11" s="61">
        <f>IFERROR(N10/N5,0)</f>
        <v>5.9999999999999991E-2</v>
      </c>
      <c r="O11" s="61">
        <f>IFERROR(O10/O5,0)</f>
        <v>0.06</v>
      </c>
      <c r="P11" s="61">
        <f>IFERROR(P10/P5,0)</f>
        <v>5.9999999999999991E-2</v>
      </c>
    </row>
    <row r="12" spans="1:16">
      <c r="A12" s="2" t="s">
        <v>155</v>
      </c>
      <c r="B12" s="2">
        <v>818.63999999999942</v>
      </c>
      <c r="C12" s="2">
        <v>1145.2399999999998</v>
      </c>
      <c r="D12" s="2">
        <v>1143.4050000000002</v>
      </c>
      <c r="E12" s="2">
        <v>1029.6824999999981</v>
      </c>
      <c r="F12" s="2">
        <v>353.00000000000182</v>
      </c>
      <c r="G12" s="2">
        <v>-1014.8024999999998</v>
      </c>
      <c r="H12" s="2">
        <v>1312.0049999999992</v>
      </c>
      <c r="I12" s="2">
        <v>3496.9199999999992</v>
      </c>
      <c r="J12" s="2">
        <v>4379.3800000000037</v>
      </c>
      <c r="K12" s="2">
        <v>5222.9375000000027</v>
      </c>
      <c r="L12" s="2">
        <v>7736.1600000000035</v>
      </c>
      <c r="M12" s="59">
        <f>M5*Assumptions!M14</f>
        <v>11542.542352303666</v>
      </c>
      <c r="N12" s="59">
        <f>N5*Assumptions!N14</f>
        <v>12037.180553845623</v>
      </c>
      <c r="O12" s="59">
        <f>O5*Assumptions!O14</f>
        <v>12632.042006087291</v>
      </c>
      <c r="P12" s="59">
        <f>P5*Assumptions!P14</f>
        <v>13301.329246940872</v>
      </c>
    </row>
    <row r="13" spans="1:16">
      <c r="A13" s="2" t="s">
        <v>53</v>
      </c>
      <c r="B13" s="8">
        <f t="shared" ref="B13:L13" si="3">B12/B5</f>
        <v>2.6292394655703988E-2</v>
      </c>
      <c r="C13" s="8">
        <f t="shared" si="3"/>
        <v>2.45117931595394E-2</v>
      </c>
      <c r="D13" s="8">
        <f t="shared" si="3"/>
        <v>2.2610342100059327E-2</v>
      </c>
      <c r="E13" s="8">
        <f t="shared" si="3"/>
        <v>1.7039824253657212E-2</v>
      </c>
      <c r="F13" s="8">
        <f t="shared" si="3"/>
        <v>4.9944820170350294E-3</v>
      </c>
      <c r="G13" s="8">
        <f t="shared" si="3"/>
        <v>-1.3462668647766617E-2</v>
      </c>
      <c r="H13" s="8">
        <f t="shared" si="3"/>
        <v>1.5318034815705586E-2</v>
      </c>
      <c r="I13" s="8">
        <f t="shared" si="3"/>
        <v>3.4467355306733942E-2</v>
      </c>
      <c r="J13" s="8">
        <f t="shared" si="3"/>
        <v>3.9844058482618107E-2</v>
      </c>
      <c r="K13" s="8">
        <f t="shared" si="3"/>
        <v>4.4619516466618277E-2</v>
      </c>
      <c r="L13" s="8">
        <f t="shared" si="3"/>
        <v>5.9443078436193779E-2</v>
      </c>
      <c r="M13" s="61">
        <f>IFERROR(M12/M5,0)</f>
        <v>8.5000000000000006E-2</v>
      </c>
      <c r="N13" s="61">
        <f>IFERROR(N12/N5,0)</f>
        <v>8.5000000000000006E-2</v>
      </c>
      <c r="O13" s="61">
        <f>IFERROR(O12/O5,0)</f>
        <v>8.5000000000000006E-2</v>
      </c>
      <c r="P13" s="61">
        <f>IFERROR(P12/P5,0)</f>
        <v>8.5000000000000006E-2</v>
      </c>
    </row>
    <row r="14" spans="1:16">
      <c r="A14" s="12" t="s">
        <v>103</v>
      </c>
      <c r="B14" s="13">
        <v>6694.4030348606921</v>
      </c>
      <c r="C14" s="13">
        <v>10309</v>
      </c>
      <c r="D14" s="13">
        <v>11440</v>
      </c>
      <c r="E14" s="13">
        <v>13969</v>
      </c>
      <c r="F14" s="13">
        <v>16693</v>
      </c>
      <c r="G14" s="13">
        <v>19481</v>
      </c>
      <c r="H14" s="13">
        <v>20379</v>
      </c>
      <c r="I14" s="13">
        <v>22629</v>
      </c>
      <c r="J14" s="13">
        <v>24200</v>
      </c>
      <c r="K14" s="13">
        <v>25505</v>
      </c>
      <c r="L14" s="13">
        <v>26752</v>
      </c>
      <c r="M14" s="62">
        <f>M8-M10-M12</f>
        <v>26479.950102343704</v>
      </c>
      <c r="N14" s="62">
        <f>N8-N10-N12</f>
        <v>27614.708329410547</v>
      </c>
      <c r="O14" s="62">
        <f>O8-O10-O12</f>
        <v>28979.390484553194</v>
      </c>
      <c r="P14" s="62">
        <f>P8-P10-P12</f>
        <v>30514.814154746709</v>
      </c>
    </row>
    <row r="15" spans="1:16">
      <c r="A15" s="2" t="s">
        <v>106</v>
      </c>
      <c r="B15" s="8">
        <f t="shared" ref="B15:L15" si="4">B14/B5</f>
        <v>0.21500523621726272</v>
      </c>
      <c r="C15" s="8">
        <f t="shared" si="4"/>
        <v>0.22064552031163048</v>
      </c>
      <c r="D15" s="8">
        <f t="shared" si="4"/>
        <v>0.2262210796915167</v>
      </c>
      <c r="E15" s="8">
        <f t="shared" si="4"/>
        <v>0.23116767061627061</v>
      </c>
      <c r="F15" s="8">
        <f t="shared" si="4"/>
        <v>0.23618381957610571</v>
      </c>
      <c r="G15" s="8">
        <f t="shared" si="4"/>
        <v>0.25844067976492124</v>
      </c>
      <c r="H15" s="8">
        <f t="shared" si="4"/>
        <v>0.23793067214626801</v>
      </c>
      <c r="I15" s="8">
        <f t="shared" si="4"/>
        <v>0.22304250118277874</v>
      </c>
      <c r="J15" s="8">
        <f t="shared" si="4"/>
        <v>0.22017413772711145</v>
      </c>
      <c r="K15" s="8">
        <f t="shared" si="4"/>
        <v>0.21788902652599207</v>
      </c>
      <c r="L15" s="8">
        <f t="shared" si="4"/>
        <v>0.20555692156380626</v>
      </c>
      <c r="M15" s="61">
        <f>IFERROR(M14/M5,0)</f>
        <v>0.19500000000000003</v>
      </c>
      <c r="N15" s="61">
        <f>IFERROR(N14/N5,0)</f>
        <v>0.19500000000000003</v>
      </c>
      <c r="O15" s="61">
        <f>IFERROR(O14/O5,0)</f>
        <v>0.19499999999999998</v>
      </c>
      <c r="P15" s="61">
        <f>IFERROR(P14/P5,0)</f>
        <v>0.19500000000000003</v>
      </c>
    </row>
    <row r="16" spans="1:16">
      <c r="A16" s="2" t="s">
        <v>123</v>
      </c>
      <c r="B16" s="2">
        <v>445.37462213155032</v>
      </c>
      <c r="C16" s="2">
        <v>834</v>
      </c>
      <c r="D16" s="2">
        <v>1452</v>
      </c>
      <c r="E16" s="2">
        <v>2148</v>
      </c>
      <c r="F16" s="2">
        <v>2840</v>
      </c>
      <c r="G16" s="2">
        <v>3985</v>
      </c>
      <c r="H16" s="2">
        <v>4181</v>
      </c>
      <c r="I16" s="2">
        <v>4144</v>
      </c>
      <c r="J16" s="2">
        <v>4173</v>
      </c>
      <c r="K16" s="2">
        <v>4084</v>
      </c>
      <c r="L16" s="2">
        <v>4355</v>
      </c>
      <c r="M16" s="59">
        <f>M5*Assumptions!M15</f>
        <v>4752.8115568309213</v>
      </c>
      <c r="N16" s="59">
        <f>N5*Assumptions!N15</f>
        <v>4956.4861104070214</v>
      </c>
      <c r="O16" s="59">
        <f>O5*Assumptions!O15</f>
        <v>5201.4290613300609</v>
      </c>
      <c r="P16" s="59">
        <f>P5*Assumptions!P15</f>
        <v>5477.0179252109474</v>
      </c>
    </row>
    <row r="17" spans="1:16">
      <c r="A17" s="12" t="s">
        <v>104</v>
      </c>
      <c r="B17" s="13">
        <v>6249.0284127291416</v>
      </c>
      <c r="C17" s="13">
        <v>9475</v>
      </c>
      <c r="D17" s="13">
        <v>9988</v>
      </c>
      <c r="E17" s="13">
        <v>11821</v>
      </c>
      <c r="F17" s="13">
        <v>13853</v>
      </c>
      <c r="G17" s="13">
        <v>15496</v>
      </c>
      <c r="H17" s="13">
        <v>16198</v>
      </c>
      <c r="I17" s="13">
        <v>18485</v>
      </c>
      <c r="J17" s="13">
        <v>20027</v>
      </c>
      <c r="K17" s="13">
        <v>21421</v>
      </c>
      <c r="L17" s="13">
        <v>22397</v>
      </c>
      <c r="M17" s="62">
        <f>M14-M16</f>
        <v>21727.138545512782</v>
      </c>
      <c r="N17" s="62">
        <f>N14-N16</f>
        <v>22658.222219003525</v>
      </c>
      <c r="O17" s="62">
        <f>O14-O16</f>
        <v>23777.961423223132</v>
      </c>
      <c r="P17" s="62">
        <f>P14-P16</f>
        <v>25037.796229535761</v>
      </c>
    </row>
    <row r="18" spans="1:16">
      <c r="A18" s="2" t="s">
        <v>108</v>
      </c>
      <c r="B18" s="8">
        <f t="shared" ref="B18:L18" si="5">B17/B5</f>
        <v>0.20070106669864921</v>
      </c>
      <c r="C18" s="8">
        <f t="shared" si="5"/>
        <v>0.20279525705235221</v>
      </c>
      <c r="D18" s="8">
        <f t="shared" si="5"/>
        <v>0.19750840419220883</v>
      </c>
      <c r="E18" s="8">
        <f t="shared" si="5"/>
        <v>0.19562123518898525</v>
      </c>
      <c r="F18" s="8">
        <f t="shared" si="5"/>
        <v>0.19600158465151815</v>
      </c>
      <c r="G18" s="8">
        <f t="shared" si="5"/>
        <v>0.20557449687578769</v>
      </c>
      <c r="H18" s="8">
        <f t="shared" si="5"/>
        <v>0.18911629753301187</v>
      </c>
      <c r="I18" s="8">
        <f t="shared" si="5"/>
        <v>0.18219720864217001</v>
      </c>
      <c r="J18" s="8">
        <f t="shared" si="5"/>
        <v>0.18220774612648186</v>
      </c>
      <c r="K18" s="8">
        <f t="shared" si="5"/>
        <v>0.18299944470548032</v>
      </c>
      <c r="L18" s="8">
        <f t="shared" si="5"/>
        <v>0.1720939881976887</v>
      </c>
      <c r="M18" s="61">
        <f>IFERROR(M17/M5,0)</f>
        <v>0.16</v>
      </c>
      <c r="N18" s="61">
        <f>IFERROR(N17/N5,0)</f>
        <v>0.16</v>
      </c>
      <c r="O18" s="61">
        <f>IFERROR(O17/O5,0)</f>
        <v>0.15999999999999998</v>
      </c>
      <c r="P18" s="61">
        <f>IFERROR(P17/P5,0)</f>
        <v>0.16000000000000003</v>
      </c>
    </row>
    <row r="19" spans="1:16">
      <c r="A19" s="2" t="s">
        <v>156</v>
      </c>
      <c r="B19" s="2">
        <v>797.63206409244663</v>
      </c>
      <c r="C19" s="2">
        <v>934</v>
      </c>
      <c r="D19" s="2">
        <v>1111</v>
      </c>
      <c r="E19" s="2">
        <v>805</v>
      </c>
      <c r="F19" s="2">
        <v>179</v>
      </c>
      <c r="G19" s="2">
        <v>657</v>
      </c>
      <c r="H19" s="2">
        <v>777</v>
      </c>
      <c r="I19" s="2">
        <v>1003</v>
      </c>
      <c r="J19" s="2">
        <v>940</v>
      </c>
      <c r="K19" s="2">
        <v>1841</v>
      </c>
      <c r="L19" s="2">
        <v>661</v>
      </c>
      <c r="M19" s="59">
        <f>'Annual Balance Sheet'!L5*Assumptions!M38</f>
        <v>1256.04</v>
      </c>
      <c r="N19" s="59">
        <f>'Annual Balance Sheet'!M5*Assumptions!N38</f>
        <v>1335.1782112041039</v>
      </c>
      <c r="O19" s="59">
        <f>'Annual Balance Sheet'!N5*Assumptions!O38</f>
        <v>-993.40068618168857</v>
      </c>
      <c r="P19" s="59">
        <f>'Annual Balance Sheet'!O5*Assumptions!P38</f>
        <v>-3549.665593847225</v>
      </c>
    </row>
    <row r="20" spans="1:16">
      <c r="A20" s="2" t="s">
        <v>157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59">
        <f>AVERAGE('Annual Balance Sheet'!L14,'Annual Balance Sheet'!M14)*Assumptions!M39</f>
        <v>417.2</v>
      </c>
      <c r="N20" s="59">
        <f>AVERAGE('Annual Balance Sheet'!M14,'Annual Balance Sheet'!N14)*Assumptions!N39</f>
        <v>417.2</v>
      </c>
      <c r="O20" s="59">
        <f>AVERAGE('Annual Balance Sheet'!N14,'Annual Balance Sheet'!O14)*Assumptions!O39</f>
        <v>417.2</v>
      </c>
      <c r="P20" s="59">
        <f>AVERAGE('Annual Balance Sheet'!O14,'Annual Balance Sheet'!P14)*Assumptions!P39</f>
        <v>417.2</v>
      </c>
    </row>
    <row r="21" spans="1:16">
      <c r="A21" s="12" t="s">
        <v>110</v>
      </c>
      <c r="B21" s="13">
        <v>7046.6604768215884</v>
      </c>
      <c r="C21" s="13">
        <v>10409</v>
      </c>
      <c r="D21" s="13">
        <v>11099</v>
      </c>
      <c r="E21" s="13">
        <v>12626</v>
      </c>
      <c r="F21" s="13">
        <v>14032</v>
      </c>
      <c r="G21" s="13">
        <v>16153</v>
      </c>
      <c r="H21" s="13">
        <v>16975</v>
      </c>
      <c r="I21" s="13">
        <v>19488</v>
      </c>
      <c r="J21" s="13">
        <v>20967</v>
      </c>
      <c r="K21" s="13">
        <v>23262</v>
      </c>
      <c r="L21" s="13">
        <v>23058</v>
      </c>
      <c r="M21" s="62">
        <f>M17+M19-M20</f>
        <v>22565.978545512782</v>
      </c>
      <c r="N21" s="62">
        <f>N17+N19-N20</f>
        <v>23576.200430207628</v>
      </c>
      <c r="O21" s="62">
        <f>O17+O19-O20</f>
        <v>22367.360737041443</v>
      </c>
      <c r="P21" s="62">
        <f>P17+P19-P20</f>
        <v>21070.930635688535</v>
      </c>
    </row>
    <row r="22" spans="1:16">
      <c r="A22" s="2" t="s">
        <v>111</v>
      </c>
      <c r="B22" s="8">
        <f t="shared" ref="B22:L22" si="6">B21/B5</f>
        <v>0.22631874604385882</v>
      </c>
      <c r="C22" s="8">
        <f t="shared" si="6"/>
        <v>0.22278583964727539</v>
      </c>
      <c r="D22" s="8">
        <f t="shared" si="6"/>
        <v>0.21947795135455803</v>
      </c>
      <c r="E22" s="8">
        <f t="shared" si="6"/>
        <v>0.20894287416429469</v>
      </c>
      <c r="F22" s="8">
        <f t="shared" si="6"/>
        <v>0.19853419734570871</v>
      </c>
      <c r="G22" s="8">
        <f t="shared" si="6"/>
        <v>0.21429045224797358</v>
      </c>
      <c r="H22" s="8">
        <f t="shared" si="6"/>
        <v>0.19818799546998866</v>
      </c>
      <c r="I22" s="8">
        <f t="shared" si="6"/>
        <v>0.19208326762340325</v>
      </c>
      <c r="J22" s="8">
        <f t="shared" si="6"/>
        <v>0.19075996469935314</v>
      </c>
      <c r="K22" s="8">
        <f t="shared" si="6"/>
        <v>0.19872709410106359</v>
      </c>
      <c r="L22" s="8">
        <f t="shared" si="6"/>
        <v>0.17717297762478484</v>
      </c>
      <c r="M22" s="61">
        <f>IFERROR(M21/M5,0)</f>
        <v>0.16617726994831167</v>
      </c>
      <c r="N22" s="61">
        <f>IFERROR(N21/N5,0)</f>
        <v>0.16648226115769449</v>
      </c>
      <c r="O22" s="61">
        <f>IFERROR(O21/O5,0)</f>
        <v>0.1505081808414139</v>
      </c>
      <c r="P22" s="61">
        <f>IFERROR(P21/P5,0)</f>
        <v>0.13465038499407406</v>
      </c>
    </row>
    <row r="23" spans="1:16">
      <c r="A23" s="2" t="s">
        <v>112</v>
      </c>
      <c r="B23" s="2">
        <v>1477.5625511890757</v>
      </c>
      <c r="C23" s="2">
        <v>1952</v>
      </c>
      <c r="D23" s="2">
        <v>2317</v>
      </c>
      <c r="E23" s="2">
        <v>2481</v>
      </c>
      <c r="F23" s="2">
        <v>2938</v>
      </c>
      <c r="G23" s="2">
        <v>3663</v>
      </c>
      <c r="H23" s="2">
        <v>3443</v>
      </c>
      <c r="I23" s="2">
        <v>4642</v>
      </c>
      <c r="J23" s="2">
        <v>5257</v>
      </c>
      <c r="K23" s="2">
        <v>5862</v>
      </c>
      <c r="L23" s="2">
        <v>5687</v>
      </c>
      <c r="M23" s="59">
        <f>M21*Assumptions!M17</f>
        <v>5641.4946363781955</v>
      </c>
      <c r="N23" s="59">
        <f>N21*Assumptions!N17</f>
        <v>5894.0501075519069</v>
      </c>
      <c r="O23" s="59">
        <f>O21*Assumptions!O17</f>
        <v>5591.8401842603607</v>
      </c>
      <c r="P23" s="59">
        <f>P21*Assumptions!P17</f>
        <v>5267.7326589221339</v>
      </c>
    </row>
    <row r="24" spans="1:16">
      <c r="A24" s="2" t="s">
        <v>56</v>
      </c>
      <c r="B24" s="8">
        <f t="shared" ref="B24:L24" si="7">B23/B21</f>
        <v>0.20968266543409986</v>
      </c>
      <c r="C24" s="8">
        <f t="shared" si="7"/>
        <v>0.18753002209626285</v>
      </c>
      <c r="D24" s="8">
        <f t="shared" si="7"/>
        <v>0.20875754572484007</v>
      </c>
      <c r="E24" s="8">
        <f t="shared" si="7"/>
        <v>0.19649928718517345</v>
      </c>
      <c r="F24" s="8">
        <f t="shared" si="7"/>
        <v>0.20937856328392246</v>
      </c>
      <c r="G24" s="8">
        <f t="shared" si="7"/>
        <v>0.22676902123444562</v>
      </c>
      <c r="H24" s="8">
        <f t="shared" si="7"/>
        <v>0.20282768777614138</v>
      </c>
      <c r="I24" s="8">
        <f t="shared" si="7"/>
        <v>0.23819786535303777</v>
      </c>
      <c r="J24" s="8">
        <f t="shared" si="7"/>
        <v>0.25072733342872133</v>
      </c>
      <c r="K24" s="8">
        <f t="shared" si="7"/>
        <v>0.25199896827443902</v>
      </c>
      <c r="L24" s="8">
        <f t="shared" si="7"/>
        <v>0.24663891057333681</v>
      </c>
      <c r="M24" s="61">
        <f>IFERROR(M23/M21,0)</f>
        <v>0.25</v>
      </c>
      <c r="N24" s="61">
        <f>IFERROR(N23/N21,0)</f>
        <v>0.25</v>
      </c>
      <c r="O24" s="61">
        <f>IFERROR(O23/O21,0)</f>
        <v>0.25</v>
      </c>
      <c r="P24" s="61">
        <f>IFERROR(P23/P21,0)</f>
        <v>0.25</v>
      </c>
    </row>
    <row r="25" spans="1:16">
      <c r="A25" s="12" t="s">
        <v>105</v>
      </c>
      <c r="B25" s="13">
        <v>5569.0979256325118</v>
      </c>
      <c r="C25" s="13">
        <v>8457</v>
      </c>
      <c r="D25" s="13">
        <v>8782</v>
      </c>
      <c r="E25" s="13">
        <v>10123</v>
      </c>
      <c r="F25" s="13">
        <v>11062</v>
      </c>
      <c r="G25" s="13">
        <v>12433</v>
      </c>
      <c r="H25" s="13">
        <v>13500</v>
      </c>
      <c r="I25" s="13">
        <v>14851</v>
      </c>
      <c r="J25" s="13">
        <v>15702</v>
      </c>
      <c r="K25" s="13">
        <v>17391</v>
      </c>
      <c r="L25" s="13">
        <v>17361</v>
      </c>
      <c r="M25" s="62">
        <f>M21-M23</f>
        <v>16924.483909134586</v>
      </c>
      <c r="N25" s="62">
        <f>N21-N23</f>
        <v>17682.150322655722</v>
      </c>
      <c r="O25" s="62">
        <f>O21-O23</f>
        <v>16775.520552781083</v>
      </c>
      <c r="P25" s="62">
        <f>P21-P23</f>
        <v>15803.197976766402</v>
      </c>
    </row>
    <row r="26" spans="1:16">
      <c r="A26" s="2" t="s">
        <v>113</v>
      </c>
      <c r="B26" s="8">
        <f t="shared" ref="B26:L26" si="8">B25/B5</f>
        <v>0.17886362813567933</v>
      </c>
      <c r="C26" s="8">
        <f t="shared" si="8"/>
        <v>0.18100680621548734</v>
      </c>
      <c r="D26" s="8">
        <f t="shared" si="8"/>
        <v>0.17366027288906466</v>
      </c>
      <c r="E26" s="8">
        <f t="shared" si="8"/>
        <v>0.16752167869199708</v>
      </c>
      <c r="F26" s="8">
        <f t="shared" si="8"/>
        <v>0.15651263476612243</v>
      </c>
      <c r="G26" s="8">
        <f t="shared" si="8"/>
        <v>0.16493983735523157</v>
      </c>
      <c r="H26" s="8">
        <f t="shared" si="8"/>
        <v>0.15761637342237686</v>
      </c>
      <c r="I26" s="8">
        <f t="shared" si="8"/>
        <v>0.14637872575303579</v>
      </c>
      <c r="J26" s="8">
        <f t="shared" si="8"/>
        <v>0.14285844258640926</v>
      </c>
      <c r="K26" s="8">
        <f t="shared" si="8"/>
        <v>0.14857118448592541</v>
      </c>
      <c r="L26" s="8">
        <f t="shared" si="8"/>
        <v>0.13339838947627244</v>
      </c>
      <c r="M26" s="61">
        <f>IFERROR(M25/M5,0)</f>
        <v>0.12463295246123375</v>
      </c>
      <c r="N26" s="61">
        <f>IFERROR(N25/N5,0)</f>
        <v>0.12486169586827087</v>
      </c>
      <c r="O26" s="61">
        <f>IFERROR(O25/O5,0)</f>
        <v>0.11288113563106042</v>
      </c>
      <c r="P26" s="61">
        <f>IFERROR(P25/P5,0)</f>
        <v>0.10098778874555556</v>
      </c>
    </row>
    <row r="27" spans="1:16">
      <c r="A27" s="2" t="s">
        <v>158</v>
      </c>
      <c r="B27" s="2">
        <v>282.47794207134643</v>
      </c>
      <c r="C27" s="2">
        <v>282.57437603897989</v>
      </c>
      <c r="D27" s="2">
        <v>280.72293431367598</v>
      </c>
      <c r="E27" s="2">
        <v>275.20402377485095</v>
      </c>
      <c r="F27" s="2">
        <v>271.35943018581946</v>
      </c>
      <c r="G27" s="2">
        <v>271.36650960000003</v>
      </c>
      <c r="H27" s="2">
        <v>271.23129744737332</v>
      </c>
      <c r="I27" s="2">
        <v>270.96682639851196</v>
      </c>
      <c r="J27" s="2">
        <v>271.28541810642707</v>
      </c>
      <c r="K27" s="2">
        <v>271.25253854477143</v>
      </c>
      <c r="L27" s="2">
        <v>271.18607993437132</v>
      </c>
      <c r="M27" s="59">
        <f>L27*(1+Assumptions!M23)</f>
        <v>271.18607993437132</v>
      </c>
      <c r="N27" s="59">
        <f>M27*(1+Assumptions!N23)</f>
        <v>271.18607993437132</v>
      </c>
      <c r="O27" s="59">
        <f>N27*(1+Assumptions!O23)</f>
        <v>271.18607993437132</v>
      </c>
      <c r="P27" s="59">
        <f>O27*(1+Assumptions!P23)</f>
        <v>271.18607993437132</v>
      </c>
    </row>
    <row r="28" spans="1:16">
      <c r="A28" s="2" t="s">
        <v>159</v>
      </c>
      <c r="B28" s="2">
        <v>282.47794207134643</v>
      </c>
      <c r="C28" s="2">
        <v>282.57437603897989</v>
      </c>
      <c r="D28" s="2">
        <v>280.72293431367598</v>
      </c>
      <c r="E28" s="2">
        <v>275.20402377485095</v>
      </c>
      <c r="F28" s="2">
        <v>271.35943018581946</v>
      </c>
      <c r="G28" s="2">
        <v>271.36650960000003</v>
      </c>
      <c r="H28" s="2">
        <v>271.23129744737332</v>
      </c>
      <c r="I28" s="2">
        <v>270.96682639851196</v>
      </c>
      <c r="J28" s="2">
        <v>271.28541810642707</v>
      </c>
      <c r="K28" s="2">
        <v>271.25253854477143</v>
      </c>
      <c r="L28" s="2">
        <v>271.18607993437132</v>
      </c>
      <c r="M28" s="59">
        <f>M27*(1+Assumptions!M24)</f>
        <v>271.72845209424008</v>
      </c>
      <c r="N28" s="59">
        <f>N27*(1+Assumptions!N24)</f>
        <v>271.72845209424008</v>
      </c>
      <c r="O28" s="59">
        <f>O27*(1+Assumptions!O24)</f>
        <v>271.72845209424008</v>
      </c>
      <c r="P28" s="59">
        <f>P27*(1+Assumptions!P24)</f>
        <v>271.72845209424008</v>
      </c>
    </row>
    <row r="29" spans="1:16">
      <c r="A29" s="12" t="s">
        <v>160</v>
      </c>
      <c r="B29" s="14">
        <f t="shared" ref="B29:P29" si="9">B25/B27</f>
        <v>19.715160358347219</v>
      </c>
      <c r="C29" s="14">
        <f t="shared" si="9"/>
        <v>29.928403695151022</v>
      </c>
      <c r="D29" s="14">
        <f t="shared" si="9"/>
        <v>31.283514549570477</v>
      </c>
      <c r="E29" s="14">
        <f t="shared" si="9"/>
        <v>36.783619153336936</v>
      </c>
      <c r="F29" s="14">
        <f t="shared" si="9"/>
        <v>40.765120977830207</v>
      </c>
      <c r="G29" s="14">
        <f t="shared" si="9"/>
        <v>45.816265309696853</v>
      </c>
      <c r="H29" s="14">
        <f t="shared" si="9"/>
        <v>49.773017078235185</v>
      </c>
      <c r="I29" s="14">
        <f t="shared" si="9"/>
        <v>54.807447086377195</v>
      </c>
      <c r="J29" s="14">
        <f t="shared" si="9"/>
        <v>57.88</v>
      </c>
      <c r="K29" s="14">
        <f t="shared" si="9"/>
        <v>64.113685694150803</v>
      </c>
      <c r="L29" s="14">
        <f t="shared" si="9"/>
        <v>64.018772660460556</v>
      </c>
      <c r="M29" s="63">
        <f t="shared" si="9"/>
        <v>62.409117434163335</v>
      </c>
      <c r="N29" s="63">
        <f t="shared" si="9"/>
        <v>65.203016050583827</v>
      </c>
      <c r="O29" s="63">
        <f t="shared" si="9"/>
        <v>61.859814326903731</v>
      </c>
      <c r="P29" s="63">
        <f t="shared" si="9"/>
        <v>58.274370058341013</v>
      </c>
    </row>
    <row r="30" spans="1:16">
      <c r="A30" s="12" t="s">
        <v>161</v>
      </c>
      <c r="B30" s="14">
        <v>19.715160358347219</v>
      </c>
      <c r="C30" s="14">
        <v>29.928403695151019</v>
      </c>
      <c r="D30" s="14">
        <v>31.28351454957048</v>
      </c>
      <c r="E30" s="14">
        <v>36.783619153336936</v>
      </c>
      <c r="F30" s="14">
        <v>40.765120977830207</v>
      </c>
      <c r="G30" s="14">
        <v>45.81626530969686</v>
      </c>
      <c r="H30" s="14">
        <v>49.773017078235185</v>
      </c>
      <c r="I30" s="14">
        <v>54.807447086377195</v>
      </c>
      <c r="J30" s="14">
        <v>57.88000000000001</v>
      </c>
      <c r="K30" s="14">
        <v>64.113685694150803</v>
      </c>
      <c r="L30" s="14">
        <v>64.018772660460556</v>
      </c>
      <c r="M30" s="63">
        <f>M25/M28</f>
        <v>62.28454833748836</v>
      </c>
      <c r="N30" s="63">
        <f>N25/N28</f>
        <v>65.072870309963889</v>
      </c>
      <c r="O30" s="63">
        <f>O25/O28</f>
        <v>61.736341643616491</v>
      </c>
      <c r="P30" s="63">
        <f>P25/P28</f>
        <v>58.158053950440134</v>
      </c>
    </row>
    <row r="31" spans="1:16">
      <c r="M31" s="64"/>
      <c r="N31" s="64"/>
      <c r="O31" s="64"/>
      <c r="P31" s="64"/>
    </row>
    <row r="32" spans="1:16">
      <c r="M32" s="64"/>
      <c r="N32" s="64"/>
      <c r="O32" s="64"/>
      <c r="P32" s="64"/>
    </row>
    <row r="33" spans="13:16">
      <c r="M33" s="64"/>
      <c r="N33" s="64"/>
      <c r="O33" s="64"/>
      <c r="P33" s="64"/>
    </row>
    <row r="34" spans="13:16">
      <c r="M34" s="64"/>
      <c r="N34" s="64"/>
      <c r="O34" s="64"/>
      <c r="P34" s="64"/>
    </row>
    <row r="35" spans="13:16">
      <c r="M35" s="64"/>
      <c r="N35" s="64"/>
      <c r="O35" s="64"/>
      <c r="P35" s="64"/>
    </row>
    <row r="36" spans="13:16">
      <c r="M36" s="64"/>
      <c r="N36" s="64"/>
      <c r="O36" s="64"/>
      <c r="P36" s="64"/>
    </row>
    <row r="37" spans="13:16">
      <c r="M37" s="64"/>
      <c r="N37" s="64"/>
      <c r="O37" s="64"/>
      <c r="P37" s="64"/>
    </row>
    <row r="38" spans="13:16">
      <c r="M38" s="64"/>
      <c r="N38" s="64"/>
      <c r="O38" s="64"/>
      <c r="P38" s="64"/>
    </row>
    <row r="39" spans="13:16">
      <c r="M39" s="64"/>
      <c r="N39" s="64"/>
      <c r="O39" s="64"/>
      <c r="P39" s="64"/>
    </row>
    <row r="40" spans="13:16">
      <c r="M40" s="64"/>
      <c r="N40" s="64"/>
      <c r="O40" s="64"/>
      <c r="P40" s="64"/>
    </row>
    <row r="41" spans="13:16">
      <c r="M41" s="64"/>
      <c r="N41" s="64"/>
      <c r="O41" s="64"/>
      <c r="P41" s="64"/>
    </row>
    <row r="42" spans="13:16">
      <c r="M42" s="64"/>
      <c r="N42" s="64"/>
      <c r="O42" s="64"/>
      <c r="P42" s="64"/>
    </row>
    <row r="43" spans="13:16">
      <c r="M43" s="64"/>
      <c r="N43" s="64"/>
      <c r="O43" s="64"/>
      <c r="P43" s="64"/>
    </row>
    <row r="44" spans="13:16">
      <c r="M44" s="64"/>
      <c r="N44" s="64"/>
      <c r="O44" s="64"/>
      <c r="P44" s="64"/>
    </row>
    <row r="45" spans="13:16">
      <c r="M45" s="64"/>
      <c r="N45" s="64"/>
      <c r="O45" s="64"/>
      <c r="P45" s="64"/>
    </row>
    <row r="46" spans="13:16">
      <c r="M46" s="64"/>
      <c r="N46" s="64"/>
      <c r="O46" s="64"/>
      <c r="P46" s="64"/>
    </row>
    <row r="47" spans="13:16">
      <c r="M47" s="64"/>
      <c r="N47" s="64"/>
      <c r="O47" s="64"/>
      <c r="P47" s="64"/>
    </row>
    <row r="48" spans="13:16">
      <c r="M48" s="64"/>
      <c r="N48" s="64"/>
      <c r="O48" s="64"/>
      <c r="P48" s="64"/>
    </row>
    <row r="49" spans="13:16">
      <c r="M49" s="64"/>
      <c r="N49" s="64"/>
      <c r="O49" s="64"/>
      <c r="P49" s="64"/>
    </row>
    <row r="50" spans="13:16">
      <c r="M50" s="64"/>
      <c r="N50" s="64"/>
      <c r="O50" s="64"/>
      <c r="P50" s="64"/>
    </row>
    <row r="51" spans="13:16">
      <c r="M51" s="64"/>
      <c r="N51" s="64"/>
      <c r="O51" s="64"/>
      <c r="P51" s="64"/>
    </row>
    <row r="52" spans="13:16">
      <c r="M52" s="64"/>
      <c r="N52" s="64"/>
      <c r="O52" s="64"/>
      <c r="P52" s="64"/>
    </row>
    <row r="53" spans="13:16">
      <c r="M53" s="64"/>
      <c r="N53" s="64"/>
      <c r="O53" s="64"/>
      <c r="P53" s="64"/>
    </row>
    <row r="54" spans="13:16">
      <c r="M54" s="64"/>
      <c r="N54" s="64"/>
      <c r="O54" s="64"/>
      <c r="P54" s="64"/>
    </row>
    <row r="55" spans="13:16">
      <c r="M55" s="64"/>
      <c r="N55" s="64"/>
      <c r="O55" s="64"/>
      <c r="P55" s="64"/>
    </row>
    <row r="56" spans="13:16">
      <c r="M56" s="64"/>
      <c r="N56" s="64"/>
      <c r="O56" s="64"/>
      <c r="P56" s="64"/>
    </row>
    <row r="57" spans="13:16">
      <c r="M57" s="64"/>
      <c r="N57" s="64"/>
      <c r="O57" s="64"/>
      <c r="P57" s="64"/>
    </row>
    <row r="58" spans="13:16">
      <c r="M58" s="64"/>
      <c r="N58" s="64"/>
      <c r="O58" s="64"/>
      <c r="P58" s="64"/>
    </row>
    <row r="59" spans="13:16">
      <c r="M59" s="64"/>
      <c r="N59" s="64"/>
      <c r="O59" s="64"/>
      <c r="P59" s="64"/>
    </row>
    <row r="60" spans="13:16">
      <c r="M60" s="64"/>
      <c r="N60" s="64"/>
      <c r="O60" s="64"/>
      <c r="P60" s="64"/>
    </row>
    <row r="61" spans="13:16">
      <c r="M61" s="64"/>
      <c r="N61" s="64"/>
      <c r="O61" s="64"/>
      <c r="P61" s="64"/>
    </row>
    <row r="62" spans="13:16">
      <c r="M62" s="64"/>
      <c r="N62" s="64"/>
      <c r="O62" s="64"/>
      <c r="P62" s="64"/>
    </row>
    <row r="63" spans="13:16">
      <c r="M63" s="64"/>
      <c r="N63" s="64"/>
      <c r="O63" s="64"/>
      <c r="P63" s="64"/>
    </row>
    <row r="64" spans="13:16">
      <c r="M64" s="64"/>
      <c r="N64" s="64"/>
      <c r="O64" s="64"/>
      <c r="P64" s="64"/>
    </row>
    <row r="65" spans="13:16">
      <c r="M65" s="64"/>
      <c r="N65" s="64"/>
      <c r="O65" s="64"/>
      <c r="P65" s="64"/>
    </row>
    <row r="66" spans="13:16">
      <c r="M66" s="64"/>
      <c r="N66" s="64"/>
      <c r="O66" s="64"/>
      <c r="P66" s="64"/>
    </row>
    <row r="67" spans="13:16">
      <c r="M67" s="64"/>
      <c r="N67" s="64"/>
      <c r="O67" s="64"/>
      <c r="P67" s="64"/>
    </row>
    <row r="68" spans="13:16">
      <c r="M68" s="64"/>
      <c r="N68" s="64"/>
      <c r="O68" s="64"/>
      <c r="P68" s="64"/>
    </row>
    <row r="69" spans="13:16">
      <c r="M69" s="64"/>
      <c r="N69" s="64"/>
      <c r="O69" s="64"/>
      <c r="P69" s="64"/>
    </row>
    <row r="70" spans="13:16">
      <c r="M70" s="64"/>
      <c r="N70" s="64"/>
      <c r="O70" s="64"/>
      <c r="P70" s="64"/>
    </row>
    <row r="71" spans="13:16">
      <c r="M71" s="64"/>
      <c r="N71" s="64"/>
      <c r="O71" s="64"/>
      <c r="P71" s="64"/>
    </row>
    <row r="72" spans="13:16">
      <c r="M72" s="64"/>
      <c r="N72" s="64"/>
      <c r="O72" s="64"/>
      <c r="P72" s="64"/>
    </row>
    <row r="73" spans="13:16">
      <c r="M73" s="64"/>
      <c r="N73" s="64"/>
      <c r="O73" s="64"/>
      <c r="P73" s="64"/>
    </row>
    <row r="74" spans="13:16">
      <c r="M74" s="64"/>
      <c r="N74" s="64"/>
      <c r="O74" s="64"/>
      <c r="P74" s="64"/>
    </row>
    <row r="75" spans="13:16">
      <c r="M75" s="64"/>
      <c r="N75" s="64"/>
      <c r="O75" s="64"/>
      <c r="P75" s="64"/>
    </row>
    <row r="76" spans="13:16">
      <c r="M76" s="64"/>
      <c r="N76" s="64"/>
      <c r="O76" s="64"/>
      <c r="P76" s="64"/>
    </row>
    <row r="77" spans="13:16">
      <c r="M77" s="64"/>
      <c r="N77" s="64"/>
      <c r="O77" s="64"/>
      <c r="P77" s="64"/>
    </row>
    <row r="78" spans="13:16">
      <c r="M78" s="64"/>
      <c r="N78" s="64"/>
      <c r="O78" s="64"/>
      <c r="P78" s="64"/>
    </row>
    <row r="79" spans="13:16">
      <c r="M79" s="64"/>
      <c r="N79" s="64"/>
      <c r="O79" s="64"/>
      <c r="P79" s="64"/>
    </row>
    <row r="80" spans="13:16">
      <c r="M80" s="64"/>
      <c r="N80" s="64"/>
      <c r="O80" s="64"/>
      <c r="P80" s="64"/>
    </row>
    <row r="81" spans="13:16">
      <c r="M81" s="64"/>
      <c r="N81" s="64"/>
      <c r="O81" s="64"/>
      <c r="P81" s="64"/>
    </row>
    <row r="82" spans="13:16">
      <c r="M82" s="64"/>
      <c r="N82" s="64"/>
      <c r="O82" s="64"/>
      <c r="P82" s="64"/>
    </row>
    <row r="83" spans="13:16">
      <c r="M83" s="64"/>
      <c r="N83" s="64"/>
      <c r="O83" s="64"/>
      <c r="P83" s="64"/>
    </row>
    <row r="84" spans="13:16">
      <c r="M84" s="64"/>
      <c r="N84" s="64"/>
      <c r="O84" s="64"/>
      <c r="P84" s="64"/>
    </row>
    <row r="85" spans="13:16">
      <c r="M85" s="64"/>
      <c r="N85" s="64"/>
      <c r="O85" s="64"/>
      <c r="P85" s="64"/>
    </row>
    <row r="86" spans="13:16">
      <c r="M86" s="64"/>
      <c r="N86" s="64"/>
      <c r="O86" s="64"/>
      <c r="P86" s="64"/>
    </row>
    <row r="87" spans="13:16">
      <c r="M87" s="64"/>
      <c r="N87" s="64"/>
      <c r="O87" s="64"/>
      <c r="P87" s="64"/>
    </row>
    <row r="88" spans="13:16">
      <c r="M88" s="64"/>
      <c r="N88" s="64"/>
      <c r="O88" s="64"/>
      <c r="P88" s="64"/>
    </row>
    <row r="89" spans="13:16">
      <c r="M89" s="64"/>
      <c r="N89" s="64"/>
      <c r="O89" s="64"/>
      <c r="P89" s="64"/>
    </row>
    <row r="90" spans="13:16">
      <c r="M90" s="64"/>
      <c r="N90" s="64"/>
      <c r="O90" s="64"/>
      <c r="P90" s="64"/>
    </row>
    <row r="91" spans="13:16">
      <c r="M91" s="64"/>
      <c r="N91" s="64"/>
      <c r="O91" s="64"/>
      <c r="P91" s="64"/>
    </row>
    <row r="92" spans="13:16">
      <c r="M92" s="64"/>
      <c r="N92" s="64"/>
      <c r="O92" s="64"/>
      <c r="P92" s="64"/>
    </row>
    <row r="93" spans="13:16">
      <c r="M93" s="64"/>
      <c r="N93" s="64"/>
      <c r="O93" s="64"/>
      <c r="P93" s="64"/>
    </row>
    <row r="94" spans="13:16">
      <c r="M94" s="64"/>
      <c r="N94" s="64"/>
      <c r="O94" s="64"/>
      <c r="P94" s="64"/>
    </row>
    <row r="95" spans="13:16">
      <c r="M95" s="64"/>
      <c r="N95" s="64"/>
      <c r="O95" s="64"/>
      <c r="P95" s="64"/>
    </row>
    <row r="96" spans="13:16">
      <c r="M96" s="64"/>
      <c r="N96" s="64"/>
      <c r="O96" s="64"/>
      <c r="P96" s="64"/>
    </row>
    <row r="97" spans="13:16">
      <c r="M97" s="64"/>
      <c r="N97" s="64"/>
      <c r="O97" s="64"/>
      <c r="P97" s="64"/>
    </row>
    <row r="98" spans="13:16">
      <c r="M98" s="64"/>
      <c r="N98" s="64"/>
      <c r="O98" s="64"/>
      <c r="P98" s="64"/>
    </row>
    <row r="99" spans="13:16">
      <c r="M99" s="64"/>
      <c r="N99" s="64"/>
      <c r="O99" s="64"/>
      <c r="P99" s="64"/>
    </row>
    <row r="100" spans="13:16">
      <c r="M100" s="64"/>
      <c r="N100" s="64"/>
      <c r="O100" s="64"/>
      <c r="P100" s="64"/>
    </row>
  </sheetData>
  <mergeCells count="2">
    <mergeCell ref="A1:P1"/>
    <mergeCell ref="A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"/>
  <sheetViews>
    <sheetView showGridLines="0" workbookViewId="0">
      <selection sqref="A1:P1"/>
    </sheetView>
  </sheetViews>
  <sheetFormatPr defaultRowHeight="13.8"/>
  <cols>
    <col min="1" max="1" width="50" customWidth="1"/>
    <col min="2" max="16" width="12" customWidth="1"/>
  </cols>
  <sheetData>
    <row r="1" spans="1:16" ht="25.95" customHeight="1">
      <c r="A1" s="112" t="s">
        <v>461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6" ht="22.05" customHeight="1">
      <c r="A2" s="100" t="s">
        <v>462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3"/>
      <c r="N2" s="103"/>
      <c r="O2" s="103"/>
      <c r="P2" s="103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59"/>
      <c r="N3" s="59"/>
      <c r="O3" s="59"/>
      <c r="P3" s="59"/>
    </row>
    <row r="4" spans="1:16">
      <c r="A4" s="85" t="s">
        <v>80</v>
      </c>
      <c r="B4" s="86" t="s">
        <v>29</v>
      </c>
      <c r="C4" s="86" t="s">
        <v>30</v>
      </c>
      <c r="D4" s="86" t="s">
        <v>31</v>
      </c>
      <c r="E4" s="86" t="s">
        <v>32</v>
      </c>
      <c r="F4" s="86" t="s">
        <v>33</v>
      </c>
      <c r="G4" s="86" t="s">
        <v>34</v>
      </c>
      <c r="H4" s="86" t="s">
        <v>35</v>
      </c>
      <c r="I4" s="86" t="s">
        <v>36</v>
      </c>
      <c r="J4" s="86" t="s">
        <v>37</v>
      </c>
      <c r="K4" s="86" t="s">
        <v>38</v>
      </c>
      <c r="L4" s="86" t="s">
        <v>39</v>
      </c>
      <c r="M4" s="86" t="s">
        <v>40</v>
      </c>
      <c r="N4" s="86" t="s">
        <v>41</v>
      </c>
      <c r="O4" s="86" t="s">
        <v>42</v>
      </c>
      <c r="P4" s="86" t="s">
        <v>43</v>
      </c>
    </row>
    <row r="5" spans="1:16">
      <c r="A5" s="2" t="s">
        <v>105</v>
      </c>
      <c r="B5" s="28">
        <v>5569.0979256325118</v>
      </c>
      <c r="C5" s="28">
        <v>8457</v>
      </c>
      <c r="D5" s="28">
        <v>8782</v>
      </c>
      <c r="E5" s="28">
        <v>10123</v>
      </c>
      <c r="F5" s="28">
        <v>11062</v>
      </c>
      <c r="G5" s="28">
        <v>12433</v>
      </c>
      <c r="H5" s="28">
        <v>13500</v>
      </c>
      <c r="I5" s="28">
        <v>14851</v>
      </c>
      <c r="J5" s="28">
        <v>15702</v>
      </c>
      <c r="K5" s="28">
        <v>17391</v>
      </c>
      <c r="L5" s="28">
        <v>17361</v>
      </c>
      <c r="M5" s="87">
        <f>'Annual P&amp;L'!M25</f>
        <v>16924.483909134586</v>
      </c>
      <c r="N5" s="87">
        <f>'Annual P&amp;L'!N25</f>
        <v>17682.150322655722</v>
      </c>
      <c r="O5" s="87">
        <f>'Annual P&amp;L'!O25</f>
        <v>16775.520552781083</v>
      </c>
      <c r="P5" s="87">
        <f>'Annual P&amp;L'!P25</f>
        <v>15803.197976766402</v>
      </c>
    </row>
    <row r="6" spans="1:16">
      <c r="A6" s="2" t="s">
        <v>123</v>
      </c>
      <c r="B6" s="28">
        <v>445.37462213155032</v>
      </c>
      <c r="C6" s="28">
        <v>834</v>
      </c>
      <c r="D6" s="28">
        <v>1452</v>
      </c>
      <c r="E6" s="28">
        <v>2148</v>
      </c>
      <c r="F6" s="28">
        <v>2840</v>
      </c>
      <c r="G6" s="28">
        <v>3985</v>
      </c>
      <c r="H6" s="28">
        <v>4181</v>
      </c>
      <c r="I6" s="28">
        <v>4144</v>
      </c>
      <c r="J6" s="28">
        <v>4173</v>
      </c>
      <c r="K6" s="28">
        <v>4084</v>
      </c>
      <c r="L6" s="28">
        <v>4355</v>
      </c>
      <c r="M6" s="87">
        <f>'Annual P&amp;L'!M16</f>
        <v>4752.8115568309213</v>
      </c>
      <c r="N6" s="87">
        <f>'Annual P&amp;L'!N16</f>
        <v>4956.4861104070214</v>
      </c>
      <c r="O6" s="87">
        <f>'Annual P&amp;L'!O16</f>
        <v>5201.4290613300609</v>
      </c>
      <c r="P6" s="87">
        <f>'Annual P&amp;L'!P16</f>
        <v>5477.0179252109474</v>
      </c>
    </row>
    <row r="7" spans="1:16">
      <c r="A7" s="2" t="s">
        <v>463</v>
      </c>
      <c r="B7" s="28">
        <v>-823.50020103346083</v>
      </c>
      <c r="C7" s="28">
        <v>-934</v>
      </c>
      <c r="D7" s="28">
        <v>-1111</v>
      </c>
      <c r="E7" s="28">
        <v>-805</v>
      </c>
      <c r="F7" s="28">
        <v>-179</v>
      </c>
      <c r="G7" s="28">
        <v>-657</v>
      </c>
      <c r="H7" s="28">
        <v>-777</v>
      </c>
      <c r="I7" s="28">
        <v>-1003</v>
      </c>
      <c r="J7" s="28">
        <v>-940</v>
      </c>
      <c r="K7" s="28">
        <v>-1841</v>
      </c>
      <c r="L7" s="28">
        <v>-661</v>
      </c>
      <c r="M7" s="87">
        <f>0</f>
        <v>0</v>
      </c>
      <c r="N7" s="87">
        <f>0</f>
        <v>0</v>
      </c>
      <c r="O7" s="87">
        <f>0</f>
        <v>0</v>
      </c>
      <c r="P7" s="87">
        <f>0</f>
        <v>0</v>
      </c>
    </row>
    <row r="8" spans="1:16">
      <c r="A8" s="12" t="s">
        <v>464</v>
      </c>
      <c r="B8" s="88">
        <v>0</v>
      </c>
      <c r="C8" s="88">
        <v>0</v>
      </c>
      <c r="D8" s="88">
        <v>0</v>
      </c>
      <c r="E8" s="88">
        <v>0</v>
      </c>
      <c r="F8" s="88">
        <v>0</v>
      </c>
      <c r="G8" s="88">
        <v>0</v>
      </c>
      <c r="H8" s="88">
        <v>0</v>
      </c>
      <c r="I8" s="88">
        <v>0</v>
      </c>
      <c r="J8" s="88">
        <v>0</v>
      </c>
      <c r="K8" s="88">
        <v>0</v>
      </c>
      <c r="L8" s="88">
        <v>0</v>
      </c>
      <c r="M8" s="89">
        <f>-('Annual Balance Sheet'!M6-'Annual Balance Sheet'!L6)</f>
        <v>8633.7164258210942</v>
      </c>
      <c r="N8" s="89">
        <f>-('Annual Balance Sheet'!N6-'Annual Balance Sheet'!M6)</f>
        <v>-1307.3435141479567</v>
      </c>
      <c r="O8" s="89">
        <f>-('Annual Balance Sheet'!O6-'Annual Balance Sheet'!N6)</f>
        <v>-1572.2365538700069</v>
      </c>
      <c r="P8" s="89">
        <f>-('Annual Balance Sheet'!P6-'Annual Balance Sheet'!O6)</f>
        <v>-1768.946132151279</v>
      </c>
    </row>
    <row r="9" spans="1:16">
      <c r="A9" s="2" t="s">
        <v>465</v>
      </c>
      <c r="B9" s="28">
        <f t="shared" ref="B9:L9" si="0">IFERROR(B8/B5,0)</f>
        <v>0</v>
      </c>
      <c r="C9" s="28">
        <f t="shared" si="0"/>
        <v>0</v>
      </c>
      <c r="D9" s="28">
        <f t="shared" si="0"/>
        <v>0</v>
      </c>
      <c r="E9" s="28">
        <f t="shared" si="0"/>
        <v>0</v>
      </c>
      <c r="F9" s="28">
        <f t="shared" si="0"/>
        <v>0</v>
      </c>
      <c r="G9" s="28">
        <f t="shared" si="0"/>
        <v>0</v>
      </c>
      <c r="H9" s="28">
        <f t="shared" si="0"/>
        <v>0</v>
      </c>
      <c r="I9" s="28">
        <f t="shared" si="0"/>
        <v>0</v>
      </c>
      <c r="J9" s="28">
        <f t="shared" si="0"/>
        <v>0</v>
      </c>
      <c r="K9" s="28">
        <f t="shared" si="0"/>
        <v>0</v>
      </c>
      <c r="L9" s="28">
        <f t="shared" si="0"/>
        <v>0</v>
      </c>
      <c r="M9" s="87">
        <f>-('Annual Balance Sheet'!M7-'Annual Balance Sheet'!L7)</f>
        <v>51530.753772676311</v>
      </c>
      <c r="N9" s="87">
        <f>-('Annual Balance Sheet'!N7-'Annual Balance Sheet'!M7)</f>
        <v>-814.69821430440061</v>
      </c>
      <c r="O9" s="87">
        <f>-('Annual Balance Sheet'!O7-'Annual Balance Sheet'!N7)</f>
        <v>-979.77180369215785</v>
      </c>
      <c r="P9" s="87">
        <f>-('Annual Balance Sheet'!P7-'Annual Balance Sheet'!O7)</f>
        <v>-1102.355455523546</v>
      </c>
    </row>
    <row r="10" spans="1:16">
      <c r="A10" s="2" t="s">
        <v>466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87">
        <f>'Annual Balance Sheet'!M13-'Annual Balance Sheet'!L13</f>
        <v>-5384.9691362981212</v>
      </c>
      <c r="N10" s="87">
        <f>'Annual Balance Sheet'!N13-'Annual Balance Sheet'!M13</f>
        <v>1047.4691326770844</v>
      </c>
      <c r="O10" s="87">
        <f>'Annual Balance Sheet'!O13-'Annual Balance Sheet'!N13</f>
        <v>1259.7066047470616</v>
      </c>
      <c r="P10" s="87">
        <f>'Annual Balance Sheet'!P13-'Annual Balance Sheet'!O13</f>
        <v>1417.3141571017004</v>
      </c>
    </row>
    <row r="11" spans="1:16">
      <c r="A11" s="2" t="s">
        <v>467</v>
      </c>
      <c r="B11" s="28">
        <v>-1033</v>
      </c>
      <c r="C11" s="28">
        <v>986.5</v>
      </c>
      <c r="D11" s="28">
        <v>-2224.9</v>
      </c>
      <c r="E11" s="28">
        <v>-2315</v>
      </c>
      <c r="F11" s="28">
        <v>5016</v>
      </c>
      <c r="G11" s="28">
        <v>-3645</v>
      </c>
      <c r="H11" s="28">
        <v>-2337</v>
      </c>
      <c r="I11" s="28">
        <v>-2301</v>
      </c>
      <c r="J11" s="28">
        <v>634</v>
      </c>
      <c r="K11" s="28">
        <v>1911</v>
      </c>
      <c r="L11" s="28">
        <v>-1413</v>
      </c>
      <c r="M11" s="87">
        <f>('Annual Balance Sheet'!M15-'Annual Balance Sheet'!L15)-('Annual Balance Sheet'!M11-'Annual Balance Sheet'!L11)</f>
        <v>-92.437309989162713</v>
      </c>
      <c r="N11" s="87">
        <f>('Annual Balance Sheet'!N15-'Annual Balance Sheet'!M15)-('Annual Balance Sheet'!N11-'Annual Balance Sheet'!M11)</f>
        <v>-95.196337367732667</v>
      </c>
      <c r="O11" s="87">
        <f>('Annual Balance Sheet'!O15-'Annual Balance Sheet'!N15)-('Annual Balance Sheet'!O11-'Annual Balance Sheet'!N11)</f>
        <v>-114.4849534834284</v>
      </c>
      <c r="P11" s="87">
        <f>('Annual Balance Sheet'!P15-'Annual Balance Sheet'!O15)-('Annual Balance Sheet'!P11-'Annual Balance Sheet'!O11)</f>
        <v>-128.80868031947193</v>
      </c>
    </row>
    <row r="12" spans="1:16">
      <c r="A12" s="92" t="s">
        <v>126</v>
      </c>
      <c r="B12" s="93">
        <f t="shared" ref="B12:P12" si="1">SUM(B5:B11)</f>
        <v>4157.9723467306012</v>
      </c>
      <c r="C12" s="93">
        <f t="shared" si="1"/>
        <v>9343.5</v>
      </c>
      <c r="D12" s="93">
        <f t="shared" si="1"/>
        <v>6898.1</v>
      </c>
      <c r="E12" s="93">
        <f t="shared" si="1"/>
        <v>9151</v>
      </c>
      <c r="F12" s="93">
        <f t="shared" si="1"/>
        <v>18739</v>
      </c>
      <c r="G12" s="93">
        <f t="shared" si="1"/>
        <v>12116</v>
      </c>
      <c r="H12" s="93">
        <f t="shared" si="1"/>
        <v>14567</v>
      </c>
      <c r="I12" s="93">
        <f t="shared" si="1"/>
        <v>15691</v>
      </c>
      <c r="J12" s="93">
        <f t="shared" si="1"/>
        <v>19569</v>
      </c>
      <c r="K12" s="93">
        <f t="shared" si="1"/>
        <v>21545</v>
      </c>
      <c r="L12" s="93">
        <f t="shared" si="1"/>
        <v>19642</v>
      </c>
      <c r="M12" s="93">
        <f t="shared" si="1"/>
        <v>76364.359218175625</v>
      </c>
      <c r="N12" s="93">
        <f t="shared" si="1"/>
        <v>21468.867499919739</v>
      </c>
      <c r="O12" s="93">
        <f t="shared" si="1"/>
        <v>20570.162907812613</v>
      </c>
      <c r="P12" s="93">
        <f t="shared" si="1"/>
        <v>19697.419791084754</v>
      </c>
    </row>
    <row r="13" spans="1:16">
      <c r="A13" s="2" t="s">
        <v>369</v>
      </c>
      <c r="B13" s="8">
        <f t="shared" ref="B13:P13" si="2">IFERROR(B12/B5,0)</f>
        <v>0.74661505368633974</v>
      </c>
      <c r="C13" s="8">
        <f t="shared" si="2"/>
        <v>1.1048244058176659</v>
      </c>
      <c r="D13" s="8">
        <f t="shared" si="2"/>
        <v>0.78548166704623101</v>
      </c>
      <c r="E13" s="8">
        <f t="shared" si="2"/>
        <v>0.90398103329052648</v>
      </c>
      <c r="F13" s="8">
        <f t="shared" si="2"/>
        <v>1.6939974688121497</v>
      </c>
      <c r="G13" s="8">
        <f t="shared" si="2"/>
        <v>0.97450333789109622</v>
      </c>
      <c r="H13" s="8">
        <f t="shared" si="2"/>
        <v>1.079037037037037</v>
      </c>
      <c r="I13" s="8">
        <f t="shared" si="2"/>
        <v>1.0565618476870244</v>
      </c>
      <c r="J13" s="8">
        <f t="shared" si="2"/>
        <v>1.2462743599541459</v>
      </c>
      <c r="K13" s="8">
        <f t="shared" si="2"/>
        <v>1.2388591800356505</v>
      </c>
      <c r="L13" s="8">
        <f t="shared" si="2"/>
        <v>1.1313864408732215</v>
      </c>
      <c r="M13" s="61">
        <f t="shared" si="2"/>
        <v>4.5120642749383801</v>
      </c>
      <c r="N13" s="61">
        <f t="shared" si="2"/>
        <v>1.2141547893308082</v>
      </c>
      <c r="O13" s="61">
        <f t="shared" si="2"/>
        <v>1.2262011687263228</v>
      </c>
      <c r="P13" s="61">
        <f t="shared" si="2"/>
        <v>1.2464198588186755</v>
      </c>
    </row>
    <row r="14" spans="1:16">
      <c r="A14" s="2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87"/>
      <c r="N14" s="87"/>
      <c r="O14" s="87"/>
      <c r="P14" s="87"/>
    </row>
    <row r="15" spans="1:16">
      <c r="A15" s="2" t="s">
        <v>468</v>
      </c>
      <c r="B15" s="28">
        <v>-2164.2746221315501</v>
      </c>
      <c r="C15" s="28">
        <v>-6197.7</v>
      </c>
      <c r="D15" s="28">
        <v>-4936.2</v>
      </c>
      <c r="E15" s="28">
        <v>-6053.6</v>
      </c>
      <c r="F15" s="28">
        <v>-17633</v>
      </c>
      <c r="G15" s="28">
        <v>-3483</v>
      </c>
      <c r="H15" s="28">
        <v>-1600</v>
      </c>
      <c r="I15" s="28">
        <v>-3597</v>
      </c>
      <c r="J15" s="28">
        <v>-4685</v>
      </c>
      <c r="K15" s="28">
        <v>-5144</v>
      </c>
      <c r="L15" s="28">
        <v>-5563</v>
      </c>
      <c r="M15" s="87">
        <f>-'Annual P&amp;L'!M5*Assumptions!M40</f>
        <v>-2444.3030863701874</v>
      </c>
      <c r="N15" s="87">
        <f>-'Annual P&amp;L'!N5*Assumptions!N40</f>
        <v>-2549.0499996378962</v>
      </c>
      <c r="O15" s="87">
        <f>-'Annual P&amp;L'!O5*Assumptions!O40</f>
        <v>-2675.0206601126024</v>
      </c>
      <c r="P15" s="87">
        <f>-'Annual P&amp;L'!P5*Assumptions!P40</f>
        <v>-2816.7520758227724</v>
      </c>
    </row>
    <row r="16" spans="1:16">
      <c r="A16" s="12" t="s">
        <v>469</v>
      </c>
      <c r="B16" s="88">
        <v>0</v>
      </c>
      <c r="C16" s="88">
        <v>0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9">
        <f>-'Annual P&amp;L'!M5*Assumptions!M41</f>
        <v>-1357.9461590945489</v>
      </c>
      <c r="N16" s="89">
        <f>-'Annual P&amp;L'!N5*Assumptions!N41</f>
        <v>-1416.1388886877203</v>
      </c>
      <c r="O16" s="89">
        <f>-'Annual P&amp;L'!O5*Assumptions!O41</f>
        <v>-1486.122588951446</v>
      </c>
      <c r="P16" s="89">
        <f>-'Annual P&amp;L'!P5*Assumptions!P41</f>
        <v>-1564.8622643459848</v>
      </c>
    </row>
    <row r="17" spans="1:16">
      <c r="A17" s="2" t="s">
        <v>470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87">
        <f>-'Annual P&amp;L'!M5*Assumptions!M42</f>
        <v>-950.56231136618419</v>
      </c>
      <c r="N17" s="87">
        <f>-'Annual P&amp;L'!N5*Assumptions!N42</f>
        <v>-991.29722208140413</v>
      </c>
      <c r="O17" s="87">
        <f>-'Annual P&amp;L'!O5*Assumptions!O42</f>
        <v>-1040.2858122660123</v>
      </c>
      <c r="P17" s="87">
        <f>-'Annual P&amp;L'!P5*Assumptions!P42</f>
        <v>-1095.4035850421894</v>
      </c>
    </row>
    <row r="18" spans="1:16">
      <c r="A18" s="92" t="s">
        <v>471</v>
      </c>
      <c r="B18" s="93">
        <f t="shared" ref="B18:P18" si="3">SUM(B15:B17)</f>
        <v>-2164.2746221315501</v>
      </c>
      <c r="C18" s="93">
        <f t="shared" si="3"/>
        <v>-6197.7</v>
      </c>
      <c r="D18" s="93">
        <f t="shared" si="3"/>
        <v>-4936.2</v>
      </c>
      <c r="E18" s="93">
        <f t="shared" si="3"/>
        <v>-6053.6</v>
      </c>
      <c r="F18" s="93">
        <f t="shared" si="3"/>
        <v>-17633</v>
      </c>
      <c r="G18" s="93">
        <f t="shared" si="3"/>
        <v>-3483</v>
      </c>
      <c r="H18" s="93">
        <f t="shared" si="3"/>
        <v>-1600</v>
      </c>
      <c r="I18" s="93">
        <f t="shared" si="3"/>
        <v>-3597</v>
      </c>
      <c r="J18" s="93">
        <f t="shared" si="3"/>
        <v>-4685</v>
      </c>
      <c r="K18" s="93">
        <f t="shared" si="3"/>
        <v>-5144</v>
      </c>
      <c r="L18" s="93">
        <f t="shared" si="3"/>
        <v>-5563</v>
      </c>
      <c r="M18" s="93">
        <f t="shared" si="3"/>
        <v>-4752.8115568309204</v>
      </c>
      <c r="N18" s="93">
        <f t="shared" si="3"/>
        <v>-4956.4861104070205</v>
      </c>
      <c r="O18" s="93">
        <f t="shared" si="3"/>
        <v>-5201.42906133006</v>
      </c>
      <c r="P18" s="93">
        <f t="shared" si="3"/>
        <v>-5477.0179252109465</v>
      </c>
    </row>
    <row r="19" spans="1:16">
      <c r="A19" s="2" t="s">
        <v>472</v>
      </c>
      <c r="B19" s="28">
        <v>-960.3</v>
      </c>
      <c r="C19" s="28">
        <f t="shared" ref="C19:P19" si="4">B20</f>
        <v>-3124.5746221315503</v>
      </c>
      <c r="D19" s="28">
        <f t="shared" si="4"/>
        <v>-9322.2746221315501</v>
      </c>
      <c r="E19" s="28">
        <f t="shared" si="4"/>
        <v>-14258.474622131551</v>
      </c>
      <c r="F19" s="28">
        <f t="shared" si="4"/>
        <v>-20312.074622131549</v>
      </c>
      <c r="G19" s="28">
        <f t="shared" si="4"/>
        <v>-37945.074622131549</v>
      </c>
      <c r="H19" s="28">
        <f t="shared" si="4"/>
        <v>-41428.074622131549</v>
      </c>
      <c r="I19" s="28">
        <f t="shared" si="4"/>
        <v>-43028.074622131549</v>
      </c>
      <c r="J19" s="28">
        <f t="shared" si="4"/>
        <v>-46625.074622131549</v>
      </c>
      <c r="K19" s="28">
        <f t="shared" si="4"/>
        <v>-51310.074622131549</v>
      </c>
      <c r="L19" s="28">
        <f t="shared" si="4"/>
        <v>-56454.074622131549</v>
      </c>
      <c r="M19" s="87">
        <f t="shared" si="4"/>
        <v>-62017.074622131549</v>
      </c>
      <c r="N19" s="87">
        <f t="shared" si="4"/>
        <v>-66769.886178962464</v>
      </c>
      <c r="O19" s="87">
        <f t="shared" si="4"/>
        <v>-71726.372289369479</v>
      </c>
      <c r="P19" s="87">
        <f t="shared" si="4"/>
        <v>-76927.801350699534</v>
      </c>
    </row>
    <row r="20" spans="1:16">
      <c r="A20" s="92" t="s">
        <v>132</v>
      </c>
      <c r="B20" s="93">
        <f t="shared" ref="B20:P20" si="5">SUM(B18:B19)</f>
        <v>-3124.5746221315503</v>
      </c>
      <c r="C20" s="93">
        <f t="shared" si="5"/>
        <v>-9322.2746221315501</v>
      </c>
      <c r="D20" s="93">
        <f t="shared" si="5"/>
        <v>-14258.474622131551</v>
      </c>
      <c r="E20" s="93">
        <f t="shared" si="5"/>
        <v>-20312.074622131549</v>
      </c>
      <c r="F20" s="93">
        <f t="shared" si="5"/>
        <v>-37945.074622131549</v>
      </c>
      <c r="G20" s="93">
        <f t="shared" si="5"/>
        <v>-41428.074622131549</v>
      </c>
      <c r="H20" s="93">
        <f t="shared" si="5"/>
        <v>-43028.074622131549</v>
      </c>
      <c r="I20" s="93">
        <f t="shared" si="5"/>
        <v>-46625.074622131549</v>
      </c>
      <c r="J20" s="93">
        <f t="shared" si="5"/>
        <v>-51310.074622131549</v>
      </c>
      <c r="K20" s="93">
        <f t="shared" si="5"/>
        <v>-56454.074622131549</v>
      </c>
      <c r="L20" s="93">
        <f t="shared" si="5"/>
        <v>-62017.074622131549</v>
      </c>
      <c r="M20" s="93">
        <f t="shared" si="5"/>
        <v>-66769.886178962464</v>
      </c>
      <c r="N20" s="93">
        <f t="shared" si="5"/>
        <v>-71726.372289369479</v>
      </c>
      <c r="O20" s="93">
        <f t="shared" si="5"/>
        <v>-76927.801350699534</v>
      </c>
      <c r="P20" s="93">
        <f t="shared" si="5"/>
        <v>-82404.819275910486</v>
      </c>
    </row>
    <row r="21" spans="1:16">
      <c r="A21" s="12"/>
      <c r="B21" s="88">
        <f t="shared" ref="B21:P21" si="6">B8+B10</f>
        <v>0</v>
      </c>
      <c r="C21" s="88">
        <f t="shared" si="6"/>
        <v>0</v>
      </c>
      <c r="D21" s="88">
        <f t="shared" si="6"/>
        <v>0</v>
      </c>
      <c r="E21" s="88">
        <f t="shared" si="6"/>
        <v>0</v>
      </c>
      <c r="F21" s="88">
        <f t="shared" si="6"/>
        <v>0</v>
      </c>
      <c r="G21" s="88">
        <f t="shared" si="6"/>
        <v>0</v>
      </c>
      <c r="H21" s="88">
        <f t="shared" si="6"/>
        <v>0</v>
      </c>
      <c r="I21" s="88">
        <f t="shared" si="6"/>
        <v>0</v>
      </c>
      <c r="J21" s="88">
        <f t="shared" si="6"/>
        <v>0</v>
      </c>
      <c r="K21" s="88">
        <f t="shared" si="6"/>
        <v>0</v>
      </c>
      <c r="L21" s="88">
        <f t="shared" si="6"/>
        <v>0</v>
      </c>
      <c r="M21" s="89">
        <f t="shared" si="6"/>
        <v>3248.747289522973</v>
      </c>
      <c r="N21" s="89">
        <f t="shared" si="6"/>
        <v>-259.87438147087232</v>
      </c>
      <c r="O21" s="89">
        <f t="shared" si="6"/>
        <v>-312.52994912294525</v>
      </c>
      <c r="P21" s="89">
        <f t="shared" si="6"/>
        <v>-351.63197504957861</v>
      </c>
    </row>
    <row r="22" spans="1:16">
      <c r="A22" s="2" t="s">
        <v>370</v>
      </c>
      <c r="B22" s="28">
        <v>504.6</v>
      </c>
      <c r="C22" s="28">
        <v>-431.5</v>
      </c>
      <c r="D22" s="28">
        <v>-104.6</v>
      </c>
      <c r="E22" s="28">
        <v>3548.9</v>
      </c>
      <c r="F22" s="28">
        <v>3578</v>
      </c>
      <c r="G22" s="28">
        <v>-1390</v>
      </c>
      <c r="H22" s="28">
        <v>169</v>
      </c>
      <c r="I22" s="28">
        <v>-1557</v>
      </c>
      <c r="J22" s="28">
        <v>970</v>
      </c>
      <c r="K22" s="28">
        <v>520</v>
      </c>
      <c r="L22" s="28">
        <v>-1061</v>
      </c>
      <c r="M22" s="87">
        <f>0</f>
        <v>0</v>
      </c>
      <c r="N22" s="87">
        <f>0</f>
        <v>0</v>
      </c>
      <c r="O22" s="87">
        <f>0</f>
        <v>0</v>
      </c>
      <c r="P22" s="87">
        <f>0</f>
        <v>0</v>
      </c>
    </row>
    <row r="23" spans="1:16">
      <c r="A23" t="s">
        <v>371</v>
      </c>
      <c r="B23" s="22">
        <v>585.79860540510526</v>
      </c>
      <c r="C23" s="22">
        <v>1092.3822044035521</v>
      </c>
      <c r="D23" s="22">
        <v>-4105.2941771585147</v>
      </c>
      <c r="E23" s="22">
        <v>-3390.9151111349884</v>
      </c>
      <c r="F23" s="22">
        <v>890.11498440132277</v>
      </c>
      <c r="G23" s="22">
        <v>4498.5292496000011</v>
      </c>
      <c r="H23" s="22">
        <v>-1652.5528241724562</v>
      </c>
      <c r="I23" s="22">
        <v>1534.0815852489584</v>
      </c>
      <c r="J23" s="22">
        <v>1253.511210762334</v>
      </c>
      <c r="K23" s="22">
        <v>273.46919125173008</v>
      </c>
      <c r="L23" s="22">
        <v>4415.9498982292835</v>
      </c>
      <c r="M23" s="90">
        <f>0</f>
        <v>0</v>
      </c>
      <c r="N23" s="90">
        <f>0</f>
        <v>0</v>
      </c>
      <c r="O23" s="90">
        <f>0</f>
        <v>0</v>
      </c>
      <c r="P23" s="90">
        <f>0</f>
        <v>0</v>
      </c>
    </row>
    <row r="24" spans="1:16">
      <c r="A24" t="s">
        <v>372</v>
      </c>
      <c r="B24" s="22">
        <v>-2883.396531037617</v>
      </c>
      <c r="C24" s="22">
        <v>-4081.0822044035522</v>
      </c>
      <c r="D24" s="22">
        <v>-1350.3058228414848</v>
      </c>
      <c r="E24" s="22">
        <v>-1324.8848888650125</v>
      </c>
      <c r="F24" s="22">
        <v>-1961.1149844013228</v>
      </c>
      <c r="G24" s="22">
        <v>-7055.5292496000011</v>
      </c>
      <c r="H24" s="22">
        <v>-11932.447175827543</v>
      </c>
      <c r="I24" s="22">
        <v>-12993.081585248958</v>
      </c>
      <c r="J24" s="22">
        <v>-14082.511210762334</v>
      </c>
      <c r="K24" s="22">
        <v>-16262.46919125173</v>
      </c>
      <c r="L24" s="22">
        <v>-16252.949898229283</v>
      </c>
      <c r="M24" s="90">
        <f>-M5*Assumptions!M22</f>
        <v>-7616.0177591105639</v>
      </c>
      <c r="N24" s="90">
        <f>-N5*Assumptions!N22</f>
        <v>-7956.9676451950745</v>
      </c>
      <c r="O24" s="90">
        <f>-O5*Assumptions!O22</f>
        <v>-7548.9842487514879</v>
      </c>
      <c r="P24" s="90">
        <f>-P5*Assumptions!P22</f>
        <v>-7111.4390895448805</v>
      </c>
    </row>
    <row r="25" spans="1:16">
      <c r="A25" t="s">
        <v>473</v>
      </c>
      <c r="B25" s="22">
        <v>823.50020103346083</v>
      </c>
      <c r="C25" s="22">
        <v>934</v>
      </c>
      <c r="D25" s="22">
        <v>1111</v>
      </c>
      <c r="E25" s="22">
        <v>805</v>
      </c>
      <c r="F25" s="22">
        <v>179</v>
      </c>
      <c r="G25" s="22">
        <v>657</v>
      </c>
      <c r="H25" s="22">
        <v>777</v>
      </c>
      <c r="I25" s="22">
        <v>1003</v>
      </c>
      <c r="J25" s="22">
        <v>940</v>
      </c>
      <c r="K25" s="22">
        <v>1841</v>
      </c>
      <c r="L25" s="22">
        <v>661</v>
      </c>
      <c r="M25" s="90">
        <f>0</f>
        <v>0</v>
      </c>
      <c r="N25" s="90">
        <f>0</f>
        <v>0</v>
      </c>
      <c r="O25" s="90">
        <f>0</f>
        <v>0</v>
      </c>
      <c r="P25" s="90">
        <f>0</f>
        <v>0</v>
      </c>
    </row>
    <row r="26" spans="1:16">
      <c r="A26" s="84" t="s">
        <v>134</v>
      </c>
      <c r="B26" s="82">
        <f t="shared" ref="B26:P26" si="7">SUM(B22:B25)</f>
        <v>-969.49772459905103</v>
      </c>
      <c r="C26" s="82">
        <f t="shared" si="7"/>
        <v>-2486.1999999999998</v>
      </c>
      <c r="D26" s="82">
        <f t="shared" si="7"/>
        <v>-4449.2</v>
      </c>
      <c r="E26" s="82">
        <f t="shared" si="7"/>
        <v>-361.90000000000077</v>
      </c>
      <c r="F26" s="82">
        <f t="shared" si="7"/>
        <v>2686</v>
      </c>
      <c r="G26" s="82">
        <f t="shared" si="7"/>
        <v>-3290</v>
      </c>
      <c r="H26" s="82">
        <f t="shared" si="7"/>
        <v>-12639</v>
      </c>
      <c r="I26" s="82">
        <f t="shared" si="7"/>
        <v>-12013</v>
      </c>
      <c r="J26" s="82">
        <f t="shared" si="7"/>
        <v>-10919</v>
      </c>
      <c r="K26" s="82">
        <f t="shared" si="7"/>
        <v>-13628</v>
      </c>
      <c r="L26" s="82">
        <f t="shared" si="7"/>
        <v>-12237</v>
      </c>
      <c r="M26" s="82">
        <f t="shared" si="7"/>
        <v>-7616.0177591105639</v>
      </c>
      <c r="N26" s="82">
        <f t="shared" si="7"/>
        <v>-7956.9676451950745</v>
      </c>
      <c r="O26" s="82">
        <f t="shared" si="7"/>
        <v>-7548.9842487514879</v>
      </c>
      <c r="P26" s="82">
        <f t="shared" si="7"/>
        <v>-7111.4390895448805</v>
      </c>
    </row>
    <row r="27" spans="1:16">
      <c r="A27" t="s">
        <v>474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90">
        <f>0</f>
        <v>0</v>
      </c>
      <c r="N27" s="90">
        <f>0</f>
        <v>0</v>
      </c>
      <c r="O27" s="90">
        <f>0</f>
        <v>0</v>
      </c>
      <c r="P27" s="90">
        <f>0</f>
        <v>0</v>
      </c>
    </row>
    <row r="28" spans="1:16">
      <c r="A28" s="84" t="s">
        <v>138</v>
      </c>
      <c r="B28" s="82">
        <f t="shared" ref="B28:P28" si="8">SUM(B12,B20,B26,B27)</f>
        <v>63.899999999999864</v>
      </c>
      <c r="C28" s="82">
        <f t="shared" si="8"/>
        <v>-2464.9746221315499</v>
      </c>
      <c r="D28" s="82">
        <f t="shared" si="8"/>
        <v>-11809.574622131549</v>
      </c>
      <c r="E28" s="82">
        <f t="shared" si="8"/>
        <v>-11522.974622131551</v>
      </c>
      <c r="F28" s="82">
        <f t="shared" si="8"/>
        <v>-16520.074622131549</v>
      </c>
      <c r="G28" s="82">
        <f t="shared" si="8"/>
        <v>-32602.074622131549</v>
      </c>
      <c r="H28" s="82">
        <f t="shared" si="8"/>
        <v>-41100.074622131549</v>
      </c>
      <c r="I28" s="82">
        <f t="shared" si="8"/>
        <v>-42947.074622131549</v>
      </c>
      <c r="J28" s="82">
        <f t="shared" si="8"/>
        <v>-42660.074622131549</v>
      </c>
      <c r="K28" s="82">
        <f t="shared" si="8"/>
        <v>-48537.074622131549</v>
      </c>
      <c r="L28" s="82">
        <f t="shared" si="8"/>
        <v>-54612.074622131549</v>
      </c>
      <c r="M28" s="82">
        <f t="shared" si="8"/>
        <v>1978.4552801025966</v>
      </c>
      <c r="N28" s="82">
        <f t="shared" si="8"/>
        <v>-58214.472434644813</v>
      </c>
      <c r="O28" s="82">
        <f t="shared" si="8"/>
        <v>-63906.622691638411</v>
      </c>
      <c r="P28" s="82">
        <f t="shared" si="8"/>
        <v>-69818.838574370602</v>
      </c>
    </row>
    <row r="29" spans="1:16">
      <c r="A29" t="s">
        <v>140</v>
      </c>
      <c r="B29" s="22">
        <f>B30-B28</f>
        <v>11788.800000000001</v>
      </c>
      <c r="C29" s="22">
        <f t="shared" ref="C29:P29" si="9">B30</f>
        <v>11852.7</v>
      </c>
      <c r="D29" s="22">
        <f t="shared" si="9"/>
        <v>12681.8</v>
      </c>
      <c r="E29" s="22">
        <f t="shared" si="9"/>
        <v>10273.1</v>
      </c>
      <c r="F29" s="22">
        <f t="shared" si="9"/>
        <v>11746</v>
      </c>
      <c r="G29" s="22">
        <f t="shared" si="9"/>
        <v>15373</v>
      </c>
      <c r="H29" s="22">
        <f t="shared" si="9"/>
        <v>20490</v>
      </c>
      <c r="I29" s="22">
        <f t="shared" si="9"/>
        <v>21883</v>
      </c>
      <c r="J29" s="22">
        <f t="shared" si="9"/>
        <v>22712</v>
      </c>
      <c r="K29" s="22">
        <f t="shared" si="9"/>
        <v>27988</v>
      </c>
      <c r="L29" s="22">
        <f t="shared" si="9"/>
        <v>29738</v>
      </c>
      <c r="M29" s="90">
        <f t="shared" si="9"/>
        <v>31401</v>
      </c>
      <c r="N29" s="90">
        <f t="shared" si="9"/>
        <v>33379.4552801026</v>
      </c>
      <c r="O29" s="90">
        <f t="shared" si="9"/>
        <v>-24835.017154542213</v>
      </c>
      <c r="P29" s="90">
        <f t="shared" si="9"/>
        <v>-88741.639846180624</v>
      </c>
    </row>
    <row r="30" spans="1:16">
      <c r="A30" s="84" t="s">
        <v>142</v>
      </c>
      <c r="B30" s="82">
        <f>'Annual Balance Sheet'!B5</f>
        <v>11852.7</v>
      </c>
      <c r="C30" s="82">
        <f>'Annual Balance Sheet'!C5</f>
        <v>12681.8</v>
      </c>
      <c r="D30" s="82">
        <f>'Annual Balance Sheet'!D5</f>
        <v>10273.1</v>
      </c>
      <c r="E30" s="82">
        <f>'Annual Balance Sheet'!E5</f>
        <v>11746</v>
      </c>
      <c r="F30" s="82">
        <f>'Annual Balance Sheet'!F5</f>
        <v>15373</v>
      </c>
      <c r="G30" s="82">
        <f>'Annual Balance Sheet'!G5</f>
        <v>20490</v>
      </c>
      <c r="H30" s="82">
        <f>'Annual Balance Sheet'!H5</f>
        <v>21883</v>
      </c>
      <c r="I30" s="82">
        <f>'Annual Balance Sheet'!I5</f>
        <v>22712</v>
      </c>
      <c r="J30" s="82">
        <f>'Annual Balance Sheet'!J5</f>
        <v>27988</v>
      </c>
      <c r="K30" s="82">
        <f>'Annual Balance Sheet'!K5</f>
        <v>29738</v>
      </c>
      <c r="L30" s="82">
        <f>'Annual Balance Sheet'!L5</f>
        <v>31401</v>
      </c>
      <c r="M30" s="82">
        <f>SUM(M28:M29)</f>
        <v>33379.4552801026</v>
      </c>
      <c r="N30" s="82">
        <f>SUM(N28:N29)</f>
        <v>-24835.017154542213</v>
      </c>
      <c r="O30" s="82">
        <f>SUM(O28:O29)</f>
        <v>-88741.639846180624</v>
      </c>
      <c r="P30" s="82">
        <f>SUM(P28:P29)</f>
        <v>-158560.47842055123</v>
      </c>
    </row>
    <row r="31" spans="1:16">
      <c r="A31" t="s">
        <v>475</v>
      </c>
      <c r="B31" s="22">
        <f>B30-'Annual Balance Sheet'!B5</f>
        <v>0</v>
      </c>
      <c r="C31" s="22">
        <f>C30-'Annual Balance Sheet'!C5</f>
        <v>0</v>
      </c>
      <c r="D31" s="22">
        <f>D30-'Annual Balance Sheet'!D5</f>
        <v>0</v>
      </c>
      <c r="E31" s="22">
        <f>E30-'Annual Balance Sheet'!E5</f>
        <v>0</v>
      </c>
      <c r="F31" s="22">
        <f>F30-'Annual Balance Sheet'!F5</f>
        <v>0</v>
      </c>
      <c r="G31" s="22">
        <f>G30-'Annual Balance Sheet'!G5</f>
        <v>0</v>
      </c>
      <c r="H31" s="22">
        <f>H30-'Annual Balance Sheet'!H5</f>
        <v>0</v>
      </c>
      <c r="I31" s="22">
        <f>I30-'Annual Balance Sheet'!I5</f>
        <v>0</v>
      </c>
      <c r="J31" s="22">
        <f>J30-'Annual Balance Sheet'!J5</f>
        <v>0</v>
      </c>
      <c r="K31" s="22">
        <f>K30-'Annual Balance Sheet'!K5</f>
        <v>0</v>
      </c>
      <c r="L31" s="22">
        <f>L30-'Annual Balance Sheet'!L5</f>
        <v>0</v>
      </c>
      <c r="M31" s="90">
        <f>M30-'Annual Balance Sheet'!M5</f>
        <v>0</v>
      </c>
      <c r="N31" s="90">
        <f>N30-'Annual Balance Sheet'!N5</f>
        <v>0</v>
      </c>
      <c r="O31" s="90">
        <f>O30-'Annual Balance Sheet'!O5</f>
        <v>0</v>
      </c>
      <c r="P31" s="90">
        <f>P30-'Annual Balance Sheet'!P5</f>
        <v>0</v>
      </c>
    </row>
    <row r="32" spans="1:16">
      <c r="A32" s="84" t="s">
        <v>144</v>
      </c>
      <c r="B32" s="82">
        <f t="shared" ref="B32:P32" si="10">SUM(B12,B18)</f>
        <v>1993.6977245990511</v>
      </c>
      <c r="C32" s="82">
        <f t="shared" si="10"/>
        <v>3145.8</v>
      </c>
      <c r="D32" s="82">
        <f t="shared" si="10"/>
        <v>1961.9000000000005</v>
      </c>
      <c r="E32" s="82">
        <f t="shared" si="10"/>
        <v>3097.3999999999996</v>
      </c>
      <c r="F32" s="82">
        <f t="shared" si="10"/>
        <v>1106</v>
      </c>
      <c r="G32" s="82">
        <f t="shared" si="10"/>
        <v>8633</v>
      </c>
      <c r="H32" s="82">
        <f t="shared" si="10"/>
        <v>12967</v>
      </c>
      <c r="I32" s="82">
        <f t="shared" si="10"/>
        <v>12094</v>
      </c>
      <c r="J32" s="82">
        <f t="shared" si="10"/>
        <v>14884</v>
      </c>
      <c r="K32" s="82">
        <f t="shared" si="10"/>
        <v>16401</v>
      </c>
      <c r="L32" s="82">
        <f t="shared" si="10"/>
        <v>14079</v>
      </c>
      <c r="M32" s="82">
        <f t="shared" si="10"/>
        <v>71611.54766134471</v>
      </c>
      <c r="N32" s="82">
        <f t="shared" si="10"/>
        <v>16512.381389512717</v>
      </c>
      <c r="O32" s="82">
        <f t="shared" si="10"/>
        <v>15368.733846482553</v>
      </c>
      <c r="P32" s="82">
        <f t="shared" si="10"/>
        <v>14220.401865873808</v>
      </c>
    </row>
    <row r="33" spans="1:16">
      <c r="A33" t="s">
        <v>119</v>
      </c>
      <c r="B33" s="5">
        <f>IFERROR(B32/'Annual P&amp;L'!B5,0)</f>
        <v>6.4031915615334375E-2</v>
      </c>
      <c r="C33" s="5">
        <f>IFERROR(C32/'Annual P&amp;L'!C5,0)</f>
        <v>6.7330165660716576E-2</v>
      </c>
      <c r="D33" s="5">
        <f>IFERROR(D32/'Annual P&amp;L'!D5,0)</f>
        <v>3.879572869290094E-2</v>
      </c>
      <c r="E33" s="5">
        <f>IFERROR(E32/'Annual P&amp;L'!E5,0)</f>
        <v>5.1257695108227967E-2</v>
      </c>
      <c r="F33" s="5">
        <f>IFERROR(F32/'Annual P&amp;L'!F5,0)</f>
        <v>1.5648433741758398E-2</v>
      </c>
      <c r="G33" s="5">
        <f>IFERROR(G32/'Annual P&amp;L'!G5,0)</f>
        <v>0.11452791891640908</v>
      </c>
      <c r="H33" s="5">
        <f>IFERROR(H32/'Annual P&amp;L'!H5,0)</f>
        <v>0.151393445493923</v>
      </c>
      <c r="I33" s="5">
        <f>IFERROR(I32/'Annual P&amp;L'!I5,0)</f>
        <v>0.11920438416653524</v>
      </c>
      <c r="J33" s="5">
        <f>IFERROR(J32/'Annual P&amp;L'!J5,0)</f>
        <v>0.13541619280703829</v>
      </c>
      <c r="K33" s="5">
        <f>IFERROR(K32/'Annual P&amp;L'!K5,0)</f>
        <v>0.14011362180171713</v>
      </c>
      <c r="L33" s="5">
        <f>IFERROR(L32/'Annual P&amp;L'!L5,0)</f>
        <v>0.10818016965822473</v>
      </c>
      <c r="M33" s="91">
        <f>IFERROR(M32/'Annual P&amp;L'!M5,0)</f>
        <v>0.52735189228042623</v>
      </c>
      <c r="N33" s="91">
        <f>IFERROR(N32/'Annual P&amp;L'!N5,0)</f>
        <v>0.11660142604242785</v>
      </c>
      <c r="O33" s="91">
        <f>IFERROR(O32/'Annual P&amp;L'!O5,0)</f>
        <v>0.10341498043796087</v>
      </c>
      <c r="P33" s="91">
        <f>IFERROR(P32/'Annual P&amp;L'!P5,0)</f>
        <v>9.0873185390645567E-2</v>
      </c>
    </row>
    <row r="34" spans="1:16">
      <c r="A34" t="s">
        <v>476</v>
      </c>
      <c r="B34" s="5">
        <f>IFERROR(B12/'Annual P&amp;L'!B14,0)</f>
        <v>0.62111174440472372</v>
      </c>
      <c r="C34" s="5">
        <f>IFERROR(C12/'Annual P&amp;L'!C14,0)</f>
        <v>0.90634397128722477</v>
      </c>
      <c r="D34" s="5">
        <f>IFERROR(D12/'Annual P&amp;L'!D14,0)</f>
        <v>0.60298076923076926</v>
      </c>
      <c r="E34" s="5">
        <f>IFERROR(E12/'Annual P&amp;L'!E14,0)</f>
        <v>0.65509342114682512</v>
      </c>
      <c r="F34" s="5">
        <f>IFERROR(F12/'Annual P&amp;L'!F14,0)</f>
        <v>1.1225663451746242</v>
      </c>
      <c r="G34" s="5">
        <f>IFERROR(G12/'Annual P&amp;L'!G14,0)</f>
        <v>0.62193932549663777</v>
      </c>
      <c r="H34" s="5">
        <f>IFERROR(H12/'Annual P&amp;L'!H14,0)</f>
        <v>0.71480445556700523</v>
      </c>
      <c r="I34" s="5">
        <f>IFERROR(I12/'Annual P&amp;L'!I14,0)</f>
        <v>0.69340227142162714</v>
      </c>
      <c r="J34" s="5">
        <f>IFERROR(J12/'Annual P&amp;L'!J14,0)</f>
        <v>0.8086363636363636</v>
      </c>
      <c r="K34" s="5">
        <f>IFERROR(K12/'Annual P&amp;L'!K14,0)</f>
        <v>0.84473632621054695</v>
      </c>
      <c r="L34" s="5">
        <f>IFERROR(L12/'Annual P&amp;L'!L14,0)</f>
        <v>0.73422547846889952</v>
      </c>
      <c r="M34" s="91">
        <f>IFERROR(M12/'Annual P&amp;L'!M14,0)</f>
        <v>2.8838558578483395</v>
      </c>
      <c r="N34" s="91">
        <f>IFERROR(N12/'Annual P&amp;L'!N14,0)</f>
        <v>0.7774432104739889</v>
      </c>
      <c r="O34" s="91">
        <f>IFERROR(O12/'Annual P&amp;L'!O14,0)</f>
        <v>0.70982041250236338</v>
      </c>
      <c r="P34" s="91">
        <f>IFERROR(P12/'Annual P&amp;L'!P14,0)</f>
        <v>0.64550351482382329</v>
      </c>
    </row>
    <row r="35" spans="1:16">
      <c r="A35" t="s">
        <v>60</v>
      </c>
      <c r="B35" s="5">
        <f>IFERROR(-B18/'Annual P&amp;L'!B5,0)</f>
        <v>6.9510361707719362E-2</v>
      </c>
      <c r="C35" s="5">
        <f>IFERROR(-C18/'Annual P&amp;L'!C5,0)</f>
        <v>0.1326505714652626</v>
      </c>
      <c r="D35" s="5">
        <f>IFERROR(-D18/'Annual P&amp;L'!D5,0)</f>
        <v>9.7611231955704966E-2</v>
      </c>
      <c r="E35" s="5">
        <f>IFERROR(-E18/'Annual P&amp;L'!E5,0)</f>
        <v>0.10017872509432714</v>
      </c>
      <c r="F35" s="5">
        <f>IFERROR(-F18/'Annual P&amp;L'!F5,0)</f>
        <v>0.24948357338917343</v>
      </c>
      <c r="G35" s="5">
        <f>IFERROR(-G18/'Annual P&amp;L'!G5,0)</f>
        <v>4.6206503137478608E-2</v>
      </c>
      <c r="H35" s="5">
        <f>IFERROR(-H18/'Annual P&amp;L'!H5,0)</f>
        <v>1.8680459072281701E-2</v>
      </c>
      <c r="I35" s="5">
        <f>IFERROR(-I18/'Annual P&amp;L'!I5,0)</f>
        <v>3.5453792777164483E-2</v>
      </c>
      <c r="J35" s="5">
        <f>IFERROR(-J18/'Annual P&amp;L'!J5,0)</f>
        <v>4.2624621291385008E-2</v>
      </c>
      <c r="K35" s="5">
        <f>IFERROR(-K18/'Annual P&amp;L'!K5,0)</f>
        <v>4.3945153987441803E-2</v>
      </c>
      <c r="L35" s="5">
        <f>IFERROR(-L18/'Annual P&amp;L'!L5,0)</f>
        <v>4.2744959429554953E-2</v>
      </c>
      <c r="M35" s="91">
        <f>IFERROR(-M18/'Annual P&amp;L'!M5,0)</f>
        <v>3.4999999999999996E-2</v>
      </c>
      <c r="N35" s="91">
        <f>IFERROR(-N18/'Annual P&amp;L'!N5,0)</f>
        <v>3.4999999999999996E-2</v>
      </c>
      <c r="O35" s="91">
        <f>IFERROR(-O18/'Annual P&amp;L'!O5,0)</f>
        <v>3.4999999999999996E-2</v>
      </c>
      <c r="P35" s="91">
        <f>IFERROR(-P18/'Annual P&amp;L'!P5,0)</f>
        <v>3.4999999999999996E-2</v>
      </c>
    </row>
    <row r="36" spans="1:16">
      <c r="M36" s="64"/>
      <c r="N36" s="64"/>
      <c r="O36" s="64"/>
      <c r="P36" s="64"/>
    </row>
    <row r="37" spans="1:16">
      <c r="M37" s="64"/>
      <c r="N37" s="64"/>
      <c r="O37" s="64"/>
      <c r="P37" s="64"/>
    </row>
    <row r="38" spans="1:16">
      <c r="M38" s="64"/>
      <c r="N38" s="64"/>
      <c r="O38" s="64"/>
      <c r="P38" s="64"/>
    </row>
    <row r="39" spans="1:16">
      <c r="M39" s="64"/>
      <c r="N39" s="64"/>
      <c r="O39" s="64"/>
      <c r="P39" s="64"/>
    </row>
    <row r="40" spans="1:16">
      <c r="M40" s="64"/>
      <c r="N40" s="64"/>
      <c r="O40" s="64"/>
      <c r="P40" s="64"/>
    </row>
    <row r="41" spans="1:16">
      <c r="M41" s="64"/>
      <c r="N41" s="64"/>
      <c r="O41" s="64"/>
      <c r="P41" s="64"/>
    </row>
    <row r="42" spans="1:16">
      <c r="M42" s="64"/>
      <c r="N42" s="64"/>
      <c r="O42" s="64"/>
      <c r="P42" s="64"/>
    </row>
    <row r="43" spans="1:16">
      <c r="M43" s="64"/>
      <c r="N43" s="64"/>
      <c r="O43" s="64"/>
      <c r="P43" s="64"/>
    </row>
    <row r="44" spans="1:16">
      <c r="M44" s="64"/>
      <c r="N44" s="64"/>
      <c r="O44" s="64"/>
      <c r="P44" s="64"/>
    </row>
    <row r="45" spans="1:16">
      <c r="M45" s="64"/>
      <c r="N45" s="64"/>
      <c r="O45" s="64"/>
      <c r="P45" s="64"/>
    </row>
    <row r="46" spans="1:16">
      <c r="M46" s="64"/>
      <c r="N46" s="64"/>
      <c r="O46" s="64"/>
      <c r="P46" s="64"/>
    </row>
    <row r="47" spans="1:16">
      <c r="M47" s="64"/>
      <c r="N47" s="64"/>
      <c r="O47" s="64"/>
      <c r="P47" s="64"/>
    </row>
    <row r="48" spans="1:16">
      <c r="M48" s="64"/>
      <c r="N48" s="64"/>
      <c r="O48" s="64"/>
      <c r="P48" s="64"/>
    </row>
    <row r="49" spans="13:16">
      <c r="M49" s="64"/>
      <c r="N49" s="64"/>
      <c r="O49" s="64"/>
      <c r="P49" s="64"/>
    </row>
    <row r="50" spans="13:16">
      <c r="M50" s="64"/>
      <c r="N50" s="64"/>
      <c r="O50" s="64"/>
      <c r="P50" s="64"/>
    </row>
    <row r="51" spans="13:16">
      <c r="M51" s="64"/>
      <c r="N51" s="64"/>
      <c r="O51" s="64"/>
      <c r="P51" s="64"/>
    </row>
    <row r="52" spans="13:16">
      <c r="M52" s="64"/>
      <c r="N52" s="64"/>
      <c r="O52" s="64"/>
      <c r="P52" s="64"/>
    </row>
    <row r="53" spans="13:16">
      <c r="M53" s="64"/>
      <c r="N53" s="64"/>
      <c r="O53" s="64"/>
      <c r="P53" s="64"/>
    </row>
    <row r="54" spans="13:16">
      <c r="M54" s="64"/>
      <c r="N54" s="64"/>
      <c r="O54" s="64"/>
      <c r="P54" s="64"/>
    </row>
    <row r="55" spans="13:16">
      <c r="M55" s="64"/>
      <c r="N55" s="64"/>
      <c r="O55" s="64"/>
      <c r="P55" s="64"/>
    </row>
    <row r="56" spans="13:16">
      <c r="M56" s="64"/>
      <c r="N56" s="64"/>
      <c r="O56" s="64"/>
      <c r="P56" s="64"/>
    </row>
    <row r="57" spans="13:16">
      <c r="M57" s="64"/>
      <c r="N57" s="64"/>
      <c r="O57" s="64"/>
      <c r="P57" s="64"/>
    </row>
    <row r="58" spans="13:16">
      <c r="M58" s="64"/>
      <c r="N58" s="64"/>
      <c r="O58" s="64"/>
      <c r="P58" s="64"/>
    </row>
    <row r="59" spans="13:16">
      <c r="M59" s="64"/>
      <c r="N59" s="64"/>
      <c r="O59" s="64"/>
      <c r="P59" s="64"/>
    </row>
    <row r="60" spans="13:16">
      <c r="M60" s="64"/>
      <c r="N60" s="64"/>
      <c r="O60" s="64"/>
      <c r="P60" s="64"/>
    </row>
    <row r="61" spans="13:16">
      <c r="M61" s="64"/>
      <c r="N61" s="64"/>
      <c r="O61" s="64"/>
      <c r="P61" s="64"/>
    </row>
    <row r="62" spans="13:16">
      <c r="M62" s="64"/>
      <c r="N62" s="64"/>
      <c r="O62" s="64"/>
      <c r="P62" s="64"/>
    </row>
    <row r="63" spans="13:16">
      <c r="M63" s="64"/>
      <c r="N63" s="64"/>
      <c r="O63" s="64"/>
      <c r="P63" s="64"/>
    </row>
    <row r="64" spans="13:16">
      <c r="M64" s="64"/>
      <c r="N64" s="64"/>
      <c r="O64" s="64"/>
      <c r="P64" s="64"/>
    </row>
    <row r="65" spans="13:16">
      <c r="M65" s="64"/>
      <c r="N65" s="64"/>
      <c r="O65" s="64"/>
      <c r="P65" s="64"/>
    </row>
    <row r="66" spans="13:16">
      <c r="M66" s="64"/>
      <c r="N66" s="64"/>
      <c r="O66" s="64"/>
      <c r="P66" s="64"/>
    </row>
    <row r="67" spans="13:16">
      <c r="M67" s="64"/>
      <c r="N67" s="64"/>
      <c r="O67" s="64"/>
      <c r="P67" s="64"/>
    </row>
    <row r="68" spans="13:16">
      <c r="M68" s="64"/>
      <c r="N68" s="64"/>
      <c r="O68" s="64"/>
      <c r="P68" s="64"/>
    </row>
    <row r="69" spans="13:16">
      <c r="M69" s="64"/>
      <c r="N69" s="64"/>
      <c r="O69" s="64"/>
      <c r="P69" s="64"/>
    </row>
    <row r="70" spans="13:16">
      <c r="M70" s="64"/>
      <c r="N70" s="64"/>
      <c r="O70" s="64"/>
      <c r="P70" s="64"/>
    </row>
    <row r="71" spans="13:16">
      <c r="M71" s="64"/>
      <c r="N71" s="64"/>
      <c r="O71" s="64"/>
      <c r="P71" s="64"/>
    </row>
    <row r="72" spans="13:16">
      <c r="M72" s="64"/>
      <c r="N72" s="64"/>
      <c r="O72" s="64"/>
      <c r="P72" s="64"/>
    </row>
    <row r="73" spans="13:16">
      <c r="M73" s="64"/>
      <c r="N73" s="64"/>
      <c r="O73" s="64"/>
      <c r="P73" s="64"/>
    </row>
    <row r="74" spans="13:16">
      <c r="M74" s="64"/>
      <c r="N74" s="64"/>
      <c r="O74" s="64"/>
      <c r="P74" s="64"/>
    </row>
    <row r="75" spans="13:16">
      <c r="M75" s="64"/>
      <c r="N75" s="64"/>
      <c r="O75" s="64"/>
      <c r="P75" s="64"/>
    </row>
    <row r="76" spans="13:16">
      <c r="M76" s="64"/>
      <c r="N76" s="64"/>
      <c r="O76" s="64"/>
      <c r="P76" s="64"/>
    </row>
    <row r="77" spans="13:16">
      <c r="M77" s="64"/>
      <c r="N77" s="64"/>
      <c r="O77" s="64"/>
      <c r="P77" s="64"/>
    </row>
    <row r="78" spans="13:16">
      <c r="M78" s="64"/>
      <c r="N78" s="64"/>
      <c r="O78" s="64"/>
      <c r="P78" s="64"/>
    </row>
    <row r="79" spans="13:16">
      <c r="M79" s="64"/>
      <c r="N79" s="64"/>
      <c r="O79" s="64"/>
      <c r="P79" s="64"/>
    </row>
    <row r="80" spans="13:16">
      <c r="M80" s="64"/>
      <c r="N80" s="64"/>
      <c r="O80" s="64"/>
      <c r="P80" s="64"/>
    </row>
    <row r="81" spans="13:16">
      <c r="M81" s="64"/>
      <c r="N81" s="64"/>
      <c r="O81" s="64"/>
      <c r="P81" s="64"/>
    </row>
    <row r="82" spans="13:16">
      <c r="M82" s="64"/>
      <c r="N82" s="64"/>
      <c r="O82" s="64"/>
      <c r="P82" s="64"/>
    </row>
    <row r="83" spans="13:16">
      <c r="M83" s="64"/>
      <c r="N83" s="64"/>
      <c r="O83" s="64"/>
      <c r="P83" s="64"/>
    </row>
    <row r="84" spans="13:16">
      <c r="M84" s="64"/>
      <c r="N84" s="64"/>
      <c r="O84" s="64"/>
      <c r="P84" s="64"/>
    </row>
    <row r="85" spans="13:16">
      <c r="M85" s="64"/>
      <c r="N85" s="64"/>
      <c r="O85" s="64"/>
      <c r="P85" s="64"/>
    </row>
    <row r="86" spans="13:16">
      <c r="M86" s="64"/>
      <c r="N86" s="64"/>
      <c r="O86" s="64"/>
      <c r="P86" s="64"/>
    </row>
    <row r="87" spans="13:16">
      <c r="M87" s="64"/>
      <c r="N87" s="64"/>
      <c r="O87" s="64"/>
      <c r="P87" s="64"/>
    </row>
    <row r="88" spans="13:16">
      <c r="M88" s="64"/>
      <c r="N88" s="64"/>
      <c r="O88" s="64"/>
      <c r="P88" s="64"/>
    </row>
    <row r="89" spans="13:16">
      <c r="M89" s="64"/>
      <c r="N89" s="64"/>
      <c r="O89" s="64"/>
      <c r="P89" s="64"/>
    </row>
    <row r="90" spans="13:16">
      <c r="M90" s="64"/>
      <c r="N90" s="64"/>
      <c r="O90" s="64"/>
      <c r="P90" s="64"/>
    </row>
    <row r="91" spans="13:16">
      <c r="M91" s="64"/>
      <c r="N91" s="64"/>
      <c r="O91" s="64"/>
      <c r="P91" s="64"/>
    </row>
    <row r="92" spans="13:16">
      <c r="M92" s="64"/>
      <c r="N92" s="64"/>
      <c r="O92" s="64"/>
      <c r="P92" s="64"/>
    </row>
    <row r="93" spans="13:16">
      <c r="M93" s="64"/>
      <c r="N93" s="64"/>
      <c r="O93" s="64"/>
      <c r="P93" s="64"/>
    </row>
    <row r="94" spans="13:16">
      <c r="M94" s="64"/>
      <c r="N94" s="64"/>
      <c r="O94" s="64"/>
      <c r="P94" s="64"/>
    </row>
    <row r="95" spans="13:16">
      <c r="M95" s="64"/>
      <c r="N95" s="64"/>
      <c r="O95" s="64"/>
      <c r="P95" s="64"/>
    </row>
    <row r="96" spans="13:16">
      <c r="M96" s="64"/>
      <c r="N96" s="64"/>
      <c r="O96" s="64"/>
      <c r="P96" s="64"/>
    </row>
    <row r="97" spans="13:16">
      <c r="M97" s="64"/>
      <c r="N97" s="64"/>
      <c r="O97" s="64"/>
      <c r="P97" s="64"/>
    </row>
    <row r="98" spans="13:16">
      <c r="M98" s="64"/>
      <c r="N98" s="64"/>
      <c r="O98" s="64"/>
      <c r="P98" s="64"/>
    </row>
    <row r="99" spans="13:16">
      <c r="M99" s="64"/>
      <c r="N99" s="64"/>
      <c r="O99" s="64"/>
      <c r="P99" s="64"/>
    </row>
    <row r="100" spans="13:16">
      <c r="M100" s="64"/>
      <c r="N100" s="64"/>
      <c r="O100" s="64"/>
      <c r="P100" s="64"/>
    </row>
  </sheetData>
  <mergeCells count="2">
    <mergeCell ref="A1:P1"/>
    <mergeCell ref="A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0"/>
  <sheetViews>
    <sheetView showGridLines="0" topLeftCell="A9" workbookViewId="0">
      <selection sqref="A1:P1"/>
    </sheetView>
  </sheetViews>
  <sheetFormatPr defaultRowHeight="13.8"/>
  <cols>
    <col min="1" max="1" width="43" customWidth="1"/>
    <col min="2" max="16" width="12" customWidth="1"/>
  </cols>
  <sheetData>
    <row r="1" spans="1:16" ht="25.95" customHeight="1">
      <c r="A1" s="99" t="s">
        <v>162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13"/>
      <c r="N1" s="113"/>
      <c r="O1" s="113"/>
      <c r="P1" s="113"/>
    </row>
    <row r="2" spans="1:16" ht="22.05" customHeight="1">
      <c r="A2" s="100" t="s">
        <v>163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6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7" t="s">
        <v>40</v>
      </c>
      <c r="N4" s="7" t="s">
        <v>41</v>
      </c>
      <c r="O4" s="7" t="s">
        <v>42</v>
      </c>
      <c r="P4" s="7" t="s">
        <v>43</v>
      </c>
    </row>
    <row r="5" spans="1:16">
      <c r="A5" s="2" t="s">
        <v>99</v>
      </c>
      <c r="B5" s="2">
        <v>31136</v>
      </c>
      <c r="C5" s="2">
        <v>47568</v>
      </c>
      <c r="D5" s="2">
        <v>50569</v>
      </c>
      <c r="E5" s="2">
        <v>60427</v>
      </c>
      <c r="F5" s="2">
        <v>70676</v>
      </c>
      <c r="G5" s="2">
        <v>75379</v>
      </c>
      <c r="H5" s="2">
        <v>85651</v>
      </c>
      <c r="I5" s="2">
        <v>101456</v>
      </c>
      <c r="J5" s="2">
        <v>109913</v>
      </c>
      <c r="K5" s="2">
        <v>117055</v>
      </c>
      <c r="L5" s="2">
        <v>130144</v>
      </c>
      <c r="M5" s="2">
        <f>M38</f>
        <v>135794.61590945488</v>
      </c>
      <c r="N5" s="2">
        <f>N38</f>
        <v>141613.88886877202</v>
      </c>
      <c r="O5" s="2">
        <f>O38</f>
        <v>148612.25889514459</v>
      </c>
      <c r="P5" s="2">
        <f>P38</f>
        <v>156486.22643459847</v>
      </c>
    </row>
    <row r="6" spans="1:16">
      <c r="A6" s="2" t="s">
        <v>101</v>
      </c>
      <c r="B6" s="8"/>
      <c r="C6" s="8">
        <f t="shared" ref="C6:P6" si="0">C5/B5-1</f>
        <v>0.5277492291880781</v>
      </c>
      <c r="D6" s="8">
        <f t="shared" si="0"/>
        <v>6.308863101244544E-2</v>
      </c>
      <c r="E6" s="8">
        <f t="shared" si="0"/>
        <v>0.19494156499040916</v>
      </c>
      <c r="F6" s="8">
        <f t="shared" si="0"/>
        <v>0.16960961159746479</v>
      </c>
      <c r="G6" s="8">
        <f t="shared" si="0"/>
        <v>6.6543098081385477E-2</v>
      </c>
      <c r="H6" s="8">
        <f t="shared" si="0"/>
        <v>0.13627137531673283</v>
      </c>
      <c r="I6" s="8">
        <f t="shared" si="0"/>
        <v>0.18452790977338274</v>
      </c>
      <c r="J6" s="8">
        <f t="shared" si="0"/>
        <v>8.3356331808863038E-2</v>
      </c>
      <c r="K6" s="8">
        <f t="shared" si="0"/>
        <v>6.4978664944092213E-2</v>
      </c>
      <c r="L6" s="8">
        <f t="shared" si="0"/>
        <v>0.11181923027636587</v>
      </c>
      <c r="M6" s="8">
        <f t="shared" si="0"/>
        <v>4.3418182240094749E-2</v>
      </c>
      <c r="N6" s="8">
        <f t="shared" si="0"/>
        <v>4.2853488117653438E-2</v>
      </c>
      <c r="O6" s="8">
        <f t="shared" si="0"/>
        <v>4.9418669893725564E-2</v>
      </c>
      <c r="P6" s="8">
        <f t="shared" si="0"/>
        <v>5.2983297595990742E-2</v>
      </c>
    </row>
    <row r="7" spans="1:16">
      <c r="A7" s="2" t="s">
        <v>129</v>
      </c>
      <c r="B7" s="2">
        <v>106107</v>
      </c>
      <c r="C7" s="2">
        <v>117781</v>
      </c>
      <c r="D7" s="2">
        <v>120081</v>
      </c>
      <c r="E7" s="2">
        <v>137965</v>
      </c>
      <c r="F7" s="2">
        <v>150423</v>
      </c>
      <c r="G7" s="2">
        <v>168977</v>
      </c>
      <c r="H7" s="2">
        <v>208877</v>
      </c>
      <c r="I7" s="2">
        <v>225944</v>
      </c>
      <c r="J7" s="2">
        <v>219401</v>
      </c>
      <c r="K7" s="2">
        <v>223420</v>
      </c>
      <c r="L7" s="2">
        <v>226640</v>
      </c>
      <c r="M7" s="2">
        <f>L7*(1+Assumptions!M5-Assumptions!M6)</f>
        <v>234572.4</v>
      </c>
      <c r="N7" s="2">
        <f>M7*(1+Assumptions!N5-Assumptions!N6)</f>
        <v>242782.43399999998</v>
      </c>
      <c r="O7" s="2">
        <f>N7*(1+Assumptions!O5-Assumptions!O6)</f>
        <v>251279.81918999995</v>
      </c>
      <c r="P7" s="2">
        <f>O7*(1+Assumptions!P5-Assumptions!P6)</f>
        <v>260074.61286164992</v>
      </c>
    </row>
    <row r="8" spans="1:16">
      <c r="A8" s="2" t="s">
        <v>164</v>
      </c>
      <c r="B8" s="8"/>
      <c r="C8" s="8">
        <f t="shared" ref="C8:P8" si="1">C7/B7-1</f>
        <v>0.11002101652105889</v>
      </c>
      <c r="D8" s="8">
        <f t="shared" si="1"/>
        <v>1.9527767636545734E-2</v>
      </c>
      <c r="E8" s="8">
        <f t="shared" si="1"/>
        <v>0.14893280369084194</v>
      </c>
      <c r="F8" s="8">
        <f t="shared" si="1"/>
        <v>9.0298264052476984E-2</v>
      </c>
      <c r="G8" s="8">
        <f t="shared" si="1"/>
        <v>0.12334549902607983</v>
      </c>
      <c r="H8" s="8">
        <f t="shared" si="1"/>
        <v>0.23612681015759551</v>
      </c>
      <c r="I8" s="8">
        <f t="shared" si="1"/>
        <v>8.1708373827659386E-2</v>
      </c>
      <c r="J8" s="8">
        <f t="shared" si="1"/>
        <v>-2.8958502991891844E-2</v>
      </c>
      <c r="K8" s="8">
        <f t="shared" si="1"/>
        <v>1.831805689126309E-2</v>
      </c>
      <c r="L8" s="8">
        <f t="shared" si="1"/>
        <v>1.4412317608092362E-2</v>
      </c>
      <c r="M8" s="8">
        <f t="shared" si="1"/>
        <v>3.499999999999992E-2</v>
      </c>
      <c r="N8" s="8">
        <f t="shared" si="1"/>
        <v>3.499999999999992E-2</v>
      </c>
      <c r="O8" s="8">
        <f t="shared" si="1"/>
        <v>3.499999999999992E-2</v>
      </c>
      <c r="P8" s="8">
        <f t="shared" si="1"/>
        <v>3.499999999999992E-2</v>
      </c>
    </row>
    <row r="9" spans="1:16">
      <c r="A9" s="2" t="s">
        <v>131</v>
      </c>
      <c r="B9" s="2">
        <f t="shared" ref="B9:P9" si="2">B7*B10</f>
        <v>82763.460000000006</v>
      </c>
      <c r="C9" s="2">
        <f t="shared" si="2"/>
        <v>91869.180000000008</v>
      </c>
      <c r="D9" s="2">
        <f t="shared" si="2"/>
        <v>94863.99</v>
      </c>
      <c r="E9" s="2">
        <f t="shared" si="2"/>
        <v>108992.35</v>
      </c>
      <c r="F9" s="2">
        <f t="shared" si="2"/>
        <v>120338.40000000001</v>
      </c>
      <c r="G9" s="2">
        <f t="shared" si="2"/>
        <v>135181.6</v>
      </c>
      <c r="H9" s="2">
        <f t="shared" si="2"/>
        <v>169190.37000000002</v>
      </c>
      <c r="I9" s="2">
        <f t="shared" si="2"/>
        <v>183014.64</v>
      </c>
      <c r="J9" s="2">
        <f t="shared" si="2"/>
        <v>179908.81999999998</v>
      </c>
      <c r="K9" s="2">
        <f t="shared" si="2"/>
        <v>183204.4</v>
      </c>
      <c r="L9" s="2">
        <f t="shared" si="2"/>
        <v>185844.8</v>
      </c>
      <c r="M9" s="2">
        <f t="shared" si="2"/>
        <v>193522.22999999998</v>
      </c>
      <c r="N9" s="2">
        <f t="shared" si="2"/>
        <v>199081.59587999998</v>
      </c>
      <c r="O9" s="2">
        <f t="shared" si="2"/>
        <v>206049.45173579996</v>
      </c>
      <c r="P9" s="2">
        <f t="shared" si="2"/>
        <v>213261.18254655291</v>
      </c>
    </row>
    <row r="10" spans="1:16">
      <c r="A10" s="2" t="s">
        <v>46</v>
      </c>
      <c r="B10" s="8">
        <v>0.78</v>
      </c>
      <c r="C10" s="8">
        <v>0.78</v>
      </c>
      <c r="D10" s="8">
        <v>0.79</v>
      </c>
      <c r="E10" s="8">
        <v>0.79</v>
      </c>
      <c r="F10" s="8">
        <v>0.8</v>
      </c>
      <c r="G10" s="8">
        <v>0.8</v>
      </c>
      <c r="H10" s="8">
        <v>0.81</v>
      </c>
      <c r="I10" s="8">
        <v>0.81</v>
      </c>
      <c r="J10" s="8">
        <v>0.82</v>
      </c>
      <c r="K10" s="8">
        <v>0.82</v>
      </c>
      <c r="L10" s="8">
        <v>0.82</v>
      </c>
      <c r="M10" s="8">
        <f>Assumptions!M7</f>
        <v>0.82499999999999996</v>
      </c>
      <c r="N10" s="8">
        <f>Assumptions!N7</f>
        <v>0.82</v>
      </c>
      <c r="O10" s="8">
        <f>Assumptions!O7</f>
        <v>0.82</v>
      </c>
      <c r="P10" s="8">
        <f>Assumptions!P7</f>
        <v>0.82</v>
      </c>
    </row>
    <row r="11" spans="1:16">
      <c r="A11" s="2" t="s">
        <v>165</v>
      </c>
      <c r="B11" s="2">
        <f t="shared" ref="B11:P11" si="3">B5/B9</f>
        <v>0.37620466809869957</v>
      </c>
      <c r="C11" s="2">
        <f t="shared" si="3"/>
        <v>0.51777973853690651</v>
      </c>
      <c r="D11" s="2">
        <f t="shared" si="3"/>
        <v>0.53306844883922755</v>
      </c>
      <c r="E11" s="2">
        <f t="shared" si="3"/>
        <v>0.5544150575705542</v>
      </c>
      <c r="F11" s="2">
        <f t="shared" si="3"/>
        <v>0.5873104511942987</v>
      </c>
      <c r="G11" s="2">
        <f t="shared" si="3"/>
        <v>0.55761287039064489</v>
      </c>
      <c r="H11" s="2">
        <f t="shared" si="3"/>
        <v>0.50624039654266362</v>
      </c>
      <c r="I11" s="2">
        <f t="shared" si="3"/>
        <v>0.55436002278287677</v>
      </c>
      <c r="J11" s="2">
        <f t="shared" si="3"/>
        <v>0.61093725143658895</v>
      </c>
      <c r="K11" s="2">
        <f t="shared" si="3"/>
        <v>0.63893116104198378</v>
      </c>
      <c r="L11" s="2">
        <f t="shared" si="3"/>
        <v>0.70028324709650203</v>
      </c>
      <c r="M11" s="2">
        <f t="shared" si="3"/>
        <v>0.70170034682555538</v>
      </c>
      <c r="N11" s="2">
        <f t="shared" si="3"/>
        <v>0.71133591351222814</v>
      </c>
      <c r="O11" s="2">
        <f t="shared" si="3"/>
        <v>0.72124559246921804</v>
      </c>
      <c r="P11" s="2">
        <f t="shared" si="3"/>
        <v>0.73377735491286133</v>
      </c>
    </row>
    <row r="12" spans="1:16">
      <c r="A12" s="2" t="s">
        <v>166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>
        <f>Assumptions!M5</f>
        <v>0.16</v>
      </c>
      <c r="N12" s="8">
        <f>Assumptions!N5</f>
        <v>0.16</v>
      </c>
      <c r="O12" s="8">
        <f>Assumptions!O5</f>
        <v>0.16</v>
      </c>
      <c r="P12" s="8">
        <f>Assumptions!P5</f>
        <v>0.16</v>
      </c>
    </row>
    <row r="13" spans="1:16">
      <c r="A13" s="2" t="s">
        <v>45</v>
      </c>
      <c r="B13" s="8">
        <v>0.16</v>
      </c>
      <c r="C13" s="8">
        <v>0.15</v>
      </c>
      <c r="D13" s="8">
        <v>0.16</v>
      </c>
      <c r="E13" s="8">
        <v>0.17</v>
      </c>
      <c r="F13" s="8">
        <v>0.1</v>
      </c>
      <c r="G13" s="8">
        <v>0.1</v>
      </c>
      <c r="H13" s="8">
        <v>0.21</v>
      </c>
      <c r="I13" s="8">
        <v>0.19</v>
      </c>
      <c r="J13" s="8">
        <v>0.13</v>
      </c>
      <c r="K13" s="8">
        <v>0.13</v>
      </c>
      <c r="L13" s="8">
        <v>0.125</v>
      </c>
      <c r="M13" s="8">
        <f>Assumptions!M6</f>
        <v>0.125</v>
      </c>
      <c r="N13" s="8">
        <f>Assumptions!N6</f>
        <v>0.125</v>
      </c>
      <c r="O13" s="8">
        <f>Assumptions!O6</f>
        <v>0.125</v>
      </c>
      <c r="P13" s="8">
        <f>Assumptions!P6</f>
        <v>0.125</v>
      </c>
    </row>
    <row r="14" spans="1:16">
      <c r="A14" s="2" t="s">
        <v>47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>
        <f>Assumptions!M8</f>
        <v>2.5000000000000001E-2</v>
      </c>
      <c r="N14" s="8">
        <f>Assumptions!N8</f>
        <v>2.5000000000000001E-2</v>
      </c>
      <c r="O14" s="8">
        <f>Assumptions!O8</f>
        <v>2.5000000000000001E-2</v>
      </c>
      <c r="P14" s="8">
        <f>Assumptions!P8</f>
        <v>2.5000000000000001E-2</v>
      </c>
    </row>
    <row r="15" spans="1:16">
      <c r="A15" s="2" t="s">
        <v>48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>
        <f>Assumptions!M9</f>
        <v>0.61450000000000005</v>
      </c>
      <c r="N15" s="8">
        <f>Assumptions!N9</f>
        <v>0.60200000000000009</v>
      </c>
      <c r="O15" s="8">
        <f>Assumptions!O9</f>
        <v>0.60200000000000009</v>
      </c>
      <c r="P15" s="8">
        <f>Assumptions!P9</f>
        <v>0.60200000000000009</v>
      </c>
    </row>
    <row r="16" spans="1:16">
      <c r="A16" s="2" t="s">
        <v>49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>
        <f>Assumptions!M10</f>
        <v>0.03</v>
      </c>
      <c r="N16" s="8">
        <f>Assumptions!N10</f>
        <v>3.4999999999999996E-2</v>
      </c>
      <c r="O16" s="8">
        <f>Assumptions!O10</f>
        <v>3.4999999999999996E-2</v>
      </c>
      <c r="P16" s="8">
        <f>Assumptions!P10</f>
        <v>3.4999999999999996E-2</v>
      </c>
    </row>
    <row r="17" spans="1:16">
      <c r="A17" s="2" t="s">
        <v>50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>
        <f>Assumptions!M11</f>
        <v>4.4999999999999998E-2</v>
      </c>
      <c r="N17" s="8">
        <f>Assumptions!N11</f>
        <v>5.2499999999999998E-2</v>
      </c>
      <c r="O17" s="8">
        <f>Assumptions!O11</f>
        <v>5.2499999999999998E-2</v>
      </c>
      <c r="P17" s="8">
        <f>Assumptions!P11</f>
        <v>5.2499999999999998E-2</v>
      </c>
    </row>
    <row r="18" spans="1:16">
      <c r="A18" s="2" t="s">
        <v>167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>
        <f>(1+M14)*(1-M15*M16)*(1+(1-M15)*M17)</f>
        <v>1.0235575163084376</v>
      </c>
      <c r="N18" s="8">
        <f>(1+N14)*(1-N15*N16)*(1+(1-N15)*N17)</f>
        <v>1.0243693609087496</v>
      </c>
      <c r="O18" s="8">
        <f>(1+O14)*(1-O15*O16)*(1+(1-O15)*O17)</f>
        <v>1.0243693609087496</v>
      </c>
      <c r="P18" s="8">
        <f>(1+P14)*(1-P15*P16)*(1+(1-P15)*P17)</f>
        <v>1.0243693609087496</v>
      </c>
    </row>
    <row r="19" spans="1:16">
      <c r="A19" s="2" t="s">
        <v>168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>
        <f>M38</f>
        <v>135794.61590945488</v>
      </c>
      <c r="N19" s="2">
        <f>N38</f>
        <v>141613.88886877202</v>
      </c>
      <c r="O19" s="2">
        <f>O38</f>
        <v>148612.25889514459</v>
      </c>
      <c r="P19" s="2">
        <f>P38</f>
        <v>156486.22643459847</v>
      </c>
    </row>
    <row r="20" spans="1:16">
      <c r="A20" s="2" t="s">
        <v>169</v>
      </c>
      <c r="B20" s="2">
        <f>0</f>
        <v>0</v>
      </c>
      <c r="C20" s="2">
        <f>0</f>
        <v>0</v>
      </c>
      <c r="D20" s="2">
        <f>0</f>
        <v>0</v>
      </c>
      <c r="E20" s="2">
        <f>0</f>
        <v>0</v>
      </c>
      <c r="F20" s="2">
        <f>0</f>
        <v>0</v>
      </c>
      <c r="G20" s="2">
        <f>0</f>
        <v>0</v>
      </c>
      <c r="H20" s="2">
        <f>0</f>
        <v>0</v>
      </c>
      <c r="I20" s="2">
        <f>0</f>
        <v>0</v>
      </c>
      <c r="J20" s="2">
        <f>0</f>
        <v>0</v>
      </c>
      <c r="K20" s="2">
        <f>0</f>
        <v>0</v>
      </c>
      <c r="L20" s="2">
        <f>0</f>
        <v>0</v>
      </c>
      <c r="M20" s="2">
        <f>M5-M19</f>
        <v>0</v>
      </c>
      <c r="N20" s="2">
        <f>N5-N19</f>
        <v>0</v>
      </c>
      <c r="O20" s="2">
        <f>O5-O19</f>
        <v>0</v>
      </c>
      <c r="P20" s="2">
        <f>P5-P19</f>
        <v>0</v>
      </c>
    </row>
    <row r="21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4" spans="1:16">
      <c r="A24" s="114" t="s">
        <v>170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</row>
    <row r="25" spans="1:16">
      <c r="A25" t="s">
        <v>171</v>
      </c>
      <c r="B25" s="18">
        <v>4697.8189999999995</v>
      </c>
      <c r="C25" s="18">
        <v>6975.2000000000007</v>
      </c>
      <c r="D25" s="18">
        <v>7838.2</v>
      </c>
      <c r="E25" s="18">
        <v>8632.4000000000015</v>
      </c>
      <c r="F25" s="18">
        <v>9936</v>
      </c>
      <c r="G25" s="18">
        <v>10175</v>
      </c>
      <c r="H25" s="18">
        <v>11480.9</v>
      </c>
      <c r="I25" s="18">
        <v>12585.6</v>
      </c>
      <c r="J25" s="18">
        <v>13269.6</v>
      </c>
      <c r="K25" s="18">
        <v>13840.2</v>
      </c>
      <c r="L25" s="18">
        <v>14664</v>
      </c>
      <c r="M25" s="19">
        <f>L25*('Annual P&amp;L'!M5/'Annual P&amp;L'!L5)</f>
        <v>15300.68422436875</v>
      </c>
      <c r="N25" s="19">
        <f>M25*('Annual P&amp;L'!N5/'Annual P&amp;L'!M5)</f>
        <v>15956.371913969704</v>
      </c>
      <c r="O25" s="19">
        <f>N25*('Annual P&amp;L'!O5/'Annual P&amp;L'!N5)</f>
        <v>16744.914590287688</v>
      </c>
      <c r="P25" s="19">
        <f>O25*('Annual P&amp;L'!P5/'Annual P&amp;L'!O5)</f>
        <v>17632.115383244349</v>
      </c>
    </row>
    <row r="26" spans="1:16">
      <c r="A26" t="s">
        <v>172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>
        <v>620</v>
      </c>
      <c r="M26" s="19">
        <v>684</v>
      </c>
      <c r="N26" s="19">
        <f>M26*(1+Assumptions!N37)</f>
        <v>858.42</v>
      </c>
      <c r="O26" s="19">
        <f>N26*(1+Assumptions!O37)</f>
        <v>1085.47209</v>
      </c>
      <c r="P26" s="19">
        <f>O26*(1+Assumptions!P37)</f>
        <v>1383.434178705</v>
      </c>
    </row>
    <row r="27" spans="1:16">
      <c r="A27" t="s">
        <v>78</v>
      </c>
      <c r="B27" s="5">
        <f>0</f>
        <v>0</v>
      </c>
      <c r="C27" s="5">
        <f t="shared" ref="C27:P27" si="4">IFERROR(C26/B26-1,0)</f>
        <v>0</v>
      </c>
      <c r="D27" s="5">
        <f t="shared" si="4"/>
        <v>0</v>
      </c>
      <c r="E27" s="5">
        <f t="shared" si="4"/>
        <v>0</v>
      </c>
      <c r="F27" s="5">
        <f t="shared" si="4"/>
        <v>0</v>
      </c>
      <c r="G27" s="5">
        <f t="shared" si="4"/>
        <v>0</v>
      </c>
      <c r="H27" s="5">
        <f t="shared" si="4"/>
        <v>0</v>
      </c>
      <c r="I27" s="5">
        <f t="shared" si="4"/>
        <v>0</v>
      </c>
      <c r="J27" s="5">
        <f t="shared" si="4"/>
        <v>0</v>
      </c>
      <c r="K27" s="5">
        <f t="shared" si="4"/>
        <v>0</v>
      </c>
      <c r="L27" s="5">
        <f t="shared" si="4"/>
        <v>0</v>
      </c>
      <c r="M27" s="20">
        <f t="shared" si="4"/>
        <v>0.10322580645161294</v>
      </c>
      <c r="N27" s="20">
        <f t="shared" si="4"/>
        <v>0.25499999999999989</v>
      </c>
      <c r="O27" s="20">
        <f t="shared" si="4"/>
        <v>0.26449999999999996</v>
      </c>
      <c r="P27" s="20">
        <f t="shared" si="4"/>
        <v>0.27449999999999997</v>
      </c>
    </row>
    <row r="28" spans="1:16">
      <c r="A28" t="s">
        <v>173</v>
      </c>
      <c r="B28" s="5">
        <f t="shared" ref="B28:P28" si="5">IFERROR(B26/B25,0)</f>
        <v>0</v>
      </c>
      <c r="C28" s="5">
        <f t="shared" si="5"/>
        <v>0</v>
      </c>
      <c r="D28" s="5">
        <f t="shared" si="5"/>
        <v>0</v>
      </c>
      <c r="E28" s="5">
        <f t="shared" si="5"/>
        <v>0</v>
      </c>
      <c r="F28" s="5">
        <f t="shared" si="5"/>
        <v>0</v>
      </c>
      <c r="G28" s="5">
        <f t="shared" si="5"/>
        <v>0</v>
      </c>
      <c r="H28" s="5">
        <f t="shared" si="5"/>
        <v>0</v>
      </c>
      <c r="I28" s="5">
        <f t="shared" si="5"/>
        <v>0</v>
      </c>
      <c r="J28" s="5">
        <f t="shared" si="5"/>
        <v>0</v>
      </c>
      <c r="K28" s="5">
        <f t="shared" si="5"/>
        <v>0</v>
      </c>
      <c r="L28" s="5">
        <f t="shared" si="5"/>
        <v>4.2280414620840152E-2</v>
      </c>
      <c r="M28" s="20">
        <f t="shared" si="5"/>
        <v>4.4703883170833777E-2</v>
      </c>
      <c r="N28" s="20">
        <f t="shared" si="5"/>
        <v>5.3797943832611383E-2</v>
      </c>
      <c r="O28" s="20">
        <f t="shared" si="5"/>
        <v>6.4823984866999002E-2</v>
      </c>
      <c r="P28" s="20">
        <f t="shared" si="5"/>
        <v>7.8461043875635364E-2</v>
      </c>
    </row>
    <row r="29" spans="1:16">
      <c r="A29" t="s">
        <v>174</v>
      </c>
      <c r="B29" s="18">
        <f t="shared" ref="B29:P29" si="6">B26/4</f>
        <v>0</v>
      </c>
      <c r="C29" s="18">
        <f t="shared" si="6"/>
        <v>0</v>
      </c>
      <c r="D29" s="18">
        <f t="shared" si="6"/>
        <v>0</v>
      </c>
      <c r="E29" s="18">
        <f t="shared" si="6"/>
        <v>0</v>
      </c>
      <c r="F29" s="18">
        <f t="shared" si="6"/>
        <v>0</v>
      </c>
      <c r="G29" s="18">
        <f t="shared" si="6"/>
        <v>0</v>
      </c>
      <c r="H29" s="18">
        <f t="shared" si="6"/>
        <v>0</v>
      </c>
      <c r="I29" s="18">
        <f t="shared" si="6"/>
        <v>0</v>
      </c>
      <c r="J29" s="18">
        <f t="shared" si="6"/>
        <v>0</v>
      </c>
      <c r="K29" s="18">
        <f t="shared" si="6"/>
        <v>0</v>
      </c>
      <c r="L29" s="18">
        <f t="shared" si="6"/>
        <v>155</v>
      </c>
      <c r="M29" s="19">
        <f t="shared" si="6"/>
        <v>171</v>
      </c>
      <c r="N29" s="19">
        <f t="shared" si="6"/>
        <v>214.60499999999999</v>
      </c>
      <c r="O29" s="19">
        <f t="shared" si="6"/>
        <v>271.3680225</v>
      </c>
      <c r="P29" s="19">
        <f t="shared" si="6"/>
        <v>345.85854467625001</v>
      </c>
    </row>
    <row r="30" spans="1:16">
      <c r="A30" t="s">
        <v>175</v>
      </c>
      <c r="B30" s="18">
        <f>0</f>
        <v>0</v>
      </c>
      <c r="C30" s="18">
        <f t="shared" ref="C30:P30" si="7">MAX(0,C26-B26)</f>
        <v>0</v>
      </c>
      <c r="D30" s="18">
        <f t="shared" si="7"/>
        <v>0</v>
      </c>
      <c r="E30" s="18">
        <f t="shared" si="7"/>
        <v>0</v>
      </c>
      <c r="F30" s="18">
        <f t="shared" si="7"/>
        <v>0</v>
      </c>
      <c r="G30" s="18">
        <f t="shared" si="7"/>
        <v>0</v>
      </c>
      <c r="H30" s="18">
        <f t="shared" si="7"/>
        <v>0</v>
      </c>
      <c r="I30" s="18">
        <f t="shared" si="7"/>
        <v>0</v>
      </c>
      <c r="J30" s="18">
        <f t="shared" si="7"/>
        <v>0</v>
      </c>
      <c r="K30" s="18">
        <f t="shared" si="7"/>
        <v>0</v>
      </c>
      <c r="L30" s="18">
        <f t="shared" si="7"/>
        <v>620</v>
      </c>
      <c r="M30" s="19">
        <f t="shared" si="7"/>
        <v>64</v>
      </c>
      <c r="N30" s="19">
        <f t="shared" si="7"/>
        <v>174.41999999999996</v>
      </c>
      <c r="O30" s="19">
        <f t="shared" si="7"/>
        <v>227.05209000000002</v>
      </c>
      <c r="P30" s="19">
        <f t="shared" si="7"/>
        <v>297.96208870500004</v>
      </c>
    </row>
    <row r="31" spans="1:16">
      <c r="A31" t="s">
        <v>176</v>
      </c>
      <c r="B31" s="18">
        <f>-(B25-B26)*Assumptions!B14*Assumptions!B13</f>
        <v>0</v>
      </c>
      <c r="C31" s="18">
        <f>-(C25-C26)*Assumptions!C14*Assumptions!C13</f>
        <v>0</v>
      </c>
      <c r="D31" s="18">
        <f>-(D25-D26)*Assumptions!D14*Assumptions!D13</f>
        <v>0</v>
      </c>
      <c r="E31" s="18">
        <f>-(E25-E26)*Assumptions!E14*Assumptions!E13</f>
        <v>0</v>
      </c>
      <c r="F31" s="18">
        <f>-(F25-F26)*Assumptions!F14*Assumptions!F13</f>
        <v>0</v>
      </c>
      <c r="G31" s="18">
        <f>-(G25-G26)*Assumptions!G14*Assumptions!G13</f>
        <v>0</v>
      </c>
      <c r="H31" s="18">
        <f>-(H25-H26)*Assumptions!H14*Assumptions!H13</f>
        <v>0</v>
      </c>
      <c r="I31" s="18">
        <f>-(I25-I26)*Assumptions!I14*Assumptions!I13</f>
        <v>0</v>
      </c>
      <c r="J31" s="18">
        <f>-(J25-J26)*Assumptions!J14*Assumptions!J13</f>
        <v>0</v>
      </c>
      <c r="K31" s="18">
        <f>-(K25-K26)*Assumptions!K14*Assumptions!K13</f>
        <v>0</v>
      </c>
      <c r="L31" s="18">
        <f>-(L25-L26)*Assumptions!L14*Assumptions!L13</f>
        <v>0</v>
      </c>
      <c r="M31" s="19">
        <f>-(M25-M26)*Assumptions!M14*Assumptions!M13</f>
        <v>-74.545089544280629</v>
      </c>
      <c r="N31" s="19">
        <f>-(N25-N26)*Assumptions!N14*Assumptions!N13</f>
        <v>-76.999554761245491</v>
      </c>
      <c r="O31" s="19">
        <f>-(O25-O26)*Assumptions!O14*Assumptions!O13</f>
        <v>-79.863156751467216</v>
      </c>
      <c r="P31" s="19">
        <f>-(P25-P26)*Assumptions!P14*Assumptions!P13</f>
        <v>-82.868274143150671</v>
      </c>
    </row>
    <row r="32" spans="1:16">
      <c r="A32" t="s">
        <v>177</v>
      </c>
      <c r="B32" s="18">
        <f t="shared" ref="B32:P32" si="8">B30+B31</f>
        <v>0</v>
      </c>
      <c r="C32" s="18">
        <f t="shared" si="8"/>
        <v>0</v>
      </c>
      <c r="D32" s="18">
        <f t="shared" si="8"/>
        <v>0</v>
      </c>
      <c r="E32" s="18">
        <f t="shared" si="8"/>
        <v>0</v>
      </c>
      <c r="F32" s="18">
        <f t="shared" si="8"/>
        <v>0</v>
      </c>
      <c r="G32" s="18">
        <f t="shared" si="8"/>
        <v>0</v>
      </c>
      <c r="H32" s="18">
        <f t="shared" si="8"/>
        <v>0</v>
      </c>
      <c r="I32" s="18">
        <f t="shared" si="8"/>
        <v>0</v>
      </c>
      <c r="J32" s="18">
        <f t="shared" si="8"/>
        <v>0</v>
      </c>
      <c r="K32" s="18">
        <f t="shared" si="8"/>
        <v>0</v>
      </c>
      <c r="L32" s="18">
        <f t="shared" si="8"/>
        <v>620</v>
      </c>
      <c r="M32" s="19">
        <f t="shared" si="8"/>
        <v>-10.545089544280629</v>
      </c>
      <c r="N32" s="19">
        <f t="shared" si="8"/>
        <v>97.420445238754468</v>
      </c>
      <c r="O32" s="19">
        <f t="shared" si="8"/>
        <v>147.18893324853281</v>
      </c>
      <c r="P32" s="19">
        <f t="shared" si="8"/>
        <v>215.09381456184937</v>
      </c>
    </row>
    <row r="34" spans="1:16">
      <c r="A34" s="115" t="s">
        <v>477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</row>
    <row r="35" spans="1:16">
      <c r="A35" t="s">
        <v>478</v>
      </c>
      <c r="M35" s="54">
        <f>$L$5*M15*(M9/L9)*(1+M14)*(1-M16)</f>
        <v>82798.426505024996</v>
      </c>
      <c r="N35" s="54">
        <f>M38*N15*(N9/M9)*(1+N14)*(1-N16)</f>
        <v>83182.213842945595</v>
      </c>
      <c r="O35" s="54">
        <f>N38*O15*(O9/N9)*(1+O14)*(1-O16)</f>
        <v>87275.806135070845</v>
      </c>
      <c r="P35" s="54">
        <f>O38*P15*(P9/O9)*(1+P14)*(1-P16)</f>
        <v>91588.860388168658</v>
      </c>
    </row>
    <row r="36" spans="1:16">
      <c r="A36" t="s">
        <v>479</v>
      </c>
      <c r="M36" s="54">
        <f>$L$5*(1-M15)*(1+M17)</f>
        <v>52428.185039999989</v>
      </c>
      <c r="N36" s="54">
        <f>M38*(1-N15)*(1+N17)</f>
        <v>56883.68563139109</v>
      </c>
      <c r="O36" s="54">
        <f>N38*(1-O15)*(1+O17)</f>
        <v>59321.349977684236</v>
      </c>
      <c r="P36" s="54">
        <f>O38*(1-P15)*(1+P17)</f>
        <v>62252.932189881576</v>
      </c>
    </row>
    <row r="37" spans="1:16">
      <c r="A37" t="s">
        <v>480</v>
      </c>
      <c r="M37" s="54">
        <f>M30*($L$5/$L$25)</f>
        <v>568.00436442989633</v>
      </c>
      <c r="N37" s="54">
        <f>N30*($L$5/$L$25)</f>
        <v>1547.9893944353514</v>
      </c>
      <c r="O37" s="54">
        <f>O30*($L$5/$L$25)</f>
        <v>2015.1027823895256</v>
      </c>
      <c r="P37" s="54">
        <f>P30*($L$5/$L$25)</f>
        <v>2644.433856548249</v>
      </c>
    </row>
    <row r="38" spans="1:16">
      <c r="A38" s="56" t="s">
        <v>481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7">
        <f>SUM(M35:M37)</f>
        <v>135794.61590945488</v>
      </c>
      <c r="N38" s="57">
        <f>SUM(N35:N37)</f>
        <v>141613.88886877202</v>
      </c>
      <c r="O38" s="57">
        <f>SUM(O35:O37)</f>
        <v>148612.25889514459</v>
      </c>
      <c r="P38" s="57">
        <f>SUM(P35:P37)</f>
        <v>156486.22643459847</v>
      </c>
    </row>
    <row r="39" spans="1:16">
      <c r="A39" t="s">
        <v>482</v>
      </c>
      <c r="M39" s="55">
        <f>IFERROR(M38/$L$5-1,0)</f>
        <v>4.3418182240094749E-2</v>
      </c>
      <c r="N39" s="55">
        <f>IFERROR(N38/M38-1,0)</f>
        <v>4.2853488117653438E-2</v>
      </c>
      <c r="O39" s="55">
        <f>IFERROR(O38/N38-1,0)</f>
        <v>4.9418669893725564E-2</v>
      </c>
      <c r="P39" s="55">
        <f>IFERROR(P38/O38-1,0)</f>
        <v>5.2983297595990742E-2</v>
      </c>
    </row>
    <row r="40" spans="1:16">
      <c r="A40" t="s">
        <v>483</v>
      </c>
      <c r="M40" s="54">
        <f>M5-M38</f>
        <v>0</v>
      </c>
      <c r="N40" s="54">
        <f>N5-N38</f>
        <v>0</v>
      </c>
      <c r="O40" s="54">
        <f>O5-O38</f>
        <v>0</v>
      </c>
      <c r="P40" s="54">
        <f>P5-P38</f>
        <v>0</v>
      </c>
    </row>
  </sheetData>
  <mergeCells count="4">
    <mergeCell ref="A1:P1"/>
    <mergeCell ref="A2:P2"/>
    <mergeCell ref="A24:P24"/>
    <mergeCell ref="A34:P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3"/>
  <sheetViews>
    <sheetView showGridLines="0" topLeftCell="A34" workbookViewId="0">
      <selection activeCell="E21" sqref="E21"/>
    </sheetView>
  </sheetViews>
  <sheetFormatPr defaultRowHeight="13.8"/>
  <cols>
    <col min="1" max="1" width="42" style="121" customWidth="1"/>
    <col min="2" max="16" width="12" style="121" customWidth="1"/>
    <col min="17" max="16384" width="8.796875" style="121"/>
  </cols>
  <sheetData>
    <row r="1" spans="1:16" ht="25.95" customHeight="1">
      <c r="A1" s="119" t="s">
        <v>178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20"/>
      <c r="N1" s="120"/>
      <c r="O1" s="120"/>
      <c r="P1" s="120"/>
    </row>
    <row r="2" spans="1:16" ht="22.05" customHeight="1">
      <c r="A2" s="122" t="s">
        <v>179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1:16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</row>
    <row r="4" spans="1:16">
      <c r="A4" s="124" t="s">
        <v>80</v>
      </c>
      <c r="B4" s="125" t="s">
        <v>29</v>
      </c>
      <c r="C4" s="125" t="s">
        <v>30</v>
      </c>
      <c r="D4" s="125" t="s">
        <v>31</v>
      </c>
      <c r="E4" s="125" t="s">
        <v>32</v>
      </c>
      <c r="F4" s="125" t="s">
        <v>33</v>
      </c>
      <c r="G4" s="125" t="s">
        <v>34</v>
      </c>
      <c r="H4" s="125" t="s">
        <v>35</v>
      </c>
      <c r="I4" s="125" t="s">
        <v>36</v>
      </c>
      <c r="J4" s="125" t="s">
        <v>37</v>
      </c>
      <c r="K4" s="125" t="s">
        <v>38</v>
      </c>
      <c r="L4" s="125" t="s">
        <v>39</v>
      </c>
      <c r="M4" s="125" t="s">
        <v>40</v>
      </c>
      <c r="N4" s="125" t="s">
        <v>41</v>
      </c>
      <c r="O4" s="125" t="s">
        <v>42</v>
      </c>
      <c r="P4" s="125" t="s">
        <v>43</v>
      </c>
    </row>
    <row r="5" spans="1:16">
      <c r="A5" s="123" t="s">
        <v>180</v>
      </c>
      <c r="B5" s="123">
        <f>'Annual P&amp;L'!B5</f>
        <v>31136</v>
      </c>
      <c r="C5" s="123">
        <f>'Annual P&amp;L'!C5</f>
        <v>46722</v>
      </c>
      <c r="D5" s="123">
        <f>'Annual P&amp;L'!D5</f>
        <v>50570</v>
      </c>
      <c r="E5" s="123">
        <f>'Annual P&amp;L'!E5</f>
        <v>60428</v>
      </c>
      <c r="F5" s="123">
        <f>'Annual P&amp;L'!F5</f>
        <v>70678</v>
      </c>
      <c r="G5" s="123">
        <f>'Annual P&amp;L'!G5</f>
        <v>75379</v>
      </c>
      <c r="H5" s="123">
        <f>'Annual P&amp;L'!H5</f>
        <v>85651</v>
      </c>
      <c r="I5" s="123">
        <f>'Annual P&amp;L'!I5</f>
        <v>101456</v>
      </c>
      <c r="J5" s="123">
        <f>'Annual P&amp;L'!J5</f>
        <v>109913</v>
      </c>
      <c r="K5" s="123">
        <f>'Annual P&amp;L'!K5</f>
        <v>117055</v>
      </c>
      <c r="L5" s="123">
        <f>'Annual P&amp;L'!L5</f>
        <v>130144</v>
      </c>
      <c r="M5" s="123">
        <f>'Annual P&amp;L'!M5</f>
        <v>135794.61590945488</v>
      </c>
      <c r="N5" s="123">
        <f>'Annual P&amp;L'!N5</f>
        <v>141613.88886877202</v>
      </c>
      <c r="O5" s="123">
        <f>'Annual P&amp;L'!O5</f>
        <v>148612.25889514459</v>
      </c>
      <c r="P5" s="123">
        <f>'Annual P&amp;L'!P5</f>
        <v>156486.22643459847</v>
      </c>
    </row>
    <row r="6" spans="1:16">
      <c r="A6" s="123" t="s">
        <v>181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</row>
    <row r="7" spans="1:16">
      <c r="A7" s="123" t="s">
        <v>182</v>
      </c>
      <c r="B7" s="123">
        <v>0.63</v>
      </c>
      <c r="C7" s="123">
        <v>0.627</v>
      </c>
      <c r="D7" s="123">
        <v>0.624</v>
      </c>
      <c r="E7" s="123">
        <v>0.621</v>
      </c>
      <c r="F7" s="123">
        <v>0.61799999999999999</v>
      </c>
      <c r="G7" s="123">
        <v>0.61499999999999999</v>
      </c>
      <c r="H7" s="123">
        <v>0.61199999999999999</v>
      </c>
      <c r="I7" s="123">
        <v>0.60899999999999999</v>
      </c>
      <c r="J7" s="123">
        <v>0.60599999999999998</v>
      </c>
      <c r="K7" s="123">
        <v>0.60299999999999998</v>
      </c>
      <c r="L7" s="123">
        <v>0.56299999999999994</v>
      </c>
      <c r="M7" s="123">
        <f>L7</f>
        <v>0.56299999999999994</v>
      </c>
      <c r="N7" s="123">
        <f>M7</f>
        <v>0.56299999999999994</v>
      </c>
      <c r="O7" s="123">
        <f>N7</f>
        <v>0.56299999999999994</v>
      </c>
      <c r="P7" s="123">
        <f>O7</f>
        <v>0.56299999999999994</v>
      </c>
    </row>
    <row r="8" spans="1:16">
      <c r="A8" s="123" t="s">
        <v>183</v>
      </c>
      <c r="B8" s="123">
        <f t="shared" ref="B8:P8" si="0">B$5*B7</f>
        <v>19615.68</v>
      </c>
      <c r="C8" s="123">
        <f t="shared" si="0"/>
        <v>29294.694</v>
      </c>
      <c r="D8" s="123">
        <f t="shared" si="0"/>
        <v>31555.68</v>
      </c>
      <c r="E8" s="123">
        <f t="shared" si="0"/>
        <v>37525.788</v>
      </c>
      <c r="F8" s="123">
        <f t="shared" si="0"/>
        <v>43679.004000000001</v>
      </c>
      <c r="G8" s="123">
        <f t="shared" si="0"/>
        <v>46358.084999999999</v>
      </c>
      <c r="H8" s="123">
        <f t="shared" si="0"/>
        <v>52418.411999999997</v>
      </c>
      <c r="I8" s="123">
        <f t="shared" si="0"/>
        <v>61786.703999999998</v>
      </c>
      <c r="J8" s="123">
        <f t="shared" si="0"/>
        <v>66607.277999999991</v>
      </c>
      <c r="K8" s="123">
        <f t="shared" si="0"/>
        <v>70584.164999999994</v>
      </c>
      <c r="L8" s="123">
        <f t="shared" si="0"/>
        <v>73271.071999999986</v>
      </c>
      <c r="M8" s="123">
        <f t="shared" si="0"/>
        <v>76452.368757023083</v>
      </c>
      <c r="N8" s="123">
        <f t="shared" si="0"/>
        <v>79728.619433118642</v>
      </c>
      <c r="O8" s="123">
        <f t="shared" si="0"/>
        <v>83668.701757966395</v>
      </c>
      <c r="P8" s="123">
        <f t="shared" si="0"/>
        <v>88101.745482678933</v>
      </c>
    </row>
    <row r="9" spans="1:16">
      <c r="A9" s="123" t="s">
        <v>184</v>
      </c>
      <c r="B9" s="123">
        <v>0.26</v>
      </c>
      <c r="C9" s="123">
        <v>0.26300000000000001</v>
      </c>
      <c r="D9" s="123">
        <v>0.26600000000000001</v>
      </c>
      <c r="E9" s="123">
        <v>0.26900000000000002</v>
      </c>
      <c r="F9" s="123">
        <v>0.27200000000000002</v>
      </c>
      <c r="G9" s="123">
        <v>0.27500000000000002</v>
      </c>
      <c r="H9" s="123">
        <v>0.27800000000000002</v>
      </c>
      <c r="I9" s="123">
        <v>0.28100000000000003</v>
      </c>
      <c r="J9" s="123">
        <v>0.28400000000000003</v>
      </c>
      <c r="K9" s="123">
        <v>0.28700000000000003</v>
      </c>
      <c r="L9" s="123">
        <v>0.27100000000000002</v>
      </c>
      <c r="M9" s="123">
        <f>L9</f>
        <v>0.27100000000000002</v>
      </c>
      <c r="N9" s="123">
        <f>M9</f>
        <v>0.27100000000000002</v>
      </c>
      <c r="O9" s="123">
        <f>N9</f>
        <v>0.27100000000000002</v>
      </c>
      <c r="P9" s="123">
        <f>O9</f>
        <v>0.27100000000000002</v>
      </c>
    </row>
    <row r="10" spans="1:16">
      <c r="A10" s="123" t="s">
        <v>185</v>
      </c>
      <c r="B10" s="123">
        <f t="shared" ref="B10:P10" si="1">B$5*B9</f>
        <v>8095.3600000000006</v>
      </c>
      <c r="C10" s="123">
        <f t="shared" si="1"/>
        <v>12287.886</v>
      </c>
      <c r="D10" s="123">
        <f t="shared" si="1"/>
        <v>13451.62</v>
      </c>
      <c r="E10" s="123">
        <f t="shared" si="1"/>
        <v>16255.132000000001</v>
      </c>
      <c r="F10" s="123">
        <f t="shared" si="1"/>
        <v>19224.416000000001</v>
      </c>
      <c r="G10" s="123">
        <f t="shared" si="1"/>
        <v>20729.225000000002</v>
      </c>
      <c r="H10" s="123">
        <f t="shared" si="1"/>
        <v>23810.978000000003</v>
      </c>
      <c r="I10" s="123">
        <f t="shared" si="1"/>
        <v>28509.136000000002</v>
      </c>
      <c r="J10" s="123">
        <f t="shared" si="1"/>
        <v>31215.292000000005</v>
      </c>
      <c r="K10" s="123">
        <f t="shared" si="1"/>
        <v>33594.785000000003</v>
      </c>
      <c r="L10" s="123">
        <f t="shared" si="1"/>
        <v>35269.024000000005</v>
      </c>
      <c r="M10" s="123">
        <f t="shared" si="1"/>
        <v>36800.340911462277</v>
      </c>
      <c r="N10" s="123">
        <f t="shared" si="1"/>
        <v>38377.363883437218</v>
      </c>
      <c r="O10" s="123">
        <f t="shared" si="1"/>
        <v>40273.922160584189</v>
      </c>
      <c r="P10" s="123">
        <f t="shared" si="1"/>
        <v>42407.767363776191</v>
      </c>
    </row>
    <row r="11" spans="1:16">
      <c r="A11" s="123" t="s">
        <v>186</v>
      </c>
      <c r="B11" s="123">
        <v>3.5000000000000003E-2</v>
      </c>
      <c r="C11" s="123">
        <v>3.5000000000000003E-2</v>
      </c>
      <c r="D11" s="123">
        <v>3.5000000000000003E-2</v>
      </c>
      <c r="E11" s="123">
        <v>3.5000000000000003E-2</v>
      </c>
      <c r="F11" s="123">
        <v>3.5000000000000003E-2</v>
      </c>
      <c r="G11" s="123">
        <v>3.5000000000000003E-2</v>
      </c>
      <c r="H11" s="123">
        <v>3.5000000000000003E-2</v>
      </c>
      <c r="I11" s="123">
        <v>3.5000000000000003E-2</v>
      </c>
      <c r="J11" s="123">
        <v>3.5000000000000003E-2</v>
      </c>
      <c r="K11" s="123">
        <v>3.5000000000000003E-2</v>
      </c>
      <c r="L11" s="123">
        <v>2.9000000000000001E-2</v>
      </c>
      <c r="M11" s="123">
        <f>L11</f>
        <v>2.9000000000000001E-2</v>
      </c>
      <c r="N11" s="123">
        <f>M11</f>
        <v>2.9000000000000001E-2</v>
      </c>
      <c r="O11" s="123">
        <f>N11</f>
        <v>2.9000000000000001E-2</v>
      </c>
      <c r="P11" s="123">
        <f>O11</f>
        <v>2.9000000000000001E-2</v>
      </c>
    </row>
    <row r="12" spans="1:16">
      <c r="A12" s="123" t="s">
        <v>187</v>
      </c>
      <c r="B12" s="123">
        <f t="shared" ref="B12:P12" si="2">B$5*B11</f>
        <v>1089.76</v>
      </c>
      <c r="C12" s="123">
        <f t="shared" si="2"/>
        <v>1635.2700000000002</v>
      </c>
      <c r="D12" s="123">
        <f t="shared" si="2"/>
        <v>1769.9500000000003</v>
      </c>
      <c r="E12" s="123">
        <f t="shared" si="2"/>
        <v>2114.98</v>
      </c>
      <c r="F12" s="123">
        <f t="shared" si="2"/>
        <v>2473.73</v>
      </c>
      <c r="G12" s="123">
        <f t="shared" si="2"/>
        <v>2638.2650000000003</v>
      </c>
      <c r="H12" s="123">
        <f t="shared" si="2"/>
        <v>2997.7850000000003</v>
      </c>
      <c r="I12" s="123">
        <f t="shared" si="2"/>
        <v>3550.9600000000005</v>
      </c>
      <c r="J12" s="123">
        <f t="shared" si="2"/>
        <v>3846.9550000000004</v>
      </c>
      <c r="K12" s="123">
        <f t="shared" si="2"/>
        <v>4096.9250000000002</v>
      </c>
      <c r="L12" s="123">
        <f t="shared" si="2"/>
        <v>3774.1760000000004</v>
      </c>
      <c r="M12" s="123">
        <f t="shared" si="2"/>
        <v>3938.0438613741917</v>
      </c>
      <c r="N12" s="123">
        <f t="shared" si="2"/>
        <v>4106.8027771943889</v>
      </c>
      <c r="O12" s="123">
        <f t="shared" si="2"/>
        <v>4309.7555079591939</v>
      </c>
      <c r="P12" s="123">
        <f t="shared" si="2"/>
        <v>4538.1005666033561</v>
      </c>
    </row>
    <row r="13" spans="1:16">
      <c r="A13" s="123" t="s">
        <v>188</v>
      </c>
      <c r="B13" s="123">
        <v>7.4999999999999997E-2</v>
      </c>
      <c r="C13" s="123">
        <v>7.4999999999999997E-2</v>
      </c>
      <c r="D13" s="123">
        <v>7.4999999999999997E-2</v>
      </c>
      <c r="E13" s="123">
        <v>7.4999999999999997E-2</v>
      </c>
      <c r="F13" s="123">
        <v>7.4999999999999997E-2</v>
      </c>
      <c r="G13" s="123">
        <v>7.4999999999999997E-2</v>
      </c>
      <c r="H13" s="123">
        <v>7.4999999999999997E-2</v>
      </c>
      <c r="I13" s="123">
        <v>7.4999999999999997E-2</v>
      </c>
      <c r="J13" s="123">
        <v>7.4999999999999997E-2</v>
      </c>
      <c r="K13" s="123">
        <v>7.4999999999999997E-2</v>
      </c>
      <c r="L13" s="123">
        <v>0.13700000000000001</v>
      </c>
      <c r="M13" s="123">
        <f>L13</f>
        <v>0.13700000000000001</v>
      </c>
      <c r="N13" s="123">
        <f>M13</f>
        <v>0.13700000000000001</v>
      </c>
      <c r="O13" s="123">
        <f>N13</f>
        <v>0.13700000000000001</v>
      </c>
      <c r="P13" s="123">
        <f>O13</f>
        <v>0.13700000000000001</v>
      </c>
    </row>
    <row r="14" spans="1:16">
      <c r="A14" s="123" t="s">
        <v>189</v>
      </c>
      <c r="B14" s="123">
        <f t="shared" ref="B14:P14" si="3">B$5*B13</f>
        <v>2335.1999999999998</v>
      </c>
      <c r="C14" s="123">
        <f t="shared" si="3"/>
        <v>3504.15</v>
      </c>
      <c r="D14" s="123">
        <f t="shared" si="3"/>
        <v>3792.75</v>
      </c>
      <c r="E14" s="123">
        <f t="shared" si="3"/>
        <v>4532.0999999999995</v>
      </c>
      <c r="F14" s="123">
        <f t="shared" si="3"/>
        <v>5300.8499999999995</v>
      </c>
      <c r="G14" s="123">
        <f t="shared" si="3"/>
        <v>5653.4250000000002</v>
      </c>
      <c r="H14" s="123">
        <f t="shared" si="3"/>
        <v>6423.8249999999998</v>
      </c>
      <c r="I14" s="123">
        <f t="shared" si="3"/>
        <v>7609.2</v>
      </c>
      <c r="J14" s="123">
        <f t="shared" si="3"/>
        <v>8243.4750000000004</v>
      </c>
      <c r="K14" s="123">
        <f t="shared" si="3"/>
        <v>8779.125</v>
      </c>
      <c r="L14" s="123">
        <f t="shared" si="3"/>
        <v>17829.728000000003</v>
      </c>
      <c r="M14" s="123">
        <f t="shared" si="3"/>
        <v>18603.862379595321</v>
      </c>
      <c r="N14" s="123">
        <f t="shared" si="3"/>
        <v>19401.102775021769</v>
      </c>
      <c r="O14" s="123">
        <f t="shared" si="3"/>
        <v>20359.879468634812</v>
      </c>
      <c r="P14" s="123">
        <f t="shared" si="3"/>
        <v>21438.613021539993</v>
      </c>
    </row>
    <row r="15" spans="1:16">
      <c r="A15" s="123" t="s">
        <v>190</v>
      </c>
      <c r="B15" s="123">
        <f t="shared" ref="B15:P15" si="4">SUM(B7,B9,B11,B13)-100%</f>
        <v>0</v>
      </c>
      <c r="C15" s="123">
        <f t="shared" si="4"/>
        <v>0</v>
      </c>
      <c r="D15" s="123">
        <f t="shared" si="4"/>
        <v>0</v>
      </c>
      <c r="E15" s="123">
        <f t="shared" si="4"/>
        <v>0</v>
      </c>
      <c r="F15" s="123">
        <f t="shared" si="4"/>
        <v>0</v>
      </c>
      <c r="G15" s="123">
        <f t="shared" si="4"/>
        <v>0</v>
      </c>
      <c r="H15" s="123">
        <f t="shared" si="4"/>
        <v>0</v>
      </c>
      <c r="I15" s="123">
        <f t="shared" si="4"/>
        <v>0</v>
      </c>
      <c r="J15" s="123">
        <f t="shared" si="4"/>
        <v>0</v>
      </c>
      <c r="K15" s="123">
        <f t="shared" si="4"/>
        <v>0</v>
      </c>
      <c r="L15" s="123">
        <f t="shared" si="4"/>
        <v>0</v>
      </c>
      <c r="M15" s="123">
        <f t="shared" si="4"/>
        <v>0</v>
      </c>
      <c r="N15" s="123">
        <f t="shared" si="4"/>
        <v>0</v>
      </c>
      <c r="O15" s="123">
        <f t="shared" si="4"/>
        <v>0</v>
      </c>
      <c r="P15" s="123">
        <f t="shared" si="4"/>
        <v>0</v>
      </c>
    </row>
    <row r="16" spans="1:16">
      <c r="A16" s="123" t="s">
        <v>191</v>
      </c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</row>
    <row r="17" spans="1:16">
      <c r="A17" s="123" t="s">
        <v>192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</row>
    <row r="18" spans="1:16">
      <c r="A18" s="123" t="s">
        <v>193</v>
      </c>
      <c r="B18" s="123">
        <v>0.81168949931872647</v>
      </c>
      <c r="C18" s="123">
        <v>0.81320809439155872</v>
      </c>
      <c r="D18" s="123">
        <v>0.77016189941568225</v>
      </c>
      <c r="E18" s="123">
        <v>0.7464053681479077</v>
      </c>
      <c r="F18" s="123">
        <v>0.71815785024154588</v>
      </c>
      <c r="G18" s="123">
        <v>0.708496855036855</v>
      </c>
      <c r="H18" s="123">
        <v>0.72079064359065936</v>
      </c>
      <c r="I18" s="123">
        <v>0.72969390414441893</v>
      </c>
      <c r="J18" s="123">
        <v>0.73826089708808107</v>
      </c>
      <c r="K18" s="123">
        <v>0.73838678631811672</v>
      </c>
      <c r="L18" s="123">
        <v>0.75</v>
      </c>
      <c r="M18" s="123">
        <f>100%-M20-M22</f>
        <v>0.747</v>
      </c>
      <c r="N18" s="123">
        <f>100%-N20-N22</f>
        <v>0.747</v>
      </c>
      <c r="O18" s="123">
        <f>100%-O20-O22</f>
        <v>0.747</v>
      </c>
      <c r="P18" s="123">
        <f>100%-P20-P22</f>
        <v>0.747</v>
      </c>
    </row>
    <row r="19" spans="1:16">
      <c r="A19" s="123" t="s">
        <v>194</v>
      </c>
      <c r="B19" s="123">
        <f t="shared" ref="B19:P19" si="5">B$5*B18</f>
        <v>25272.764250787866</v>
      </c>
      <c r="C19" s="123">
        <f t="shared" si="5"/>
        <v>37994.708586162407</v>
      </c>
      <c r="D19" s="123">
        <f t="shared" si="5"/>
        <v>38947.087253451049</v>
      </c>
      <c r="E19" s="123">
        <f t="shared" si="5"/>
        <v>45103.783586441765</v>
      </c>
      <c r="F19" s="123">
        <f t="shared" si="5"/>
        <v>50757.960539371983</v>
      </c>
      <c r="G19" s="123">
        <f t="shared" si="5"/>
        <v>53405.784435823094</v>
      </c>
      <c r="H19" s="123">
        <f t="shared" si="5"/>
        <v>61736.439414183566</v>
      </c>
      <c r="I19" s="123">
        <f t="shared" si="5"/>
        <v>74031.824738876167</v>
      </c>
      <c r="J19" s="123">
        <f t="shared" si="5"/>
        <v>81144.469981642251</v>
      </c>
      <c r="K19" s="123">
        <f t="shared" si="5"/>
        <v>86431.865272467156</v>
      </c>
      <c r="L19" s="123">
        <f t="shared" si="5"/>
        <v>97608</v>
      </c>
      <c r="M19" s="123">
        <f t="shared" si="5"/>
        <v>101438.57808436279</v>
      </c>
      <c r="N19" s="123">
        <f t="shared" si="5"/>
        <v>105785.5749849727</v>
      </c>
      <c r="O19" s="123">
        <f t="shared" si="5"/>
        <v>111013.35739467302</v>
      </c>
      <c r="P19" s="123">
        <f t="shared" si="5"/>
        <v>116895.21114664506</v>
      </c>
    </row>
    <row r="20" spans="1:16">
      <c r="A20" s="123" t="s">
        <v>195</v>
      </c>
      <c r="B20" s="123">
        <v>0.18831050068127358</v>
      </c>
      <c r="C20" s="123">
        <v>0.18679190560844131</v>
      </c>
      <c r="D20" s="123">
        <v>0.22983810058431781</v>
      </c>
      <c r="E20" s="123">
        <v>0.17112909503730128</v>
      </c>
      <c r="F20" s="123">
        <v>0.16695217391304348</v>
      </c>
      <c r="G20" s="123">
        <v>0.15559045700245702</v>
      </c>
      <c r="H20" s="123">
        <v>0.15839608393070231</v>
      </c>
      <c r="I20" s="123">
        <v>0.16569452390033051</v>
      </c>
      <c r="J20" s="123">
        <v>0.15984098239585218</v>
      </c>
      <c r="K20" s="123">
        <v>0.16203942139564456</v>
      </c>
      <c r="L20" s="123">
        <v>0.17</v>
      </c>
      <c r="M20" s="123">
        <f>L20+Assumptions!M28</f>
        <v>0.17</v>
      </c>
      <c r="N20" s="123">
        <f>M20+Assumptions!N28</f>
        <v>0.17</v>
      </c>
      <c r="O20" s="123">
        <f>N20+Assumptions!O28</f>
        <v>0.17</v>
      </c>
      <c r="P20" s="123">
        <f>O20+Assumptions!P28</f>
        <v>0.17</v>
      </c>
    </row>
    <row r="21" spans="1:16">
      <c r="A21" s="123" t="s">
        <v>196</v>
      </c>
      <c r="B21" s="123">
        <f t="shared" ref="B21:P21" si="6">B$5*B20</f>
        <v>5863.2357492121346</v>
      </c>
      <c r="C21" s="123">
        <f t="shared" si="6"/>
        <v>8727.2914138375945</v>
      </c>
      <c r="D21" s="123">
        <f t="shared" si="6"/>
        <v>11622.912746548951</v>
      </c>
      <c r="E21" s="123">
        <f t="shared" si="6"/>
        <v>10340.988954914043</v>
      </c>
      <c r="F21" s="123">
        <f t="shared" si="6"/>
        <v>11799.845747826088</v>
      </c>
      <c r="G21" s="123">
        <f t="shared" si="6"/>
        <v>11728.253058388207</v>
      </c>
      <c r="H21" s="123">
        <f t="shared" si="6"/>
        <v>13566.782984748585</v>
      </c>
      <c r="I21" s="123">
        <f t="shared" si="6"/>
        <v>16810.703616831932</v>
      </c>
      <c r="J21" s="123">
        <f t="shared" si="6"/>
        <v>17568.6018980753</v>
      </c>
      <c r="K21" s="123">
        <f t="shared" si="6"/>
        <v>18967.524471467175</v>
      </c>
      <c r="L21" s="123">
        <f t="shared" si="6"/>
        <v>22124.480000000003</v>
      </c>
      <c r="M21" s="123">
        <f t="shared" si="6"/>
        <v>23085.084704607332</v>
      </c>
      <c r="N21" s="123">
        <f t="shared" si="6"/>
        <v>24074.361107691246</v>
      </c>
      <c r="O21" s="123">
        <f t="shared" si="6"/>
        <v>25264.084012174582</v>
      </c>
      <c r="P21" s="123">
        <f t="shared" si="6"/>
        <v>26602.658493881743</v>
      </c>
    </row>
    <row r="22" spans="1:16">
      <c r="A22" s="123" t="s">
        <v>197</v>
      </c>
      <c r="B22" s="123">
        <v>0</v>
      </c>
      <c r="C22" s="123">
        <v>0</v>
      </c>
      <c r="D22" s="123">
        <v>0</v>
      </c>
      <c r="E22" s="123">
        <v>8.2465536814790769E-2</v>
      </c>
      <c r="F22" s="123">
        <v>0.11488997584541064</v>
      </c>
      <c r="G22" s="123">
        <v>0.13591268796068798</v>
      </c>
      <c r="H22" s="123">
        <v>0.12107397503680027</v>
      </c>
      <c r="I22" s="123">
        <v>0.10938408975336894</v>
      </c>
      <c r="J22" s="123">
        <v>0.10664076535841321</v>
      </c>
      <c r="K22" s="123">
        <v>0.10257379228623863</v>
      </c>
      <c r="L22" s="123">
        <v>8.3000000000000004E-2</v>
      </c>
      <c r="M22" s="123">
        <f>L22+Assumptions!M29</f>
        <v>8.3000000000000004E-2</v>
      </c>
      <c r="N22" s="123">
        <f>M22+Assumptions!N29</f>
        <v>8.3000000000000004E-2</v>
      </c>
      <c r="O22" s="123">
        <f>N22+Assumptions!O29</f>
        <v>8.3000000000000004E-2</v>
      </c>
      <c r="P22" s="123">
        <f>O22+Assumptions!P29</f>
        <v>8.3000000000000004E-2</v>
      </c>
    </row>
    <row r="23" spans="1:16">
      <c r="A23" s="123" t="s">
        <v>198</v>
      </c>
      <c r="B23" s="123">
        <f t="shared" ref="B23:P23" si="7">B$5*B22</f>
        <v>0</v>
      </c>
      <c r="C23" s="123">
        <f t="shared" si="7"/>
        <v>0</v>
      </c>
      <c r="D23" s="123">
        <f t="shared" si="7"/>
        <v>0</v>
      </c>
      <c r="E23" s="123">
        <f t="shared" si="7"/>
        <v>4983.2274586441763</v>
      </c>
      <c r="F23" s="123">
        <f t="shared" si="7"/>
        <v>8120.1937128019326</v>
      </c>
      <c r="G23" s="123">
        <f t="shared" si="7"/>
        <v>10244.962505788699</v>
      </c>
      <c r="H23" s="123">
        <f t="shared" si="7"/>
        <v>10370.107035876979</v>
      </c>
      <c r="I23" s="123">
        <f t="shared" si="7"/>
        <v>11097.672210017799</v>
      </c>
      <c r="J23" s="123">
        <f t="shared" si="7"/>
        <v>11721.206442839271</v>
      </c>
      <c r="K23" s="123">
        <f t="shared" si="7"/>
        <v>12006.775256065663</v>
      </c>
      <c r="L23" s="123">
        <f t="shared" si="7"/>
        <v>10801.952000000001</v>
      </c>
      <c r="M23" s="123">
        <f t="shared" si="7"/>
        <v>11270.953120484755</v>
      </c>
      <c r="N23" s="123">
        <f t="shared" si="7"/>
        <v>11753.952776108077</v>
      </c>
      <c r="O23" s="123">
        <f t="shared" si="7"/>
        <v>12334.817488297002</v>
      </c>
      <c r="P23" s="123">
        <f t="shared" si="7"/>
        <v>12988.356794071675</v>
      </c>
    </row>
    <row r="24" spans="1:16">
      <c r="A24" s="123" t="s">
        <v>199</v>
      </c>
      <c r="B24" s="123">
        <v>0.13</v>
      </c>
      <c r="C24" s="123">
        <v>0.13</v>
      </c>
      <c r="D24" s="123">
        <v>0.13</v>
      </c>
      <c r="E24" s="123">
        <v>0.13</v>
      </c>
      <c r="F24" s="123">
        <v>0.13</v>
      </c>
      <c r="G24" s="123">
        <v>0.13</v>
      </c>
      <c r="H24" s="123">
        <v>0.13</v>
      </c>
      <c r="I24" s="123">
        <v>0.13</v>
      </c>
      <c r="J24" s="123">
        <v>0.13</v>
      </c>
      <c r="K24" s="123">
        <v>0.13</v>
      </c>
      <c r="L24" s="123">
        <v>0.13</v>
      </c>
      <c r="M24" s="123">
        <f>L24</f>
        <v>0.13</v>
      </c>
      <c r="N24" s="123">
        <f>M24</f>
        <v>0.13</v>
      </c>
      <c r="O24" s="123">
        <f>N24</f>
        <v>0.13</v>
      </c>
      <c r="P24" s="123">
        <f>O24</f>
        <v>0.13</v>
      </c>
    </row>
    <row r="25" spans="1:16">
      <c r="A25" s="123" t="s">
        <v>200</v>
      </c>
      <c r="B25" s="123">
        <f t="shared" ref="B25:P25" si="8">B$5*B24</f>
        <v>4047.6800000000003</v>
      </c>
      <c r="C25" s="123">
        <f t="shared" si="8"/>
        <v>6073.8600000000006</v>
      </c>
      <c r="D25" s="123">
        <f t="shared" si="8"/>
        <v>6574.1</v>
      </c>
      <c r="E25" s="123">
        <f t="shared" si="8"/>
        <v>7855.64</v>
      </c>
      <c r="F25" s="123">
        <f t="shared" si="8"/>
        <v>9188.14</v>
      </c>
      <c r="G25" s="123">
        <f t="shared" si="8"/>
        <v>9799.27</v>
      </c>
      <c r="H25" s="123">
        <f t="shared" si="8"/>
        <v>11134.630000000001</v>
      </c>
      <c r="I25" s="123">
        <f t="shared" si="8"/>
        <v>13189.28</v>
      </c>
      <c r="J25" s="123">
        <f t="shared" si="8"/>
        <v>14288.69</v>
      </c>
      <c r="K25" s="123">
        <f t="shared" si="8"/>
        <v>15217.15</v>
      </c>
      <c r="L25" s="123">
        <f t="shared" si="8"/>
        <v>16918.72</v>
      </c>
      <c r="M25" s="123">
        <f t="shared" si="8"/>
        <v>17653.300068229135</v>
      </c>
      <c r="N25" s="123">
        <f t="shared" si="8"/>
        <v>18409.805552940365</v>
      </c>
      <c r="O25" s="123">
        <f t="shared" si="8"/>
        <v>19319.593656368797</v>
      </c>
      <c r="P25" s="123">
        <f t="shared" si="8"/>
        <v>20343.209436497804</v>
      </c>
    </row>
    <row r="26" spans="1:16">
      <c r="A26" s="123" t="s">
        <v>201</v>
      </c>
      <c r="B26" s="123">
        <v>0.12</v>
      </c>
      <c r="C26" s="123">
        <v>0.12</v>
      </c>
      <c r="D26" s="123">
        <v>0.12</v>
      </c>
      <c r="E26" s="123">
        <v>0.12</v>
      </c>
      <c r="F26" s="123">
        <v>0.12</v>
      </c>
      <c r="G26" s="123">
        <v>0.21856961179361184</v>
      </c>
      <c r="H26" s="123">
        <v>0.21333354527955123</v>
      </c>
      <c r="I26" s="123">
        <v>0.20693949434274089</v>
      </c>
      <c r="J26" s="123">
        <v>0.22109902333152467</v>
      </c>
      <c r="K26" s="123">
        <v>0.20722122512680452</v>
      </c>
      <c r="L26" s="123">
        <v>0.214</v>
      </c>
      <c r="M26" s="123">
        <f>L26</f>
        <v>0.214</v>
      </c>
      <c r="N26" s="123">
        <f>M26</f>
        <v>0.214</v>
      </c>
      <c r="O26" s="123">
        <f>N26</f>
        <v>0.214</v>
      </c>
      <c r="P26" s="123">
        <f>O26</f>
        <v>0.214</v>
      </c>
    </row>
    <row r="27" spans="1:16">
      <c r="A27" s="123" t="s">
        <v>202</v>
      </c>
      <c r="B27" s="123">
        <f t="shared" ref="B27:P27" si="9">B$5*B26</f>
        <v>3736.3199999999997</v>
      </c>
      <c r="C27" s="123">
        <f t="shared" si="9"/>
        <v>5606.6399999999994</v>
      </c>
      <c r="D27" s="123">
        <f t="shared" si="9"/>
        <v>6068.4</v>
      </c>
      <c r="E27" s="123">
        <f t="shared" si="9"/>
        <v>7251.36</v>
      </c>
      <c r="F27" s="123">
        <f t="shared" si="9"/>
        <v>8481.36</v>
      </c>
      <c r="G27" s="123">
        <f t="shared" si="9"/>
        <v>16475.558767390667</v>
      </c>
      <c r="H27" s="123">
        <f t="shared" si="9"/>
        <v>18272.231486738841</v>
      </c>
      <c r="I27" s="123">
        <f t="shared" si="9"/>
        <v>20995.253338037121</v>
      </c>
      <c r="J27" s="123">
        <f t="shared" si="9"/>
        <v>24301.656951437872</v>
      </c>
      <c r="K27" s="123">
        <f t="shared" si="9"/>
        <v>24256.280507218104</v>
      </c>
      <c r="L27" s="123">
        <f t="shared" si="9"/>
        <v>27850.815999999999</v>
      </c>
      <c r="M27" s="123">
        <f t="shared" si="9"/>
        <v>29060.047804623344</v>
      </c>
      <c r="N27" s="123">
        <f t="shared" si="9"/>
        <v>30305.372217917211</v>
      </c>
      <c r="O27" s="123">
        <f t="shared" si="9"/>
        <v>31803.023403560943</v>
      </c>
      <c r="P27" s="123">
        <f t="shared" si="9"/>
        <v>33488.052457004072</v>
      </c>
    </row>
    <row r="28" spans="1:16">
      <c r="A28" s="123" t="s">
        <v>203</v>
      </c>
      <c r="B28" s="123">
        <v>0.1</v>
      </c>
      <c r="C28" s="123">
        <v>0.1</v>
      </c>
      <c r="D28" s="123">
        <v>0.1</v>
      </c>
      <c r="E28" s="123">
        <v>0.1</v>
      </c>
      <c r="F28" s="123">
        <v>0.1</v>
      </c>
      <c r="G28" s="123">
        <v>0.17895463390663388</v>
      </c>
      <c r="H28" s="123">
        <v>0.17656516475189227</v>
      </c>
      <c r="I28" s="123">
        <v>0.1906116434655479</v>
      </c>
      <c r="J28" s="123">
        <v>0.19934901579550249</v>
      </c>
      <c r="K28" s="123">
        <v>0.19146106270140603</v>
      </c>
      <c r="L28" s="123">
        <v>0.186</v>
      </c>
      <c r="M28" s="123">
        <f>L28</f>
        <v>0.186</v>
      </c>
      <c r="N28" s="123">
        <f>M28</f>
        <v>0.186</v>
      </c>
      <c r="O28" s="123">
        <f>N28</f>
        <v>0.186</v>
      </c>
      <c r="P28" s="123">
        <f>O28</f>
        <v>0.186</v>
      </c>
    </row>
    <row r="29" spans="1:16">
      <c r="A29" s="123" t="s">
        <v>204</v>
      </c>
      <c r="B29" s="123">
        <f t="shared" ref="B29:P29" si="10">B$5*B28</f>
        <v>3113.6000000000004</v>
      </c>
      <c r="C29" s="123">
        <f t="shared" si="10"/>
        <v>4672.2</v>
      </c>
      <c r="D29" s="123">
        <f t="shared" si="10"/>
        <v>5057</v>
      </c>
      <c r="E29" s="123">
        <f t="shared" si="10"/>
        <v>6042.8</v>
      </c>
      <c r="F29" s="123">
        <f t="shared" si="10"/>
        <v>7067.8</v>
      </c>
      <c r="G29" s="123">
        <f t="shared" si="10"/>
        <v>13489.421349248156</v>
      </c>
      <c r="H29" s="123">
        <f t="shared" si="10"/>
        <v>15122.982926164324</v>
      </c>
      <c r="I29" s="123">
        <f t="shared" si="10"/>
        <v>19338.694899440627</v>
      </c>
      <c r="J29" s="123">
        <f t="shared" si="10"/>
        <v>21911.048373131063</v>
      </c>
      <c r="K29" s="123">
        <f t="shared" si="10"/>
        <v>22411.474694513083</v>
      </c>
      <c r="L29" s="123">
        <f t="shared" si="10"/>
        <v>24206.784</v>
      </c>
      <c r="M29" s="123">
        <f t="shared" si="10"/>
        <v>25257.798559158608</v>
      </c>
      <c r="N29" s="123">
        <f t="shared" si="10"/>
        <v>26340.183329591597</v>
      </c>
      <c r="O29" s="123">
        <f t="shared" si="10"/>
        <v>27641.880154496896</v>
      </c>
      <c r="P29" s="123">
        <f t="shared" si="10"/>
        <v>29106.438116835317</v>
      </c>
    </row>
    <row r="30" spans="1:16">
      <c r="A30" s="123" t="s">
        <v>205</v>
      </c>
      <c r="B30" s="123">
        <v>0.09</v>
      </c>
      <c r="C30" s="123">
        <v>0.09</v>
      </c>
      <c r="D30" s="123">
        <v>0.09</v>
      </c>
      <c r="E30" s="123">
        <v>0.09</v>
      </c>
      <c r="F30" s="123">
        <v>0.09</v>
      </c>
      <c r="G30" s="123">
        <v>0.17378934643734642</v>
      </c>
      <c r="H30" s="123">
        <v>0.17613111341445359</v>
      </c>
      <c r="I30" s="123">
        <v>0.14914871758199846</v>
      </c>
      <c r="J30" s="123">
        <v>0.12888356845722554</v>
      </c>
      <c r="K30" s="123">
        <v>0.13202576552361958</v>
      </c>
      <c r="L30" s="123">
        <v>0.14799999999999999</v>
      </c>
      <c r="M30" s="123">
        <f>L30</f>
        <v>0.14799999999999999</v>
      </c>
      <c r="N30" s="123">
        <f>M30</f>
        <v>0.14799999999999999</v>
      </c>
      <c r="O30" s="123">
        <f>N30</f>
        <v>0.14799999999999999</v>
      </c>
      <c r="P30" s="123">
        <f>O30</f>
        <v>0.14799999999999999</v>
      </c>
    </row>
    <row r="31" spans="1:16">
      <c r="A31" s="123" t="s">
        <v>206</v>
      </c>
      <c r="B31" s="123">
        <f t="shared" ref="B31:P31" si="11">B$5*B30</f>
        <v>2802.24</v>
      </c>
      <c r="C31" s="123">
        <f t="shared" si="11"/>
        <v>4204.9799999999996</v>
      </c>
      <c r="D31" s="123">
        <f t="shared" si="11"/>
        <v>4551.3</v>
      </c>
      <c r="E31" s="123">
        <f t="shared" si="11"/>
        <v>5438.5199999999995</v>
      </c>
      <c r="F31" s="123">
        <f t="shared" si="11"/>
        <v>6361.0199999999995</v>
      </c>
      <c r="G31" s="123">
        <f t="shared" si="11"/>
        <v>13100.067145100737</v>
      </c>
      <c r="H31" s="123">
        <f t="shared" si="11"/>
        <v>15085.805995061364</v>
      </c>
      <c r="I31" s="123">
        <f t="shared" si="11"/>
        <v>15132.032290999236</v>
      </c>
      <c r="J31" s="123">
        <f t="shared" si="11"/>
        <v>14165.979659839031</v>
      </c>
      <c r="K31" s="123">
        <f t="shared" si="11"/>
        <v>15454.27598336729</v>
      </c>
      <c r="L31" s="123">
        <f t="shared" si="11"/>
        <v>19261.311999999998</v>
      </c>
      <c r="M31" s="123">
        <f t="shared" si="11"/>
        <v>20097.603154599321</v>
      </c>
      <c r="N31" s="123">
        <f t="shared" si="11"/>
        <v>20958.855552578258</v>
      </c>
      <c r="O31" s="123">
        <f t="shared" si="11"/>
        <v>21994.614316481398</v>
      </c>
      <c r="P31" s="123">
        <f t="shared" si="11"/>
        <v>23159.961512320573</v>
      </c>
    </row>
    <row r="32" spans="1:16">
      <c r="A32" s="123" t="s">
        <v>207</v>
      </c>
      <c r="B32" s="123">
        <f>SUM(B18,B20,B22,B24,B26,B28,B30)-100%</f>
        <v>0.44000000000000017</v>
      </c>
      <c r="C32" s="123">
        <f>SUM(C18,C20,C22,C24,C26,C28,C30)-100%</f>
        <v>0.44000000000000017</v>
      </c>
      <c r="D32" s="123">
        <f>SUM(D18,D20,D22,D24,D26,D28,D30)-100%</f>
        <v>0.44000000000000017</v>
      </c>
      <c r="E32" s="123">
        <f>SUM(E18,E20,E22,E24,E26,E28,E30)-100%</f>
        <v>0.43999999999999972</v>
      </c>
      <c r="F32" s="123">
        <f>SUM(F18,F20,F22,F24,F26,F28,F30)-100%</f>
        <v>0.44000000000000017</v>
      </c>
      <c r="G32" s="123">
        <v>0.10253630466830467</v>
      </c>
      <c r="H32" s="123">
        <v>9.8208981874243304E-2</v>
      </c>
      <c r="I32" s="123">
        <v>9.1193411517925246E-2</v>
      </c>
      <c r="J32" s="123">
        <v>9.3501846325435581E-2</v>
      </c>
      <c r="K32" s="123">
        <v>9.8319373997485582E-2</v>
      </c>
      <c r="L32" s="123">
        <v>9.7000000000000003E-2</v>
      </c>
      <c r="M32" s="123">
        <f>SUM(M18,M20,M22,M24,M26,M28,M30)-100%</f>
        <v>0.67799999999999971</v>
      </c>
      <c r="N32" s="123">
        <f>SUM(N18,N20,N22,N24,N26,N28,N30)-100%</f>
        <v>0.67799999999999971</v>
      </c>
      <c r="O32" s="123">
        <f>SUM(O18,O20,O22,O24,O26,O28,O30)-100%</f>
        <v>0.67799999999999971</v>
      </c>
      <c r="P32" s="123">
        <f>SUM(P18,P20,P22,P24,P26,P28,P30)-100%</f>
        <v>0.67799999999999971</v>
      </c>
    </row>
    <row r="33" spans="1:16">
      <c r="A33" s="123" t="s">
        <v>203</v>
      </c>
      <c r="B33" s="123">
        <f t="shared" ref="B33:L33" si="12">B$5*B32</f>
        <v>13699.840000000006</v>
      </c>
      <c r="C33" s="123">
        <f t="shared" si="12"/>
        <v>20557.680000000008</v>
      </c>
      <c r="D33" s="123">
        <f t="shared" si="12"/>
        <v>22250.80000000001</v>
      </c>
      <c r="E33" s="123">
        <f t="shared" si="12"/>
        <v>26588.319999999985</v>
      </c>
      <c r="F33" s="123">
        <f t="shared" si="12"/>
        <v>31098.320000000011</v>
      </c>
      <c r="G33" s="123">
        <f t="shared" si="12"/>
        <v>7729.0841095921378</v>
      </c>
      <c r="H33" s="123">
        <f t="shared" si="12"/>
        <v>8411.6975065108127</v>
      </c>
      <c r="I33" s="123">
        <f t="shared" si="12"/>
        <v>9252.1187589626243</v>
      </c>
      <c r="J33" s="123">
        <f t="shared" si="12"/>
        <v>10277.068435167601</v>
      </c>
      <c r="K33" s="123">
        <f t="shared" si="12"/>
        <v>11508.774323275675</v>
      </c>
      <c r="L33" s="123">
        <f t="shared" si="12"/>
        <v>12623.968000000001</v>
      </c>
      <c r="M33" s="123"/>
      <c r="N33" s="123"/>
      <c r="O33" s="123"/>
      <c r="P33" s="123"/>
    </row>
    <row r="34" spans="1:16">
      <c r="A34" s="123" t="s">
        <v>208</v>
      </c>
      <c r="B34" s="123"/>
      <c r="C34" s="123"/>
      <c r="D34" s="123"/>
      <c r="E34" s="123"/>
      <c r="F34" s="123"/>
      <c r="G34" s="123">
        <v>7.9371272727272721E-2</v>
      </c>
      <c r="H34" s="123">
        <v>8.1343605466470403E-2</v>
      </c>
      <c r="I34" s="123">
        <v>9.1487477752351887E-2</v>
      </c>
      <c r="J34" s="123">
        <v>9.2457157713872307E-2</v>
      </c>
      <c r="K34" s="123">
        <v>0.12630320371092901</v>
      </c>
      <c r="L34" s="123">
        <v>0.121</v>
      </c>
      <c r="M34" s="123"/>
      <c r="N34" s="123"/>
      <c r="O34" s="123"/>
      <c r="P34" s="123"/>
    </row>
    <row r="35" spans="1:16">
      <c r="A35" s="123" t="s">
        <v>209</v>
      </c>
      <c r="B35" s="123">
        <f t="shared" ref="B35:L35" si="13">B$5*B34</f>
        <v>0</v>
      </c>
      <c r="C35" s="123">
        <f t="shared" si="13"/>
        <v>0</v>
      </c>
      <c r="D35" s="123">
        <f t="shared" si="13"/>
        <v>0</v>
      </c>
      <c r="E35" s="123">
        <f t="shared" si="13"/>
        <v>0</v>
      </c>
      <c r="F35" s="123">
        <f t="shared" si="13"/>
        <v>0</v>
      </c>
      <c r="G35" s="123">
        <f t="shared" si="13"/>
        <v>5982.9271669090904</v>
      </c>
      <c r="H35" s="123">
        <f t="shared" si="13"/>
        <v>6967.1611518086565</v>
      </c>
      <c r="I35" s="123">
        <f t="shared" si="13"/>
        <v>9281.9535428426134</v>
      </c>
      <c r="J35" s="123">
        <f t="shared" si="13"/>
        <v>10162.243575804847</v>
      </c>
      <c r="K35" s="123">
        <f t="shared" si="13"/>
        <v>14784.421510382796</v>
      </c>
      <c r="L35" s="123">
        <f t="shared" si="13"/>
        <v>15747.423999999999</v>
      </c>
      <c r="M35" s="123"/>
      <c r="N35" s="123"/>
      <c r="O35" s="123"/>
      <c r="P35" s="123"/>
    </row>
    <row r="36" spans="1:16">
      <c r="A36" s="123" t="s">
        <v>210</v>
      </c>
      <c r="B36" s="123"/>
      <c r="C36" s="123"/>
      <c r="D36" s="123"/>
      <c r="E36" s="123"/>
      <c r="F36" s="123"/>
      <c r="G36" s="123">
        <v>0.13878820638820641</v>
      </c>
      <c r="H36" s="123">
        <v>0.14820181344668101</v>
      </c>
      <c r="I36" s="123">
        <v>0.16887626334858885</v>
      </c>
      <c r="J36" s="123">
        <v>0.16906735696629888</v>
      </c>
      <c r="K36" s="123">
        <v>0.15519476597158999</v>
      </c>
      <c r="L36" s="123">
        <v>0.14199999999999999</v>
      </c>
      <c r="M36" s="123"/>
      <c r="N36" s="123"/>
      <c r="O36" s="123"/>
      <c r="P36" s="123"/>
    </row>
    <row r="37" spans="1:16">
      <c r="A37" s="123" t="s">
        <v>199</v>
      </c>
      <c r="B37" s="123">
        <f t="shared" ref="B37:L37" si="14">B$5*B36</f>
        <v>0</v>
      </c>
      <c r="C37" s="123">
        <f t="shared" si="14"/>
        <v>0</v>
      </c>
      <c r="D37" s="123">
        <f t="shared" si="14"/>
        <v>0</v>
      </c>
      <c r="E37" s="123">
        <f t="shared" si="14"/>
        <v>0</v>
      </c>
      <c r="F37" s="123">
        <f t="shared" si="14"/>
        <v>0</v>
      </c>
      <c r="G37" s="123">
        <f t="shared" si="14"/>
        <v>10461.716209336611</v>
      </c>
      <c r="H37" s="123">
        <f t="shared" si="14"/>
        <v>12693.633523521676</v>
      </c>
      <c r="I37" s="123">
        <f t="shared" si="14"/>
        <v>17133.510174294432</v>
      </c>
      <c r="J37" s="123">
        <f t="shared" si="14"/>
        <v>18582.700406236807</v>
      </c>
      <c r="K37" s="123">
        <f t="shared" si="14"/>
        <v>18166.323330804466</v>
      </c>
      <c r="L37" s="123">
        <f t="shared" si="14"/>
        <v>18480.447999999997</v>
      </c>
      <c r="M37" s="123"/>
      <c r="N37" s="123"/>
      <c r="O37" s="123"/>
      <c r="P37" s="123"/>
    </row>
    <row r="38" spans="1:16">
      <c r="A38" s="123" t="s">
        <v>211</v>
      </c>
      <c r="B38" s="123"/>
      <c r="C38" s="123"/>
      <c r="D38" s="123"/>
      <c r="E38" s="123"/>
      <c r="F38" s="123"/>
      <c r="G38" s="123">
        <v>0.10824778378378379</v>
      </c>
      <c r="H38" s="123">
        <v>0.10621577576670817</v>
      </c>
      <c r="I38" s="123">
        <v>0.10199999999999999</v>
      </c>
      <c r="J38" s="123">
        <v>9.5883184120094042E-2</v>
      </c>
      <c r="K38" s="123">
        <v>8.9474602968165187E-2</v>
      </c>
      <c r="L38" s="123">
        <v>9.1999999999999998E-2</v>
      </c>
      <c r="M38" s="123"/>
      <c r="N38" s="123"/>
      <c r="O38" s="123"/>
      <c r="P38" s="123"/>
    </row>
    <row r="39" spans="1:16">
      <c r="A39" s="123" t="s">
        <v>212</v>
      </c>
      <c r="B39" s="123">
        <f t="shared" ref="B39:L39" si="15">B$5*B38</f>
        <v>0</v>
      </c>
      <c r="C39" s="123">
        <f t="shared" si="15"/>
        <v>0</v>
      </c>
      <c r="D39" s="123">
        <f t="shared" si="15"/>
        <v>0</v>
      </c>
      <c r="E39" s="123">
        <f t="shared" si="15"/>
        <v>0</v>
      </c>
      <c r="F39" s="123">
        <f t="shared" si="15"/>
        <v>0</v>
      </c>
      <c r="G39" s="123">
        <f t="shared" si="15"/>
        <v>8159.6096938378378</v>
      </c>
      <c r="H39" s="123">
        <f t="shared" si="15"/>
        <v>9097.4874101943205</v>
      </c>
      <c r="I39" s="123">
        <f t="shared" si="15"/>
        <v>10348.511999999999</v>
      </c>
      <c r="J39" s="123">
        <f t="shared" si="15"/>
        <v>10538.808416191896</v>
      </c>
      <c r="K39" s="123">
        <f t="shared" si="15"/>
        <v>10473.449650438575</v>
      </c>
      <c r="L39" s="123">
        <f t="shared" si="15"/>
        <v>11973.248</v>
      </c>
      <c r="M39" s="123"/>
      <c r="N39" s="123"/>
      <c r="O39" s="123"/>
      <c r="P39" s="123"/>
    </row>
    <row r="41" spans="1:16">
      <c r="A41" s="126" t="s">
        <v>213</v>
      </c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</row>
    <row r="42" spans="1:16">
      <c r="A42" s="123" t="s">
        <v>214</v>
      </c>
      <c r="B42" s="123">
        <v>0.49564606391338062</v>
      </c>
      <c r="C42" s="123">
        <v>0.46247012468888993</v>
      </c>
      <c r="D42" s="123">
        <v>0.46150909035170795</v>
      </c>
      <c r="E42" s="123">
        <v>0.43804734433712483</v>
      </c>
      <c r="F42" s="123">
        <f t="shared" ref="F42:L42" si="16">E42</f>
        <v>0.43804734433712483</v>
      </c>
      <c r="G42" s="123">
        <f t="shared" si="16"/>
        <v>0.43804734433712483</v>
      </c>
      <c r="H42" s="123">
        <f t="shared" si="16"/>
        <v>0.43804734433712483</v>
      </c>
      <c r="I42" s="123">
        <f t="shared" si="16"/>
        <v>0.43804734433712483</v>
      </c>
      <c r="J42" s="123">
        <f t="shared" si="16"/>
        <v>0.43804734433712483</v>
      </c>
      <c r="K42" s="123">
        <f t="shared" si="16"/>
        <v>0.43804734433712483</v>
      </c>
      <c r="L42" s="123">
        <f t="shared" si="16"/>
        <v>0.43804734433712483</v>
      </c>
      <c r="M42" s="123">
        <f>L42+Assumptions!M25</f>
        <v>0.43804734433712483</v>
      </c>
      <c r="N42" s="123">
        <f>M42+Assumptions!N25</f>
        <v>0.43804734433712483</v>
      </c>
      <c r="O42" s="123">
        <f>N42+Assumptions!O25</f>
        <v>0.43804734433712483</v>
      </c>
      <c r="P42" s="123">
        <f>O42+Assumptions!P25</f>
        <v>0.43804734433712483</v>
      </c>
    </row>
    <row r="43" spans="1:16">
      <c r="A43" s="123" t="s">
        <v>215</v>
      </c>
      <c r="B43" s="123">
        <f t="shared" ref="B43:P43" si="17">B$19*B42</f>
        <v>12526.346125113803</v>
      </c>
      <c r="C43" s="123">
        <f t="shared" si="17"/>
        <v>17571.417617360567</v>
      </c>
      <c r="D43" s="123">
        <f t="shared" si="17"/>
        <v>17974.434810188792</v>
      </c>
      <c r="E43" s="123">
        <f t="shared" si="17"/>
        <v>19757.592619597213</v>
      </c>
      <c r="F43" s="123">
        <f t="shared" si="17"/>
        <v>22234.389818240474</v>
      </c>
      <c r="G43" s="123">
        <f t="shared" si="17"/>
        <v>23394.262044353261</v>
      </c>
      <c r="H43" s="123">
        <f t="shared" si="17"/>
        <v>27043.483334212913</v>
      </c>
      <c r="I43" s="123">
        <f t="shared" si="17"/>
        <v>32429.444223296166</v>
      </c>
      <c r="J43" s="123">
        <f t="shared" si="17"/>
        <v>35545.119583101936</v>
      </c>
      <c r="K43" s="123">
        <f t="shared" si="17"/>
        <v>37861.2490487084</v>
      </c>
      <c r="L43" s="123">
        <f t="shared" si="17"/>
        <v>42756.925186058077</v>
      </c>
      <c r="M43" s="123">
        <f t="shared" si="17"/>
        <v>44434.899743189191</v>
      </c>
      <c r="N43" s="123">
        <f t="shared" si="17"/>
        <v>46339.090191343079</v>
      </c>
      <c r="O43" s="123">
        <f t="shared" si="17"/>
        <v>48629.106392684633</v>
      </c>
      <c r="P43" s="123">
        <f t="shared" si="17"/>
        <v>51205.636808515344</v>
      </c>
    </row>
    <row r="44" spans="1:16">
      <c r="A44" s="123" t="s">
        <v>216</v>
      </c>
      <c r="B44" s="123">
        <v>0.43865285696525319</v>
      </c>
      <c r="C44" s="123">
        <v>0.48803056829960895</v>
      </c>
      <c r="D44" s="123">
        <v>0.49038952258564855</v>
      </c>
      <c r="E44" s="123">
        <v>0.49521174750190688</v>
      </c>
      <c r="F44" s="123">
        <f t="shared" ref="F44:L44" si="18">E44</f>
        <v>0.49521174750190688</v>
      </c>
      <c r="G44" s="123">
        <f t="shared" si="18"/>
        <v>0.49521174750190688</v>
      </c>
      <c r="H44" s="123">
        <f t="shared" si="18"/>
        <v>0.49521174750190688</v>
      </c>
      <c r="I44" s="123">
        <f t="shared" si="18"/>
        <v>0.49521174750190688</v>
      </c>
      <c r="J44" s="123">
        <f t="shared" si="18"/>
        <v>0.49521174750190688</v>
      </c>
      <c r="K44" s="123">
        <f t="shared" si="18"/>
        <v>0.49521174750190688</v>
      </c>
      <c r="L44" s="123">
        <f t="shared" si="18"/>
        <v>0.49521174750190688</v>
      </c>
      <c r="M44" s="123">
        <f>L44+Assumptions!M26</f>
        <v>0.49521174750190688</v>
      </c>
      <c r="N44" s="123">
        <f>M44+Assumptions!N26</f>
        <v>0.49521174750190688</v>
      </c>
      <c r="O44" s="123">
        <f>N44+Assumptions!O26</f>
        <v>0.49521174750190688</v>
      </c>
      <c r="P44" s="123">
        <f>O44+Assumptions!P26</f>
        <v>0.49521174750190688</v>
      </c>
    </row>
    <row r="45" spans="1:16">
      <c r="A45" s="123" t="s">
        <v>217</v>
      </c>
      <c r="B45" s="123">
        <f t="shared" ref="B45:P45" si="19">B$19*B44</f>
        <v>11085.970242017414</v>
      </c>
      <c r="C45" s="123">
        <f t="shared" si="19"/>
        <v>18542.579223682871</v>
      </c>
      <c r="D45" s="123">
        <f t="shared" si="19"/>
        <v>19099.243524321457</v>
      </c>
      <c r="E45" s="123">
        <f t="shared" si="19"/>
        <v>22335.923488789653</v>
      </c>
      <c r="F45" s="123">
        <f t="shared" si="19"/>
        <v>25135.938338335232</v>
      </c>
      <c r="G45" s="123">
        <f t="shared" si="19"/>
        <v>26447.171837174094</v>
      </c>
      <c r="H45" s="123">
        <f t="shared" si="19"/>
        <v>30572.610046843445</v>
      </c>
      <c r="I45" s="123">
        <f t="shared" si="19"/>
        <v>36661.429299693766</v>
      </c>
      <c r="J45" s="123">
        <f t="shared" si="19"/>
        <v>40183.694779725083</v>
      </c>
      <c r="K45" s="123">
        <f t="shared" si="19"/>
        <v>42802.075041427837</v>
      </c>
      <c r="L45" s="123">
        <f t="shared" si="19"/>
        <v>48336.628250166126</v>
      </c>
      <c r="M45" s="123">
        <f t="shared" si="19"/>
        <v>50233.575517265926</v>
      </c>
      <c r="N45" s="123">
        <f t="shared" si="19"/>
        <v>52386.259448802339</v>
      </c>
      <c r="O45" s="123">
        <f t="shared" si="19"/>
        <v>54975.11871146976</v>
      </c>
      <c r="P45" s="123">
        <f t="shared" si="19"/>
        <v>57887.881786534483</v>
      </c>
    </row>
    <row r="46" spans="1:16">
      <c r="A46" s="123" t="s">
        <v>218</v>
      </c>
      <c r="B46" s="123">
        <v>6.570107912136626E-2</v>
      </c>
      <c r="C46" s="123">
        <v>4.9499307011501133E-2</v>
      </c>
      <c r="D46" s="123">
        <v>4.8101387062643594E-2</v>
      </c>
      <c r="E46" s="123">
        <v>6.6740908160968365E-2</v>
      </c>
      <c r="F46" s="123">
        <f t="shared" ref="F46:L46" si="20">E46</f>
        <v>6.6740908160968365E-2</v>
      </c>
      <c r="G46" s="123">
        <f t="shared" si="20"/>
        <v>6.6740908160968365E-2</v>
      </c>
      <c r="H46" s="123">
        <f t="shared" si="20"/>
        <v>6.6740908160968365E-2</v>
      </c>
      <c r="I46" s="123">
        <f t="shared" si="20"/>
        <v>6.6740908160968365E-2</v>
      </c>
      <c r="J46" s="123">
        <f t="shared" si="20"/>
        <v>6.6740908160968365E-2</v>
      </c>
      <c r="K46" s="123">
        <f t="shared" si="20"/>
        <v>6.6740908160968365E-2</v>
      </c>
      <c r="L46" s="123">
        <f t="shared" si="20"/>
        <v>6.6740908160968365E-2</v>
      </c>
      <c r="M46" s="123">
        <f>L46+Assumptions!M27</f>
        <v>6.6740908160968365E-2</v>
      </c>
      <c r="N46" s="123">
        <f>M46+Assumptions!N27</f>
        <v>6.6740908160968365E-2</v>
      </c>
      <c r="O46" s="123">
        <f>N46+Assumptions!O27</f>
        <v>6.6740908160968365E-2</v>
      </c>
      <c r="P46" s="123">
        <f>O46+Assumptions!P27</f>
        <v>6.6740908160968365E-2</v>
      </c>
    </row>
    <row r="47" spans="1:16">
      <c r="A47" s="123" t="s">
        <v>219</v>
      </c>
      <c r="B47" s="123">
        <f t="shared" ref="B47:P47" si="21">B$19*B46</f>
        <v>1660.4478836566502</v>
      </c>
      <c r="C47" s="123">
        <f t="shared" si="21"/>
        <v>1880.7117451189711</v>
      </c>
      <c r="D47" s="123">
        <f t="shared" si="21"/>
        <v>1873.4089189408014</v>
      </c>
      <c r="E47" s="123">
        <f t="shared" si="21"/>
        <v>3010.2674780549023</v>
      </c>
      <c r="F47" s="123">
        <f t="shared" si="21"/>
        <v>3387.6323827962819</v>
      </c>
      <c r="G47" s="123">
        <f t="shared" si="21"/>
        <v>3564.3505542957428</v>
      </c>
      <c r="H47" s="123">
        <f t="shared" si="21"/>
        <v>4120.3460331272126</v>
      </c>
      <c r="I47" s="123">
        <f t="shared" si="21"/>
        <v>4940.9512158862399</v>
      </c>
      <c r="J47" s="123">
        <f t="shared" si="21"/>
        <v>5415.6556188152399</v>
      </c>
      <c r="K47" s="123">
        <f t="shared" si="21"/>
        <v>5768.5411823309214</v>
      </c>
      <c r="L47" s="123">
        <f t="shared" si="21"/>
        <v>6514.4465637758003</v>
      </c>
      <c r="M47" s="123">
        <f t="shared" si="21"/>
        <v>6770.102823907675</v>
      </c>
      <c r="N47" s="123">
        <f t="shared" si="21"/>
        <v>7060.225344827295</v>
      </c>
      <c r="O47" s="123">
        <f t="shared" si="21"/>
        <v>7409.1322905186298</v>
      </c>
      <c r="P47" s="123">
        <f t="shared" si="21"/>
        <v>7801.6925515952435</v>
      </c>
    </row>
    <row r="48" spans="1:16">
      <c r="A48" s="123" t="s">
        <v>220</v>
      </c>
      <c r="B48" s="123">
        <f t="shared" ref="B48:P48" si="22">SUM(B43,B45,B47)</f>
        <v>25272.764250787866</v>
      </c>
      <c r="C48" s="123">
        <f t="shared" si="22"/>
        <v>37994.708586162407</v>
      </c>
      <c r="D48" s="123">
        <f t="shared" si="22"/>
        <v>38947.087253451049</v>
      </c>
      <c r="E48" s="123">
        <f t="shared" si="22"/>
        <v>45103.783586441772</v>
      </c>
      <c r="F48" s="123">
        <f t="shared" si="22"/>
        <v>50757.96053937199</v>
      </c>
      <c r="G48" s="123">
        <f t="shared" si="22"/>
        <v>53405.784435823094</v>
      </c>
      <c r="H48" s="123">
        <f t="shared" si="22"/>
        <v>61736.439414183573</v>
      </c>
      <c r="I48" s="123">
        <f t="shared" si="22"/>
        <v>74031.824738876167</v>
      </c>
      <c r="J48" s="123">
        <f t="shared" si="22"/>
        <v>81144.469981642265</v>
      </c>
      <c r="K48" s="123">
        <f t="shared" si="22"/>
        <v>86431.86527246717</v>
      </c>
      <c r="L48" s="123">
        <f t="shared" si="22"/>
        <v>97608</v>
      </c>
      <c r="M48" s="123">
        <f t="shared" si="22"/>
        <v>101438.57808436279</v>
      </c>
      <c r="N48" s="123">
        <f t="shared" si="22"/>
        <v>105785.57498497271</v>
      </c>
      <c r="O48" s="123">
        <f t="shared" si="22"/>
        <v>111013.35739467302</v>
      </c>
      <c r="P48" s="123">
        <f t="shared" si="22"/>
        <v>116895.21114664507</v>
      </c>
    </row>
    <row r="49" spans="1:16">
      <c r="A49" s="123" t="s">
        <v>221</v>
      </c>
      <c r="B49" s="123">
        <f t="shared" ref="B49:P49" si="23">B48-B19</f>
        <v>0</v>
      </c>
      <c r="C49" s="123">
        <f t="shared" si="23"/>
        <v>0</v>
      </c>
      <c r="D49" s="123">
        <f t="shared" si="23"/>
        <v>0</v>
      </c>
      <c r="E49" s="123">
        <f t="shared" si="23"/>
        <v>0</v>
      </c>
      <c r="F49" s="123">
        <f t="shared" si="23"/>
        <v>0</v>
      </c>
      <c r="G49" s="123">
        <f t="shared" si="23"/>
        <v>0</v>
      </c>
      <c r="H49" s="123">
        <f t="shared" si="23"/>
        <v>0</v>
      </c>
      <c r="I49" s="123">
        <f t="shared" si="23"/>
        <v>0</v>
      </c>
      <c r="J49" s="123">
        <f t="shared" si="23"/>
        <v>0</v>
      </c>
      <c r="K49" s="123">
        <f t="shared" si="23"/>
        <v>0</v>
      </c>
      <c r="L49" s="123">
        <f t="shared" si="23"/>
        <v>0</v>
      </c>
      <c r="M49" s="123">
        <f t="shared" si="23"/>
        <v>0</v>
      </c>
      <c r="N49" s="123">
        <f t="shared" si="23"/>
        <v>0</v>
      </c>
      <c r="O49" s="123">
        <f t="shared" si="23"/>
        <v>0</v>
      </c>
      <c r="P49" s="123">
        <f t="shared" si="23"/>
        <v>0</v>
      </c>
    </row>
    <row r="50" spans="1:16">
      <c r="A50" s="123" t="s">
        <v>222</v>
      </c>
      <c r="B50" s="123">
        <f t="shared" ref="B50:P50" si="24">B21</f>
        <v>5863.2357492121346</v>
      </c>
      <c r="C50" s="123">
        <f t="shared" si="24"/>
        <v>8727.2914138375945</v>
      </c>
      <c r="D50" s="123">
        <f t="shared" si="24"/>
        <v>11622.912746548951</v>
      </c>
      <c r="E50" s="123">
        <f t="shared" si="24"/>
        <v>10340.988954914043</v>
      </c>
      <c r="F50" s="123">
        <f t="shared" si="24"/>
        <v>11799.845747826088</v>
      </c>
      <c r="G50" s="123">
        <f t="shared" si="24"/>
        <v>11728.253058388207</v>
      </c>
      <c r="H50" s="123">
        <f t="shared" si="24"/>
        <v>13566.782984748585</v>
      </c>
      <c r="I50" s="123">
        <f t="shared" si="24"/>
        <v>16810.703616831932</v>
      </c>
      <c r="J50" s="123">
        <f t="shared" si="24"/>
        <v>17568.6018980753</v>
      </c>
      <c r="K50" s="123">
        <f t="shared" si="24"/>
        <v>18967.524471467175</v>
      </c>
      <c r="L50" s="123">
        <f t="shared" si="24"/>
        <v>22124.480000000003</v>
      </c>
      <c r="M50" s="123">
        <f t="shared" si="24"/>
        <v>23085.084704607332</v>
      </c>
      <c r="N50" s="123">
        <f t="shared" si="24"/>
        <v>24074.361107691246</v>
      </c>
      <c r="O50" s="123">
        <f t="shared" si="24"/>
        <v>25264.084012174582</v>
      </c>
      <c r="P50" s="123">
        <f t="shared" si="24"/>
        <v>26602.658493881743</v>
      </c>
    </row>
    <row r="51" spans="1:16">
      <c r="A51" s="123" t="s">
        <v>223</v>
      </c>
      <c r="B51" s="123">
        <f t="shared" ref="B51:P51" si="25">B23</f>
        <v>0</v>
      </c>
      <c r="C51" s="123">
        <f t="shared" si="25"/>
        <v>0</v>
      </c>
      <c r="D51" s="123">
        <f t="shared" si="25"/>
        <v>0</v>
      </c>
      <c r="E51" s="123">
        <f t="shared" si="25"/>
        <v>4983.2274586441763</v>
      </c>
      <c r="F51" s="123">
        <f t="shared" si="25"/>
        <v>8120.1937128019326</v>
      </c>
      <c r="G51" s="123">
        <f t="shared" si="25"/>
        <v>10244.962505788699</v>
      </c>
      <c r="H51" s="123">
        <f t="shared" si="25"/>
        <v>10370.107035876979</v>
      </c>
      <c r="I51" s="123">
        <f t="shared" si="25"/>
        <v>11097.672210017799</v>
      </c>
      <c r="J51" s="123">
        <f t="shared" si="25"/>
        <v>11721.206442839271</v>
      </c>
      <c r="K51" s="123">
        <f t="shared" si="25"/>
        <v>12006.775256065663</v>
      </c>
      <c r="L51" s="123">
        <f t="shared" si="25"/>
        <v>10801.952000000001</v>
      </c>
      <c r="M51" s="123">
        <f t="shared" si="25"/>
        <v>11270.953120484755</v>
      </c>
      <c r="N51" s="123">
        <f t="shared" si="25"/>
        <v>11753.952776108077</v>
      </c>
      <c r="O51" s="123">
        <f t="shared" si="25"/>
        <v>12334.817488297002</v>
      </c>
      <c r="P51" s="123">
        <f t="shared" si="25"/>
        <v>12988.356794071675</v>
      </c>
    </row>
    <row r="52" spans="1:16">
      <c r="A52" s="123" t="s">
        <v>224</v>
      </c>
      <c r="B52" s="123">
        <f t="shared" ref="B52:P52" si="26">SUM(B48,B50:B51)</f>
        <v>31136</v>
      </c>
      <c r="C52" s="123">
        <f t="shared" si="26"/>
        <v>46722</v>
      </c>
      <c r="D52" s="123">
        <f t="shared" si="26"/>
        <v>50570</v>
      </c>
      <c r="E52" s="123">
        <f t="shared" si="26"/>
        <v>60427.999999999993</v>
      </c>
      <c r="F52" s="123">
        <f t="shared" si="26"/>
        <v>70678.000000000015</v>
      </c>
      <c r="G52" s="123">
        <f t="shared" si="26"/>
        <v>75379</v>
      </c>
      <c r="H52" s="123">
        <f t="shared" si="26"/>
        <v>85673.329434809129</v>
      </c>
      <c r="I52" s="123">
        <f t="shared" si="26"/>
        <v>101940.2005657259</v>
      </c>
      <c r="J52" s="123">
        <f t="shared" si="26"/>
        <v>110434.27832255684</v>
      </c>
      <c r="K52" s="123">
        <f t="shared" si="26"/>
        <v>117406.16500000001</v>
      </c>
      <c r="L52" s="123">
        <f t="shared" si="26"/>
        <v>130534.43200000002</v>
      </c>
      <c r="M52" s="123">
        <f t="shared" si="26"/>
        <v>135794.61590945488</v>
      </c>
      <c r="N52" s="123">
        <f t="shared" si="26"/>
        <v>141613.88886877205</v>
      </c>
      <c r="O52" s="123">
        <f t="shared" si="26"/>
        <v>148612.25889514459</v>
      </c>
      <c r="P52" s="123">
        <f t="shared" si="26"/>
        <v>156486.2264345985</v>
      </c>
    </row>
    <row r="53" spans="1:16">
      <c r="A53" s="123" t="s">
        <v>225</v>
      </c>
      <c r="B53" s="123">
        <f t="shared" ref="B53:P53" si="27">B52-B5</f>
        <v>0</v>
      </c>
      <c r="C53" s="123">
        <f t="shared" si="27"/>
        <v>0</v>
      </c>
      <c r="D53" s="123">
        <f t="shared" si="27"/>
        <v>0</v>
      </c>
      <c r="E53" s="123">
        <f t="shared" si="27"/>
        <v>0</v>
      </c>
      <c r="F53" s="123">
        <f t="shared" si="27"/>
        <v>0</v>
      </c>
      <c r="G53" s="123">
        <f t="shared" si="27"/>
        <v>0</v>
      </c>
      <c r="H53" s="123">
        <f t="shared" si="27"/>
        <v>22.329434809129452</v>
      </c>
      <c r="I53" s="123">
        <f t="shared" si="27"/>
        <v>484.20056572589965</v>
      </c>
      <c r="J53" s="123">
        <f t="shared" si="27"/>
        <v>521.27832255684189</v>
      </c>
      <c r="K53" s="123">
        <f t="shared" si="27"/>
        <v>351.16500000000815</v>
      </c>
      <c r="L53" s="123">
        <f t="shared" si="27"/>
        <v>390.43200000001525</v>
      </c>
      <c r="M53" s="123">
        <f t="shared" si="27"/>
        <v>0</v>
      </c>
      <c r="N53" s="123">
        <f t="shared" si="27"/>
        <v>0</v>
      </c>
      <c r="O53" s="123">
        <f t="shared" si="27"/>
        <v>0</v>
      </c>
      <c r="P53" s="123">
        <f t="shared" si="27"/>
        <v>0</v>
      </c>
    </row>
  </sheetData>
  <mergeCells count="3">
    <mergeCell ref="A1:P1"/>
    <mergeCell ref="A2:P2"/>
    <mergeCell ref="A41:P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2"/>
  <sheetViews>
    <sheetView showGridLines="0" workbookViewId="0">
      <selection activeCell="B22" sqref="B22"/>
    </sheetView>
  </sheetViews>
  <sheetFormatPr defaultRowHeight="13.8"/>
  <cols>
    <col min="1" max="1" width="36" customWidth="1"/>
    <col min="2" max="16" width="12" customWidth="1"/>
  </cols>
  <sheetData>
    <row r="1" spans="1:16" ht="25.95" customHeight="1">
      <c r="A1" s="99" t="s">
        <v>226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13"/>
      <c r="N1" s="113"/>
      <c r="O1" s="113"/>
      <c r="P1" s="113"/>
    </row>
    <row r="2" spans="1:16" ht="22.05" customHeight="1">
      <c r="A2" s="100" t="s">
        <v>227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6" t="s">
        <v>80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7" t="s">
        <v>40</v>
      </c>
      <c r="N4" s="7" t="s">
        <v>41</v>
      </c>
      <c r="O4" s="7" t="s">
        <v>42</v>
      </c>
      <c r="P4" s="7" t="s">
        <v>43</v>
      </c>
    </row>
    <row r="5" spans="1:16">
      <c r="A5" s="2" t="s">
        <v>228</v>
      </c>
      <c r="B5" s="2">
        <v>0</v>
      </c>
      <c r="C5" s="2">
        <v>0</v>
      </c>
      <c r="D5" s="2">
        <v>0</v>
      </c>
      <c r="E5" s="2">
        <v>1005</v>
      </c>
      <c r="F5" s="2">
        <v>1040</v>
      </c>
      <c r="G5" s="2">
        <v>1075</v>
      </c>
      <c r="H5" s="2">
        <v>1110</v>
      </c>
      <c r="I5" s="2">
        <v>1145</v>
      </c>
      <c r="J5" s="2">
        <v>1180</v>
      </c>
      <c r="K5" s="2">
        <v>1215</v>
      </c>
      <c r="L5" s="2">
        <v>1250</v>
      </c>
      <c r="M5" s="2">
        <f>L5*(1+'Revenue Drivers'!M6/2)</f>
        <v>1277.1363639000595</v>
      </c>
      <c r="N5" s="2">
        <f>M5*(1+'Revenue Drivers'!N6/2)</f>
        <v>1304.5012378975666</v>
      </c>
      <c r="O5" s="2">
        <f>N5*(1+'Revenue Drivers'!O6/2)</f>
        <v>1336.7345959233746</v>
      </c>
      <c r="P5" s="2">
        <f>O5*(1+'Revenue Drivers'!P6/2)</f>
        <v>1372.1468993747069</v>
      </c>
    </row>
    <row r="6" spans="1:16">
      <c r="A6" s="2" t="s">
        <v>229</v>
      </c>
      <c r="B6" s="2">
        <v>482</v>
      </c>
      <c r="C6" s="2">
        <v>506</v>
      </c>
      <c r="D6" s="2">
        <v>561</v>
      </c>
      <c r="E6" s="2">
        <v>623</v>
      </c>
      <c r="F6" s="2">
        <v>791</v>
      </c>
      <c r="G6" s="2">
        <v>809</v>
      </c>
      <c r="H6" s="2">
        <v>882</v>
      </c>
      <c r="I6" s="2">
        <v>939</v>
      </c>
      <c r="J6" s="2">
        <v>951</v>
      </c>
      <c r="K6" s="2">
        <v>948</v>
      </c>
      <c r="L6" s="2">
        <v>976</v>
      </c>
      <c r="M6" s="2">
        <f t="shared" ref="M6:P14" si="0">L6</f>
        <v>976</v>
      </c>
      <c r="N6" s="2">
        <f t="shared" si="0"/>
        <v>976</v>
      </c>
      <c r="O6" s="2">
        <f t="shared" si="0"/>
        <v>976</v>
      </c>
      <c r="P6" s="2">
        <f t="shared" si="0"/>
        <v>976</v>
      </c>
    </row>
    <row r="7" spans="1:16">
      <c r="A7" s="2" t="s">
        <v>230</v>
      </c>
      <c r="B7" s="2">
        <v>233</v>
      </c>
      <c r="C7" s="2">
        <v>246</v>
      </c>
      <c r="D7" s="2">
        <v>264</v>
      </c>
      <c r="E7" s="2">
        <v>283</v>
      </c>
      <c r="F7" s="2">
        <v>308</v>
      </c>
      <c r="G7" s="2">
        <v>318</v>
      </c>
      <c r="H7" s="2">
        <v>349</v>
      </c>
      <c r="I7" s="2">
        <v>375</v>
      </c>
      <c r="J7" s="2">
        <v>395</v>
      </c>
      <c r="K7" s="2">
        <v>399</v>
      </c>
      <c r="L7" s="2">
        <v>429</v>
      </c>
      <c r="M7" s="2">
        <f t="shared" si="0"/>
        <v>429</v>
      </c>
      <c r="N7" s="2">
        <f t="shared" si="0"/>
        <v>429</v>
      </c>
      <c r="O7" s="2">
        <f t="shared" si="0"/>
        <v>429</v>
      </c>
      <c r="P7" s="2">
        <f t="shared" si="0"/>
        <v>429</v>
      </c>
    </row>
    <row r="8" spans="1:16">
      <c r="A8" s="2" t="s">
        <v>231</v>
      </c>
      <c r="B8" s="2">
        <v>144</v>
      </c>
      <c r="C8" s="2">
        <v>153</v>
      </c>
      <c r="D8" s="2">
        <v>160</v>
      </c>
      <c r="E8" s="2">
        <v>166</v>
      </c>
      <c r="F8" s="2">
        <v>171</v>
      </c>
      <c r="G8" s="2">
        <v>178</v>
      </c>
      <c r="H8" s="2">
        <v>208</v>
      </c>
      <c r="I8" s="2">
        <v>229</v>
      </c>
      <c r="J8" s="2">
        <v>254</v>
      </c>
      <c r="K8" s="2">
        <v>251</v>
      </c>
      <c r="L8" s="2">
        <v>277</v>
      </c>
      <c r="M8" s="2">
        <f t="shared" si="0"/>
        <v>277</v>
      </c>
      <c r="N8" s="2">
        <f t="shared" si="0"/>
        <v>277</v>
      </c>
      <c r="O8" s="2">
        <f t="shared" si="0"/>
        <v>277</v>
      </c>
      <c r="P8" s="2">
        <f t="shared" si="0"/>
        <v>277</v>
      </c>
    </row>
    <row r="9" spans="1:16">
      <c r="A9" s="2" t="s">
        <v>232</v>
      </c>
      <c r="B9" s="2">
        <v>75</v>
      </c>
      <c r="C9" s="2">
        <v>85</v>
      </c>
      <c r="D9" s="2">
        <v>87</v>
      </c>
      <c r="E9" s="2">
        <v>95</v>
      </c>
      <c r="F9" s="2">
        <v>96</v>
      </c>
      <c r="G9" s="2">
        <v>96</v>
      </c>
      <c r="H9" s="2">
        <v>118</v>
      </c>
      <c r="I9" s="2">
        <v>131</v>
      </c>
      <c r="J9" s="2">
        <v>137</v>
      </c>
      <c r="K9" s="2">
        <v>138</v>
      </c>
      <c r="L9" s="2">
        <v>149</v>
      </c>
      <c r="M9" s="2">
        <f t="shared" si="0"/>
        <v>149</v>
      </c>
      <c r="N9" s="2">
        <f t="shared" si="0"/>
        <v>149</v>
      </c>
      <c r="O9" s="2">
        <f t="shared" si="0"/>
        <v>149</v>
      </c>
      <c r="P9" s="2">
        <f t="shared" si="0"/>
        <v>149</v>
      </c>
    </row>
    <row r="10" spans="1:16">
      <c r="A10" s="2" t="s">
        <v>233</v>
      </c>
      <c r="B10" s="2">
        <v>19</v>
      </c>
      <c r="C10" s="2">
        <v>25</v>
      </c>
      <c r="D10" s="2">
        <v>28</v>
      </c>
      <c r="E10" s="2">
        <v>29</v>
      </c>
      <c r="F10" s="2">
        <v>30</v>
      </c>
      <c r="G10" s="2">
        <v>35</v>
      </c>
      <c r="H10" s="2">
        <v>43</v>
      </c>
      <c r="I10" s="2">
        <v>46</v>
      </c>
      <c r="J10" s="2">
        <v>46</v>
      </c>
      <c r="K10" s="2">
        <v>52</v>
      </c>
      <c r="L10" s="2">
        <v>60</v>
      </c>
      <c r="M10" s="2">
        <f t="shared" si="0"/>
        <v>60</v>
      </c>
      <c r="N10" s="2">
        <f t="shared" si="0"/>
        <v>60</v>
      </c>
      <c r="O10" s="2">
        <f t="shared" si="0"/>
        <v>60</v>
      </c>
      <c r="P10" s="2">
        <f t="shared" si="0"/>
        <v>60</v>
      </c>
    </row>
    <row r="11" spans="1:16">
      <c r="A11" s="2" t="s">
        <v>234</v>
      </c>
      <c r="B11" s="2">
        <v>8</v>
      </c>
      <c r="C11" s="2">
        <v>8</v>
      </c>
      <c r="D11" s="2">
        <v>8</v>
      </c>
      <c r="E11" s="2">
        <v>10</v>
      </c>
      <c r="F11" s="2">
        <v>15</v>
      </c>
      <c r="G11" s="2">
        <v>15</v>
      </c>
      <c r="H11" s="2">
        <v>16</v>
      </c>
      <c r="I11" s="2">
        <v>19</v>
      </c>
      <c r="J11" s="2">
        <v>22</v>
      </c>
      <c r="K11" s="2">
        <v>22</v>
      </c>
      <c r="L11" s="2">
        <v>23</v>
      </c>
      <c r="M11" s="2">
        <f t="shared" si="0"/>
        <v>23</v>
      </c>
      <c r="N11" s="2">
        <f t="shared" si="0"/>
        <v>23</v>
      </c>
      <c r="O11" s="2">
        <f t="shared" si="0"/>
        <v>23</v>
      </c>
      <c r="P11" s="2">
        <f t="shared" si="0"/>
        <v>23</v>
      </c>
    </row>
    <row r="12" spans="1:16">
      <c r="A12" s="2" t="s">
        <v>235</v>
      </c>
      <c r="B12" s="8">
        <v>0.13600000000000001</v>
      </c>
      <c r="C12" s="8">
        <v>0.14158743835302212</v>
      </c>
      <c r="D12" s="8">
        <v>0.15421280396009288</v>
      </c>
      <c r="E12" s="8">
        <v>0.1717494323710671</v>
      </c>
      <c r="F12" s="8">
        <v>8.1000000000000003E-2</v>
      </c>
      <c r="G12" s="8">
        <v>0.08</v>
      </c>
      <c r="H12" s="8">
        <v>7.9000000000000001E-2</v>
      </c>
      <c r="I12" s="8">
        <v>7.8E-2</v>
      </c>
      <c r="J12" s="8">
        <v>7.7000000000000013E-2</v>
      </c>
      <c r="K12" s="8">
        <v>7.6000000000000012E-2</v>
      </c>
      <c r="L12" s="8">
        <v>7.5000000000000011E-2</v>
      </c>
      <c r="M12" s="8">
        <f t="shared" si="0"/>
        <v>7.5000000000000011E-2</v>
      </c>
      <c r="N12" s="8">
        <f t="shared" si="0"/>
        <v>7.5000000000000011E-2</v>
      </c>
      <c r="O12" s="8">
        <f t="shared" si="0"/>
        <v>7.5000000000000011E-2</v>
      </c>
      <c r="P12" s="8">
        <f t="shared" si="0"/>
        <v>7.5000000000000011E-2</v>
      </c>
    </row>
    <row r="13" spans="1:16">
      <c r="A13" s="2" t="s">
        <v>236</v>
      </c>
      <c r="B13" s="8">
        <v>0.21799540616613797</v>
      </c>
      <c r="C13" s="8">
        <v>0.21803731792636769</v>
      </c>
      <c r="D13" s="8">
        <v>0.23165992192084919</v>
      </c>
      <c r="E13" s="8">
        <v>0.24567693804735641</v>
      </c>
      <c r="F13" s="8">
        <v>0.17699999999999999</v>
      </c>
      <c r="G13" s="8">
        <v>0.17499999999999999</v>
      </c>
      <c r="H13" s="8">
        <v>0.17299999999999999</v>
      </c>
      <c r="I13" s="8">
        <v>0.17099999999999999</v>
      </c>
      <c r="J13" s="8">
        <v>0.16899999999999998</v>
      </c>
      <c r="K13" s="8">
        <v>0.16699999999999998</v>
      </c>
      <c r="L13" s="8">
        <v>0.16500000000000001</v>
      </c>
      <c r="M13" s="8">
        <f t="shared" si="0"/>
        <v>0.16500000000000001</v>
      </c>
      <c r="N13" s="8">
        <f t="shared" si="0"/>
        <v>0.16500000000000001</v>
      </c>
      <c r="O13" s="8">
        <f t="shared" si="0"/>
        <v>0.16500000000000001</v>
      </c>
      <c r="P13" s="8">
        <f t="shared" si="0"/>
        <v>0.16500000000000001</v>
      </c>
    </row>
    <row r="14" spans="1:16">
      <c r="A14" s="2" t="s">
        <v>237</v>
      </c>
      <c r="B14" s="8">
        <v>0.3233242821828598</v>
      </c>
      <c r="C14" s="8">
        <v>0.32087294987957332</v>
      </c>
      <c r="D14" s="8">
        <v>0.33358015870990793</v>
      </c>
      <c r="E14" s="8">
        <v>0.33963404151800192</v>
      </c>
      <c r="F14" s="8">
        <v>0.26200000000000001</v>
      </c>
      <c r="G14" s="8">
        <v>0.26</v>
      </c>
      <c r="H14" s="8">
        <v>0.25800000000000001</v>
      </c>
      <c r="I14" s="8">
        <v>0.25600000000000001</v>
      </c>
      <c r="J14" s="8">
        <v>0.254</v>
      </c>
      <c r="K14" s="8">
        <v>0.252</v>
      </c>
      <c r="L14" s="8">
        <v>0.25</v>
      </c>
      <c r="M14" s="8">
        <f t="shared" si="0"/>
        <v>0.25</v>
      </c>
      <c r="N14" s="8">
        <f t="shared" si="0"/>
        <v>0.25</v>
      </c>
      <c r="O14" s="8">
        <f t="shared" si="0"/>
        <v>0.25</v>
      </c>
      <c r="P14" s="8">
        <f t="shared" si="0"/>
        <v>0.25</v>
      </c>
    </row>
    <row r="15" spans="1:16">
      <c r="A15" s="2" t="s">
        <v>238</v>
      </c>
      <c r="B15" s="2">
        <f>IFERROR('Annual P&amp;L'!B5/B5,0)</f>
        <v>0</v>
      </c>
      <c r="C15" s="2">
        <f>IFERROR('Annual P&amp;L'!C5/C5,0)</f>
        <v>0</v>
      </c>
      <c r="D15" s="2">
        <f>IFERROR('Annual P&amp;L'!D5/D5,0)</f>
        <v>0</v>
      </c>
      <c r="E15" s="2">
        <f>IFERROR('Annual P&amp;L'!E5/E5,0)</f>
        <v>60.127363184079599</v>
      </c>
      <c r="F15" s="2">
        <f>IFERROR('Annual P&amp;L'!F5/F5,0)</f>
        <v>67.95961538461539</v>
      </c>
      <c r="G15" s="2">
        <f>IFERROR('Annual P&amp;L'!G5/G5,0)</f>
        <v>70.12</v>
      </c>
      <c r="H15" s="2">
        <f>IFERROR('Annual P&amp;L'!H5/H5,0)</f>
        <v>77.163063063063063</v>
      </c>
      <c r="I15" s="2">
        <f>IFERROR('Annual P&amp;L'!I5/I5,0)</f>
        <v>88.607860262008728</v>
      </c>
      <c r="J15" s="2">
        <f>IFERROR('Annual P&amp;L'!J5/J5,0)</f>
        <v>93.146610169491524</v>
      </c>
      <c r="K15" s="2">
        <f>IFERROR('Annual P&amp;L'!K5/K5,0)</f>
        <v>96.341563786008237</v>
      </c>
      <c r="L15" s="2">
        <f>IFERROR('Annual P&amp;L'!L5/L5,0)</f>
        <v>104.1152</v>
      </c>
      <c r="M15" s="2">
        <f>'Annual P&amp;L'!M5/M5</f>
        <v>106.32742105531442</v>
      </c>
      <c r="N15" s="2">
        <f>'Annual P&amp;L'!N5/N5</f>
        <v>108.55788001934573</v>
      </c>
      <c r="O15" s="2">
        <f>'Annual P&amp;L'!O5/O5</f>
        <v>111.17559113706328</v>
      </c>
      <c r="P15" s="2">
        <f>'Annual P&amp;L'!P5/P5</f>
        <v>114.04480562971057</v>
      </c>
    </row>
    <row r="17" spans="1:16">
      <c r="A17" t="s">
        <v>239</v>
      </c>
      <c r="B17" s="5">
        <v>0.3233242821828598</v>
      </c>
      <c r="C17" s="5">
        <v>0.32087294987957332</v>
      </c>
      <c r="D17" s="5">
        <v>0.33358015870990793</v>
      </c>
      <c r="E17" s="5">
        <v>0.33963404151800192</v>
      </c>
      <c r="F17" s="5">
        <v>0.33230191223832528</v>
      </c>
      <c r="G17" s="5">
        <v>0.30776438329238326</v>
      </c>
      <c r="H17" s="5">
        <v>0.29680206255607133</v>
      </c>
      <c r="I17" s="5">
        <v>0.28363395467836255</v>
      </c>
      <c r="J17" s="5">
        <v>0.27895445981792971</v>
      </c>
      <c r="K17" s="5">
        <v>0.3055429256802647</v>
      </c>
      <c r="L17" s="5">
        <f t="shared" ref="L17:P18" si="1">K17</f>
        <v>0.3055429256802647</v>
      </c>
      <c r="M17" s="20">
        <f t="shared" si="1"/>
        <v>0.3055429256802647</v>
      </c>
      <c r="N17" s="20">
        <f t="shared" si="1"/>
        <v>0.3055429256802647</v>
      </c>
      <c r="O17" s="20">
        <f t="shared" si="1"/>
        <v>0.3055429256802647</v>
      </c>
      <c r="P17" s="20">
        <f t="shared" si="1"/>
        <v>0.3055429256802647</v>
      </c>
    </row>
    <row r="18" spans="1:16">
      <c r="A18" t="s">
        <v>240</v>
      </c>
      <c r="B18" s="5">
        <v>0.6766757178171402</v>
      </c>
      <c r="C18" s="5">
        <v>0.67912705012042662</v>
      </c>
      <c r="D18" s="5">
        <v>0.66641984129009202</v>
      </c>
      <c r="E18" s="5">
        <v>0.66036595848199797</v>
      </c>
      <c r="F18" s="5">
        <v>0.66769808776167472</v>
      </c>
      <c r="G18" s="5">
        <v>0.69223561670761669</v>
      </c>
      <c r="H18" s="5">
        <v>0.70319793744392867</v>
      </c>
      <c r="I18" s="5">
        <v>0.71636604532163728</v>
      </c>
      <c r="J18" s="5">
        <v>0.72104554018207012</v>
      </c>
      <c r="K18" s="5">
        <v>0.69445707431973525</v>
      </c>
      <c r="L18" s="5">
        <f t="shared" si="1"/>
        <v>0.69445707431973525</v>
      </c>
      <c r="M18" s="20">
        <f t="shared" si="1"/>
        <v>0.69445707431973525</v>
      </c>
      <c r="N18" s="20">
        <f t="shared" si="1"/>
        <v>0.69445707431973525</v>
      </c>
      <c r="O18" s="20">
        <f t="shared" si="1"/>
        <v>0.69445707431973525</v>
      </c>
      <c r="P18" s="20">
        <f t="shared" si="1"/>
        <v>0.69445707431973525</v>
      </c>
    </row>
    <row r="19" spans="1:16">
      <c r="M19" s="16"/>
      <c r="N19" s="16"/>
      <c r="O19" s="16"/>
      <c r="P19" s="16"/>
    </row>
    <row r="20" spans="1:16">
      <c r="A20" t="s">
        <v>241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>
        <v>61</v>
      </c>
      <c r="M20" s="24">
        <f t="shared" ref="M20:P21" si="2">L20</f>
        <v>61</v>
      </c>
      <c r="N20" s="24">
        <f t="shared" si="2"/>
        <v>61</v>
      </c>
      <c r="O20" s="24">
        <f t="shared" si="2"/>
        <v>61</v>
      </c>
      <c r="P20" s="24">
        <f t="shared" si="2"/>
        <v>61</v>
      </c>
    </row>
    <row r="21" spans="1:16">
      <c r="A21" t="s">
        <v>242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f>K21</f>
        <v>0</v>
      </c>
      <c r="M21" s="20">
        <f t="shared" si="2"/>
        <v>0</v>
      </c>
      <c r="N21" s="20">
        <f t="shared" si="2"/>
        <v>0</v>
      </c>
      <c r="O21" s="20">
        <f t="shared" si="2"/>
        <v>0</v>
      </c>
      <c r="P21" s="20">
        <f t="shared" si="2"/>
        <v>0</v>
      </c>
    </row>
    <row r="22" spans="1:16">
      <c r="A22" t="s">
        <v>243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>
        <f>K22*('Annual P&amp;L'!L5/'Annual P&amp;L'!K5)</f>
        <v>0</v>
      </c>
      <c r="M22" s="19">
        <f>L22*('Annual P&amp;L'!M5/'Annual P&amp;L'!L5)</f>
        <v>0</v>
      </c>
      <c r="N22" s="19">
        <f>M22*('Annual P&amp;L'!N5/'Annual P&amp;L'!M5)</f>
        <v>0</v>
      </c>
      <c r="O22" s="19">
        <f>N22*('Annual P&amp;L'!O5/'Annual P&amp;L'!N5)</f>
        <v>0</v>
      </c>
      <c r="P22" s="19">
        <f>O22*('Annual P&amp;L'!P5/'Annual P&amp;L'!O5)</f>
        <v>0</v>
      </c>
    </row>
  </sheetData>
  <mergeCells count="2">
    <mergeCell ref="A1:P1"/>
    <mergeCell ref="A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5"/>
  <sheetViews>
    <sheetView showGridLines="0" workbookViewId="0">
      <selection sqref="A1:G1"/>
    </sheetView>
  </sheetViews>
  <sheetFormatPr defaultRowHeight="13.8"/>
  <cols>
    <col min="1" max="1" width="34" customWidth="1"/>
    <col min="2" max="5" width="12" customWidth="1"/>
    <col min="6" max="6" width="38" customWidth="1"/>
    <col min="7" max="7" width="12" customWidth="1"/>
  </cols>
  <sheetData>
    <row r="1" spans="1:7" ht="25.95" customHeight="1">
      <c r="A1" s="99" t="s">
        <v>244</v>
      </c>
      <c r="B1" s="99"/>
      <c r="C1" s="99"/>
      <c r="D1" s="99"/>
      <c r="E1" s="99"/>
      <c r="F1" s="99"/>
      <c r="G1" s="99"/>
    </row>
    <row r="2" spans="1:7" ht="22.05" customHeight="1">
      <c r="A2" s="100" t="s">
        <v>245</v>
      </c>
      <c r="B2" s="100"/>
      <c r="C2" s="100"/>
      <c r="D2" s="100"/>
      <c r="E2" s="100"/>
      <c r="F2" s="100"/>
      <c r="G2" s="100"/>
    </row>
    <row r="3" spans="1:7">
      <c r="A3" s="2"/>
      <c r="B3" s="2"/>
      <c r="C3" s="2"/>
      <c r="D3" s="2"/>
      <c r="E3" s="2"/>
      <c r="F3" s="2"/>
      <c r="G3" s="2"/>
    </row>
    <row r="4" spans="1:7">
      <c r="A4" s="6" t="s">
        <v>246</v>
      </c>
      <c r="B4" s="7" t="s">
        <v>247</v>
      </c>
      <c r="C4" s="7" t="s">
        <v>248</v>
      </c>
      <c r="D4" s="7" t="s">
        <v>249</v>
      </c>
      <c r="E4" s="7" t="s">
        <v>250</v>
      </c>
      <c r="F4" s="7" t="s">
        <v>251</v>
      </c>
      <c r="G4" s="7" t="s">
        <v>252</v>
      </c>
    </row>
    <row r="5" spans="1:7">
      <c r="A5" s="2" t="s">
        <v>484</v>
      </c>
      <c r="B5" s="2">
        <f>'Annual Balance Sheet'!P21</f>
        <v>-161530.13444116298</v>
      </c>
      <c r="C5" s="2">
        <v>0</v>
      </c>
      <c r="D5" s="2">
        <f t="shared" ref="D5:D11" si="0">B5-C5</f>
        <v>-161530.13444116298</v>
      </c>
      <c r="E5" s="2">
        <v>1</v>
      </c>
      <c r="F5" s="2" t="s">
        <v>485</v>
      </c>
      <c r="G5" s="2" t="str">
        <f t="shared" ref="G5:G11" si="1">IF(ABS(D5)&lt;=E5,"OK","REVIEW")</f>
        <v>REVIEW</v>
      </c>
    </row>
    <row r="6" spans="1:7">
      <c r="A6" s="2" t="s">
        <v>486</v>
      </c>
      <c r="B6" s="2">
        <f>'Annual Cash Flow'!P31</f>
        <v>0</v>
      </c>
      <c r="C6" s="2">
        <v>0</v>
      </c>
      <c r="D6" s="2">
        <f t="shared" si="0"/>
        <v>0</v>
      </c>
      <c r="E6" s="2">
        <v>1</v>
      </c>
      <c r="F6" s="2" t="s">
        <v>487</v>
      </c>
      <c r="G6" s="2" t="str">
        <f t="shared" si="1"/>
        <v>OK</v>
      </c>
    </row>
    <row r="7" spans="1:7">
      <c r="A7" s="2" t="s">
        <v>488</v>
      </c>
      <c r="B7" s="2">
        <f>MAX(ABS('Annual Balance Sheet'!M21),ABS('Annual Balance Sheet'!N21),ABS('Annual Balance Sheet'!O21),ABS('Annual Balance Sheet'!P21))</f>
        <v>161530.13444116298</v>
      </c>
      <c r="C7" s="2">
        <v>0</v>
      </c>
      <c r="D7" s="2">
        <f t="shared" si="0"/>
        <v>161530.13444116298</v>
      </c>
      <c r="E7" s="2">
        <v>1</v>
      </c>
      <c r="F7" s="2" t="s">
        <v>489</v>
      </c>
      <c r="G7" s="2" t="str">
        <f t="shared" si="1"/>
        <v>REVIEW</v>
      </c>
    </row>
    <row r="8" spans="1:7">
      <c r="A8" s="2" t="s">
        <v>490</v>
      </c>
      <c r="B8" s="2">
        <f>MAX(ABS('Annual Cash Flow'!M31),ABS('Annual Cash Flow'!N31),ABS('Annual Cash Flow'!O31),ABS('Annual Cash Flow'!P31))</f>
        <v>0</v>
      </c>
      <c r="C8" s="2">
        <v>0</v>
      </c>
      <c r="D8" s="2">
        <f t="shared" si="0"/>
        <v>0</v>
      </c>
      <c r="E8" s="2">
        <v>1</v>
      </c>
      <c r="F8" s="2" t="s">
        <v>491</v>
      </c>
      <c r="G8" s="2" t="str">
        <f t="shared" si="1"/>
        <v>OK</v>
      </c>
    </row>
    <row r="9" spans="1:7">
      <c r="A9" s="2" t="s">
        <v>492</v>
      </c>
      <c r="B9" s="2">
        <f>MAX(ABS('Annual Cash Flow'!M12-SUM('Annual Cash Flow'!M5:M11)),ABS('Annual Cash Flow'!N12-SUM('Annual Cash Flow'!N5:N11)),ABS('Annual Cash Flow'!O12-SUM('Annual Cash Flow'!O5:O11)),ABS('Annual Cash Flow'!P12-SUM('Annual Cash Flow'!P5:P11)))</f>
        <v>0</v>
      </c>
      <c r="C9" s="2">
        <v>0</v>
      </c>
      <c r="D9" s="2">
        <f t="shared" si="0"/>
        <v>0</v>
      </c>
      <c r="E9" s="2">
        <v>1</v>
      </c>
      <c r="F9" s="2" t="s">
        <v>493</v>
      </c>
      <c r="G9" s="2" t="str">
        <f t="shared" si="1"/>
        <v>OK</v>
      </c>
    </row>
    <row r="10" spans="1:7">
      <c r="A10" s="2" t="s">
        <v>494</v>
      </c>
      <c r="B10" s="2">
        <f>MAX(ABS('Annual Cash Flow'!M18-SUM('Annual Cash Flow'!M15:M17)),ABS('Annual Cash Flow'!N18-SUM('Annual Cash Flow'!N15:N17)),ABS('Annual Cash Flow'!O18-SUM('Annual Cash Flow'!O15:O17)),ABS('Annual Cash Flow'!P18-SUM('Annual Cash Flow'!P15:P17)))</f>
        <v>0</v>
      </c>
      <c r="C10" s="2">
        <v>0</v>
      </c>
      <c r="D10" s="2">
        <f t="shared" si="0"/>
        <v>0</v>
      </c>
      <c r="E10" s="2">
        <v>1</v>
      </c>
      <c r="F10" s="2" t="s">
        <v>495</v>
      </c>
      <c r="G10" s="2" t="str">
        <f t="shared" si="1"/>
        <v>OK</v>
      </c>
    </row>
    <row r="11" spans="1:7">
      <c r="A11" s="2" t="s">
        <v>496</v>
      </c>
      <c r="B11" s="2">
        <f>MAX(ABS('Annual Cash Flow'!M32-'Annual Cash Flow'!M12-'Annual Cash Flow'!M18),ABS('Annual Cash Flow'!N32-'Annual Cash Flow'!N12-'Annual Cash Flow'!N18),ABS('Annual Cash Flow'!O32-'Annual Cash Flow'!O12-'Annual Cash Flow'!O18),ABS('Annual Cash Flow'!P32-'Annual Cash Flow'!P12-'Annual Cash Flow'!P18))</f>
        <v>5.4569682106375694E-12</v>
      </c>
      <c r="C11" s="2">
        <v>0</v>
      </c>
      <c r="D11" s="2">
        <f t="shared" si="0"/>
        <v>5.4569682106375694E-12</v>
      </c>
      <c r="E11" s="2">
        <v>1</v>
      </c>
      <c r="F11" s="2" t="s">
        <v>497</v>
      </c>
      <c r="G11" s="2" t="str">
        <f t="shared" si="1"/>
        <v>OK</v>
      </c>
    </row>
    <row r="12" spans="1:7">
      <c r="A12" s="2" t="s">
        <v>498</v>
      </c>
      <c r="B12" s="2">
        <f>MAX(ABS('Annual P&amp;L'!M29-'Annual P&amp;L'!M25/'Annual P&amp;L'!M27),ABS('Annual P&amp;L'!N29-'Annual P&amp;L'!N25/'Annual P&amp;L'!N27),ABS('Annual P&amp;L'!O29-'Annual P&amp;L'!O25/'Annual P&amp;L'!O27),ABS('Annual P&amp;L'!P29-'Annual P&amp;L'!P25/'Annual P&amp;L'!P27))</f>
        <v>0</v>
      </c>
      <c r="C12" s="2">
        <v>0</v>
      </c>
      <c r="D12" s="2">
        <f>B12-C12</f>
        <v>0</v>
      </c>
      <c r="E12" s="2">
        <v>1E-3</v>
      </c>
      <c r="F12" s="2" t="s">
        <v>499</v>
      </c>
      <c r="G12" s="2" t="str">
        <f>IF(ABS(D12)&lt;=E12,"OK","REVIEW")</f>
        <v>OK</v>
      </c>
    </row>
    <row r="13" spans="1:7">
      <c r="A13" s="2" t="s">
        <v>500</v>
      </c>
      <c r="B13" s="2">
        <f>IF(AND('Market Data'!E35&gt;='Market Data'!E30,'Market Data'!E35&lt;='Market Data'!E31),1,0)</f>
        <v>1</v>
      </c>
      <c r="C13" s="2">
        <v>1</v>
      </c>
      <c r="D13" s="2">
        <f>B13-C13</f>
        <v>0</v>
      </c>
      <c r="E13" s="2">
        <v>0</v>
      </c>
      <c r="F13" s="2" t="s">
        <v>501</v>
      </c>
      <c r="G13" s="2" t="str">
        <f>IF(B13=C13,"OK","REVIEW")</f>
        <v>OK</v>
      </c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99" t="s">
        <v>253</v>
      </c>
      <c r="B17" s="99"/>
      <c r="C17" s="99"/>
      <c r="D17" s="99"/>
      <c r="E17" s="99"/>
      <c r="F17" s="99"/>
      <c r="G17" s="1" t="str">
        <f>IF(COUNTIF(G5:G13,"REVIEW")=0,"OK","REVIEW")</f>
        <v>REVIEW</v>
      </c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99" t="s">
        <v>254</v>
      </c>
      <c r="B20" s="99"/>
      <c r="C20" s="99"/>
      <c r="D20" s="99"/>
      <c r="E20" s="99"/>
      <c r="F20" s="99"/>
      <c r="G20" s="99"/>
    </row>
    <row r="21" spans="1:7">
      <c r="A21" s="15" t="s">
        <v>255</v>
      </c>
      <c r="B21" s="15" t="s">
        <v>256</v>
      </c>
      <c r="C21" s="15" t="s">
        <v>257</v>
      </c>
      <c r="D21" s="15" t="s">
        <v>258</v>
      </c>
      <c r="E21" s="15" t="s">
        <v>259</v>
      </c>
      <c r="F21" s="15" t="s">
        <v>252</v>
      </c>
      <c r="G21" s="15" t="s">
        <v>251</v>
      </c>
    </row>
    <row r="22" spans="1:7" ht="46.2">
      <c r="A22" s="4" t="s">
        <v>260</v>
      </c>
      <c r="B22" s="4" t="s">
        <v>5</v>
      </c>
      <c r="C22" s="4" t="s">
        <v>11</v>
      </c>
      <c r="D22" s="4" t="s">
        <v>261</v>
      </c>
      <c r="E22" s="4" t="s">
        <v>262</v>
      </c>
      <c r="F22" s="4" t="s">
        <v>263</v>
      </c>
      <c r="G22" s="4" t="s">
        <v>264</v>
      </c>
    </row>
    <row r="23" spans="1:7" ht="57.6">
      <c r="A23" s="4" t="s">
        <v>265</v>
      </c>
      <c r="B23" s="4" t="s">
        <v>266</v>
      </c>
      <c r="C23" s="4" t="s">
        <v>267</v>
      </c>
      <c r="D23" s="4" t="s">
        <v>268</v>
      </c>
      <c r="E23" s="4" t="s">
        <v>269</v>
      </c>
      <c r="F23" s="4" t="s">
        <v>263</v>
      </c>
      <c r="G23" s="4" t="s">
        <v>270</v>
      </c>
    </row>
    <row r="24" spans="1:7" ht="46.2">
      <c r="A24" s="4" t="s">
        <v>271</v>
      </c>
      <c r="B24" s="4" t="s">
        <v>5</v>
      </c>
      <c r="C24" s="4" t="s">
        <v>272</v>
      </c>
      <c r="D24" s="4" t="s">
        <v>273</v>
      </c>
      <c r="E24" s="4" t="s">
        <v>274</v>
      </c>
      <c r="F24" s="4" t="s">
        <v>275</v>
      </c>
      <c r="G24" s="4" t="s">
        <v>276</v>
      </c>
    </row>
    <row r="25" spans="1:7" ht="57.6">
      <c r="A25" s="4" t="s">
        <v>277</v>
      </c>
      <c r="B25" s="4" t="s">
        <v>5</v>
      </c>
      <c r="C25" s="4" t="s">
        <v>278</v>
      </c>
      <c r="D25" s="4" t="s">
        <v>279</v>
      </c>
      <c r="E25" s="4" t="s">
        <v>262</v>
      </c>
      <c r="F25" s="4" t="s">
        <v>280</v>
      </c>
      <c r="G25" s="4" t="s">
        <v>281</v>
      </c>
    </row>
    <row r="28" spans="1:7">
      <c r="A28" t="s">
        <v>282</v>
      </c>
      <c r="B28" t="s">
        <v>283</v>
      </c>
      <c r="C28" t="s">
        <v>5</v>
      </c>
      <c r="D28" t="s">
        <v>284</v>
      </c>
      <c r="E28" t="s">
        <v>285</v>
      </c>
      <c r="F28" t="s">
        <v>286</v>
      </c>
      <c r="G28" t="s">
        <v>287</v>
      </c>
    </row>
    <row r="29" spans="1:7">
      <c r="A29" t="s">
        <v>288</v>
      </c>
      <c r="B29" t="s">
        <v>289</v>
      </c>
      <c r="C29" t="s">
        <v>290</v>
      </c>
      <c r="D29" t="s">
        <v>291</v>
      </c>
      <c r="E29" t="s">
        <v>292</v>
      </c>
      <c r="F29" t="s">
        <v>286</v>
      </c>
      <c r="G29" t="s">
        <v>293</v>
      </c>
    </row>
    <row r="30" spans="1:7">
      <c r="A30" t="s">
        <v>294</v>
      </c>
      <c r="B30" t="s">
        <v>295</v>
      </c>
      <c r="C30" t="s">
        <v>296</v>
      </c>
      <c r="D30" t="s">
        <v>297</v>
      </c>
      <c r="E30" t="s">
        <v>298</v>
      </c>
      <c r="F30" t="s">
        <v>286</v>
      </c>
      <c r="G30" t="s">
        <v>299</v>
      </c>
    </row>
    <row r="31" spans="1:7">
      <c r="A31" t="s">
        <v>300</v>
      </c>
      <c r="B31" t="s">
        <v>301</v>
      </c>
      <c r="C31" t="s">
        <v>302</v>
      </c>
      <c r="D31" t="s">
        <v>303</v>
      </c>
      <c r="E31" t="s">
        <v>304</v>
      </c>
      <c r="F31" t="s">
        <v>263</v>
      </c>
      <c r="G31" t="s">
        <v>305</v>
      </c>
    </row>
    <row r="32" spans="1:7">
      <c r="A32" t="s">
        <v>300</v>
      </c>
      <c r="B32" t="s">
        <v>306</v>
      </c>
      <c r="C32" t="s">
        <v>307</v>
      </c>
      <c r="D32" t="s">
        <v>308</v>
      </c>
      <c r="E32" t="s">
        <v>309</v>
      </c>
      <c r="F32" t="s">
        <v>263</v>
      </c>
      <c r="G32" t="s">
        <v>310</v>
      </c>
    </row>
    <row r="33" spans="1:7">
      <c r="A33" t="s">
        <v>311</v>
      </c>
      <c r="B33" t="s">
        <v>312</v>
      </c>
      <c r="C33" t="s">
        <v>290</v>
      </c>
      <c r="D33" t="s">
        <v>313</v>
      </c>
      <c r="E33" t="s">
        <v>314</v>
      </c>
      <c r="F33" t="s">
        <v>286</v>
      </c>
      <c r="G33" t="s">
        <v>315</v>
      </c>
    </row>
    <row r="34" spans="1:7">
      <c r="A34" t="s">
        <v>502</v>
      </c>
      <c r="B34" t="s">
        <v>503</v>
      </c>
      <c r="C34" t="s">
        <v>290</v>
      </c>
      <c r="D34" t="s">
        <v>284</v>
      </c>
      <c r="E34" t="s">
        <v>504</v>
      </c>
      <c r="F34" t="s">
        <v>263</v>
      </c>
      <c r="G34" t="s">
        <v>505</v>
      </c>
    </row>
    <row r="35" spans="1:7">
      <c r="A35" t="s">
        <v>506</v>
      </c>
      <c r="B35" t="s">
        <v>507</v>
      </c>
      <c r="C35" t="s">
        <v>7</v>
      </c>
      <c r="D35" t="s">
        <v>508</v>
      </c>
      <c r="E35" t="s">
        <v>509</v>
      </c>
      <c r="F35" t="s">
        <v>263</v>
      </c>
      <c r="G35" t="s">
        <v>510</v>
      </c>
    </row>
  </sheetData>
  <mergeCells count="4">
    <mergeCell ref="A1:G1"/>
    <mergeCell ref="A2:G2"/>
    <mergeCell ref="A17:F17"/>
    <mergeCell ref="A20:G20"/>
  </mergeCells>
  <conditionalFormatting sqref="G5:G17">
    <cfRule type="containsText" dxfId="1" priority="1" operator="containsText" text="OK"/>
    <cfRule type="containsText" dxfId="0" priority="2" operator="containsText" text="REVIEW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3"/>
  <sheetViews>
    <sheetView showGridLines="0" zoomScale="78" workbookViewId="0">
      <selection activeCell="I26" sqref="I26:P28"/>
    </sheetView>
  </sheetViews>
  <sheetFormatPr defaultRowHeight="13.8"/>
  <cols>
    <col min="1" max="1" width="38" customWidth="1"/>
    <col min="2" max="2" width="10" customWidth="1"/>
    <col min="3" max="16" width="12" customWidth="1"/>
  </cols>
  <sheetData>
    <row r="1" spans="1:16" ht="27" customHeight="1">
      <c r="A1" s="106" t="s">
        <v>316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100" t="s">
        <v>317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5" t="s">
        <v>80</v>
      </c>
      <c r="B5" s="25" t="s">
        <v>257</v>
      </c>
      <c r="C5" s="25" t="s">
        <v>30</v>
      </c>
      <c r="D5" s="25" t="s">
        <v>31</v>
      </c>
      <c r="E5" s="25" t="s">
        <v>32</v>
      </c>
      <c r="F5" s="25" t="s">
        <v>33</v>
      </c>
      <c r="G5" s="25" t="s">
        <v>34</v>
      </c>
      <c r="H5" s="25" t="s">
        <v>35</v>
      </c>
      <c r="I5" s="25" t="s">
        <v>36</v>
      </c>
      <c r="J5" s="25" t="s">
        <v>37</v>
      </c>
      <c r="K5" s="25" t="s">
        <v>38</v>
      </c>
      <c r="L5" s="25" t="s">
        <v>39</v>
      </c>
      <c r="M5" s="25" t="s">
        <v>40</v>
      </c>
      <c r="N5" s="25" t="s">
        <v>41</v>
      </c>
      <c r="O5" s="25" t="s">
        <v>42</v>
      </c>
      <c r="P5" s="25" t="s">
        <v>43</v>
      </c>
    </row>
    <row r="6" spans="1:1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 t="s">
        <v>318</v>
      </c>
      <c r="B7" s="2" t="s">
        <v>319</v>
      </c>
      <c r="C7" s="17"/>
      <c r="D7" s="17"/>
      <c r="E7" s="17">
        <v>1726.6950000000004</v>
      </c>
      <c r="F7" s="17">
        <v>1795.5509999999997</v>
      </c>
      <c r="G7" s="17">
        <v>1937.0239999999999</v>
      </c>
      <c r="H7" s="17">
        <v>2199</v>
      </c>
      <c r="I7" s="17">
        <v>2387</v>
      </c>
      <c r="J7" s="17">
        <v>2552</v>
      </c>
      <c r="K7" s="17">
        <v>2566</v>
      </c>
      <c r="L7" s="17">
        <v>2759</v>
      </c>
      <c r="M7" s="26">
        <f>L7*('Segment Revenue'!M19/'Segment Revenue'!L19)</f>
        <v>2867.2756017412194</v>
      </c>
      <c r="N7" s="26">
        <f>M7*('Segment Revenue'!N19/'Segment Revenue'!M19)</f>
        <v>2990.1483626704749</v>
      </c>
      <c r="O7" s="26">
        <f>N7*('Segment Revenue'!O19/'Segment Revenue'!N19)</f>
        <v>3137.9175175385512</v>
      </c>
      <c r="P7" s="26">
        <f>O7*('Segment Revenue'!P19/'Segment Revenue'!O19)</f>
        <v>3304.1747352019688</v>
      </c>
    </row>
    <row r="8" spans="1:16">
      <c r="A8" s="2" t="s">
        <v>320</v>
      </c>
      <c r="B8" s="2" t="s">
        <v>319</v>
      </c>
      <c r="C8" s="17"/>
      <c r="D8" s="17"/>
      <c r="E8" s="17">
        <v>304.68000000000023</v>
      </c>
      <c r="F8" s="17">
        <v>343.11200000000019</v>
      </c>
      <c r="G8" s="17">
        <v>322.32400000000001</v>
      </c>
      <c r="H8" s="17">
        <v>384.82499999999999</v>
      </c>
      <c r="I8" s="17">
        <v>407.44299999999998</v>
      </c>
      <c r="J8" s="17">
        <v>423</v>
      </c>
      <c r="K8" s="17">
        <v>435</v>
      </c>
      <c r="L8" s="17">
        <v>450</v>
      </c>
      <c r="M8" s="26">
        <f>M7*M9</f>
        <v>467.36592308381876</v>
      </c>
      <c r="N8" s="26">
        <f>N7*N9</f>
        <v>487.39418311528743</v>
      </c>
      <c r="O8" s="26">
        <f>O7*O9</f>
        <v>511.48055535878387</v>
      </c>
      <c r="P8" s="26">
        <f>P7*P9</f>
        <v>538.58048183792096</v>
      </c>
    </row>
    <row r="9" spans="1:16">
      <c r="A9" s="2" t="s">
        <v>75</v>
      </c>
      <c r="B9" s="2" t="s">
        <v>71</v>
      </c>
      <c r="C9" s="8"/>
      <c r="D9" s="8"/>
      <c r="E9" s="8">
        <v>0.17645270299618646</v>
      </c>
      <c r="F9" s="8">
        <v>0.19109008878054717</v>
      </c>
      <c r="G9" s="8">
        <v>0.16640165532280449</v>
      </c>
      <c r="H9" s="8">
        <v>0.17499999999999999</v>
      </c>
      <c r="I9" s="8">
        <v>0.17069250104733974</v>
      </c>
      <c r="J9" s="8">
        <v>0.16575235109717867</v>
      </c>
      <c r="K9" s="8">
        <v>0.16952455183164458</v>
      </c>
      <c r="L9" s="8">
        <v>0.16300000000000001</v>
      </c>
      <c r="M9" s="27">
        <f>Assumptions!M34</f>
        <v>0.16300000000000001</v>
      </c>
      <c r="N9" s="27">
        <f>Assumptions!N34</f>
        <v>0.16300000000000001</v>
      </c>
      <c r="O9" s="27">
        <f>Assumptions!O34</f>
        <v>0.16300000000000001</v>
      </c>
      <c r="P9" s="27">
        <f>Assumptions!P34</f>
        <v>0.16300000000000001</v>
      </c>
    </row>
    <row r="10" spans="1:16">
      <c r="A10" s="2" t="s">
        <v>222</v>
      </c>
      <c r="B10" s="2" t="s">
        <v>319</v>
      </c>
      <c r="C10" s="17"/>
      <c r="D10" s="17"/>
      <c r="E10" s="17">
        <v>378.99799999999993</v>
      </c>
      <c r="F10" s="17">
        <v>415.43</v>
      </c>
      <c r="G10" s="17">
        <v>408.43599999999986</v>
      </c>
      <c r="H10" s="17">
        <v>490</v>
      </c>
      <c r="I10" s="17">
        <v>520</v>
      </c>
      <c r="J10" s="17">
        <v>552</v>
      </c>
      <c r="K10" s="17">
        <v>597</v>
      </c>
      <c r="L10" s="17">
        <v>626</v>
      </c>
      <c r="M10" s="26">
        <f>L10*('Segment Revenue'!M21/'Segment Revenue'!L21)</f>
        <v>653.1797820822992</v>
      </c>
      <c r="N10" s="26">
        <f>M10*('Segment Revenue'!N21/'Segment Revenue'!M21)</f>
        <v>681.17081411245442</v>
      </c>
      <c r="O10" s="26">
        <f>N10*('Segment Revenue'!O21/'Segment Revenue'!N21)</f>
        <v>714.83336971631809</v>
      </c>
      <c r="P10" s="26">
        <f>O10*('Segment Revenue'!P21/'Segment Revenue'!O21)</f>
        <v>752.70759887554277</v>
      </c>
    </row>
    <row r="11" spans="1:16">
      <c r="A11" s="2" t="s">
        <v>321</v>
      </c>
      <c r="B11" s="2" t="s">
        <v>319</v>
      </c>
      <c r="C11" s="17"/>
      <c r="D11" s="17"/>
      <c r="E11" s="17">
        <v>89.331000000000017</v>
      </c>
      <c r="F11" s="17">
        <v>78.729999999999947</v>
      </c>
      <c r="G11" s="17">
        <v>64.272000000000006</v>
      </c>
      <c r="H11" s="17">
        <v>93.59</v>
      </c>
      <c r="I11" s="17">
        <v>96.939000000000007</v>
      </c>
      <c r="J11" s="17">
        <v>109</v>
      </c>
      <c r="K11" s="17">
        <v>107</v>
      </c>
      <c r="L11" s="17">
        <v>97</v>
      </c>
      <c r="M11" s="26">
        <f>M10*M12</f>
        <v>101.24286622275638</v>
      </c>
      <c r="N11" s="26">
        <f>N10*N12</f>
        <v>105.58147618743044</v>
      </c>
      <c r="O11" s="26">
        <f>O10*O12</f>
        <v>110.79917230602931</v>
      </c>
      <c r="P11" s="26">
        <f>P10*P12</f>
        <v>116.66967782570913</v>
      </c>
    </row>
    <row r="12" spans="1:16">
      <c r="A12" s="2" t="s">
        <v>76</v>
      </c>
      <c r="B12" s="2" t="s">
        <v>71</v>
      </c>
      <c r="C12" s="8"/>
      <c r="D12" s="8"/>
      <c r="E12" s="8">
        <v>0.23570309078148177</v>
      </c>
      <c r="F12" s="8">
        <v>0.1895144789735935</v>
      </c>
      <c r="G12" s="8">
        <v>0.15736125121194025</v>
      </c>
      <c r="H12" s="8">
        <v>0.191</v>
      </c>
      <c r="I12" s="8">
        <v>0.18642115384615385</v>
      </c>
      <c r="J12" s="8">
        <v>0.19746376811594202</v>
      </c>
      <c r="K12" s="8">
        <v>0.17922948073701842</v>
      </c>
      <c r="L12" s="8">
        <v>0.15495207667731628</v>
      </c>
      <c r="M12" s="27">
        <f>Assumptions!M35</f>
        <v>0.155</v>
      </c>
      <c r="N12" s="27">
        <f>Assumptions!N35</f>
        <v>0.155</v>
      </c>
      <c r="O12" s="27">
        <f>Assumptions!O35</f>
        <v>0.155</v>
      </c>
      <c r="P12" s="27">
        <f>Assumptions!P35</f>
        <v>0.155</v>
      </c>
    </row>
    <row r="13" spans="1:16">
      <c r="A13" s="2" t="s">
        <v>223</v>
      </c>
      <c r="B13" s="2" t="s">
        <v>319</v>
      </c>
      <c r="C13" s="17"/>
      <c r="D13" s="17"/>
      <c r="E13" s="17">
        <v>172.09299999999993</v>
      </c>
      <c r="F13" s="17">
        <v>332.42899999999997</v>
      </c>
      <c r="G13" s="17">
        <v>350.43700000000001</v>
      </c>
      <c r="H13" s="17">
        <v>304</v>
      </c>
      <c r="I13" s="17">
        <v>328</v>
      </c>
      <c r="J13" s="17">
        <v>326</v>
      </c>
      <c r="K13" s="17">
        <v>335</v>
      </c>
      <c r="L13" s="17">
        <v>297</v>
      </c>
      <c r="M13" s="26">
        <f>L13*('Segment Revenue'!M23/'Segment Revenue'!L23)</f>
        <v>309.89520012530807</v>
      </c>
      <c r="N13" s="26">
        <f>M13*('Segment Revenue'!N23/'Segment Revenue'!M23)</f>
        <v>323.17529040159582</v>
      </c>
      <c r="O13" s="26">
        <f>N13*('Segment Revenue'!O23/'Segment Revenue'!N23)</f>
        <v>339.14618339576117</v>
      </c>
      <c r="P13" s="26">
        <f>O13*('Segment Revenue'!P23/'Segment Revenue'!O23)</f>
        <v>357.11526655916333</v>
      </c>
    </row>
    <row r="14" spans="1:16">
      <c r="A14" s="2" t="s">
        <v>322</v>
      </c>
      <c r="B14" s="2" t="s">
        <v>319</v>
      </c>
      <c r="C14" s="17"/>
      <c r="D14" s="17"/>
      <c r="E14" s="17">
        <v>41.812000000000033</v>
      </c>
      <c r="F14" s="17">
        <v>109.01500000000001</v>
      </c>
      <c r="G14" s="17">
        <v>62.704999999999941</v>
      </c>
      <c r="H14" s="17">
        <v>58.064</v>
      </c>
      <c r="I14" s="17">
        <v>78.599999999999994</v>
      </c>
      <c r="J14" s="17">
        <v>72</v>
      </c>
      <c r="K14" s="17">
        <v>84</v>
      </c>
      <c r="L14" s="17">
        <v>60</v>
      </c>
      <c r="M14" s="26">
        <f>M13*M15</f>
        <v>62.598830425312237</v>
      </c>
      <c r="N14" s="26">
        <f>N13*N15</f>
        <v>65.281408661122356</v>
      </c>
      <c r="O14" s="26">
        <f>O13*O15</f>
        <v>68.507529045943755</v>
      </c>
      <c r="P14" s="26">
        <f>P13*P15</f>
        <v>72.137283844951</v>
      </c>
    </row>
    <row r="15" spans="1:16">
      <c r="A15" s="2" t="s">
        <v>77</v>
      </c>
      <c r="B15" s="2" t="s">
        <v>71</v>
      </c>
      <c r="C15" s="8"/>
      <c r="D15" s="8"/>
      <c r="E15" s="8">
        <v>0.24296165445427792</v>
      </c>
      <c r="F15" s="8">
        <v>0.32793468680530286</v>
      </c>
      <c r="G15" s="8">
        <v>0.17893373131261808</v>
      </c>
      <c r="H15" s="8">
        <v>0.191</v>
      </c>
      <c r="I15" s="8">
        <v>0.23963414634146341</v>
      </c>
      <c r="J15" s="8">
        <v>0.22085889570552147</v>
      </c>
      <c r="K15" s="8">
        <v>0.2507462686567164</v>
      </c>
      <c r="L15" s="8">
        <v>0.20202020202020202</v>
      </c>
      <c r="M15" s="27">
        <f>Assumptions!M36</f>
        <v>0.20200000000000001</v>
      </c>
      <c r="N15" s="27">
        <f>Assumptions!N36</f>
        <v>0.20200000000000001</v>
      </c>
      <c r="O15" s="27">
        <f>Assumptions!O36</f>
        <v>0.20200000000000001</v>
      </c>
      <c r="P15" s="27">
        <f>Assumptions!P36</f>
        <v>0.20200000000000001</v>
      </c>
    </row>
    <row r="16" spans="1:16">
      <c r="A16" s="2"/>
      <c r="B16" s="2"/>
      <c r="C16" s="8"/>
      <c r="D16" s="8"/>
      <c r="E16" s="8"/>
      <c r="F16" s="8"/>
      <c r="G16" s="8"/>
      <c r="H16" s="8"/>
      <c r="I16" s="8"/>
      <c r="J16" s="8"/>
      <c r="K16" s="8"/>
      <c r="L16" s="8"/>
      <c r="M16" s="27"/>
      <c r="N16" s="27"/>
      <c r="O16" s="27"/>
      <c r="P16" s="27"/>
    </row>
    <row r="17" spans="1:16">
      <c r="A17" s="2" t="s">
        <v>323</v>
      </c>
      <c r="B17" s="2" t="s">
        <v>319</v>
      </c>
      <c r="C17" s="17"/>
      <c r="D17" s="17"/>
      <c r="E17" s="17"/>
      <c r="F17" s="17"/>
      <c r="G17" s="17"/>
      <c r="H17" s="17">
        <v>49.7</v>
      </c>
      <c r="I17" s="17">
        <v>49.8</v>
      </c>
      <c r="J17" s="17">
        <v>31.6</v>
      </c>
      <c r="K17" s="17">
        <v>34.4</v>
      </c>
      <c r="L17" s="17">
        <v>19</v>
      </c>
      <c r="M17" s="26">
        <f>L17*(1+Assumptions!M30)</f>
        <v>19.95</v>
      </c>
      <c r="N17" s="26">
        <f>M17*(1+Assumptions!N30)</f>
        <v>20.947500000000002</v>
      </c>
      <c r="O17" s="26">
        <f>N17*(1+Assumptions!O30)</f>
        <v>21.994875000000004</v>
      </c>
      <c r="P17" s="26">
        <f>O17*(1+Assumptions!P30)</f>
        <v>23.094618750000006</v>
      </c>
    </row>
    <row r="18" spans="1:16">
      <c r="A18" s="2" t="s">
        <v>324</v>
      </c>
      <c r="B18" s="2" t="s">
        <v>319</v>
      </c>
      <c r="C18" s="17"/>
      <c r="D18" s="17"/>
      <c r="E18" s="17"/>
      <c r="F18" s="17"/>
      <c r="G18" s="17"/>
      <c r="H18" s="17">
        <v>251.6</v>
      </c>
      <c r="I18" s="17">
        <v>270.39999999999998</v>
      </c>
      <c r="J18" s="17">
        <v>288.5</v>
      </c>
      <c r="K18" s="17">
        <v>295</v>
      </c>
      <c r="L18" s="17">
        <v>268</v>
      </c>
      <c r="M18" s="26">
        <f>L18*(1+Assumptions!M31)</f>
        <v>276.04000000000002</v>
      </c>
      <c r="N18" s="26">
        <f>M18*(1+Assumptions!N31)</f>
        <v>284.32120000000003</v>
      </c>
      <c r="O18" s="26">
        <f>N18*(1+Assumptions!O31)</f>
        <v>292.85083600000002</v>
      </c>
      <c r="P18" s="26">
        <f>O18*(1+Assumptions!P31)</f>
        <v>301.63636108000003</v>
      </c>
    </row>
    <row r="19" spans="1:16">
      <c r="A19" s="2" t="s">
        <v>325</v>
      </c>
      <c r="B19" s="2" t="s">
        <v>319</v>
      </c>
      <c r="C19" s="17"/>
      <c r="D19" s="17"/>
      <c r="E19" s="17"/>
      <c r="F19" s="17"/>
      <c r="G19" s="17"/>
      <c r="H19" s="17">
        <v>19.399999999999999</v>
      </c>
      <c r="I19" s="17">
        <v>22</v>
      </c>
      <c r="J19" s="17">
        <v>21.4</v>
      </c>
      <c r="K19" s="17">
        <v>18.5</v>
      </c>
      <c r="L19" s="17">
        <v>20</v>
      </c>
      <c r="M19" s="26">
        <f>L19*(1+Assumptions!M32)</f>
        <v>21.200000000000003</v>
      </c>
      <c r="N19" s="26">
        <f>M19*(1+Assumptions!N32)</f>
        <v>22.472000000000005</v>
      </c>
      <c r="O19" s="26">
        <f>N19*(1+Assumptions!O32)</f>
        <v>23.820320000000006</v>
      </c>
      <c r="P19" s="26">
        <f>O19*(1+Assumptions!P32)</f>
        <v>25.249539200000008</v>
      </c>
    </row>
    <row r="20" spans="1:16">
      <c r="A20" s="2" t="s">
        <v>326</v>
      </c>
      <c r="B20" s="2" t="s">
        <v>319</v>
      </c>
      <c r="C20" s="17"/>
      <c r="D20" s="17"/>
      <c r="E20" s="17"/>
      <c r="F20" s="17"/>
      <c r="G20" s="17"/>
      <c r="H20" s="17">
        <v>320.7</v>
      </c>
      <c r="I20" s="17">
        <v>342.2</v>
      </c>
      <c r="J20" s="17">
        <v>341.5</v>
      </c>
      <c r="K20" s="17">
        <v>347.9</v>
      </c>
      <c r="L20" s="17">
        <v>307</v>
      </c>
      <c r="M20" s="26">
        <f>SUM(M17:M19)</f>
        <v>317.19</v>
      </c>
      <c r="N20" s="26">
        <f>SUM(N17:N19)</f>
        <v>327.7407</v>
      </c>
      <c r="O20" s="26">
        <f>SUM(O17:O19)</f>
        <v>338.66603099999998</v>
      </c>
      <c r="P20" s="26">
        <f>SUM(P17:P19)</f>
        <v>349.98051903000004</v>
      </c>
    </row>
    <row r="21" spans="1:16">
      <c r="A21" s="2" t="s">
        <v>327</v>
      </c>
      <c r="B21" s="2" t="s">
        <v>319</v>
      </c>
      <c r="C21" s="17"/>
      <c r="D21" s="17"/>
      <c r="E21" s="17"/>
      <c r="F21" s="17"/>
      <c r="G21" s="17"/>
      <c r="H21" s="17">
        <v>922.2</v>
      </c>
      <c r="I21" s="17">
        <v>1028.2</v>
      </c>
      <c r="J21" s="17">
        <v>1024.3</v>
      </c>
      <c r="K21" s="17">
        <v>1032.8</v>
      </c>
      <c r="L21" s="17">
        <v>1045</v>
      </c>
      <c r="M21" s="26">
        <f>L21*(1+Assumptions!M33)</f>
        <v>1128.6000000000001</v>
      </c>
      <c r="N21" s="26">
        <f>M21*(1+Assumptions!N33)</f>
        <v>1218.8880000000001</v>
      </c>
      <c r="O21" s="26">
        <f>N21*(1+Assumptions!O33)</f>
        <v>1316.3990400000002</v>
      </c>
      <c r="P21" s="26">
        <f>O21*(1+Assumptions!P33)</f>
        <v>1421.7109632000004</v>
      </c>
    </row>
    <row r="22" spans="1:16">
      <c r="A22" s="2" t="s">
        <v>328</v>
      </c>
      <c r="B22" s="2" t="s">
        <v>71</v>
      </c>
      <c r="C22" s="8"/>
      <c r="D22" s="8"/>
      <c r="E22" s="8"/>
      <c r="F22" s="8"/>
      <c r="G22" s="8"/>
      <c r="H22" s="8"/>
      <c r="I22" s="8">
        <v>5.1999999999999998E-2</v>
      </c>
      <c r="J22" s="8">
        <v>7.0000000000000001E-3</v>
      </c>
      <c r="K22" s="8">
        <v>1.7999999999999999E-2</v>
      </c>
      <c r="L22" s="8">
        <v>1.7999999999999999E-2</v>
      </c>
      <c r="M22" s="27">
        <f>M21/L21-1</f>
        <v>8.0000000000000071E-2</v>
      </c>
      <c r="N22" s="27">
        <f>N21/M21-1</f>
        <v>8.0000000000000071E-2</v>
      </c>
      <c r="O22" s="27">
        <f>O21/N21-1</f>
        <v>8.0000000000000071E-2</v>
      </c>
      <c r="P22" s="27">
        <f>P21/O21-1</f>
        <v>8.0000000000000071E-2</v>
      </c>
    </row>
    <row r="25" spans="1:16">
      <c r="A25" s="3" t="s">
        <v>569</v>
      </c>
    </row>
    <row r="26" spans="1:16">
      <c r="A26" s="2" t="s">
        <v>318</v>
      </c>
      <c r="I26" s="129">
        <f>I13/H13-1</f>
        <v>7.8947368421052655E-2</v>
      </c>
      <c r="J26" s="129">
        <f t="shared" ref="J26:P26" si="0">J13/I13-1</f>
        <v>-6.0975609756097615E-3</v>
      </c>
      <c r="K26" s="129">
        <f t="shared" si="0"/>
        <v>2.7607361963190247E-2</v>
      </c>
      <c r="L26" s="129">
        <f t="shared" si="0"/>
        <v>-0.11343283582089547</v>
      </c>
      <c r="M26" s="129">
        <f t="shared" si="0"/>
        <v>4.3418182240094527E-2</v>
      </c>
      <c r="N26" s="129">
        <f t="shared" si="0"/>
        <v>4.2853488117653438E-2</v>
      </c>
      <c r="O26" s="129">
        <f t="shared" si="0"/>
        <v>4.9418669893725564E-2</v>
      </c>
      <c r="P26" s="129">
        <f t="shared" si="0"/>
        <v>5.2983297595990964E-2</v>
      </c>
    </row>
    <row r="27" spans="1:16">
      <c r="A27" s="2" t="s">
        <v>222</v>
      </c>
      <c r="I27" s="129">
        <f t="shared" ref="I27:P27" si="1">I14/H14-1</f>
        <v>0.35367869936621643</v>
      </c>
      <c r="J27" s="129">
        <f t="shared" si="1"/>
        <v>-8.396946564885488E-2</v>
      </c>
      <c r="K27" s="129">
        <f t="shared" si="1"/>
        <v>0.16666666666666674</v>
      </c>
      <c r="L27" s="129">
        <f t="shared" si="1"/>
        <v>-0.2857142857142857</v>
      </c>
      <c r="M27" s="129">
        <f t="shared" si="1"/>
        <v>4.3313840421870697E-2</v>
      </c>
      <c r="N27" s="129">
        <f t="shared" si="1"/>
        <v>4.2853488117653438E-2</v>
      </c>
      <c r="O27" s="129">
        <f t="shared" si="1"/>
        <v>4.9418669893725564E-2</v>
      </c>
      <c r="P27" s="129">
        <f t="shared" si="1"/>
        <v>5.2983297595991186E-2</v>
      </c>
    </row>
    <row r="28" spans="1:16">
      <c r="A28" s="2" t="s">
        <v>223</v>
      </c>
      <c r="I28" s="129">
        <f t="shared" ref="I28:P28" si="2">I15/H15-1</f>
        <v>0.25462903843698115</v>
      </c>
      <c r="J28" s="129">
        <f t="shared" si="2"/>
        <v>-7.8349646419706764E-2</v>
      </c>
      <c r="K28" s="129">
        <f t="shared" si="2"/>
        <v>0.13532338308457703</v>
      </c>
      <c r="L28" s="129">
        <f t="shared" si="2"/>
        <v>-0.19432419432419423</v>
      </c>
      <c r="M28" s="129">
        <f t="shared" si="2"/>
        <v>-9.9999999999877964E-5</v>
      </c>
      <c r="N28" s="129">
        <f t="shared" si="2"/>
        <v>0</v>
      </c>
      <c r="O28" s="129">
        <f t="shared" si="2"/>
        <v>0</v>
      </c>
      <c r="P28" s="129">
        <f t="shared" si="2"/>
        <v>0</v>
      </c>
    </row>
    <row r="30" spans="1:16">
      <c r="A30" s="2" t="s">
        <v>323</v>
      </c>
      <c r="B30" s="2" t="s">
        <v>319</v>
      </c>
      <c r="C30" s="17"/>
      <c r="D30" s="17"/>
      <c r="E30" s="17"/>
      <c r="F30" s="17"/>
      <c r="G30" s="17"/>
      <c r="H30" s="17"/>
      <c r="I30" s="129">
        <f>I17/H17-1</f>
        <v>2.012072434607548E-3</v>
      </c>
      <c r="J30" s="129">
        <f t="shared" ref="J30:P30" si="3">J17/I17-1</f>
        <v>-0.36546184738955811</v>
      </c>
      <c r="K30" s="129">
        <f t="shared" si="3"/>
        <v>8.8607594936708667E-2</v>
      </c>
      <c r="L30" s="129">
        <f t="shared" si="3"/>
        <v>-0.44767441860465118</v>
      </c>
      <c r="M30" s="129">
        <f t="shared" si="3"/>
        <v>5.0000000000000044E-2</v>
      </c>
      <c r="N30" s="129">
        <f t="shared" si="3"/>
        <v>5.0000000000000044E-2</v>
      </c>
      <c r="O30" s="129">
        <f t="shared" si="3"/>
        <v>5.0000000000000044E-2</v>
      </c>
      <c r="P30" s="129">
        <f t="shared" si="3"/>
        <v>5.0000000000000044E-2</v>
      </c>
    </row>
    <row r="31" spans="1:16">
      <c r="A31" s="2" t="s">
        <v>324</v>
      </c>
      <c r="B31" s="2" t="s">
        <v>319</v>
      </c>
      <c r="C31" s="17"/>
      <c r="D31" s="17"/>
      <c r="E31" s="17"/>
      <c r="F31" s="17"/>
      <c r="G31" s="17"/>
      <c r="H31" s="17"/>
      <c r="I31" s="129">
        <f t="shared" ref="I31:P33" si="4">I18/H18-1</f>
        <v>7.472178060413337E-2</v>
      </c>
      <c r="J31" s="129">
        <f t="shared" si="4"/>
        <v>6.6937869822485396E-2</v>
      </c>
      <c r="K31" s="129">
        <f t="shared" si="4"/>
        <v>2.2530329289428108E-2</v>
      </c>
      <c r="L31" s="129">
        <f t="shared" si="4"/>
        <v>-9.152542372881356E-2</v>
      </c>
      <c r="M31" s="129">
        <f t="shared" si="4"/>
        <v>3.0000000000000027E-2</v>
      </c>
      <c r="N31" s="129">
        <f t="shared" si="4"/>
        <v>3.0000000000000027E-2</v>
      </c>
      <c r="O31" s="129">
        <f t="shared" si="4"/>
        <v>3.0000000000000027E-2</v>
      </c>
      <c r="P31" s="129">
        <f t="shared" si="4"/>
        <v>3.0000000000000027E-2</v>
      </c>
    </row>
    <row r="32" spans="1:16">
      <c r="A32" s="2" t="s">
        <v>325</v>
      </c>
      <c r="B32" s="2" t="s">
        <v>319</v>
      </c>
      <c r="C32" s="17"/>
      <c r="D32" s="17"/>
      <c r="E32" s="17"/>
      <c r="F32" s="17"/>
      <c r="G32" s="17"/>
      <c r="H32" s="17"/>
      <c r="I32" s="129">
        <f t="shared" si="4"/>
        <v>0.13402061855670122</v>
      </c>
      <c r="J32" s="129">
        <f t="shared" si="4"/>
        <v>-2.7272727272727337E-2</v>
      </c>
      <c r="K32" s="129">
        <f t="shared" si="4"/>
        <v>-0.13551401869158874</v>
      </c>
      <c r="L32" s="129">
        <f t="shared" si="4"/>
        <v>8.1081081081081141E-2</v>
      </c>
      <c r="M32" s="129">
        <f t="shared" si="4"/>
        <v>6.0000000000000053E-2</v>
      </c>
      <c r="N32" s="129">
        <f t="shared" si="4"/>
        <v>6.0000000000000053E-2</v>
      </c>
      <c r="O32" s="129">
        <f t="shared" si="4"/>
        <v>6.0000000000000053E-2</v>
      </c>
      <c r="P32" s="129">
        <f t="shared" si="4"/>
        <v>6.0000000000000053E-2</v>
      </c>
    </row>
    <row r="33" spans="1:16">
      <c r="A33" s="2" t="s">
        <v>326</v>
      </c>
      <c r="B33" s="2" t="s">
        <v>319</v>
      </c>
      <c r="C33" s="17"/>
      <c r="D33" s="17"/>
      <c r="E33" s="17"/>
      <c r="F33" s="17"/>
      <c r="G33" s="17"/>
      <c r="H33" s="17"/>
      <c r="I33" s="129">
        <f t="shared" si="4"/>
        <v>6.7040848144683585E-2</v>
      </c>
      <c r="J33" s="129">
        <f t="shared" si="4"/>
        <v>-2.0455873758036258E-3</v>
      </c>
      <c r="K33" s="129">
        <f t="shared" si="4"/>
        <v>1.8740849194728959E-2</v>
      </c>
      <c r="L33" s="129">
        <f t="shared" si="4"/>
        <v>-0.11756251796493244</v>
      </c>
      <c r="M33" s="129">
        <f t="shared" si="4"/>
        <v>3.3192182410423543E-2</v>
      </c>
      <c r="N33" s="129">
        <f t="shared" si="4"/>
        <v>3.3263028468741185E-2</v>
      </c>
      <c r="O33" s="129">
        <f t="shared" si="4"/>
        <v>3.3335289147792713E-2</v>
      </c>
      <c r="P33" s="129">
        <f t="shared" si="4"/>
        <v>3.3408984056036317E-2</v>
      </c>
    </row>
  </sheetData>
  <mergeCells count="2">
    <mergeCell ref="A1:P1"/>
    <mergeCell ref="A2:P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3"/>
  <sheetViews>
    <sheetView showGridLines="0" topLeftCell="A20" workbookViewId="0">
      <selection activeCell="F17" sqref="F17"/>
    </sheetView>
  </sheetViews>
  <sheetFormatPr defaultRowHeight="13.8"/>
  <cols>
    <col min="1" max="1" width="24" customWidth="1"/>
    <col min="2" max="2" width="19" customWidth="1"/>
    <col min="3" max="3" width="20" customWidth="1"/>
    <col min="4" max="4" width="70" customWidth="1"/>
    <col min="5" max="5" width="30" customWidth="1"/>
  </cols>
  <sheetData>
    <row r="1" spans="1:5" ht="25.95" customHeight="1">
      <c r="A1" s="106" t="s">
        <v>329</v>
      </c>
      <c r="B1" s="106"/>
      <c r="C1" s="106"/>
      <c r="D1" s="106"/>
      <c r="E1" s="106"/>
    </row>
    <row r="2" spans="1:5">
      <c r="A2" s="108" t="s">
        <v>511</v>
      </c>
      <c r="B2" s="108"/>
      <c r="C2" s="108"/>
      <c r="D2" s="108"/>
      <c r="E2" s="108"/>
    </row>
    <row r="3" spans="1:5">
      <c r="A3" s="2"/>
      <c r="B3" s="2"/>
      <c r="C3" s="2"/>
      <c r="D3" s="2"/>
      <c r="E3" s="2"/>
    </row>
    <row r="4" spans="1:5">
      <c r="A4" s="25" t="s">
        <v>256</v>
      </c>
      <c r="B4" s="25" t="s">
        <v>330</v>
      </c>
      <c r="C4" s="25" t="s">
        <v>137</v>
      </c>
      <c r="D4" s="25" t="s">
        <v>331</v>
      </c>
      <c r="E4" s="25" t="s">
        <v>332</v>
      </c>
    </row>
    <row r="5" spans="1:5">
      <c r="A5" s="2" t="s">
        <v>29</v>
      </c>
      <c r="B5" s="38" t="s">
        <v>333</v>
      </c>
      <c r="C5" s="39">
        <v>407.04998779296875</v>
      </c>
      <c r="D5" s="40" t="s">
        <v>334</v>
      </c>
      <c r="E5" s="2"/>
    </row>
    <row r="6" spans="1:5">
      <c r="A6" s="2" t="s">
        <v>30</v>
      </c>
      <c r="B6" s="38" t="s">
        <v>335</v>
      </c>
      <c r="C6" s="39">
        <v>437.375</v>
      </c>
      <c r="D6" s="40" t="s">
        <v>334</v>
      </c>
      <c r="E6" s="2"/>
    </row>
    <row r="7" spans="1:5">
      <c r="A7" s="2" t="s">
        <v>31</v>
      </c>
      <c r="B7" s="38" t="s">
        <v>336</v>
      </c>
      <c r="C7" s="39">
        <v>484.29998779296875</v>
      </c>
      <c r="D7" s="40" t="s">
        <v>334</v>
      </c>
      <c r="E7" s="2"/>
    </row>
    <row r="8" spans="1:5">
      <c r="A8" s="2" t="s">
        <v>32</v>
      </c>
      <c r="B8" s="38" t="s">
        <v>337</v>
      </c>
      <c r="C8" s="39">
        <v>541.45001220703125</v>
      </c>
      <c r="D8" s="40" t="s">
        <v>334</v>
      </c>
      <c r="E8" s="2"/>
    </row>
    <row r="9" spans="1:5">
      <c r="A9" s="2" t="s">
        <v>33</v>
      </c>
      <c r="B9" s="38" t="s">
        <v>338</v>
      </c>
      <c r="C9" s="39">
        <v>436.39999389648438</v>
      </c>
      <c r="D9" s="40" t="s">
        <v>334</v>
      </c>
      <c r="E9" s="2"/>
    </row>
    <row r="10" spans="1:5">
      <c r="A10" s="2" t="s">
        <v>34</v>
      </c>
      <c r="B10" s="38" t="s">
        <v>339</v>
      </c>
      <c r="C10" s="39">
        <v>982.6500244140625</v>
      </c>
      <c r="D10" s="40" t="s">
        <v>334</v>
      </c>
      <c r="E10" s="2"/>
    </row>
    <row r="11" spans="1:5">
      <c r="A11" s="2" t="s">
        <v>35</v>
      </c>
      <c r="B11" s="38" t="s">
        <v>340</v>
      </c>
      <c r="C11" s="39">
        <v>1163.75</v>
      </c>
      <c r="D11" s="40" t="s">
        <v>334</v>
      </c>
      <c r="E11" s="2"/>
    </row>
    <row r="12" spans="1:5">
      <c r="A12" s="2" t="s">
        <v>36</v>
      </c>
      <c r="B12" s="38" t="s">
        <v>341</v>
      </c>
      <c r="C12" s="39">
        <v>1085.25</v>
      </c>
      <c r="D12" s="40" t="s">
        <v>334</v>
      </c>
      <c r="E12" s="2"/>
    </row>
    <row r="13" spans="1:5">
      <c r="A13" s="2" t="s">
        <v>37</v>
      </c>
      <c r="B13" s="38" t="s">
        <v>342</v>
      </c>
      <c r="C13" s="39">
        <v>1543.550048828125</v>
      </c>
      <c r="D13" s="40" t="s">
        <v>334</v>
      </c>
      <c r="E13" s="2"/>
    </row>
    <row r="14" spans="1:5">
      <c r="A14" s="2" t="s">
        <v>38</v>
      </c>
      <c r="B14" s="38" t="s">
        <v>343</v>
      </c>
      <c r="C14" s="39">
        <v>1592.5</v>
      </c>
      <c r="D14" s="40" t="s">
        <v>334</v>
      </c>
      <c r="E14" s="2"/>
    </row>
    <row r="15" spans="1:5">
      <c r="A15" s="2" t="s">
        <v>39</v>
      </c>
      <c r="B15" s="38" t="s">
        <v>344</v>
      </c>
      <c r="C15" s="39">
        <v>1341.5999755859375</v>
      </c>
      <c r="D15" s="40" t="s">
        <v>334</v>
      </c>
      <c r="E15" s="40">
        <v>60</v>
      </c>
    </row>
    <row r="16" spans="1:5">
      <c r="A16" s="2" t="s">
        <v>40</v>
      </c>
      <c r="B16" s="2" t="s">
        <v>512</v>
      </c>
      <c r="C16" s="42">
        <f>E34</f>
        <v>1475.7599731445314</v>
      </c>
      <c r="D16" s="40" t="s">
        <v>513</v>
      </c>
      <c r="E16" s="2">
        <f>'Annual P&amp;L'!M29*Assumptions!M22</f>
        <v>28.084102845373501</v>
      </c>
    </row>
    <row r="17" spans="1:6">
      <c r="A17" s="2" t="s">
        <v>41</v>
      </c>
      <c r="B17" s="2" t="s">
        <v>514</v>
      </c>
      <c r="C17" s="42">
        <f>'Annual P&amp;L'!N29*$E$41</f>
        <v>1471.8198013673682</v>
      </c>
      <c r="D17" s="40" t="s">
        <v>513</v>
      </c>
      <c r="E17" s="2">
        <f>'Annual P&amp;L'!N29*Assumptions!N22</f>
        <v>29.341357222762724</v>
      </c>
      <c r="F17" s="128">
        <f>C16/C15-1</f>
        <v>0.10000000000000009</v>
      </c>
    </row>
    <row r="18" spans="1:6">
      <c r="A18" s="2" t="s">
        <v>42</v>
      </c>
      <c r="B18" s="2" t="s">
        <v>515</v>
      </c>
      <c r="C18" s="42">
        <f>'Annual P&amp;L'!O29*$E$42</f>
        <v>1346.3550981505614</v>
      </c>
      <c r="D18" s="40" t="s">
        <v>513</v>
      </c>
      <c r="E18" s="2">
        <f>'Annual P&amp;L'!O29*Assumptions!O22</f>
        <v>27.836916447106681</v>
      </c>
    </row>
    <row r="19" spans="1:6">
      <c r="A19" s="2" t="s">
        <v>43</v>
      </c>
      <c r="B19" s="2" t="s">
        <v>516</v>
      </c>
      <c r="C19" s="42">
        <f>'Annual P&amp;L'!P29*$E$43</f>
        <v>1221.2182489378224</v>
      </c>
      <c r="D19" s="40" t="s">
        <v>513</v>
      </c>
      <c r="E19" s="2">
        <f>'Annual P&amp;L'!P29*Assumptions!P22</f>
        <v>26.223466526253457</v>
      </c>
    </row>
    <row r="20" spans="1:6">
      <c r="A20" s="2"/>
      <c r="B20" s="2"/>
      <c r="C20" s="2"/>
      <c r="D20" s="2"/>
      <c r="E20" s="2"/>
    </row>
    <row r="21" spans="1:6">
      <c r="A21" s="2"/>
      <c r="B21" s="2"/>
      <c r="C21" s="2"/>
      <c r="D21" s="2"/>
      <c r="E21" s="2"/>
    </row>
    <row r="22" spans="1:6">
      <c r="A22" s="2" t="s">
        <v>517</v>
      </c>
      <c r="B22" s="2" t="s">
        <v>518</v>
      </c>
      <c r="C22" s="2" t="s">
        <v>519</v>
      </c>
      <c r="D22" s="2" t="s">
        <v>520</v>
      </c>
      <c r="E22" s="41">
        <f>Assumptions!M22</f>
        <v>0.45</v>
      </c>
    </row>
    <row r="23" spans="1:6">
      <c r="A23" s="2"/>
      <c r="B23" s="2"/>
      <c r="C23" s="2"/>
      <c r="D23" s="2"/>
      <c r="E23" s="2"/>
    </row>
    <row r="24" spans="1:6">
      <c r="A24" s="2" t="s">
        <v>345</v>
      </c>
      <c r="B24" s="2" t="s">
        <v>346</v>
      </c>
      <c r="C24" s="2" t="s">
        <v>347</v>
      </c>
      <c r="D24" s="2" t="s">
        <v>348</v>
      </c>
      <c r="E24" s="2" t="s">
        <v>349</v>
      </c>
    </row>
    <row r="25" spans="1:6">
      <c r="A25" s="2" t="s">
        <v>345</v>
      </c>
      <c r="B25" s="2" t="s">
        <v>350</v>
      </c>
      <c r="C25" s="2" t="s">
        <v>351</v>
      </c>
      <c r="D25" s="2" t="s">
        <v>334</v>
      </c>
      <c r="E25" s="2" t="s">
        <v>352</v>
      </c>
    </row>
    <row r="26" spans="1:6">
      <c r="A26" s="2" t="s">
        <v>521</v>
      </c>
      <c r="B26" s="2" t="s">
        <v>7</v>
      </c>
      <c r="C26" s="2" t="s">
        <v>522</v>
      </c>
      <c r="D26" s="2" t="s">
        <v>523</v>
      </c>
      <c r="E26" s="2" t="s">
        <v>524</v>
      </c>
    </row>
    <row r="27" spans="1:6">
      <c r="A27" s="2"/>
      <c r="B27" s="2"/>
      <c r="C27" s="2"/>
      <c r="D27" s="2"/>
      <c r="E27" s="2"/>
    </row>
    <row r="28" spans="1:6">
      <c r="A28" s="106" t="s">
        <v>525</v>
      </c>
      <c r="B28" s="106"/>
      <c r="C28" s="106"/>
      <c r="D28" s="106"/>
      <c r="E28" s="106"/>
    </row>
    <row r="29" spans="1:6">
      <c r="A29" s="2" t="s">
        <v>375</v>
      </c>
      <c r="B29" s="2" t="s">
        <v>526</v>
      </c>
      <c r="C29" s="2" t="s">
        <v>344</v>
      </c>
      <c r="D29" s="2" t="s">
        <v>352</v>
      </c>
      <c r="E29" s="39">
        <f>$C$15</f>
        <v>1341.5999755859375</v>
      </c>
    </row>
    <row r="30" spans="1:6">
      <c r="A30" s="2" t="s">
        <v>527</v>
      </c>
      <c r="B30" s="2" t="s">
        <v>528</v>
      </c>
      <c r="C30" s="2" t="s">
        <v>529</v>
      </c>
      <c r="D30" s="2" t="s">
        <v>519</v>
      </c>
      <c r="E30" s="44">
        <v>0.1</v>
      </c>
    </row>
    <row r="31" spans="1:6">
      <c r="A31" s="2" t="s">
        <v>530</v>
      </c>
      <c r="B31" s="2" t="s">
        <v>528</v>
      </c>
      <c r="C31" s="2" t="s">
        <v>531</v>
      </c>
      <c r="D31" s="2" t="s">
        <v>519</v>
      </c>
      <c r="E31" s="44">
        <v>0.15</v>
      </c>
    </row>
    <row r="32" spans="1:6">
      <c r="A32" s="2" t="s">
        <v>532</v>
      </c>
      <c r="B32" s="2" t="s">
        <v>533</v>
      </c>
      <c r="C32" s="2" t="s">
        <v>524</v>
      </c>
      <c r="D32" s="2" t="s">
        <v>534</v>
      </c>
      <c r="E32" s="45">
        <f>MEDIAN('Fin Summary'!Y40:AC40)</f>
        <v>23.381142400324496</v>
      </c>
    </row>
    <row r="33" spans="1:5">
      <c r="A33" s="2" t="s">
        <v>378</v>
      </c>
      <c r="B33" s="2" t="s">
        <v>535</v>
      </c>
      <c r="C33" s="2" t="s">
        <v>524</v>
      </c>
      <c r="D33" s="2" t="s">
        <v>536</v>
      </c>
      <c r="E33" s="39">
        <f>'Annual P&amp;L'!M29*E32</f>
        <v>1459.196461806747</v>
      </c>
    </row>
    <row r="34" spans="1:5">
      <c r="A34" s="2" t="s">
        <v>380</v>
      </c>
      <c r="B34" s="2" t="s">
        <v>537</v>
      </c>
      <c r="C34" s="2" t="s">
        <v>524</v>
      </c>
      <c r="D34" s="2" t="s">
        <v>538</v>
      </c>
      <c r="E34" s="39">
        <f>MIN(MAX(E33,E29*(1+E30)),E29*(1+E31))</f>
        <v>1475.7599731445314</v>
      </c>
    </row>
    <row r="35" spans="1:5">
      <c r="A35" t="s">
        <v>539</v>
      </c>
      <c r="B35" t="s">
        <v>540</v>
      </c>
      <c r="C35" t="s">
        <v>524</v>
      </c>
      <c r="D35" t="s">
        <v>538</v>
      </c>
      <c r="E35" s="46">
        <f>E34/E29-1</f>
        <v>0.10000000000000009</v>
      </c>
    </row>
    <row r="36" spans="1:5">
      <c r="A36" t="s">
        <v>541</v>
      </c>
      <c r="B36" t="s">
        <v>542</v>
      </c>
      <c r="C36" t="s">
        <v>524</v>
      </c>
      <c r="D36" t="s">
        <v>543</v>
      </c>
      <c r="E36" s="47">
        <f>E34/'Annual P&amp;L'!M29</f>
        <v>23.64654450852219</v>
      </c>
    </row>
    <row r="37" spans="1:5">
      <c r="A37" t="s">
        <v>544</v>
      </c>
      <c r="B37" t="s">
        <v>545</v>
      </c>
      <c r="C37" t="s">
        <v>524</v>
      </c>
      <c r="D37" t="s">
        <v>543</v>
      </c>
      <c r="E37" s="47">
        <f>IFERROR(($E$34*'Annual P&amp;L'!M27+'Annual Balance Sheet'!M14-'Annual Balance Sheet'!M5)/'Annual P&amp;L'!M14,0)</f>
        <v>14.0499172137068</v>
      </c>
    </row>
    <row r="38" spans="1:5">
      <c r="A38" t="s">
        <v>546</v>
      </c>
      <c r="B38" t="s">
        <v>547</v>
      </c>
      <c r="C38" t="s">
        <v>524</v>
      </c>
      <c r="D38" t="s">
        <v>543</v>
      </c>
      <c r="E38" s="47">
        <f>IFERROR(($E$34*'Annual P&amp;L'!M27)/'Annual Balance Sheet'!M19,0)</f>
        <v>10.225899305956446</v>
      </c>
    </row>
    <row r="40" spans="1:5">
      <c r="A40" t="s">
        <v>541</v>
      </c>
      <c r="B40" t="s">
        <v>548</v>
      </c>
      <c r="C40" t="s">
        <v>549</v>
      </c>
      <c r="D40" t="s">
        <v>524</v>
      </c>
      <c r="E40" s="43">
        <f>$E$32</f>
        <v>23.381142400324496</v>
      </c>
    </row>
    <row r="41" spans="1:5">
      <c r="A41" t="s">
        <v>550</v>
      </c>
      <c r="B41" t="s">
        <v>551</v>
      </c>
      <c r="C41" t="s">
        <v>549</v>
      </c>
      <c r="D41" t="s">
        <v>524</v>
      </c>
      <c r="E41" s="43">
        <f>$E$40-($E$40-'Fin Summary'!AC40)/3</f>
        <v>22.572879147577247</v>
      </c>
    </row>
    <row r="42" spans="1:5">
      <c r="A42" t="s">
        <v>552</v>
      </c>
      <c r="B42" t="s">
        <v>553</v>
      </c>
      <c r="C42" t="s">
        <v>549</v>
      </c>
      <c r="D42" t="s">
        <v>524</v>
      </c>
      <c r="E42" s="43">
        <f>$E$40-2*($E$40-'Fin Summary'!AC40)/3</f>
        <v>21.764615894829998</v>
      </c>
    </row>
    <row r="43" spans="1:5">
      <c r="A43" t="s">
        <v>554</v>
      </c>
      <c r="B43" t="s">
        <v>555</v>
      </c>
      <c r="C43" t="s">
        <v>549</v>
      </c>
      <c r="D43" t="s">
        <v>524</v>
      </c>
      <c r="E43" s="43">
        <f>'Fin Summary'!AC40</f>
        <v>20.956352642082749</v>
      </c>
    </row>
  </sheetData>
  <mergeCells count="3">
    <mergeCell ref="A1:E1"/>
    <mergeCell ref="A2:E2"/>
    <mergeCell ref="A28:E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4"/>
  <sheetViews>
    <sheetView showGridLines="0" topLeftCell="A15" workbookViewId="0">
      <selection activeCell="B22" sqref="B22:P22"/>
    </sheetView>
  </sheetViews>
  <sheetFormatPr defaultRowHeight="13.8"/>
  <cols>
    <col min="1" max="1" width="44" customWidth="1"/>
  </cols>
  <sheetData>
    <row r="1" spans="1:16" ht="17.399999999999999">
      <c r="A1" s="116" t="s">
        <v>556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</row>
    <row r="2" spans="1:16">
      <c r="A2" s="117" t="s">
        <v>557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</row>
    <row r="4" spans="1:16">
      <c r="A4" s="76" t="s">
        <v>80</v>
      </c>
      <c r="B4" s="76" t="s">
        <v>29</v>
      </c>
      <c r="C4" s="76" t="s">
        <v>30</v>
      </c>
      <c r="D4" s="76" t="s">
        <v>31</v>
      </c>
      <c r="E4" s="76" t="s">
        <v>32</v>
      </c>
      <c r="F4" s="76" t="s">
        <v>33</v>
      </c>
      <c r="G4" s="76" t="s">
        <v>34</v>
      </c>
      <c r="H4" s="76" t="s">
        <v>35</v>
      </c>
      <c r="I4" s="76" t="s">
        <v>36</v>
      </c>
      <c r="J4" s="76" t="s">
        <v>37</v>
      </c>
      <c r="K4" s="76" t="s">
        <v>38</v>
      </c>
      <c r="L4" s="76" t="s">
        <v>39</v>
      </c>
      <c r="M4" s="94" t="s">
        <v>40</v>
      </c>
      <c r="N4" s="94" t="s">
        <v>41</v>
      </c>
      <c r="O4" s="94" t="s">
        <v>42</v>
      </c>
      <c r="P4" s="94" t="s">
        <v>43</v>
      </c>
    </row>
    <row r="5" spans="1:16">
      <c r="A5" s="76" t="s">
        <v>558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94"/>
      <c r="N5" s="94"/>
      <c r="O5" s="94"/>
      <c r="P5" s="94"/>
    </row>
    <row r="6" spans="1:16">
      <c r="A6" t="s">
        <v>559</v>
      </c>
      <c r="B6" s="22">
        <f>'Annual P&amp;L'!B5</f>
        <v>31136</v>
      </c>
      <c r="C6" s="22">
        <f>'Annual P&amp;L'!C5</f>
        <v>46722</v>
      </c>
      <c r="D6" s="22">
        <f>'Annual P&amp;L'!D5</f>
        <v>50570</v>
      </c>
      <c r="E6" s="22">
        <f>'Annual P&amp;L'!E5</f>
        <v>60428</v>
      </c>
      <c r="F6" s="22">
        <f>'Annual P&amp;L'!F5</f>
        <v>70678</v>
      </c>
      <c r="G6" s="22">
        <f>'Annual P&amp;L'!G5</f>
        <v>75379</v>
      </c>
      <c r="H6" s="22">
        <f>'Annual P&amp;L'!H5</f>
        <v>85651</v>
      </c>
      <c r="I6" s="22">
        <f>'Annual P&amp;L'!I5</f>
        <v>101456</v>
      </c>
      <c r="J6" s="22">
        <f>'Annual P&amp;L'!J5</f>
        <v>109913</v>
      </c>
      <c r="K6" s="22">
        <f>'Annual P&amp;L'!K5</f>
        <v>117055</v>
      </c>
      <c r="L6" s="22">
        <f>'Annual P&amp;L'!L5</f>
        <v>130144</v>
      </c>
      <c r="M6" s="95">
        <f>'Annual P&amp;L'!M5</f>
        <v>135794.61590945488</v>
      </c>
      <c r="N6" s="95">
        <f>'Annual P&amp;L'!N5</f>
        <v>141613.88886877202</v>
      </c>
      <c r="O6" s="95">
        <f>'Annual P&amp;L'!O5</f>
        <v>148612.25889514459</v>
      </c>
      <c r="P6" s="95">
        <f>'Annual P&amp;L'!P5</f>
        <v>156486.22643459847</v>
      </c>
    </row>
    <row r="7" spans="1:16">
      <c r="A7" t="s">
        <v>468</v>
      </c>
      <c r="B7" s="22">
        <f>-'Annual Cash Flow'!B15</f>
        <v>2164.2746221315501</v>
      </c>
      <c r="C7" s="22">
        <f>-'Annual Cash Flow'!C15</f>
        <v>6197.7</v>
      </c>
      <c r="D7" s="22">
        <f>-'Annual Cash Flow'!D15</f>
        <v>4936.2</v>
      </c>
      <c r="E7" s="22">
        <f>-'Annual Cash Flow'!E15</f>
        <v>6053.6</v>
      </c>
      <c r="F7" s="22">
        <f>-'Annual Cash Flow'!F15</f>
        <v>17633</v>
      </c>
      <c r="G7" s="22">
        <f>-'Annual Cash Flow'!G15</f>
        <v>3483</v>
      </c>
      <c r="H7" s="22">
        <f>-'Annual Cash Flow'!H15</f>
        <v>1600</v>
      </c>
      <c r="I7" s="22">
        <f>-'Annual Cash Flow'!I15</f>
        <v>3597</v>
      </c>
      <c r="J7" s="22">
        <f>-'Annual Cash Flow'!J15</f>
        <v>4685</v>
      </c>
      <c r="K7" s="22">
        <f>-'Annual Cash Flow'!K15</f>
        <v>5144</v>
      </c>
      <c r="L7" s="22">
        <f>-'Annual Cash Flow'!L15</f>
        <v>5563</v>
      </c>
      <c r="M7" s="95">
        <f>-'Annual Cash Flow'!M15</f>
        <v>2444.3030863701874</v>
      </c>
      <c r="N7" s="95">
        <f>-'Annual Cash Flow'!N15</f>
        <v>2549.0499996378962</v>
      </c>
      <c r="O7" s="95">
        <f>-'Annual Cash Flow'!O15</f>
        <v>2675.0206601126024</v>
      </c>
      <c r="P7" s="95">
        <f>-'Annual Cash Flow'!P15</f>
        <v>2816.7520758227724</v>
      </c>
    </row>
    <row r="8" spans="1:16">
      <c r="A8" t="s">
        <v>469</v>
      </c>
      <c r="B8" s="22">
        <f>-'Annual Cash Flow'!B16</f>
        <v>0</v>
      </c>
      <c r="C8" s="22">
        <f>-'Annual Cash Flow'!C16</f>
        <v>0</v>
      </c>
      <c r="D8" s="22">
        <f>-'Annual Cash Flow'!D16</f>
        <v>0</v>
      </c>
      <c r="E8" s="22">
        <f>-'Annual Cash Flow'!E16</f>
        <v>0</v>
      </c>
      <c r="F8" s="22">
        <f>-'Annual Cash Flow'!F16</f>
        <v>0</v>
      </c>
      <c r="G8" s="22">
        <f>-'Annual Cash Flow'!G16</f>
        <v>0</v>
      </c>
      <c r="H8" s="22">
        <f>-'Annual Cash Flow'!H16</f>
        <v>0</v>
      </c>
      <c r="I8" s="22">
        <f>-'Annual Cash Flow'!I16</f>
        <v>0</v>
      </c>
      <c r="J8" s="22">
        <f>-'Annual Cash Flow'!J16</f>
        <v>0</v>
      </c>
      <c r="K8" s="22">
        <f>-'Annual Cash Flow'!K16</f>
        <v>0</v>
      </c>
      <c r="L8" s="22">
        <f>-'Annual Cash Flow'!L16</f>
        <v>0</v>
      </c>
      <c r="M8" s="95">
        <f>-'Annual Cash Flow'!M16</f>
        <v>1357.9461590945489</v>
      </c>
      <c r="N8" s="95">
        <f>-'Annual Cash Flow'!N16</f>
        <v>1416.1388886877203</v>
      </c>
      <c r="O8" s="95">
        <f>-'Annual Cash Flow'!O16</f>
        <v>1486.122588951446</v>
      </c>
      <c r="P8" s="95">
        <f>-'Annual Cash Flow'!P16</f>
        <v>1564.8622643459848</v>
      </c>
    </row>
    <row r="9" spans="1:16">
      <c r="A9" t="s">
        <v>470</v>
      </c>
      <c r="B9" s="22">
        <f>-'Annual Cash Flow'!B17</f>
        <v>0</v>
      </c>
      <c r="C9" s="22">
        <f>-'Annual Cash Flow'!C17</f>
        <v>0</v>
      </c>
      <c r="D9" s="22">
        <f>-'Annual Cash Flow'!D17</f>
        <v>0</v>
      </c>
      <c r="E9" s="22">
        <f>-'Annual Cash Flow'!E17</f>
        <v>0</v>
      </c>
      <c r="F9" s="22">
        <f>-'Annual Cash Flow'!F17</f>
        <v>0</v>
      </c>
      <c r="G9" s="22">
        <f>-'Annual Cash Flow'!G17</f>
        <v>0</v>
      </c>
      <c r="H9" s="22">
        <f>-'Annual Cash Flow'!H17</f>
        <v>0</v>
      </c>
      <c r="I9" s="22">
        <f>-'Annual Cash Flow'!I17</f>
        <v>0</v>
      </c>
      <c r="J9" s="22">
        <f>-'Annual Cash Flow'!J17</f>
        <v>0</v>
      </c>
      <c r="K9" s="22">
        <f>-'Annual Cash Flow'!K17</f>
        <v>0</v>
      </c>
      <c r="L9" s="22">
        <f>-'Annual Cash Flow'!L17</f>
        <v>0</v>
      </c>
      <c r="M9" s="95">
        <f>-'Annual Cash Flow'!M17</f>
        <v>950.56231136618419</v>
      </c>
      <c r="N9" s="95">
        <f>-'Annual Cash Flow'!N17</f>
        <v>991.29722208140413</v>
      </c>
      <c r="O9" s="95">
        <f>-'Annual Cash Flow'!O17</f>
        <v>1040.2858122660123</v>
      </c>
      <c r="P9" s="95">
        <f>-'Annual Cash Flow'!P17</f>
        <v>1095.4035850421894</v>
      </c>
    </row>
    <row r="10" spans="1:16">
      <c r="A10" t="s">
        <v>471</v>
      </c>
      <c r="B10" s="22">
        <f>-'Annual Cash Flow'!B18</f>
        <v>2164.2746221315501</v>
      </c>
      <c r="C10" s="22">
        <f>-'Annual Cash Flow'!C18</f>
        <v>6197.7</v>
      </c>
      <c r="D10" s="22">
        <f>-'Annual Cash Flow'!D18</f>
        <v>4936.2</v>
      </c>
      <c r="E10" s="22">
        <f>-'Annual Cash Flow'!E18</f>
        <v>6053.6</v>
      </c>
      <c r="F10" s="22">
        <f>-'Annual Cash Flow'!F18</f>
        <v>17633</v>
      </c>
      <c r="G10" s="22">
        <f>-'Annual Cash Flow'!G18</f>
        <v>3483</v>
      </c>
      <c r="H10" s="22">
        <f>-'Annual Cash Flow'!H18</f>
        <v>1600</v>
      </c>
      <c r="I10" s="22">
        <f>-'Annual Cash Flow'!I18</f>
        <v>3597</v>
      </c>
      <c r="J10" s="22">
        <f>-'Annual Cash Flow'!J18</f>
        <v>4685</v>
      </c>
      <c r="K10" s="22">
        <f>-'Annual Cash Flow'!K18</f>
        <v>5144</v>
      </c>
      <c r="L10" s="22">
        <f>-'Annual Cash Flow'!L18</f>
        <v>5563</v>
      </c>
      <c r="M10" s="95">
        <f>-'Annual Cash Flow'!M18</f>
        <v>4752.8115568309204</v>
      </c>
      <c r="N10" s="95">
        <f>-'Annual Cash Flow'!N18</f>
        <v>4956.4861104070205</v>
      </c>
      <c r="O10" s="95">
        <f>-'Annual Cash Flow'!O18</f>
        <v>5201.42906133006</v>
      </c>
      <c r="P10" s="95">
        <f>-'Annual Cash Flow'!P18</f>
        <v>5477.0179252109465</v>
      </c>
    </row>
    <row r="11" spans="1:16">
      <c r="A11" t="s">
        <v>60</v>
      </c>
      <c r="B11" s="5">
        <f t="shared" ref="B11:P11" si="0">IFERROR(B10/B6,0)</f>
        <v>6.9510361707719362E-2</v>
      </c>
      <c r="C11" s="5">
        <f t="shared" si="0"/>
        <v>0.1326505714652626</v>
      </c>
      <c r="D11" s="5">
        <f t="shared" si="0"/>
        <v>9.7611231955704966E-2</v>
      </c>
      <c r="E11" s="5">
        <f t="shared" si="0"/>
        <v>0.10017872509432714</v>
      </c>
      <c r="F11" s="5">
        <f t="shared" si="0"/>
        <v>0.24948357338917343</v>
      </c>
      <c r="G11" s="5">
        <f t="shared" si="0"/>
        <v>4.6206503137478608E-2</v>
      </c>
      <c r="H11" s="5">
        <f t="shared" si="0"/>
        <v>1.8680459072281701E-2</v>
      </c>
      <c r="I11" s="5">
        <f t="shared" si="0"/>
        <v>3.5453792777164483E-2</v>
      </c>
      <c r="J11" s="5">
        <f t="shared" si="0"/>
        <v>4.2624621291385008E-2</v>
      </c>
      <c r="K11" s="5">
        <f t="shared" si="0"/>
        <v>4.3945153987441803E-2</v>
      </c>
      <c r="L11" s="5">
        <f t="shared" si="0"/>
        <v>4.2744959429554953E-2</v>
      </c>
      <c r="M11" s="97">
        <f t="shared" si="0"/>
        <v>3.4999999999999996E-2</v>
      </c>
      <c r="N11" s="97">
        <f t="shared" si="0"/>
        <v>3.4999999999999996E-2</v>
      </c>
      <c r="O11" s="97">
        <f t="shared" si="0"/>
        <v>3.4999999999999996E-2</v>
      </c>
      <c r="P11" s="97">
        <f t="shared" si="0"/>
        <v>3.4999999999999996E-2</v>
      </c>
    </row>
    <row r="12" spans="1:16">
      <c r="A12" t="s">
        <v>123</v>
      </c>
      <c r="B12" s="22">
        <f>'Annual P&amp;L'!B16</f>
        <v>445.37462213155032</v>
      </c>
      <c r="C12" s="22">
        <f>'Annual P&amp;L'!C16</f>
        <v>834</v>
      </c>
      <c r="D12" s="22">
        <f>'Annual P&amp;L'!D16</f>
        <v>1452</v>
      </c>
      <c r="E12" s="22">
        <f>'Annual P&amp;L'!E16</f>
        <v>2148</v>
      </c>
      <c r="F12" s="22">
        <f>'Annual P&amp;L'!F16</f>
        <v>2840</v>
      </c>
      <c r="G12" s="22">
        <f>'Annual P&amp;L'!G16</f>
        <v>3985</v>
      </c>
      <c r="H12" s="22">
        <f>'Annual P&amp;L'!H16</f>
        <v>4181</v>
      </c>
      <c r="I12" s="22">
        <f>'Annual P&amp;L'!I16</f>
        <v>4144</v>
      </c>
      <c r="J12" s="22">
        <f>'Annual P&amp;L'!J16</f>
        <v>4173</v>
      </c>
      <c r="K12" s="22">
        <f>'Annual P&amp;L'!K16</f>
        <v>4084</v>
      </c>
      <c r="L12" s="22">
        <f>'Annual P&amp;L'!L16</f>
        <v>4355</v>
      </c>
      <c r="M12" s="95">
        <f>'Annual P&amp;L'!M16</f>
        <v>4752.8115568309213</v>
      </c>
      <c r="N12" s="95">
        <f>'Annual P&amp;L'!N16</f>
        <v>4956.4861104070214</v>
      </c>
      <c r="O12" s="95">
        <f>'Annual P&amp;L'!O16</f>
        <v>5201.4290613300609</v>
      </c>
      <c r="P12" s="95">
        <f>'Annual P&amp;L'!P16</f>
        <v>5477.0179252109474</v>
      </c>
    </row>
    <row r="13" spans="1:16">
      <c r="A13" t="s">
        <v>560</v>
      </c>
      <c r="B13" s="5">
        <f t="shared" ref="B13:P13" si="1">IFERROR(B12/B10,0)</f>
        <v>0.20578470845484012</v>
      </c>
      <c r="C13" s="5">
        <f t="shared" si="1"/>
        <v>0.1345660486954838</v>
      </c>
      <c r="D13" s="5">
        <f t="shared" si="1"/>
        <v>0.29415339735018842</v>
      </c>
      <c r="E13" s="5">
        <f t="shared" si="1"/>
        <v>0.35483018369234831</v>
      </c>
      <c r="F13" s="5">
        <f t="shared" si="1"/>
        <v>0.16106164577780299</v>
      </c>
      <c r="G13" s="5">
        <f t="shared" si="1"/>
        <v>1.1441286247487799</v>
      </c>
      <c r="H13" s="5">
        <f t="shared" si="1"/>
        <v>2.6131250000000001</v>
      </c>
      <c r="I13" s="5">
        <f t="shared" si="1"/>
        <v>1.1520711704197943</v>
      </c>
      <c r="J13" s="5">
        <f t="shared" si="1"/>
        <v>0.89071504802561363</v>
      </c>
      <c r="K13" s="5">
        <f t="shared" si="1"/>
        <v>0.79393468118195953</v>
      </c>
      <c r="L13" s="5">
        <f t="shared" si="1"/>
        <v>0.78285097968721917</v>
      </c>
      <c r="M13" s="97">
        <f t="shared" si="1"/>
        <v>1.0000000000000002</v>
      </c>
      <c r="N13" s="97">
        <f t="shared" si="1"/>
        <v>1.0000000000000002</v>
      </c>
      <c r="O13" s="97">
        <f t="shared" si="1"/>
        <v>1.0000000000000002</v>
      </c>
      <c r="P13" s="97">
        <f t="shared" si="1"/>
        <v>1.0000000000000002</v>
      </c>
    </row>
    <row r="14" spans="1:16">
      <c r="A14" t="s">
        <v>83</v>
      </c>
      <c r="B14" s="22">
        <f>'Annual Balance Sheet'!B9</f>
        <v>4323.1000000000004</v>
      </c>
      <c r="C14" s="22">
        <f>'Annual Balance Sheet'!C9</f>
        <v>4680.6000000000004</v>
      </c>
      <c r="D14" s="22">
        <f>'Annual Balance Sheet'!D9</f>
        <v>5184.7</v>
      </c>
      <c r="E14" s="22">
        <f>'Annual Balance Sheet'!E9</f>
        <v>5801</v>
      </c>
      <c r="F14" s="22">
        <f>'Annual Balance Sheet'!F9</f>
        <v>8868</v>
      </c>
      <c r="G14" s="22">
        <f>'Annual Balance Sheet'!G9</f>
        <v>8637</v>
      </c>
      <c r="H14" s="22">
        <f>'Annual Balance Sheet'!H9</f>
        <v>8046</v>
      </c>
      <c r="I14" s="22">
        <f>'Annual Balance Sheet'!I9</f>
        <v>7748</v>
      </c>
      <c r="J14" s="22">
        <f>'Annual Balance Sheet'!J9</f>
        <v>7909</v>
      </c>
      <c r="K14" s="22">
        <f>'Annual Balance Sheet'!K9</f>
        <v>7576</v>
      </c>
      <c r="L14" s="22">
        <f>'Annual Balance Sheet'!L9</f>
        <v>8309</v>
      </c>
      <c r="M14" s="95">
        <f>'Annual Balance Sheet'!M9</f>
        <v>8309</v>
      </c>
      <c r="N14" s="95">
        <f>'Annual Balance Sheet'!N9</f>
        <v>8309</v>
      </c>
      <c r="O14" s="95">
        <f>'Annual Balance Sheet'!O9</f>
        <v>8309</v>
      </c>
      <c r="P14" s="95">
        <f>'Annual Balance Sheet'!P9</f>
        <v>8309</v>
      </c>
    </row>
    <row r="15" spans="1:16">
      <c r="A15" t="s">
        <v>561</v>
      </c>
      <c r="B15" s="22">
        <f>IFERROR(B6/AVERAGE(B14,B14),0)</f>
        <v>7.2022391339548006</v>
      </c>
      <c r="C15" s="22">
        <f t="shared" ref="C15:P15" si="2">IFERROR(C6/AVERAGE(B14,C14),0)</f>
        <v>10.378399991114764</v>
      </c>
      <c r="D15" s="22">
        <f t="shared" si="2"/>
        <v>10.252095729476043</v>
      </c>
      <c r="E15" s="22">
        <f t="shared" si="2"/>
        <v>11.001210664773296</v>
      </c>
      <c r="F15" s="22">
        <f t="shared" si="2"/>
        <v>9.6363760310859643</v>
      </c>
      <c r="G15" s="22">
        <f t="shared" si="2"/>
        <v>8.6122822050842611</v>
      </c>
      <c r="H15" s="22">
        <f t="shared" si="2"/>
        <v>10.268057303842234</v>
      </c>
      <c r="I15" s="22">
        <f t="shared" si="2"/>
        <v>12.847410409016081</v>
      </c>
      <c r="J15" s="22">
        <f t="shared" si="2"/>
        <v>14.040109855016926</v>
      </c>
      <c r="K15" s="22">
        <f t="shared" si="2"/>
        <v>15.118501775912174</v>
      </c>
      <c r="L15" s="22">
        <f t="shared" si="2"/>
        <v>16.385772741580109</v>
      </c>
      <c r="M15" s="95">
        <f t="shared" si="2"/>
        <v>16.343075690149824</v>
      </c>
      <c r="N15" s="95">
        <f t="shared" si="2"/>
        <v>17.043433490043569</v>
      </c>
      <c r="O15" s="95">
        <f t="shared" si="2"/>
        <v>17.885697303543697</v>
      </c>
      <c r="P15" s="95">
        <f t="shared" si="2"/>
        <v>18.833340526489167</v>
      </c>
    </row>
    <row r="16" spans="1:16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95"/>
      <c r="N16" s="95"/>
      <c r="O16" s="95"/>
      <c r="P16" s="95"/>
    </row>
    <row r="17" spans="1:16">
      <c r="A17" s="76" t="s">
        <v>562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96"/>
      <c r="N17" s="96"/>
      <c r="O17" s="96"/>
      <c r="P17" s="96"/>
    </row>
    <row r="18" spans="1:16">
      <c r="A18" t="s">
        <v>129</v>
      </c>
      <c r="B18" s="22">
        <f>'Revenue Drivers'!B7</f>
        <v>106107</v>
      </c>
      <c r="C18" s="22">
        <f>'Revenue Drivers'!C7</f>
        <v>117781</v>
      </c>
      <c r="D18" s="22">
        <f>'Revenue Drivers'!D7</f>
        <v>120081</v>
      </c>
      <c r="E18" s="22">
        <f>'Revenue Drivers'!E7</f>
        <v>137965</v>
      </c>
      <c r="F18" s="22">
        <f>'Revenue Drivers'!F7</f>
        <v>150423</v>
      </c>
      <c r="G18" s="22">
        <f>'Revenue Drivers'!G7</f>
        <v>168977</v>
      </c>
      <c r="H18" s="22">
        <f>'Revenue Drivers'!H7</f>
        <v>208877</v>
      </c>
      <c r="I18" s="22">
        <f>'Revenue Drivers'!I7</f>
        <v>225944</v>
      </c>
      <c r="J18" s="22">
        <f>'Revenue Drivers'!J7</f>
        <v>219401</v>
      </c>
      <c r="K18" s="22">
        <f>'Revenue Drivers'!K7</f>
        <v>223420</v>
      </c>
      <c r="L18" s="22">
        <f>'Revenue Drivers'!L7</f>
        <v>226640</v>
      </c>
      <c r="M18" s="95">
        <f>'Revenue Drivers'!M7</f>
        <v>234572.4</v>
      </c>
      <c r="N18" s="95">
        <f>'Revenue Drivers'!N7</f>
        <v>242782.43399999998</v>
      </c>
      <c r="O18" s="95">
        <f>'Revenue Drivers'!O7</f>
        <v>251279.81918999995</v>
      </c>
      <c r="P18" s="95">
        <f>'Revenue Drivers'!P7</f>
        <v>260074.61286164992</v>
      </c>
    </row>
    <row r="19" spans="1:16">
      <c r="A19" t="s">
        <v>131</v>
      </c>
      <c r="B19" s="22">
        <f>'Revenue Drivers'!B9</f>
        <v>82763.460000000006</v>
      </c>
      <c r="C19" s="22">
        <f>'Revenue Drivers'!C9</f>
        <v>91869.180000000008</v>
      </c>
      <c r="D19" s="22">
        <f>'Revenue Drivers'!D9</f>
        <v>94863.99</v>
      </c>
      <c r="E19" s="22">
        <f>'Revenue Drivers'!E9</f>
        <v>108992.35</v>
      </c>
      <c r="F19" s="22">
        <f>'Revenue Drivers'!F9</f>
        <v>120338.40000000001</v>
      </c>
      <c r="G19" s="22">
        <f>'Revenue Drivers'!G9</f>
        <v>135181.6</v>
      </c>
      <c r="H19" s="22">
        <f>'Revenue Drivers'!H9</f>
        <v>169190.37000000002</v>
      </c>
      <c r="I19" s="22">
        <f>'Revenue Drivers'!I9</f>
        <v>183014.64</v>
      </c>
      <c r="J19" s="22">
        <f>'Revenue Drivers'!J9</f>
        <v>179908.81999999998</v>
      </c>
      <c r="K19" s="22">
        <f>'Revenue Drivers'!K9</f>
        <v>183204.4</v>
      </c>
      <c r="L19" s="22">
        <f>'Revenue Drivers'!L9</f>
        <v>185844.8</v>
      </c>
      <c r="M19" s="95">
        <f>'Revenue Drivers'!M9</f>
        <v>193522.22999999998</v>
      </c>
      <c r="N19" s="95">
        <f>'Revenue Drivers'!N9</f>
        <v>199081.59587999998</v>
      </c>
      <c r="O19" s="95">
        <f>'Revenue Drivers'!O9</f>
        <v>206049.45173579996</v>
      </c>
      <c r="P19" s="95">
        <f>'Revenue Drivers'!P9</f>
        <v>213261.18254655291</v>
      </c>
    </row>
    <row r="20" spans="1:16">
      <c r="A20" t="s">
        <v>46</v>
      </c>
      <c r="B20" s="5">
        <f>'Revenue Drivers'!B10</f>
        <v>0.78</v>
      </c>
      <c r="C20" s="5">
        <f>'Revenue Drivers'!C10</f>
        <v>0.78</v>
      </c>
      <c r="D20" s="5">
        <f>'Revenue Drivers'!D10</f>
        <v>0.79</v>
      </c>
      <c r="E20" s="5">
        <f>'Revenue Drivers'!E10</f>
        <v>0.79</v>
      </c>
      <c r="F20" s="5">
        <f>'Revenue Drivers'!F10</f>
        <v>0.8</v>
      </c>
      <c r="G20" s="5">
        <f>'Revenue Drivers'!G10</f>
        <v>0.8</v>
      </c>
      <c r="H20" s="5">
        <f>'Revenue Drivers'!H10</f>
        <v>0.81</v>
      </c>
      <c r="I20" s="5">
        <f>'Revenue Drivers'!I10</f>
        <v>0.81</v>
      </c>
      <c r="J20" s="5">
        <f>'Revenue Drivers'!J10</f>
        <v>0.82</v>
      </c>
      <c r="K20" s="5">
        <f>'Revenue Drivers'!K10</f>
        <v>0.82</v>
      </c>
      <c r="L20" s="5">
        <f>'Revenue Drivers'!L10</f>
        <v>0.82</v>
      </c>
      <c r="M20" s="97">
        <f>'Revenue Drivers'!M10</f>
        <v>0.82499999999999996</v>
      </c>
      <c r="N20" s="97">
        <f>'Revenue Drivers'!N10</f>
        <v>0.82</v>
      </c>
      <c r="O20" s="97">
        <f>'Revenue Drivers'!O10</f>
        <v>0.82</v>
      </c>
      <c r="P20" s="97">
        <f>'Revenue Drivers'!P10</f>
        <v>0.82</v>
      </c>
    </row>
    <row r="21" spans="1:16">
      <c r="A21" t="s">
        <v>45</v>
      </c>
      <c r="B21" s="5">
        <f>'Revenue Drivers'!B13</f>
        <v>0.16</v>
      </c>
      <c r="C21" s="5">
        <f>'Revenue Drivers'!C13</f>
        <v>0.15</v>
      </c>
      <c r="D21" s="5">
        <f>'Revenue Drivers'!D13</f>
        <v>0.16</v>
      </c>
      <c r="E21" s="5">
        <f>'Revenue Drivers'!E13</f>
        <v>0.17</v>
      </c>
      <c r="F21" s="5">
        <f>'Revenue Drivers'!F13</f>
        <v>0.1</v>
      </c>
      <c r="G21" s="5">
        <f>'Revenue Drivers'!G13</f>
        <v>0.1</v>
      </c>
      <c r="H21" s="5">
        <f>'Revenue Drivers'!H13</f>
        <v>0.21</v>
      </c>
      <c r="I21" s="5">
        <f>'Revenue Drivers'!I13</f>
        <v>0.19</v>
      </c>
      <c r="J21" s="5">
        <f>'Revenue Drivers'!J13</f>
        <v>0.13</v>
      </c>
      <c r="K21" s="5">
        <f>'Revenue Drivers'!K13</f>
        <v>0.13</v>
      </c>
      <c r="L21" s="5">
        <f>'Revenue Drivers'!L13</f>
        <v>0.125</v>
      </c>
      <c r="M21" s="97">
        <f>Assumptions!M6</f>
        <v>0.125</v>
      </c>
      <c r="N21" s="97">
        <f>Assumptions!N6</f>
        <v>0.125</v>
      </c>
      <c r="O21" s="97">
        <f>Assumptions!O6</f>
        <v>0.125</v>
      </c>
      <c r="P21" s="97">
        <f>Assumptions!P6</f>
        <v>0.125</v>
      </c>
    </row>
    <row r="22" spans="1:16">
      <c r="A22" t="s">
        <v>563</v>
      </c>
      <c r="B22" s="128">
        <f>'Revenue Drivers'!B11</f>
        <v>0.37620466809869957</v>
      </c>
      <c r="C22" s="128">
        <f>'Revenue Drivers'!C11</f>
        <v>0.51777973853690651</v>
      </c>
      <c r="D22" s="128">
        <f>'Revenue Drivers'!D11</f>
        <v>0.53306844883922755</v>
      </c>
      <c r="E22" s="128">
        <f>'Revenue Drivers'!E11</f>
        <v>0.5544150575705542</v>
      </c>
      <c r="F22" s="128">
        <f>'Revenue Drivers'!F11</f>
        <v>0.5873104511942987</v>
      </c>
      <c r="G22" s="128">
        <f>'Revenue Drivers'!G11</f>
        <v>0.55761287039064489</v>
      </c>
      <c r="H22" s="128">
        <f>'Revenue Drivers'!H11</f>
        <v>0.50624039654266362</v>
      </c>
      <c r="I22" s="128">
        <f>'Revenue Drivers'!I11</f>
        <v>0.55436002278287677</v>
      </c>
      <c r="J22" s="128">
        <f>'Revenue Drivers'!J11</f>
        <v>0.61093725143658895</v>
      </c>
      <c r="K22" s="128">
        <f>'Revenue Drivers'!K11</f>
        <v>0.63893116104198378</v>
      </c>
      <c r="L22" s="128">
        <f>'Revenue Drivers'!L11</f>
        <v>0.70028324709650203</v>
      </c>
      <c r="M22" s="132">
        <f>'Revenue Drivers'!M11</f>
        <v>0.70170034682555538</v>
      </c>
      <c r="N22" s="132">
        <f>'Revenue Drivers'!N11</f>
        <v>0.71133591351222814</v>
      </c>
      <c r="O22" s="132">
        <f>'Revenue Drivers'!O11</f>
        <v>0.72124559246921804</v>
      </c>
      <c r="P22" s="132">
        <f>'Revenue Drivers'!P11</f>
        <v>0.73377735491286133</v>
      </c>
    </row>
    <row r="23" spans="1:16">
      <c r="A23" t="s">
        <v>48</v>
      </c>
      <c r="B23" s="5">
        <f>0</f>
        <v>0</v>
      </c>
      <c r="C23" s="5">
        <f>0</f>
        <v>0</v>
      </c>
      <c r="D23" s="5">
        <f>0</f>
        <v>0</v>
      </c>
      <c r="E23" s="5">
        <f>0</f>
        <v>0</v>
      </c>
      <c r="F23" s="5">
        <f>0</f>
        <v>0</v>
      </c>
      <c r="G23" s="5">
        <f>0</f>
        <v>0</v>
      </c>
      <c r="H23" s="5">
        <f>0</f>
        <v>0</v>
      </c>
      <c r="I23" s="5">
        <f>0</f>
        <v>0</v>
      </c>
      <c r="J23" s="5">
        <f>0</f>
        <v>0</v>
      </c>
      <c r="K23" s="5">
        <f>0</f>
        <v>0</v>
      </c>
      <c r="L23" s="5">
        <f>0</f>
        <v>0</v>
      </c>
      <c r="M23" s="97">
        <f>Assumptions!M9</f>
        <v>0.61450000000000005</v>
      </c>
      <c r="N23" s="97">
        <f>Assumptions!N9</f>
        <v>0.60200000000000009</v>
      </c>
      <c r="O23" s="97">
        <f>Assumptions!O9</f>
        <v>0.60200000000000009</v>
      </c>
      <c r="P23" s="97">
        <f>Assumptions!P9</f>
        <v>0.60200000000000009</v>
      </c>
    </row>
    <row r="24" spans="1:16">
      <c r="A24" t="s">
        <v>49</v>
      </c>
      <c r="B24" s="5">
        <f>0</f>
        <v>0</v>
      </c>
      <c r="C24" s="5">
        <f>0</f>
        <v>0</v>
      </c>
      <c r="D24" s="5">
        <f>0</f>
        <v>0</v>
      </c>
      <c r="E24" s="5">
        <f>0</f>
        <v>0</v>
      </c>
      <c r="F24" s="5">
        <f>0</f>
        <v>0</v>
      </c>
      <c r="G24" s="5">
        <f>0</f>
        <v>0</v>
      </c>
      <c r="H24" s="5">
        <f>0</f>
        <v>0</v>
      </c>
      <c r="I24" s="5">
        <f>0</f>
        <v>0</v>
      </c>
      <c r="J24" s="5">
        <f>0</f>
        <v>0</v>
      </c>
      <c r="K24" s="5">
        <f>0</f>
        <v>0</v>
      </c>
      <c r="L24" s="5">
        <f>0</f>
        <v>0</v>
      </c>
      <c r="M24" s="97">
        <f>Assumptions!M10</f>
        <v>0.03</v>
      </c>
      <c r="N24" s="97">
        <f>Assumptions!N10</f>
        <v>3.4999999999999996E-2</v>
      </c>
      <c r="O24" s="97">
        <f>Assumptions!O10</f>
        <v>3.4999999999999996E-2</v>
      </c>
      <c r="P24" s="97">
        <f>Assumptions!P10</f>
        <v>3.4999999999999996E-2</v>
      </c>
    </row>
    <row r="25" spans="1:16">
      <c r="A25" t="s">
        <v>564</v>
      </c>
      <c r="B25" s="22">
        <f>'Revenue Drivers'!B26</f>
        <v>0</v>
      </c>
      <c r="C25" s="22">
        <f>'Revenue Drivers'!C26</f>
        <v>0</v>
      </c>
      <c r="D25" s="22">
        <f>'Revenue Drivers'!D26</f>
        <v>0</v>
      </c>
      <c r="E25" s="22">
        <f>'Revenue Drivers'!E26</f>
        <v>0</v>
      </c>
      <c r="F25" s="22">
        <f>'Revenue Drivers'!F26</f>
        <v>0</v>
      </c>
      <c r="G25" s="22">
        <f>'Revenue Drivers'!G26</f>
        <v>0</v>
      </c>
      <c r="H25" s="22">
        <f>'Revenue Drivers'!H26</f>
        <v>0</v>
      </c>
      <c r="I25" s="22">
        <f>'Revenue Drivers'!I26</f>
        <v>0</v>
      </c>
      <c r="J25" s="22">
        <f>'Revenue Drivers'!J26</f>
        <v>0</v>
      </c>
      <c r="K25" s="22">
        <f>'Revenue Drivers'!K26</f>
        <v>0</v>
      </c>
      <c r="L25" s="22">
        <f>'Revenue Drivers'!L26</f>
        <v>620</v>
      </c>
      <c r="M25" s="95">
        <f>'Revenue Drivers'!M26</f>
        <v>684</v>
      </c>
      <c r="N25" s="95">
        <f>'Revenue Drivers'!N26</f>
        <v>858.42</v>
      </c>
      <c r="O25" s="95">
        <f>'Revenue Drivers'!O26</f>
        <v>1085.47209</v>
      </c>
      <c r="P25" s="95">
        <f>'Revenue Drivers'!P26</f>
        <v>1383.434178705</v>
      </c>
    </row>
    <row r="26" spans="1:16">
      <c r="A26" t="s">
        <v>173</v>
      </c>
      <c r="B26" s="5">
        <f>'Revenue Drivers'!B28</f>
        <v>0</v>
      </c>
      <c r="C26" s="5">
        <f>'Revenue Drivers'!C28</f>
        <v>0</v>
      </c>
      <c r="D26" s="5">
        <f>'Revenue Drivers'!D28</f>
        <v>0</v>
      </c>
      <c r="E26" s="5">
        <f>'Revenue Drivers'!E28</f>
        <v>0</v>
      </c>
      <c r="F26" s="5">
        <f>'Revenue Drivers'!F28</f>
        <v>0</v>
      </c>
      <c r="G26" s="5">
        <f>'Revenue Drivers'!G28</f>
        <v>0</v>
      </c>
      <c r="H26" s="5">
        <f>'Revenue Drivers'!H28</f>
        <v>0</v>
      </c>
      <c r="I26" s="5">
        <f>'Revenue Drivers'!I28</f>
        <v>0</v>
      </c>
      <c r="J26" s="5">
        <f>'Revenue Drivers'!J28</f>
        <v>0</v>
      </c>
      <c r="K26" s="5">
        <f>'Revenue Drivers'!K28</f>
        <v>0</v>
      </c>
      <c r="L26" s="5">
        <f>'Revenue Drivers'!L28</f>
        <v>4.2280414620840152E-2</v>
      </c>
      <c r="M26" s="97">
        <f>'Revenue Drivers'!M28</f>
        <v>4.4703883170833777E-2</v>
      </c>
      <c r="N26" s="97">
        <f>'Revenue Drivers'!N28</f>
        <v>5.3797943832611383E-2</v>
      </c>
      <c r="O26" s="97">
        <f>'Revenue Drivers'!O28</f>
        <v>6.4823984866999002E-2</v>
      </c>
      <c r="P26" s="97">
        <f>'Revenue Drivers'!P28</f>
        <v>7.8461043875635364E-2</v>
      </c>
    </row>
    <row r="27" spans="1:16">
      <c r="A27" t="s">
        <v>358</v>
      </c>
      <c r="B27" s="5">
        <f>0</f>
        <v>0</v>
      </c>
      <c r="C27" s="5">
        <f>0</f>
        <v>0</v>
      </c>
      <c r="D27" s="5">
        <f>0</f>
        <v>0</v>
      </c>
      <c r="E27" s="5">
        <f>0</f>
        <v>0</v>
      </c>
      <c r="F27" s="5">
        <f>0</f>
        <v>0</v>
      </c>
      <c r="G27" s="5">
        <f>0</f>
        <v>0</v>
      </c>
      <c r="H27" s="5">
        <f>0</f>
        <v>0</v>
      </c>
      <c r="I27" s="5">
        <f>0</f>
        <v>0</v>
      </c>
      <c r="J27" s="5">
        <f>0</f>
        <v>0</v>
      </c>
      <c r="K27" s="5">
        <f>0</f>
        <v>0</v>
      </c>
      <c r="L27" s="5">
        <f>0</f>
        <v>0</v>
      </c>
      <c r="M27" s="97">
        <f>Assumptions!M43</f>
        <v>0.55000000000000004</v>
      </c>
      <c r="N27" s="97">
        <f>Assumptions!N43</f>
        <v>0.56000000000000005</v>
      </c>
      <c r="O27" s="97">
        <f>Assumptions!O43</f>
        <v>0.56999999999999995</v>
      </c>
      <c r="P27" s="97">
        <f>Assumptions!P43</f>
        <v>0.57999999999999996</v>
      </c>
    </row>
    <row r="28" spans="1:16">
      <c r="A28" t="s">
        <v>359</v>
      </c>
      <c r="B28" s="5">
        <f>0</f>
        <v>0</v>
      </c>
      <c r="C28" s="5">
        <f>0</f>
        <v>0</v>
      </c>
      <c r="D28" s="5">
        <f>0</f>
        <v>0</v>
      </c>
      <c r="E28" s="5">
        <f>0</f>
        <v>0</v>
      </c>
      <c r="F28" s="5">
        <f>0</f>
        <v>0</v>
      </c>
      <c r="G28" s="5">
        <f>0</f>
        <v>0</v>
      </c>
      <c r="H28" s="5">
        <f>0</f>
        <v>0</v>
      </c>
      <c r="I28" s="5">
        <f>0</f>
        <v>0</v>
      </c>
      <c r="J28" s="5">
        <f>0</f>
        <v>0</v>
      </c>
      <c r="K28" s="5">
        <f>0</f>
        <v>0</v>
      </c>
      <c r="L28" s="5">
        <f>0</f>
        <v>0</v>
      </c>
      <c r="M28" s="97">
        <f>Assumptions!M44</f>
        <v>0.83</v>
      </c>
      <c r="N28" s="97">
        <f>Assumptions!N44</f>
        <v>0.83499999999999996</v>
      </c>
      <c r="O28" s="97">
        <f>Assumptions!O44</f>
        <v>0.84</v>
      </c>
      <c r="P28" s="97">
        <f>Assumptions!P44</f>
        <v>0.84499999999999997</v>
      </c>
    </row>
    <row r="29" spans="1:16">
      <c r="A29" t="s">
        <v>360</v>
      </c>
      <c r="B29" s="5">
        <f>0</f>
        <v>0</v>
      </c>
      <c r="C29" s="5">
        <f>0</f>
        <v>0</v>
      </c>
      <c r="D29" s="5">
        <f>0</f>
        <v>0</v>
      </c>
      <c r="E29" s="5">
        <f>0</f>
        <v>0</v>
      </c>
      <c r="F29" s="5">
        <f>0</f>
        <v>0</v>
      </c>
      <c r="G29" s="5">
        <f>0</f>
        <v>0</v>
      </c>
      <c r="H29" s="5">
        <f>0</f>
        <v>0</v>
      </c>
      <c r="I29" s="5">
        <f>0</f>
        <v>0</v>
      </c>
      <c r="J29" s="5">
        <f>0</f>
        <v>0</v>
      </c>
      <c r="K29" s="5">
        <f>0</f>
        <v>0</v>
      </c>
      <c r="L29" s="5">
        <f>0</f>
        <v>0</v>
      </c>
      <c r="M29" s="97">
        <f>Assumptions!M45</f>
        <v>0.08</v>
      </c>
      <c r="N29" s="97">
        <f>Assumptions!N45</f>
        <v>7.8E-2</v>
      </c>
      <c r="O29" s="97">
        <f>Assumptions!O45</f>
        <v>7.5999999999999998E-2</v>
      </c>
      <c r="P29" s="97">
        <f>Assumptions!P45</f>
        <v>7.4999999999999997E-2</v>
      </c>
    </row>
    <row r="30" spans="1:16">
      <c r="A30" t="s">
        <v>361</v>
      </c>
      <c r="B30" s="5">
        <f>0</f>
        <v>0</v>
      </c>
      <c r="C30" s="5">
        <f>0</f>
        <v>0</v>
      </c>
      <c r="D30" s="5">
        <f>0</f>
        <v>0</v>
      </c>
      <c r="E30" s="5">
        <f>0</f>
        <v>0</v>
      </c>
      <c r="F30" s="5">
        <f>0</f>
        <v>0</v>
      </c>
      <c r="G30" s="5">
        <f>0</f>
        <v>0</v>
      </c>
      <c r="H30" s="5">
        <f>0</f>
        <v>0</v>
      </c>
      <c r="I30" s="5">
        <f>0</f>
        <v>0</v>
      </c>
      <c r="J30" s="5">
        <f>0</f>
        <v>0</v>
      </c>
      <c r="K30" s="5">
        <f>0</f>
        <v>0</v>
      </c>
      <c r="L30" s="5">
        <f>0</f>
        <v>0</v>
      </c>
      <c r="M30" s="97">
        <f>Assumptions!M46</f>
        <v>7.0000000000000007E-2</v>
      </c>
      <c r="N30" s="97">
        <f>Assumptions!N46</f>
        <v>6.8000000000000005E-2</v>
      </c>
      <c r="O30" s="97">
        <f>Assumptions!O46</f>
        <v>6.6000000000000003E-2</v>
      </c>
      <c r="P30" s="97">
        <f>Assumptions!P46</f>
        <v>6.5000000000000002E-2</v>
      </c>
    </row>
    <row r="32" spans="1:16">
      <c r="A32" t="s">
        <v>565</v>
      </c>
    </row>
    <row r="33" spans="1:16" ht="179.4">
      <c r="A33" t="s">
        <v>566</v>
      </c>
      <c r="B33" s="98" t="s">
        <v>567</v>
      </c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</row>
    <row r="34" spans="1:16" ht="82.8">
      <c r="A34" t="s">
        <v>568</v>
      </c>
      <c r="B34" s="98" t="s">
        <v>274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</row>
  </sheetData>
  <mergeCells count="2">
    <mergeCell ref="A1:P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Fin Summary</vt:lpstr>
      <vt:lpstr>Assumptions</vt:lpstr>
      <vt:lpstr>Annual Balance Sheet</vt:lpstr>
      <vt:lpstr>Quarterly P&amp;L</vt:lpstr>
      <vt:lpstr>Annual P&amp;L</vt:lpstr>
      <vt:lpstr>Annual Cash Flow</vt:lpstr>
      <vt:lpstr>Revenue Drivers</vt:lpstr>
      <vt:lpstr>Segment Revenue</vt:lpstr>
      <vt:lpstr>Client Data</vt:lpstr>
      <vt:lpstr>Checks &amp; Sources</vt:lpstr>
      <vt:lpstr>Operating Cuts</vt:lpstr>
      <vt:lpstr>Market Data</vt:lpstr>
      <vt:lpstr>Capex &amp;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2026-08-26T05:28:13Z</dcterms:created>
  <dcterms:modified xsi:type="dcterms:W3CDTF">2026-08-26T05:28:14Z</dcterms:modified>
</cp:coreProperties>
</file>