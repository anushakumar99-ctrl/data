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44A484D3-D96F-48C9-95B3-A6FC99EE89E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over" sheetId="1" r:id="rId1"/>
    <sheet name="Summary" sheetId="2" r:id="rId2"/>
    <sheet name="Sources" sheetId="3" r:id="rId3"/>
    <sheet name="Assumptions" sheetId="4" r:id="rId4"/>
    <sheet name="Raw Financials" sheetId="5" r:id="rId5"/>
    <sheet name="Quarterly P&amp;L" sheetId="6" r:id="rId6"/>
    <sheet name="Annual P&amp;L" sheetId="7" r:id="rId7"/>
    <sheet name="Annual Balance Sheet" sheetId="8" r:id="rId8"/>
    <sheet name="Annual Cash Flow" sheetId="9" r:id="rId9"/>
    <sheet name="Segment Revenue" sheetId="10" r:id="rId10"/>
    <sheet name="Geography &amp; Verticals" sheetId="11" r:id="rId11"/>
    <sheet name="Client Data" sheetId="12" r:id="rId12"/>
    <sheet name="Revenue Drivers" sheetId="13" r:id="rId13"/>
    <sheet name="HCLT Prices" sheetId="14" r:id="rId14"/>
    <sheet name="Valuation" sheetId="15" r:id="rId15"/>
    <sheet name="Check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1" i="16" l="1"/>
  <c r="D140" i="16"/>
  <c r="D139" i="16"/>
  <c r="D138" i="16"/>
  <c r="D137" i="16"/>
  <c r="D136" i="16"/>
  <c r="D135" i="16"/>
  <c r="D134" i="16"/>
  <c r="D133" i="16"/>
  <c r="D132" i="16"/>
  <c r="D131" i="16"/>
  <c r="D130" i="16"/>
  <c r="C130" i="16"/>
  <c r="D129" i="16"/>
  <c r="C129" i="16"/>
  <c r="E129" i="16" s="1"/>
  <c r="B129" i="16"/>
  <c r="E128" i="16"/>
  <c r="B128" i="16" s="1"/>
  <c r="D128" i="16"/>
  <c r="C128" i="16"/>
  <c r="D127" i="16"/>
  <c r="D126" i="16"/>
  <c r="D125" i="16"/>
  <c r="D124" i="16"/>
  <c r="C124" i="16"/>
  <c r="E124" i="16" s="1"/>
  <c r="B124" i="16" s="1"/>
  <c r="D123" i="16"/>
  <c r="D122" i="16"/>
  <c r="D121" i="16"/>
  <c r="D120" i="16"/>
  <c r="D119" i="16"/>
  <c r="C119" i="16"/>
  <c r="E119" i="16" s="1"/>
  <c r="B119" i="16" s="1"/>
  <c r="D118" i="16"/>
  <c r="D117" i="16"/>
  <c r="D116" i="16"/>
  <c r="D115" i="16"/>
  <c r="D114" i="16"/>
  <c r="C114" i="16"/>
  <c r="E114" i="16" s="1"/>
  <c r="B114" i="16" s="1"/>
  <c r="D113" i="16"/>
  <c r="D112" i="16"/>
  <c r="D111" i="16"/>
  <c r="E110" i="16"/>
  <c r="B110" i="16" s="1"/>
  <c r="D110" i="16"/>
  <c r="C110" i="16"/>
  <c r="D109" i="16"/>
  <c r="D108" i="16"/>
  <c r="D107" i="16"/>
  <c r="D106" i="16"/>
  <c r="E105" i="16"/>
  <c r="B105" i="16" s="1"/>
  <c r="D105" i="16"/>
  <c r="C105" i="16"/>
  <c r="D104" i="16"/>
  <c r="D103" i="16"/>
  <c r="D102" i="16"/>
  <c r="D101" i="16"/>
  <c r="E100" i="16"/>
  <c r="B100" i="16" s="1"/>
  <c r="D100" i="16"/>
  <c r="C100" i="16"/>
  <c r="D99" i="16"/>
  <c r="D98" i="16"/>
  <c r="D97" i="16"/>
  <c r="E97" i="16" s="1"/>
  <c r="B97" i="16" s="1"/>
  <c r="C97" i="16"/>
  <c r="D96" i="16"/>
  <c r="D95" i="16"/>
  <c r="D94" i="16"/>
  <c r="D93" i="16"/>
  <c r="D92" i="16"/>
  <c r="D91" i="16"/>
  <c r="E90" i="16"/>
  <c r="B90" i="16" s="1"/>
  <c r="D90" i="16"/>
  <c r="C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Q18" i="15"/>
  <c r="P18" i="15"/>
  <c r="O18" i="15"/>
  <c r="N18" i="15"/>
  <c r="Q35" i="13"/>
  <c r="M35" i="13"/>
  <c r="L35" i="13"/>
  <c r="K35" i="13"/>
  <c r="J35" i="13"/>
  <c r="I35" i="13"/>
  <c r="H35" i="13"/>
  <c r="G35" i="13"/>
  <c r="F35" i="13"/>
  <c r="E35" i="13"/>
  <c r="D35" i="13"/>
  <c r="C35" i="13"/>
  <c r="I33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M30" i="13"/>
  <c r="L30" i="13"/>
  <c r="K30" i="13"/>
  <c r="J30" i="13"/>
  <c r="I30" i="13"/>
  <c r="H30" i="13"/>
  <c r="G30" i="13"/>
  <c r="F30" i="13"/>
  <c r="E30" i="13"/>
  <c r="D30" i="13"/>
  <c r="C30" i="13"/>
  <c r="M29" i="13"/>
  <c r="L29" i="13"/>
  <c r="K29" i="13"/>
  <c r="J29" i="13"/>
  <c r="I29" i="13"/>
  <c r="H29" i="13"/>
  <c r="G29" i="13"/>
  <c r="F29" i="13"/>
  <c r="E29" i="13"/>
  <c r="D29" i="13"/>
  <c r="C29" i="13"/>
  <c r="N23" i="13"/>
  <c r="Q22" i="13"/>
  <c r="P22" i="13"/>
  <c r="O22" i="13"/>
  <c r="N22" i="13"/>
  <c r="P21" i="13"/>
  <c r="O21" i="13"/>
  <c r="O23" i="13" s="1"/>
  <c r="N21" i="13"/>
  <c r="M21" i="13"/>
  <c r="Q17" i="13"/>
  <c r="P17" i="13"/>
  <c r="O17" i="13"/>
  <c r="N17" i="13"/>
  <c r="Q15" i="13"/>
  <c r="P15" i="13"/>
  <c r="O15" i="13"/>
  <c r="O35" i="13" s="1"/>
  <c r="N15" i="13"/>
  <c r="N35" i="13" s="1"/>
  <c r="M15" i="13"/>
  <c r="L15" i="13"/>
  <c r="K15" i="13"/>
  <c r="J15" i="13"/>
  <c r="I15" i="13"/>
  <c r="C108" i="16" s="1"/>
  <c r="E108" i="16" s="1"/>
  <c r="B108" i="16" s="1"/>
  <c r="H15" i="13"/>
  <c r="C103" i="16" s="1"/>
  <c r="E103" i="16" s="1"/>
  <c r="B103" i="16" s="1"/>
  <c r="G15" i="13"/>
  <c r="F15" i="13"/>
  <c r="C94" i="16" s="1"/>
  <c r="E94" i="16" s="1"/>
  <c r="B94" i="16" s="1"/>
  <c r="E15" i="13"/>
  <c r="C87" i="16" s="1"/>
  <c r="E87" i="16" s="1"/>
  <c r="B87" i="16" s="1"/>
  <c r="D15" i="13"/>
  <c r="C15" i="13"/>
  <c r="Q13" i="13"/>
  <c r="P13" i="13"/>
  <c r="O13" i="13"/>
  <c r="N13" i="13"/>
  <c r="Q10" i="13"/>
  <c r="P10" i="13"/>
  <c r="O10" i="13"/>
  <c r="N10" i="13"/>
  <c r="M10" i="13"/>
  <c r="L10" i="13"/>
  <c r="L11" i="13" s="1"/>
  <c r="K10" i="13"/>
  <c r="J10" i="13"/>
  <c r="J11" i="13" s="1"/>
  <c r="I10" i="13"/>
  <c r="H10" i="13"/>
  <c r="H11" i="13" s="1"/>
  <c r="G10" i="13"/>
  <c r="F10" i="13"/>
  <c r="F11" i="13" s="1"/>
  <c r="C96" i="16" s="1"/>
  <c r="E96" i="16" s="1"/>
  <c r="B96" i="16" s="1"/>
  <c r="E10" i="13"/>
  <c r="D10" i="13"/>
  <c r="D11" i="13" s="1"/>
  <c r="C84" i="16" s="1"/>
  <c r="E84" i="16" s="1"/>
  <c r="B84" i="16" s="1"/>
  <c r="C10" i="13"/>
  <c r="M9" i="13"/>
  <c r="L9" i="13"/>
  <c r="C123" i="16" s="1"/>
  <c r="E123" i="16" s="1"/>
  <c r="B123" i="16" s="1"/>
  <c r="K9" i="13"/>
  <c r="C118" i="16" s="1"/>
  <c r="E118" i="16" s="1"/>
  <c r="B118" i="16" s="1"/>
  <c r="J9" i="13"/>
  <c r="C113" i="16" s="1"/>
  <c r="E113" i="16" s="1"/>
  <c r="B113" i="16" s="1"/>
  <c r="I9" i="13"/>
  <c r="H9" i="13"/>
  <c r="G9" i="13"/>
  <c r="F9" i="13"/>
  <c r="C95" i="16" s="1"/>
  <c r="E95" i="16" s="1"/>
  <c r="B95" i="16" s="1"/>
  <c r="E9" i="13"/>
  <c r="C88" i="16" s="1"/>
  <c r="E88" i="16" s="1"/>
  <c r="B88" i="16" s="1"/>
  <c r="D9" i="13"/>
  <c r="C83" i="16" s="1"/>
  <c r="E83" i="16" s="1"/>
  <c r="B83" i="16" s="1"/>
  <c r="C9" i="13"/>
  <c r="Q8" i="13"/>
  <c r="P8" i="13"/>
  <c r="O8" i="13"/>
  <c r="N8" i="13"/>
  <c r="L8" i="13"/>
  <c r="J8" i="13"/>
  <c r="H8" i="13"/>
  <c r="F8" i="13"/>
  <c r="D8" i="13"/>
  <c r="Q7" i="13"/>
  <c r="P7" i="13"/>
  <c r="O7" i="13"/>
  <c r="N7" i="13"/>
  <c r="M7" i="13"/>
  <c r="K7" i="13"/>
  <c r="G7" i="13"/>
  <c r="E7" i="13"/>
  <c r="M6" i="13"/>
  <c r="M8" i="13" s="1"/>
  <c r="L6" i="13"/>
  <c r="L34" i="13" s="1"/>
  <c r="K6" i="13"/>
  <c r="L33" i="13" s="1"/>
  <c r="J6" i="13"/>
  <c r="I6" i="13"/>
  <c r="H6" i="13"/>
  <c r="G6" i="13"/>
  <c r="G8" i="13" s="1"/>
  <c r="F6" i="13"/>
  <c r="F34" i="13" s="1"/>
  <c r="E6" i="13"/>
  <c r="F33" i="13" s="1"/>
  <c r="D6" i="13"/>
  <c r="C6" i="13"/>
  <c r="L22" i="12"/>
  <c r="J22" i="12"/>
  <c r="H22" i="12"/>
  <c r="F22" i="12"/>
  <c r="D22" i="12"/>
  <c r="M21" i="12"/>
  <c r="M22" i="12" s="1"/>
  <c r="L21" i="12"/>
  <c r="K21" i="12"/>
  <c r="K22" i="12" s="1"/>
  <c r="J21" i="12"/>
  <c r="I21" i="12"/>
  <c r="I22" i="12" s="1"/>
  <c r="H21" i="12"/>
  <c r="G21" i="12"/>
  <c r="G22" i="12" s="1"/>
  <c r="F21" i="12"/>
  <c r="E21" i="12"/>
  <c r="E22" i="12" s="1"/>
  <c r="D21" i="12"/>
  <c r="C21" i="12"/>
  <c r="C22" i="12" s="1"/>
  <c r="M20" i="12"/>
  <c r="L20" i="12"/>
  <c r="K20" i="12"/>
  <c r="J20" i="12"/>
  <c r="I20" i="12"/>
  <c r="H20" i="12"/>
  <c r="G20" i="12"/>
  <c r="F20" i="12"/>
  <c r="E20" i="12"/>
  <c r="D20" i="12"/>
  <c r="M19" i="12"/>
  <c r="L19" i="12"/>
  <c r="K19" i="12"/>
  <c r="J19" i="12"/>
  <c r="I19" i="12"/>
  <c r="H19" i="12"/>
  <c r="G19" i="12"/>
  <c r="F19" i="12"/>
  <c r="E19" i="12"/>
  <c r="D19" i="12"/>
  <c r="C19" i="12"/>
  <c r="Q18" i="12"/>
  <c r="O18" i="12"/>
  <c r="P18" i="12" s="1"/>
  <c r="N18" i="12"/>
  <c r="O17" i="12"/>
  <c r="P17" i="12" s="1"/>
  <c r="Q17" i="12" s="1"/>
  <c r="N17" i="12"/>
  <c r="Q16" i="12"/>
  <c r="N16" i="12"/>
  <c r="O16" i="12" s="1"/>
  <c r="P16" i="12" s="1"/>
  <c r="G45" i="11"/>
  <c r="C45" i="11"/>
  <c r="G44" i="11"/>
  <c r="C44" i="11"/>
  <c r="G43" i="11"/>
  <c r="C43" i="11"/>
  <c r="G42" i="11"/>
  <c r="C42" i="11"/>
  <c r="G41" i="11"/>
  <c r="C41" i="11"/>
  <c r="G40" i="11"/>
  <c r="C40" i="11"/>
  <c r="G39" i="11"/>
  <c r="C39" i="11"/>
  <c r="M37" i="11"/>
  <c r="C126" i="16" s="1"/>
  <c r="E126" i="16" s="1"/>
  <c r="B126" i="16" s="1"/>
  <c r="L37" i="11"/>
  <c r="C122" i="16" s="1"/>
  <c r="E122" i="16" s="1"/>
  <c r="B122" i="16" s="1"/>
  <c r="K37" i="11"/>
  <c r="C117" i="16" s="1"/>
  <c r="E117" i="16" s="1"/>
  <c r="B117" i="16" s="1"/>
  <c r="J37" i="11"/>
  <c r="C112" i="16" s="1"/>
  <c r="E112" i="16" s="1"/>
  <c r="B112" i="16" s="1"/>
  <c r="I37" i="11"/>
  <c r="C107" i="16" s="1"/>
  <c r="E107" i="16" s="1"/>
  <c r="B107" i="16" s="1"/>
  <c r="H37" i="11"/>
  <c r="C102" i="16" s="1"/>
  <c r="E102" i="16" s="1"/>
  <c r="B102" i="16" s="1"/>
  <c r="G37" i="11"/>
  <c r="F37" i="11"/>
  <c r="C93" i="16" s="1"/>
  <c r="E93" i="16" s="1"/>
  <c r="B93" i="16" s="1"/>
  <c r="E37" i="11"/>
  <c r="C86" i="16" s="1"/>
  <c r="E86" i="16" s="1"/>
  <c r="B86" i="16" s="1"/>
  <c r="D37" i="11"/>
  <c r="C81" i="16" s="1"/>
  <c r="E81" i="16" s="1"/>
  <c r="B81" i="16" s="1"/>
  <c r="C37" i="11"/>
  <c r="N36" i="11"/>
  <c r="O35" i="11"/>
  <c r="P35" i="11" s="1"/>
  <c r="N35" i="11"/>
  <c r="N34" i="11"/>
  <c r="N33" i="11"/>
  <c r="O33" i="11" s="1"/>
  <c r="P33" i="11" s="1"/>
  <c r="O32" i="11"/>
  <c r="N32" i="11"/>
  <c r="N31" i="11"/>
  <c r="N30" i="11"/>
  <c r="J27" i="11"/>
  <c r="I27" i="11"/>
  <c r="H27" i="11"/>
  <c r="E27" i="11"/>
  <c r="D27" i="11"/>
  <c r="C27" i="11"/>
  <c r="J26" i="11"/>
  <c r="I26" i="11"/>
  <c r="H26" i="11"/>
  <c r="E26" i="11"/>
  <c r="D26" i="11"/>
  <c r="C26" i="11"/>
  <c r="J25" i="11"/>
  <c r="I25" i="11"/>
  <c r="H25" i="11"/>
  <c r="E25" i="11"/>
  <c r="D25" i="11"/>
  <c r="C25" i="11"/>
  <c r="J24" i="11"/>
  <c r="I24" i="11"/>
  <c r="H24" i="11"/>
  <c r="E24" i="11"/>
  <c r="D24" i="11"/>
  <c r="C24" i="11"/>
  <c r="L23" i="11"/>
  <c r="M22" i="11"/>
  <c r="C125" i="16" s="1"/>
  <c r="E125" i="16" s="1"/>
  <c r="B125" i="16" s="1"/>
  <c r="L22" i="11"/>
  <c r="C121" i="16" s="1"/>
  <c r="E121" i="16" s="1"/>
  <c r="B121" i="16" s="1"/>
  <c r="K22" i="11"/>
  <c r="C116" i="16" s="1"/>
  <c r="E116" i="16" s="1"/>
  <c r="B116" i="16" s="1"/>
  <c r="J22" i="11"/>
  <c r="I22" i="11"/>
  <c r="H22" i="11"/>
  <c r="G22" i="11"/>
  <c r="C98" i="16" s="1"/>
  <c r="E98" i="16" s="1"/>
  <c r="B98" i="16" s="1"/>
  <c r="F22" i="11"/>
  <c r="C92" i="16" s="1"/>
  <c r="E92" i="16" s="1"/>
  <c r="B92" i="16" s="1"/>
  <c r="E22" i="11"/>
  <c r="D22" i="11"/>
  <c r="C22" i="11"/>
  <c r="O21" i="11"/>
  <c r="P21" i="11" s="1"/>
  <c r="N21" i="11"/>
  <c r="N20" i="11"/>
  <c r="N19" i="11"/>
  <c r="P18" i="11"/>
  <c r="O18" i="11"/>
  <c r="N18" i="11"/>
  <c r="M15" i="11"/>
  <c r="G15" i="11"/>
  <c r="C15" i="11"/>
  <c r="M14" i="11"/>
  <c r="G14" i="11"/>
  <c r="C14" i="11"/>
  <c r="M13" i="11"/>
  <c r="G13" i="11"/>
  <c r="C13" i="11"/>
  <c r="F12" i="11"/>
  <c r="E12" i="11"/>
  <c r="N11" i="11"/>
  <c r="M11" i="11"/>
  <c r="L11" i="11"/>
  <c r="C120" i="16" s="1"/>
  <c r="E120" i="16" s="1"/>
  <c r="B120" i="16" s="1"/>
  <c r="K11" i="11"/>
  <c r="C115" i="16" s="1"/>
  <c r="E115" i="16" s="1"/>
  <c r="B115" i="16" s="1"/>
  <c r="J11" i="11"/>
  <c r="C111" i="16" s="1"/>
  <c r="E111" i="16" s="1"/>
  <c r="B111" i="16" s="1"/>
  <c r="I11" i="11"/>
  <c r="C106" i="16" s="1"/>
  <c r="E106" i="16" s="1"/>
  <c r="B106" i="16" s="1"/>
  <c r="H11" i="11"/>
  <c r="C101" i="16" s="1"/>
  <c r="E101" i="16" s="1"/>
  <c r="B101" i="16" s="1"/>
  <c r="G11" i="11"/>
  <c r="F11" i="11"/>
  <c r="C91" i="16" s="1"/>
  <c r="E91" i="16" s="1"/>
  <c r="B91" i="16" s="1"/>
  <c r="E11" i="11"/>
  <c r="C85" i="16" s="1"/>
  <c r="E85" i="16" s="1"/>
  <c r="B85" i="16" s="1"/>
  <c r="D11" i="11"/>
  <c r="C80" i="16" s="1"/>
  <c r="E80" i="16" s="1"/>
  <c r="B80" i="16" s="1"/>
  <c r="C11" i="11"/>
  <c r="N10" i="11"/>
  <c r="O9" i="11"/>
  <c r="N9" i="11"/>
  <c r="Q8" i="11"/>
  <c r="P8" i="11"/>
  <c r="O8" i="11"/>
  <c r="N8" i="11"/>
  <c r="M16" i="10"/>
  <c r="L16" i="10"/>
  <c r="F16" i="10"/>
  <c r="E15" i="10"/>
  <c r="L14" i="10"/>
  <c r="K14" i="10"/>
  <c r="H14" i="10"/>
  <c r="F14" i="10"/>
  <c r="E14" i="10"/>
  <c r="D14" i="10"/>
  <c r="C14" i="10"/>
  <c r="L12" i="10"/>
  <c r="L24" i="13" s="1"/>
  <c r="F12" i="10"/>
  <c r="F24" i="13" s="1"/>
  <c r="E12" i="10"/>
  <c r="E24" i="13" s="1"/>
  <c r="D12" i="10"/>
  <c r="D24" i="13" s="1"/>
  <c r="C12" i="10"/>
  <c r="C24" i="13" s="1"/>
  <c r="F10" i="10"/>
  <c r="E10" i="10"/>
  <c r="D10" i="10"/>
  <c r="D15" i="10" s="1"/>
  <c r="C10" i="10"/>
  <c r="H8" i="10"/>
  <c r="G8" i="10"/>
  <c r="E8" i="10"/>
  <c r="D8" i="10"/>
  <c r="C8" i="10"/>
  <c r="J38" i="9"/>
  <c r="E38" i="9"/>
  <c r="E17" i="2" s="1"/>
  <c r="D38" i="9"/>
  <c r="C38" i="9"/>
  <c r="J36" i="9"/>
  <c r="D22" i="16" s="1"/>
  <c r="H36" i="9"/>
  <c r="F36" i="9"/>
  <c r="D36" i="9"/>
  <c r="D10" i="16" s="1"/>
  <c r="L34" i="9"/>
  <c r="K34" i="9"/>
  <c r="I34" i="9"/>
  <c r="E34" i="9"/>
  <c r="Q32" i="9"/>
  <c r="P32" i="9"/>
  <c r="O32" i="9"/>
  <c r="N32" i="9"/>
  <c r="L31" i="9"/>
  <c r="E31" i="9"/>
  <c r="C31" i="9"/>
  <c r="M30" i="9"/>
  <c r="L30" i="9"/>
  <c r="K30" i="9"/>
  <c r="J30" i="9"/>
  <c r="I30" i="9"/>
  <c r="H30" i="9"/>
  <c r="G30" i="9"/>
  <c r="F30" i="9"/>
  <c r="E30" i="9"/>
  <c r="D30" i="9"/>
  <c r="C30" i="9"/>
  <c r="Q29" i="9"/>
  <c r="P29" i="9"/>
  <c r="O29" i="9"/>
  <c r="N29" i="9"/>
  <c r="M28" i="9"/>
  <c r="L28" i="9"/>
  <c r="K28" i="9"/>
  <c r="K35" i="7" s="1"/>
  <c r="J28" i="9"/>
  <c r="J35" i="7" s="1"/>
  <c r="I28" i="9"/>
  <c r="I35" i="7" s="1"/>
  <c r="H28" i="9"/>
  <c r="G28" i="9"/>
  <c r="F28" i="9"/>
  <c r="E28" i="9"/>
  <c r="E35" i="7" s="1"/>
  <c r="E16" i="15" s="1"/>
  <c r="E17" i="15" s="1"/>
  <c r="D28" i="9"/>
  <c r="D35" i="7" s="1"/>
  <c r="D16" i="15" s="1"/>
  <c r="D17" i="15" s="1"/>
  <c r="D28" i="2" s="1"/>
  <c r="C28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M26" i="9"/>
  <c r="L26" i="9"/>
  <c r="K26" i="9"/>
  <c r="J26" i="9"/>
  <c r="I26" i="9"/>
  <c r="H26" i="9"/>
  <c r="G26" i="9"/>
  <c r="F26" i="9"/>
  <c r="E26" i="9"/>
  <c r="D26" i="9"/>
  <c r="C26" i="9"/>
  <c r="M25" i="9"/>
  <c r="L25" i="9"/>
  <c r="K25" i="9"/>
  <c r="J25" i="9"/>
  <c r="I25" i="9"/>
  <c r="H25" i="9"/>
  <c r="G25" i="9"/>
  <c r="F25" i="9"/>
  <c r="E25" i="9"/>
  <c r="D25" i="9"/>
  <c r="C25" i="9"/>
  <c r="I24" i="9"/>
  <c r="H24" i="9"/>
  <c r="C24" i="9"/>
  <c r="F23" i="9"/>
  <c r="C23" i="9"/>
  <c r="C29" i="9" s="1"/>
  <c r="M22" i="9"/>
  <c r="L22" i="9"/>
  <c r="K22" i="9"/>
  <c r="J22" i="9"/>
  <c r="I22" i="9"/>
  <c r="H22" i="9"/>
  <c r="G22" i="9"/>
  <c r="F22" i="9"/>
  <c r="F31" i="9" s="1"/>
  <c r="E22" i="9"/>
  <c r="D22" i="9"/>
  <c r="C22" i="9"/>
  <c r="C21" i="9" s="1"/>
  <c r="Q21" i="9"/>
  <c r="P21" i="9"/>
  <c r="O21" i="9"/>
  <c r="N21" i="9"/>
  <c r="C20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L18" i="9"/>
  <c r="K18" i="9"/>
  <c r="J18" i="9"/>
  <c r="I18" i="9"/>
  <c r="D18" i="9"/>
  <c r="C18" i="9"/>
  <c r="M17" i="9"/>
  <c r="M18" i="9" s="1"/>
  <c r="L17" i="9"/>
  <c r="L38" i="9" s="1"/>
  <c r="L17" i="2" s="1"/>
  <c r="K17" i="9"/>
  <c r="K38" i="9" s="1"/>
  <c r="J17" i="9"/>
  <c r="I17" i="9"/>
  <c r="H17" i="9"/>
  <c r="H18" i="9" s="1"/>
  <c r="G17" i="9"/>
  <c r="G18" i="9" s="1"/>
  <c r="F17" i="9"/>
  <c r="E17" i="9"/>
  <c r="D17" i="9"/>
  <c r="C17" i="9"/>
  <c r="M15" i="9"/>
  <c r="L15" i="9"/>
  <c r="K15" i="9"/>
  <c r="J15" i="9"/>
  <c r="I15" i="9"/>
  <c r="I38" i="9" s="1"/>
  <c r="H15" i="9"/>
  <c r="G15" i="9"/>
  <c r="F15" i="9"/>
  <c r="E15" i="9"/>
  <c r="D15" i="9"/>
  <c r="C15" i="9"/>
  <c r="C14" i="9"/>
  <c r="I13" i="9"/>
  <c r="F13" i="9"/>
  <c r="C13" i="9"/>
  <c r="C12" i="9"/>
  <c r="G11" i="9"/>
  <c r="F11" i="9"/>
  <c r="C11" i="9"/>
  <c r="L10" i="9"/>
  <c r="K10" i="9"/>
  <c r="F10" i="9"/>
  <c r="C10" i="9"/>
  <c r="Q9" i="9"/>
  <c r="P9" i="9"/>
  <c r="O9" i="9"/>
  <c r="N9" i="9"/>
  <c r="J8" i="9"/>
  <c r="I8" i="9"/>
  <c r="H8" i="9"/>
  <c r="D8" i="9"/>
  <c r="C8" i="9"/>
  <c r="K7" i="9"/>
  <c r="I7" i="9"/>
  <c r="I16" i="9" s="1"/>
  <c r="C7" i="9"/>
  <c r="J34" i="8"/>
  <c r="J19" i="2" s="1"/>
  <c r="J30" i="8"/>
  <c r="F30" i="8"/>
  <c r="E30" i="8"/>
  <c r="D30" i="8"/>
  <c r="M29" i="8"/>
  <c r="L29" i="8"/>
  <c r="K29" i="8"/>
  <c r="J29" i="8"/>
  <c r="I29" i="8"/>
  <c r="H29" i="8"/>
  <c r="G29" i="8"/>
  <c r="F29" i="8"/>
  <c r="E29" i="8"/>
  <c r="D29" i="8"/>
  <c r="C29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M25" i="8"/>
  <c r="L25" i="8"/>
  <c r="K25" i="8"/>
  <c r="J25" i="8"/>
  <c r="I25" i="8"/>
  <c r="H25" i="8"/>
  <c r="G25" i="8"/>
  <c r="F25" i="8"/>
  <c r="E25" i="8"/>
  <c r="D25" i="8"/>
  <c r="C25" i="8"/>
  <c r="P24" i="8"/>
  <c r="Q24" i="8" s="1"/>
  <c r="N24" i="8"/>
  <c r="O24" i="8" s="1"/>
  <c r="M24" i="8"/>
  <c r="L24" i="8"/>
  <c r="K24" i="8"/>
  <c r="J24" i="8"/>
  <c r="I24" i="8"/>
  <c r="H24" i="8"/>
  <c r="G24" i="8"/>
  <c r="F24" i="8"/>
  <c r="E24" i="8"/>
  <c r="D24" i="8"/>
  <c r="C24" i="8"/>
  <c r="M23" i="8"/>
  <c r="L23" i="8"/>
  <c r="K23" i="8"/>
  <c r="J23" i="8"/>
  <c r="I23" i="8"/>
  <c r="H23" i="8"/>
  <c r="G23" i="8"/>
  <c r="F23" i="8"/>
  <c r="E23" i="8"/>
  <c r="D23" i="8"/>
  <c r="C23" i="8"/>
  <c r="J22" i="8"/>
  <c r="J11" i="15" s="1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M20" i="8"/>
  <c r="L20" i="8"/>
  <c r="L24" i="9" s="1"/>
  <c r="K20" i="8"/>
  <c r="J20" i="8"/>
  <c r="I20" i="8"/>
  <c r="J24" i="9" s="1"/>
  <c r="H20" i="8"/>
  <c r="G20" i="8"/>
  <c r="F20" i="8"/>
  <c r="E20" i="8"/>
  <c r="D20" i="8"/>
  <c r="D24" i="9" s="1"/>
  <c r="C20" i="8"/>
  <c r="M19" i="8"/>
  <c r="L19" i="8"/>
  <c r="L23" i="9" s="1"/>
  <c r="K19" i="8"/>
  <c r="J19" i="8"/>
  <c r="I19" i="8"/>
  <c r="H19" i="8"/>
  <c r="G19" i="8"/>
  <c r="G22" i="8" s="1"/>
  <c r="G11" i="15" s="1"/>
  <c r="F19" i="8"/>
  <c r="E19" i="8"/>
  <c r="E23" i="9" s="1"/>
  <c r="D19" i="8"/>
  <c r="C19" i="8"/>
  <c r="C22" i="8" s="1"/>
  <c r="C11" i="15" s="1"/>
  <c r="M18" i="8"/>
  <c r="L18" i="8"/>
  <c r="M13" i="9" s="1"/>
  <c r="K18" i="8"/>
  <c r="L13" i="9" s="1"/>
  <c r="J18" i="8"/>
  <c r="J13" i="9" s="1"/>
  <c r="I18" i="8"/>
  <c r="H18" i="8"/>
  <c r="H13" i="9" s="1"/>
  <c r="G18" i="8"/>
  <c r="F18" i="8"/>
  <c r="G13" i="9" s="1"/>
  <c r="E18" i="8"/>
  <c r="D18" i="8"/>
  <c r="D13" i="9" s="1"/>
  <c r="C18" i="8"/>
  <c r="M17" i="8"/>
  <c r="L17" i="8"/>
  <c r="C25" i="16" s="1"/>
  <c r="K17" i="8"/>
  <c r="C23" i="16" s="1"/>
  <c r="J17" i="8"/>
  <c r="C21" i="16" s="1"/>
  <c r="I17" i="8"/>
  <c r="H17" i="8"/>
  <c r="G17" i="8"/>
  <c r="F17" i="8"/>
  <c r="E17" i="8"/>
  <c r="C11" i="16" s="1"/>
  <c r="D17" i="8"/>
  <c r="C9" i="16" s="1"/>
  <c r="C17" i="8"/>
  <c r="J16" i="8"/>
  <c r="D16" i="8"/>
  <c r="M15" i="8"/>
  <c r="L15" i="8"/>
  <c r="K15" i="8"/>
  <c r="J15" i="8"/>
  <c r="I15" i="8"/>
  <c r="I16" i="8" s="1"/>
  <c r="H15" i="8"/>
  <c r="G15" i="8"/>
  <c r="F15" i="8"/>
  <c r="E15" i="8"/>
  <c r="D15" i="8"/>
  <c r="C15" i="8"/>
  <c r="M14" i="8"/>
  <c r="L14" i="8"/>
  <c r="K14" i="8"/>
  <c r="J14" i="8"/>
  <c r="I14" i="8"/>
  <c r="H14" i="8"/>
  <c r="G14" i="8"/>
  <c r="F14" i="8"/>
  <c r="E14" i="8"/>
  <c r="D14" i="8"/>
  <c r="C14" i="8"/>
  <c r="M13" i="8"/>
  <c r="L13" i="8"/>
  <c r="K13" i="8"/>
  <c r="J13" i="8"/>
  <c r="I13" i="8"/>
  <c r="H13" i="8"/>
  <c r="G13" i="8"/>
  <c r="F13" i="8"/>
  <c r="E13" i="8"/>
  <c r="D13" i="8"/>
  <c r="C13" i="8"/>
  <c r="M12" i="8"/>
  <c r="M16" i="8" s="1"/>
  <c r="L12" i="8"/>
  <c r="K12" i="8"/>
  <c r="K11" i="8" s="1"/>
  <c r="J12" i="8"/>
  <c r="I12" i="8"/>
  <c r="H12" i="8"/>
  <c r="G12" i="8"/>
  <c r="G16" i="8" s="1"/>
  <c r="F12" i="8"/>
  <c r="F16" i="8" s="1"/>
  <c r="E12" i="8"/>
  <c r="D12" i="8"/>
  <c r="C12" i="8"/>
  <c r="M11" i="8"/>
  <c r="F11" i="8"/>
  <c r="M10" i="8"/>
  <c r="L10" i="8"/>
  <c r="K10" i="8"/>
  <c r="L20" i="9" s="1"/>
  <c r="L21" i="9" s="1"/>
  <c r="J10" i="8"/>
  <c r="J20" i="9" s="1"/>
  <c r="I10" i="8"/>
  <c r="H10" i="8"/>
  <c r="H20" i="9" s="1"/>
  <c r="G10" i="8"/>
  <c r="F10" i="8"/>
  <c r="E10" i="8"/>
  <c r="D10" i="8"/>
  <c r="D20" i="9" s="1"/>
  <c r="C10" i="8"/>
  <c r="M9" i="8"/>
  <c r="M11" i="9" s="1"/>
  <c r="L9" i="8"/>
  <c r="K9" i="8"/>
  <c r="K11" i="9" s="1"/>
  <c r="J9" i="8"/>
  <c r="J11" i="9" s="1"/>
  <c r="I9" i="8"/>
  <c r="I11" i="9" s="1"/>
  <c r="H9" i="8"/>
  <c r="G9" i="8"/>
  <c r="G11" i="8" s="1"/>
  <c r="G12" i="9" s="1"/>
  <c r="F9" i="8"/>
  <c r="E9" i="8"/>
  <c r="E11" i="9" s="1"/>
  <c r="D9" i="8"/>
  <c r="D11" i="9" s="1"/>
  <c r="C9" i="8"/>
  <c r="M8" i="8"/>
  <c r="M10" i="9" s="1"/>
  <c r="L8" i="8"/>
  <c r="K8" i="8"/>
  <c r="J8" i="8"/>
  <c r="I8" i="8"/>
  <c r="H8" i="8"/>
  <c r="H10" i="9" s="1"/>
  <c r="G8" i="8"/>
  <c r="G10" i="9" s="1"/>
  <c r="F8" i="8"/>
  <c r="E8" i="8"/>
  <c r="D8" i="8"/>
  <c r="E10" i="9" s="1"/>
  <c r="C8" i="8"/>
  <c r="D10" i="9" s="1"/>
  <c r="M7" i="8"/>
  <c r="L7" i="8"/>
  <c r="K7" i="8"/>
  <c r="J7" i="8"/>
  <c r="I7" i="8"/>
  <c r="H7" i="8"/>
  <c r="G7" i="8"/>
  <c r="F7" i="8"/>
  <c r="E7" i="8"/>
  <c r="D7" i="8"/>
  <c r="C7" i="8"/>
  <c r="M35" i="7"/>
  <c r="L35" i="7"/>
  <c r="H35" i="7"/>
  <c r="H16" i="15" s="1"/>
  <c r="H17" i="15" s="1"/>
  <c r="G35" i="7"/>
  <c r="F35" i="7"/>
  <c r="F16" i="15" s="1"/>
  <c r="F17" i="15" s="1"/>
  <c r="H33" i="7"/>
  <c r="G33" i="7"/>
  <c r="F33" i="7"/>
  <c r="F36" i="7" s="1"/>
  <c r="J32" i="7"/>
  <c r="J34" i="7" s="1"/>
  <c r="J13" i="15" s="1"/>
  <c r="J26" i="2" s="1"/>
  <c r="I32" i="7"/>
  <c r="I34" i="7" s="1"/>
  <c r="F32" i="7"/>
  <c r="D32" i="7"/>
  <c r="D34" i="7" s="1"/>
  <c r="D13" i="15" s="1"/>
  <c r="D26" i="2" s="1"/>
  <c r="C32" i="7"/>
  <c r="O31" i="7"/>
  <c r="N31" i="7"/>
  <c r="N8" i="15" s="1"/>
  <c r="M31" i="7"/>
  <c r="L31" i="7"/>
  <c r="L8" i="15" s="1"/>
  <c r="L9" i="15" s="1"/>
  <c r="K31" i="7"/>
  <c r="J31" i="7"/>
  <c r="J8" i="15" s="1"/>
  <c r="J9" i="15" s="1"/>
  <c r="I31" i="7"/>
  <c r="I8" i="15" s="1"/>
  <c r="I9" i="15" s="1"/>
  <c r="H31" i="7"/>
  <c r="H8" i="15" s="1"/>
  <c r="H9" i="15" s="1"/>
  <c r="G31" i="7"/>
  <c r="F31" i="7"/>
  <c r="F8" i="15" s="1"/>
  <c r="F9" i="15" s="1"/>
  <c r="E31" i="7"/>
  <c r="D31" i="7"/>
  <c r="D8" i="15" s="1"/>
  <c r="D9" i="15" s="1"/>
  <c r="C31" i="7"/>
  <c r="C8" i="15" s="1"/>
  <c r="C9" i="15" s="1"/>
  <c r="K30" i="7"/>
  <c r="F30" i="7"/>
  <c r="F14" i="2" s="1"/>
  <c r="M29" i="7"/>
  <c r="L29" i="7"/>
  <c r="K29" i="7"/>
  <c r="J29" i="7"/>
  <c r="D60" i="16" s="1"/>
  <c r="I29" i="7"/>
  <c r="D57" i="16" s="1"/>
  <c r="H29" i="7"/>
  <c r="G29" i="7"/>
  <c r="F29" i="7"/>
  <c r="E29" i="7"/>
  <c r="D29" i="7"/>
  <c r="D42" i="16" s="1"/>
  <c r="C29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M26" i="7"/>
  <c r="L26" i="7"/>
  <c r="K26" i="7"/>
  <c r="J26" i="7"/>
  <c r="I26" i="7"/>
  <c r="H26" i="7"/>
  <c r="G26" i="7"/>
  <c r="F26" i="7"/>
  <c r="F27" i="7" s="1"/>
  <c r="E26" i="7"/>
  <c r="D26" i="7"/>
  <c r="C26" i="7"/>
  <c r="I24" i="7"/>
  <c r="N23" i="7"/>
  <c r="M23" i="7"/>
  <c r="L23" i="7"/>
  <c r="K23" i="7"/>
  <c r="J23" i="7"/>
  <c r="I23" i="7"/>
  <c r="H23" i="7"/>
  <c r="H24" i="7" s="1"/>
  <c r="H25" i="7" s="1"/>
  <c r="G23" i="7"/>
  <c r="F23" i="7"/>
  <c r="E23" i="7"/>
  <c r="D23" i="7"/>
  <c r="C23" i="7"/>
  <c r="Q22" i="7"/>
  <c r="P22" i="7"/>
  <c r="O22" i="7"/>
  <c r="N22" i="7"/>
  <c r="M22" i="7"/>
  <c r="L22" i="7"/>
  <c r="K22" i="7"/>
  <c r="J22" i="7"/>
  <c r="I22" i="7"/>
  <c r="H22" i="7"/>
  <c r="G22" i="7"/>
  <c r="F22" i="7"/>
  <c r="F24" i="7" s="1"/>
  <c r="F25" i="7" s="1"/>
  <c r="E22" i="7"/>
  <c r="D22" i="7"/>
  <c r="C22" i="7"/>
  <c r="M21" i="7"/>
  <c r="M12" i="2" s="1"/>
  <c r="F21" i="7"/>
  <c r="M20" i="7"/>
  <c r="D68" i="16" s="1"/>
  <c r="L20" i="7"/>
  <c r="D65" i="16" s="1"/>
  <c r="K20" i="7"/>
  <c r="J20" i="7"/>
  <c r="I20" i="7"/>
  <c r="H20" i="7"/>
  <c r="D53" i="16" s="1"/>
  <c r="G20" i="7"/>
  <c r="D50" i="16" s="1"/>
  <c r="F20" i="7"/>
  <c r="D47" i="16" s="1"/>
  <c r="E20" i="7"/>
  <c r="D20" i="7"/>
  <c r="D11" i="2" s="1"/>
  <c r="C20" i="7"/>
  <c r="M19" i="7"/>
  <c r="M8" i="9" s="1"/>
  <c r="L19" i="7"/>
  <c r="L8" i="9" s="1"/>
  <c r="K19" i="7"/>
  <c r="K8" i="9" s="1"/>
  <c r="J19" i="7"/>
  <c r="I19" i="7"/>
  <c r="H19" i="7"/>
  <c r="G19" i="7"/>
  <c r="G8" i="9" s="1"/>
  <c r="F19" i="7"/>
  <c r="F8" i="9" s="1"/>
  <c r="E19" i="7"/>
  <c r="E8" i="9" s="1"/>
  <c r="D19" i="7"/>
  <c r="C19" i="7"/>
  <c r="H18" i="7"/>
  <c r="M17" i="7"/>
  <c r="H17" i="7"/>
  <c r="G17" i="7"/>
  <c r="F17" i="7"/>
  <c r="F18" i="7" s="1"/>
  <c r="M16" i="7"/>
  <c r="L16" i="7"/>
  <c r="K16" i="7"/>
  <c r="J16" i="7"/>
  <c r="I16" i="7"/>
  <c r="H16" i="7"/>
  <c r="G16" i="7"/>
  <c r="F16" i="7"/>
  <c r="E16" i="7"/>
  <c r="D16" i="7"/>
  <c r="C16" i="7"/>
  <c r="M14" i="7"/>
  <c r="L14" i="7"/>
  <c r="K14" i="7"/>
  <c r="J14" i="7"/>
  <c r="I14" i="7"/>
  <c r="H14" i="7"/>
  <c r="G14" i="7"/>
  <c r="F14" i="7"/>
  <c r="E14" i="7"/>
  <c r="D14" i="7"/>
  <c r="C14" i="7"/>
  <c r="M12" i="7"/>
  <c r="L12" i="7"/>
  <c r="K12" i="7"/>
  <c r="J12" i="7"/>
  <c r="I12" i="7"/>
  <c r="H12" i="7"/>
  <c r="G12" i="7"/>
  <c r="F12" i="7"/>
  <c r="E12" i="7"/>
  <c r="D12" i="7"/>
  <c r="C12" i="7"/>
  <c r="M9" i="7"/>
  <c r="L9" i="7"/>
  <c r="L10" i="7" s="1"/>
  <c r="K9" i="7"/>
  <c r="K10" i="7" s="1"/>
  <c r="J9" i="7"/>
  <c r="I9" i="7"/>
  <c r="H9" i="7"/>
  <c r="G9" i="7"/>
  <c r="F9" i="7"/>
  <c r="F10" i="7" s="1"/>
  <c r="E9" i="7"/>
  <c r="E10" i="7" s="1"/>
  <c r="D9" i="7"/>
  <c r="C9" i="7"/>
  <c r="M8" i="7"/>
  <c r="M8" i="2" s="1"/>
  <c r="G8" i="7"/>
  <c r="F8" i="7"/>
  <c r="M7" i="7"/>
  <c r="L7" i="7"/>
  <c r="K7" i="7"/>
  <c r="J7" i="7"/>
  <c r="J27" i="13" s="1"/>
  <c r="I7" i="7"/>
  <c r="H7" i="7"/>
  <c r="G7" i="7"/>
  <c r="G10" i="10" s="1"/>
  <c r="F7" i="7"/>
  <c r="E7" i="7"/>
  <c r="D7" i="7"/>
  <c r="C7" i="7"/>
  <c r="AO26" i="6"/>
  <c r="AN26" i="6"/>
  <c r="AM26" i="6"/>
  <c r="AK26" i="6"/>
  <c r="AA26" i="6"/>
  <c r="Y26" i="6"/>
  <c r="W26" i="6"/>
  <c r="Q26" i="6"/>
  <c r="P26" i="6"/>
  <c r="K26" i="6"/>
  <c r="J26" i="6"/>
  <c r="I26" i="6"/>
  <c r="E26" i="6"/>
  <c r="D26" i="6"/>
  <c r="AT25" i="6"/>
  <c r="AS25" i="6"/>
  <c r="AR25" i="6"/>
  <c r="AQ25" i="6"/>
  <c r="AP25" i="6"/>
  <c r="AP26" i="6" s="1"/>
  <c r="AO25" i="6"/>
  <c r="AN25" i="6"/>
  <c r="AM25" i="6"/>
  <c r="AL25" i="6"/>
  <c r="AK25" i="6"/>
  <c r="AJ25" i="6"/>
  <c r="AJ26" i="6" s="1"/>
  <c r="AI25" i="6"/>
  <c r="AH25" i="6"/>
  <c r="AG25" i="6"/>
  <c r="AF25" i="6"/>
  <c r="AE25" i="6"/>
  <c r="C60" i="16" s="1"/>
  <c r="E60" i="16" s="1"/>
  <c r="B60" i="16" s="1"/>
  <c r="AD25" i="6"/>
  <c r="AD26" i="6" s="1"/>
  <c r="AC25" i="6"/>
  <c r="AC26" i="6" s="1"/>
  <c r="AB25" i="6"/>
  <c r="AA25" i="6"/>
  <c r="Z25" i="6"/>
  <c r="Y25" i="6"/>
  <c r="X25" i="6"/>
  <c r="X26" i="6" s="1"/>
  <c r="W25" i="6"/>
  <c r="V25" i="6"/>
  <c r="U25" i="6"/>
  <c r="T25" i="6"/>
  <c r="S25" i="6"/>
  <c r="C51" i="16" s="1"/>
  <c r="R25" i="6"/>
  <c r="R26" i="6" s="1"/>
  <c r="Q25" i="6"/>
  <c r="P25" i="6"/>
  <c r="O25" i="6"/>
  <c r="N25" i="6"/>
  <c r="M25" i="6"/>
  <c r="M26" i="6" s="1"/>
  <c r="L25" i="6"/>
  <c r="L26" i="6" s="1"/>
  <c r="K25" i="6"/>
  <c r="J25" i="6"/>
  <c r="I25" i="6"/>
  <c r="H25" i="6"/>
  <c r="G25" i="6"/>
  <c r="F25" i="6"/>
  <c r="F26" i="6" s="1"/>
  <c r="E25" i="6"/>
  <c r="D25" i="6"/>
  <c r="C25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AP22" i="6"/>
  <c r="AL22" i="6"/>
  <c r="Z22" i="6"/>
  <c r="R22" i="6"/>
  <c r="F22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E22" i="6" s="1"/>
  <c r="AD21" i="6"/>
  <c r="AC21" i="6"/>
  <c r="AB21" i="6"/>
  <c r="AA21" i="6"/>
  <c r="Z21" i="6"/>
  <c r="Y21" i="6"/>
  <c r="X21" i="6"/>
  <c r="W21" i="6"/>
  <c r="V21" i="6"/>
  <c r="U21" i="6"/>
  <c r="T21" i="6"/>
  <c r="S21" i="6"/>
  <c r="S22" i="6" s="1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AT20" i="6"/>
  <c r="AS20" i="6"/>
  <c r="AR20" i="6"/>
  <c r="AQ20" i="6"/>
  <c r="AP20" i="6"/>
  <c r="AO20" i="6"/>
  <c r="AN20" i="6"/>
  <c r="AM20" i="6"/>
  <c r="AM22" i="6" s="1"/>
  <c r="AL20" i="6"/>
  <c r="AK20" i="6"/>
  <c r="AJ20" i="6"/>
  <c r="AJ22" i="6" s="1"/>
  <c r="AI20" i="6"/>
  <c r="AH20" i="6"/>
  <c r="AG20" i="6"/>
  <c r="AF20" i="6"/>
  <c r="AE20" i="6"/>
  <c r="AD20" i="6"/>
  <c r="AD22" i="6" s="1"/>
  <c r="AC20" i="6"/>
  <c r="AB20" i="6"/>
  <c r="AA20" i="6"/>
  <c r="AA22" i="6" s="1"/>
  <c r="Z20" i="6"/>
  <c r="Y20" i="6"/>
  <c r="Y22" i="6" s="1"/>
  <c r="X20" i="6"/>
  <c r="X22" i="6" s="1"/>
  <c r="W20" i="6"/>
  <c r="V20" i="6"/>
  <c r="U20" i="6"/>
  <c r="T20" i="6"/>
  <c r="S20" i="6"/>
  <c r="R20" i="6"/>
  <c r="Q20" i="6"/>
  <c r="P20" i="6"/>
  <c r="O20" i="6"/>
  <c r="N20" i="6"/>
  <c r="M20" i="6"/>
  <c r="M22" i="6" s="1"/>
  <c r="L20" i="6"/>
  <c r="L22" i="6" s="1"/>
  <c r="K20" i="6"/>
  <c r="J20" i="6"/>
  <c r="I20" i="6"/>
  <c r="I22" i="6" s="1"/>
  <c r="H20" i="6"/>
  <c r="G20" i="6"/>
  <c r="F20" i="6"/>
  <c r="E20" i="6"/>
  <c r="D20" i="6"/>
  <c r="C20" i="6"/>
  <c r="AS19" i="6"/>
  <c r="AQ19" i="6"/>
  <c r="AM19" i="6"/>
  <c r="AL19" i="6"/>
  <c r="AK19" i="6"/>
  <c r="AJ19" i="6"/>
  <c r="AE19" i="6"/>
  <c r="Y19" i="6"/>
  <c r="X19" i="6"/>
  <c r="S19" i="6"/>
  <c r="O19" i="6"/>
  <c r="I19" i="6"/>
  <c r="H19" i="6"/>
  <c r="G19" i="6"/>
  <c r="C19" i="6"/>
  <c r="AT18" i="6"/>
  <c r="AS18" i="6"/>
  <c r="AS16" i="6" s="1"/>
  <c r="AR18" i="6"/>
  <c r="AR22" i="6" s="1"/>
  <c r="AQ18" i="6"/>
  <c r="AP18" i="6"/>
  <c r="AO18" i="6"/>
  <c r="AO19" i="6" s="1"/>
  <c r="AN18" i="6"/>
  <c r="AM18" i="6"/>
  <c r="AL18" i="6"/>
  <c r="AL16" i="6" s="1"/>
  <c r="AK18" i="6"/>
  <c r="AJ18" i="6"/>
  <c r="AI18" i="6"/>
  <c r="AH18" i="6"/>
  <c r="AG18" i="6"/>
  <c r="AF18" i="6"/>
  <c r="AF16" i="6" s="1"/>
  <c r="AE18" i="6"/>
  <c r="AD18" i="6"/>
  <c r="AC18" i="6"/>
  <c r="AC22" i="6" s="1"/>
  <c r="AB18" i="6"/>
  <c r="AA18" i="6"/>
  <c r="Z18" i="6"/>
  <c r="Y18" i="6"/>
  <c r="X18" i="6"/>
  <c r="W18" i="6"/>
  <c r="W16" i="6" s="1"/>
  <c r="V18" i="6"/>
  <c r="U18" i="6"/>
  <c r="T18" i="6"/>
  <c r="S18" i="6"/>
  <c r="R18" i="6"/>
  <c r="Q18" i="6"/>
  <c r="Q16" i="6" s="1"/>
  <c r="Q15" i="6" s="1"/>
  <c r="P18" i="6"/>
  <c r="O18" i="6"/>
  <c r="N18" i="6"/>
  <c r="N22" i="6" s="1"/>
  <c r="M18" i="6"/>
  <c r="M19" i="6" s="1"/>
  <c r="L18" i="6"/>
  <c r="K18" i="6"/>
  <c r="J18" i="6"/>
  <c r="I18" i="6"/>
  <c r="I16" i="6" s="1"/>
  <c r="I15" i="6" s="1"/>
  <c r="H18" i="6"/>
  <c r="H22" i="6" s="1"/>
  <c r="G18" i="6"/>
  <c r="F18" i="6"/>
  <c r="E18" i="6"/>
  <c r="E19" i="6" s="1"/>
  <c r="D18" i="6"/>
  <c r="C18" i="6"/>
  <c r="AT17" i="6"/>
  <c r="AS17" i="6"/>
  <c r="AR17" i="6"/>
  <c r="AQ17" i="6"/>
  <c r="AP17" i="6"/>
  <c r="AO17" i="6"/>
  <c r="AN17" i="6"/>
  <c r="AM17" i="6"/>
  <c r="AL17" i="6"/>
  <c r="AK17" i="6"/>
  <c r="AK16" i="6" s="1"/>
  <c r="AK15" i="6" s="1"/>
  <c r="AJ17" i="6"/>
  <c r="AI17" i="6"/>
  <c r="AH17" i="6"/>
  <c r="AG17" i="6"/>
  <c r="AF17" i="6"/>
  <c r="AE17" i="6"/>
  <c r="AE16" i="6" s="1"/>
  <c r="AE15" i="6" s="1"/>
  <c r="AD17" i="6"/>
  <c r="AC17" i="6"/>
  <c r="AB17" i="6"/>
  <c r="AA17" i="6"/>
  <c r="Z17" i="6"/>
  <c r="Y17" i="6"/>
  <c r="Y16" i="6" s="1"/>
  <c r="Y15" i="6" s="1"/>
  <c r="X17" i="6"/>
  <c r="X16" i="6" s="1"/>
  <c r="W17" i="6"/>
  <c r="V17" i="6"/>
  <c r="U17" i="6"/>
  <c r="T17" i="6"/>
  <c r="S17" i="6"/>
  <c r="S16" i="6" s="1"/>
  <c r="S15" i="6" s="1"/>
  <c r="R17" i="6"/>
  <c r="R16" i="6" s="1"/>
  <c r="Q17" i="6"/>
  <c r="P17" i="6"/>
  <c r="O17" i="6"/>
  <c r="N17" i="6"/>
  <c r="M17" i="6"/>
  <c r="M16" i="6" s="1"/>
  <c r="L17" i="6"/>
  <c r="K17" i="6"/>
  <c r="J17" i="6"/>
  <c r="I17" i="6"/>
  <c r="H17" i="6"/>
  <c r="G17" i="6"/>
  <c r="G16" i="6" s="1"/>
  <c r="G15" i="6" s="1"/>
  <c r="F17" i="6"/>
  <c r="E17" i="6"/>
  <c r="D17" i="6"/>
  <c r="C17" i="6"/>
  <c r="AR16" i="6"/>
  <c r="AQ16" i="6"/>
  <c r="AQ15" i="6" s="1"/>
  <c r="AP16" i="6"/>
  <c r="AJ16" i="6"/>
  <c r="AG16" i="6"/>
  <c r="AG15" i="6" s="1"/>
  <c r="AD16" i="6"/>
  <c r="AA16" i="6"/>
  <c r="Z16" i="6"/>
  <c r="Z15" i="6" s="1"/>
  <c r="U16" i="6"/>
  <c r="U15" i="6" s="1"/>
  <c r="O16" i="6"/>
  <c r="N16" i="6"/>
  <c r="L16" i="6"/>
  <c r="L15" i="6" s="1"/>
  <c r="F16" i="6"/>
  <c r="AS15" i="6"/>
  <c r="AR15" i="6"/>
  <c r="AA15" i="6"/>
  <c r="O15" i="6"/>
  <c r="N15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Q14" i="6" s="1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AT12" i="6"/>
  <c r="AS12" i="6"/>
  <c r="AR12" i="6"/>
  <c r="AQ12" i="6"/>
  <c r="AP12" i="6"/>
  <c r="AO12" i="6"/>
  <c r="AN12" i="6"/>
  <c r="AM12" i="6"/>
  <c r="AL12" i="6"/>
  <c r="AK12" i="6"/>
  <c r="AK14" i="6" s="1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G14" i="6" s="1"/>
  <c r="F12" i="6"/>
  <c r="E12" i="6"/>
  <c r="D12" i="6"/>
  <c r="C12" i="6"/>
  <c r="AQ10" i="6"/>
  <c r="AQ14" i="6" s="1"/>
  <c r="AK10" i="6"/>
  <c r="AK11" i="6" s="1"/>
  <c r="AI10" i="6"/>
  <c r="AI11" i="6" s="1"/>
  <c r="AE10" i="6"/>
  <c r="AE11" i="6" s="1"/>
  <c r="AC10" i="6"/>
  <c r="AC11" i="6" s="1"/>
  <c r="W10" i="6"/>
  <c r="W11" i="6" s="1"/>
  <c r="U10" i="6"/>
  <c r="U14" i="6" s="1"/>
  <c r="Q10" i="6"/>
  <c r="Q11" i="6" s="1"/>
  <c r="M10" i="6"/>
  <c r="M11" i="6" s="1"/>
  <c r="I10" i="6"/>
  <c r="I14" i="6" s="1"/>
  <c r="G10" i="6"/>
  <c r="G11" i="6" s="1"/>
  <c r="AT9" i="6"/>
  <c r="AS9" i="6"/>
  <c r="AS10" i="6" s="1"/>
  <c r="AR9" i="6"/>
  <c r="AR10" i="6" s="1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AA10" i="6" s="1"/>
  <c r="Z9" i="6"/>
  <c r="Y9" i="6"/>
  <c r="Y10" i="6" s="1"/>
  <c r="X9" i="6"/>
  <c r="W9" i="6"/>
  <c r="V9" i="6"/>
  <c r="U9" i="6"/>
  <c r="T9" i="6"/>
  <c r="S9" i="6"/>
  <c r="S10" i="6" s="1"/>
  <c r="R9" i="6"/>
  <c r="Q9" i="6"/>
  <c r="P9" i="6"/>
  <c r="O9" i="6"/>
  <c r="O10" i="6" s="1"/>
  <c r="N9" i="6"/>
  <c r="N10" i="6" s="1"/>
  <c r="M9" i="6"/>
  <c r="L9" i="6"/>
  <c r="K9" i="6"/>
  <c r="K10" i="6" s="1"/>
  <c r="J9" i="6"/>
  <c r="I9" i="6"/>
  <c r="H9" i="6"/>
  <c r="G9" i="6"/>
  <c r="F9" i="6"/>
  <c r="E9" i="6"/>
  <c r="D9" i="6"/>
  <c r="C9" i="6"/>
  <c r="AT8" i="6"/>
  <c r="AO8" i="6"/>
  <c r="AM8" i="6"/>
  <c r="AK8" i="6"/>
  <c r="AI8" i="6"/>
  <c r="AE8" i="6"/>
  <c r="AA8" i="6"/>
  <c r="Y8" i="6"/>
  <c r="W8" i="6"/>
  <c r="S8" i="6"/>
  <c r="Q8" i="6"/>
  <c r="P8" i="6"/>
  <c r="K8" i="6"/>
  <c r="I8" i="6"/>
  <c r="AS7" i="6"/>
  <c r="AR7" i="6"/>
  <c r="AO7" i="6"/>
  <c r="AI7" i="6"/>
  <c r="AH7" i="6"/>
  <c r="AC7" i="6"/>
  <c r="AB7" i="6"/>
  <c r="AA7" i="6"/>
  <c r="W7" i="6"/>
  <c r="V7" i="6"/>
  <c r="Q7" i="6"/>
  <c r="P7" i="6"/>
  <c r="O7" i="6"/>
  <c r="N7" i="6"/>
  <c r="H7" i="6"/>
  <c r="E7" i="6"/>
  <c r="AT6" i="6"/>
  <c r="AS6" i="6"/>
  <c r="AS8" i="6" s="1"/>
  <c r="AR6" i="6"/>
  <c r="AR8" i="6" s="1"/>
  <c r="AQ6" i="6"/>
  <c r="AP6" i="6"/>
  <c r="AO6" i="6"/>
  <c r="AO10" i="6" s="1"/>
  <c r="AN6" i="6"/>
  <c r="AM6" i="6"/>
  <c r="AL6" i="6"/>
  <c r="AL8" i="6" s="1"/>
  <c r="AK6" i="6"/>
  <c r="AJ6" i="6"/>
  <c r="AI6" i="6"/>
  <c r="AH6" i="6"/>
  <c r="AG6" i="6"/>
  <c r="AF6" i="6"/>
  <c r="AE6" i="6"/>
  <c r="AD6" i="6"/>
  <c r="AD7" i="6" s="1"/>
  <c r="AC6" i="6"/>
  <c r="AC8" i="6" s="1"/>
  <c r="AB6" i="6"/>
  <c r="AA6" i="6"/>
  <c r="Z6" i="6"/>
  <c r="Y6" i="6"/>
  <c r="X6" i="6"/>
  <c r="W6" i="6"/>
  <c r="V6" i="6"/>
  <c r="U6" i="6"/>
  <c r="T6" i="6"/>
  <c r="T8" i="6" s="1"/>
  <c r="S6" i="6"/>
  <c r="R6" i="6"/>
  <c r="Q6" i="6"/>
  <c r="P6" i="6"/>
  <c r="O6" i="6"/>
  <c r="N6" i="6"/>
  <c r="N8" i="6" s="1"/>
  <c r="M6" i="6"/>
  <c r="L6" i="6"/>
  <c r="K6" i="6"/>
  <c r="J6" i="6"/>
  <c r="I6" i="6"/>
  <c r="M8" i="6" s="1"/>
  <c r="H6" i="6"/>
  <c r="H8" i="6" s="1"/>
  <c r="G6" i="6"/>
  <c r="F6" i="6"/>
  <c r="E6" i="6"/>
  <c r="E10" i="6" s="1"/>
  <c r="E11" i="6" s="1"/>
  <c r="D6" i="6"/>
  <c r="C6" i="6"/>
  <c r="H28" i="2"/>
  <c r="F28" i="2"/>
  <c r="E28" i="2"/>
  <c r="M25" i="2"/>
  <c r="L25" i="2"/>
  <c r="K25" i="2"/>
  <c r="J25" i="2"/>
  <c r="I25" i="2"/>
  <c r="H25" i="2"/>
  <c r="G25" i="2"/>
  <c r="F25" i="2"/>
  <c r="E25" i="2"/>
  <c r="D25" i="2"/>
  <c r="C25" i="2"/>
  <c r="M24" i="2"/>
  <c r="L24" i="2"/>
  <c r="K24" i="2"/>
  <c r="J24" i="2"/>
  <c r="I24" i="2"/>
  <c r="H24" i="2"/>
  <c r="G24" i="2"/>
  <c r="F24" i="2"/>
  <c r="E24" i="2"/>
  <c r="D24" i="2"/>
  <c r="C24" i="2"/>
  <c r="M23" i="2"/>
  <c r="L23" i="2"/>
  <c r="K23" i="2"/>
  <c r="J23" i="2"/>
  <c r="I23" i="2"/>
  <c r="H23" i="2"/>
  <c r="G23" i="2"/>
  <c r="F23" i="2"/>
  <c r="E23" i="2"/>
  <c r="D23" i="2"/>
  <c r="C23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L21" i="2"/>
  <c r="J21" i="2"/>
  <c r="H21" i="2"/>
  <c r="F21" i="2"/>
  <c r="D21" i="2"/>
  <c r="M20" i="2"/>
  <c r="L20" i="2"/>
  <c r="K20" i="2"/>
  <c r="J20" i="2"/>
  <c r="I20" i="2"/>
  <c r="H20" i="2"/>
  <c r="G20" i="2"/>
  <c r="F20" i="2"/>
  <c r="E20" i="2"/>
  <c r="D20" i="2"/>
  <c r="C20" i="2"/>
  <c r="M18" i="2"/>
  <c r="L18" i="2"/>
  <c r="K18" i="2"/>
  <c r="J18" i="2"/>
  <c r="H18" i="2"/>
  <c r="G18" i="2"/>
  <c r="F18" i="2"/>
  <c r="E18" i="2"/>
  <c r="D18" i="2"/>
  <c r="K17" i="2"/>
  <c r="J17" i="2"/>
  <c r="I17" i="2"/>
  <c r="D17" i="2"/>
  <c r="C17" i="2"/>
  <c r="L16" i="2"/>
  <c r="K16" i="2"/>
  <c r="J16" i="2"/>
  <c r="I16" i="2"/>
  <c r="H16" i="2"/>
  <c r="F16" i="2"/>
  <c r="E16" i="2"/>
  <c r="D16" i="2"/>
  <c r="C16" i="2"/>
  <c r="J15" i="2"/>
  <c r="D15" i="2"/>
  <c r="K14" i="2"/>
  <c r="K13" i="2"/>
  <c r="J13" i="2"/>
  <c r="I13" i="2"/>
  <c r="H13" i="2"/>
  <c r="F13" i="2"/>
  <c r="E13" i="2"/>
  <c r="D13" i="2"/>
  <c r="C13" i="2"/>
  <c r="F12" i="2"/>
  <c r="M11" i="2"/>
  <c r="L11" i="2"/>
  <c r="I11" i="2"/>
  <c r="H11" i="2"/>
  <c r="G11" i="2"/>
  <c r="F11" i="2"/>
  <c r="C11" i="2"/>
  <c r="H10" i="2"/>
  <c r="F10" i="2"/>
  <c r="H9" i="2"/>
  <c r="F9" i="2"/>
  <c r="G8" i="2"/>
  <c r="F8" i="2"/>
  <c r="C8" i="2"/>
  <c r="L7" i="2"/>
  <c r="K7" i="2"/>
  <c r="J7" i="2"/>
  <c r="H7" i="2"/>
  <c r="F7" i="2"/>
  <c r="E7" i="2"/>
  <c r="N14" i="6" l="1"/>
  <c r="N11" i="6"/>
  <c r="AR14" i="6"/>
  <c r="AR11" i="6"/>
  <c r="AC14" i="6"/>
  <c r="O11" i="6"/>
  <c r="O14" i="6"/>
  <c r="AS11" i="6"/>
  <c r="AS14" i="6"/>
  <c r="AA14" i="6"/>
  <c r="AA11" i="6"/>
  <c r="M15" i="6"/>
  <c r="M14" i="6"/>
  <c r="W15" i="6"/>
  <c r="W14" i="6"/>
  <c r="E13" i="7"/>
  <c r="E11" i="7"/>
  <c r="K15" i="7"/>
  <c r="K13" i="7"/>
  <c r="K11" i="7"/>
  <c r="F13" i="7"/>
  <c r="F15" i="7"/>
  <c r="F11" i="7"/>
  <c r="L13" i="7"/>
  <c r="L11" i="7"/>
  <c r="AJ7" i="6"/>
  <c r="AJ8" i="6"/>
  <c r="C44" i="16"/>
  <c r="E44" i="16" s="1"/>
  <c r="B44" i="16" s="1"/>
  <c r="K16" i="6"/>
  <c r="K15" i="6" s="1"/>
  <c r="C62" i="16"/>
  <c r="AI19" i="6"/>
  <c r="E22" i="6"/>
  <c r="Q22" i="6"/>
  <c r="D37" i="16"/>
  <c r="C22" i="13"/>
  <c r="C27" i="13"/>
  <c r="C16" i="10"/>
  <c r="C23" i="11"/>
  <c r="D55" i="16"/>
  <c r="I22" i="13"/>
  <c r="I27" i="13"/>
  <c r="I16" i="10"/>
  <c r="I14" i="10"/>
  <c r="I12" i="11"/>
  <c r="I12" i="10"/>
  <c r="I24" i="13" s="1"/>
  <c r="I10" i="10"/>
  <c r="I38" i="11"/>
  <c r="I23" i="11"/>
  <c r="I7" i="2"/>
  <c r="I8" i="10"/>
  <c r="D59" i="16"/>
  <c r="J21" i="7"/>
  <c r="J12" i="2" s="1"/>
  <c r="J17" i="7"/>
  <c r="I25" i="7"/>
  <c r="E27" i="7"/>
  <c r="C30" i="7"/>
  <c r="C14" i="2" s="1"/>
  <c r="Q18" i="11"/>
  <c r="L25" i="11"/>
  <c r="L27" i="11"/>
  <c r="L26" i="11"/>
  <c r="F7" i="6"/>
  <c r="F19" i="6"/>
  <c r="L7" i="6"/>
  <c r="L10" i="6"/>
  <c r="L19" i="6"/>
  <c r="R7" i="6"/>
  <c r="S7" i="6"/>
  <c r="R10" i="6"/>
  <c r="X7" i="6"/>
  <c r="Y7" i="6"/>
  <c r="AP7" i="6"/>
  <c r="AP19" i="6"/>
  <c r="AP8" i="6"/>
  <c r="G7" i="6"/>
  <c r="Q19" i="6"/>
  <c r="C42" i="16"/>
  <c r="E42" i="16" s="1"/>
  <c r="B42" i="16" s="1"/>
  <c r="G26" i="6"/>
  <c r="D40" i="16"/>
  <c r="D22" i="13"/>
  <c r="D16" i="10"/>
  <c r="D38" i="11"/>
  <c r="D27" i="13"/>
  <c r="D12" i="11"/>
  <c r="D10" i="7"/>
  <c r="D8" i="7"/>
  <c r="D8" i="2" s="1"/>
  <c r="D12" i="13"/>
  <c r="D23" i="11"/>
  <c r="D30" i="7"/>
  <c r="D14" i="2" s="1"/>
  <c r="D44" i="16"/>
  <c r="E24" i="7"/>
  <c r="E25" i="7" s="1"/>
  <c r="E21" i="7"/>
  <c r="E12" i="2" s="1"/>
  <c r="E17" i="7"/>
  <c r="J24" i="7"/>
  <c r="J25" i="7" s="1"/>
  <c r="E8" i="15"/>
  <c r="E9" i="15" s="1"/>
  <c r="E32" i="7"/>
  <c r="E34" i="7" s="1"/>
  <c r="K8" i="15"/>
  <c r="K9" i="15" s="1"/>
  <c r="K32" i="7"/>
  <c r="C10" i="15"/>
  <c r="C12" i="15" s="1"/>
  <c r="C14" i="15" s="1"/>
  <c r="C27" i="2" s="1"/>
  <c r="C36" i="9"/>
  <c r="C11" i="8"/>
  <c r="I10" i="15"/>
  <c r="I36" i="9"/>
  <c r="J34" i="9"/>
  <c r="I34" i="8"/>
  <c r="I19" i="2" s="1"/>
  <c r="I11" i="8"/>
  <c r="H21" i="9"/>
  <c r="D17" i="10"/>
  <c r="AK7" i="6"/>
  <c r="R8" i="6"/>
  <c r="AD8" i="6"/>
  <c r="AJ10" i="6"/>
  <c r="AC19" i="6"/>
  <c r="AO22" i="6"/>
  <c r="G18" i="7"/>
  <c r="G10" i="2" s="1"/>
  <c r="G9" i="2"/>
  <c r="I21" i="7"/>
  <c r="I12" i="2" s="1"/>
  <c r="J30" i="7"/>
  <c r="J14" i="2" s="1"/>
  <c r="E11" i="8"/>
  <c r="E12" i="9" s="1"/>
  <c r="E9" i="9" s="1"/>
  <c r="E16" i="8"/>
  <c r="E14" i="9" s="1"/>
  <c r="P26" i="8"/>
  <c r="E29" i="9"/>
  <c r="K29" i="9"/>
  <c r="E15" i="11"/>
  <c r="E13" i="11"/>
  <c r="E14" i="11"/>
  <c r="L24" i="11"/>
  <c r="Q35" i="11"/>
  <c r="J11" i="2"/>
  <c r="Z8" i="6"/>
  <c r="Z10" i="6"/>
  <c r="Z7" i="6"/>
  <c r="AF8" i="6"/>
  <c r="AF10" i="6"/>
  <c r="AF7" i="6"/>
  <c r="I7" i="6"/>
  <c r="AL7" i="6"/>
  <c r="J8" i="6"/>
  <c r="K11" i="6"/>
  <c r="K14" i="6"/>
  <c r="AL15" i="6"/>
  <c r="T19" i="6"/>
  <c r="AF15" i="6"/>
  <c r="S26" i="6"/>
  <c r="D48" i="16"/>
  <c r="F7" i="9"/>
  <c r="K27" i="8"/>
  <c r="F34" i="7"/>
  <c r="G16" i="15"/>
  <c r="G17" i="15" s="1"/>
  <c r="G28" i="2" s="1"/>
  <c r="G36" i="7"/>
  <c r="F14" i="9"/>
  <c r="E24" i="9"/>
  <c r="D51" i="16"/>
  <c r="E51" i="16" s="1"/>
  <c r="B51" i="16" s="1"/>
  <c r="G30" i="7"/>
  <c r="G14" i="2" s="1"/>
  <c r="G13" i="2"/>
  <c r="D69" i="16"/>
  <c r="M30" i="7"/>
  <c r="M14" i="2" s="1"/>
  <c r="M7" i="9"/>
  <c r="M13" i="2"/>
  <c r="M33" i="7"/>
  <c r="M36" i="7" s="1"/>
  <c r="L30" i="7"/>
  <c r="L14" i="2" s="1"/>
  <c r="I13" i="15"/>
  <c r="I26" i="2" s="1"/>
  <c r="I15" i="2"/>
  <c r="H36" i="7"/>
  <c r="G14" i="9"/>
  <c r="K16" i="8"/>
  <c r="K14" i="9" s="1"/>
  <c r="M22" i="8"/>
  <c r="M23" i="9"/>
  <c r="F24" i="9"/>
  <c r="F22" i="8"/>
  <c r="F11" i="15" s="1"/>
  <c r="E32" i="8"/>
  <c r="H27" i="8"/>
  <c r="H28" i="8" s="1"/>
  <c r="G7" i="9"/>
  <c r="G9" i="9" s="1"/>
  <c r="G38" i="9"/>
  <c r="G17" i="2" s="1"/>
  <c r="G31" i="9"/>
  <c r="G16" i="2"/>
  <c r="M38" i="9"/>
  <c r="M17" i="2" s="1"/>
  <c r="M16" i="9"/>
  <c r="M31" i="9"/>
  <c r="M16" i="2"/>
  <c r="K20" i="9"/>
  <c r="K21" i="9" s="1"/>
  <c r="K31" i="9"/>
  <c r="G23" i="9"/>
  <c r="G29" i="9" s="1"/>
  <c r="C35" i="7"/>
  <c r="C27" i="8"/>
  <c r="C28" i="8" s="1"/>
  <c r="I16" i="15"/>
  <c r="I17" i="15" s="1"/>
  <c r="I28" i="2" s="1"/>
  <c r="D34" i="9"/>
  <c r="D18" i="16"/>
  <c r="I11" i="6"/>
  <c r="U11" i="6"/>
  <c r="C53" i="16"/>
  <c r="E53" i="16" s="1"/>
  <c r="B53" i="16" s="1"/>
  <c r="W22" i="6"/>
  <c r="D41" i="16"/>
  <c r="D21" i="7"/>
  <c r="D12" i="2" s="1"/>
  <c r="D17" i="7"/>
  <c r="D24" i="7"/>
  <c r="D25" i="7" s="1"/>
  <c r="I27" i="7"/>
  <c r="M16" i="15"/>
  <c r="M17" i="15" s="1"/>
  <c r="M28" i="2" s="1"/>
  <c r="I22" i="8"/>
  <c r="I11" i="15" s="1"/>
  <c r="I23" i="9"/>
  <c r="I29" i="9" s="1"/>
  <c r="E21" i="9"/>
  <c r="K16" i="15"/>
  <c r="K17" i="15" s="1"/>
  <c r="K28" i="2" s="1"/>
  <c r="C7" i="2"/>
  <c r="AQ11" i="6"/>
  <c r="AI16" i="6"/>
  <c r="C69" i="16"/>
  <c r="E69" i="16" s="1"/>
  <c r="B69" i="16" s="1"/>
  <c r="AQ26" i="6"/>
  <c r="D58" i="16"/>
  <c r="J22" i="13"/>
  <c r="J16" i="10"/>
  <c r="J14" i="10"/>
  <c r="J12" i="10"/>
  <c r="J24" i="13" s="1"/>
  <c r="J8" i="10"/>
  <c r="J10" i="7"/>
  <c r="J8" i="7"/>
  <c r="J8" i="2" s="1"/>
  <c r="J23" i="11"/>
  <c r="D62" i="16"/>
  <c r="K21" i="7"/>
  <c r="K12" i="2" s="1"/>
  <c r="K17" i="7"/>
  <c r="K24" i="7"/>
  <c r="E13" i="9"/>
  <c r="G15" i="10"/>
  <c r="G17" i="10" s="1"/>
  <c r="D7" i="2"/>
  <c r="X10" i="6"/>
  <c r="E16" i="6"/>
  <c r="E15" i="6" s="1"/>
  <c r="AJ15" i="6"/>
  <c r="AK22" i="6"/>
  <c r="R19" i="6"/>
  <c r="I10" i="7"/>
  <c r="K28" i="8"/>
  <c r="K30" i="8"/>
  <c r="K31" i="8" s="1"/>
  <c r="K32" i="8" s="1"/>
  <c r="AN8" i="6"/>
  <c r="F10" i="6"/>
  <c r="F15" i="6"/>
  <c r="Z19" i="6"/>
  <c r="AD19" i="6"/>
  <c r="K22" i="6"/>
  <c r="T22" i="6"/>
  <c r="AF22" i="6"/>
  <c r="AE26" i="6"/>
  <c r="H27" i="7"/>
  <c r="D66" i="16"/>
  <c r="L33" i="7"/>
  <c r="L36" i="7" s="1"/>
  <c r="L7" i="9"/>
  <c r="F20" i="9"/>
  <c r="F21" i="9" s="1"/>
  <c r="E20" i="9"/>
  <c r="L11" i="8"/>
  <c r="L12" i="9" s="1"/>
  <c r="L16" i="8"/>
  <c r="L14" i="9" s="1"/>
  <c r="J14" i="9"/>
  <c r="K24" i="9"/>
  <c r="E22" i="8"/>
  <c r="E11" i="15" s="1"/>
  <c r="G27" i="8"/>
  <c r="G28" i="8" s="1"/>
  <c r="F31" i="8"/>
  <c r="F15" i="15" s="1"/>
  <c r="F29" i="9"/>
  <c r="D14" i="16"/>
  <c r="F32" i="9"/>
  <c r="F33" i="9" s="1"/>
  <c r="E17" i="10"/>
  <c r="F15" i="11"/>
  <c r="F13" i="11"/>
  <c r="F14" i="11"/>
  <c r="O36" i="11"/>
  <c r="E11" i="2"/>
  <c r="K11" i="2"/>
  <c r="C37" i="16"/>
  <c r="G8" i="6"/>
  <c r="C10" i="6"/>
  <c r="C46" i="16"/>
  <c r="E46" i="16" s="1"/>
  <c r="B46" i="16" s="1"/>
  <c r="O8" i="6"/>
  <c r="U26" i="6"/>
  <c r="U8" i="6"/>
  <c r="C55" i="16"/>
  <c r="AG10" i="6"/>
  <c r="AG7" i="6"/>
  <c r="C64" i="16"/>
  <c r="AQ8" i="6"/>
  <c r="AM10" i="6"/>
  <c r="AM7" i="6"/>
  <c r="J7" i="6"/>
  <c r="T7" i="6"/>
  <c r="AG8" i="6"/>
  <c r="AL10" i="6"/>
  <c r="AC16" i="6"/>
  <c r="AC15" i="6" s="1"/>
  <c r="AO16" i="6"/>
  <c r="AO15" i="6" s="1"/>
  <c r="C38" i="16"/>
  <c r="C16" i="6"/>
  <c r="C15" i="6" s="1"/>
  <c r="C47" i="16"/>
  <c r="E47" i="16" s="1"/>
  <c r="B47" i="16" s="1"/>
  <c r="O22" i="6"/>
  <c r="U22" i="6"/>
  <c r="C56" i="16"/>
  <c r="E56" i="16" s="1"/>
  <c r="B56" i="16" s="1"/>
  <c r="AA19" i="6"/>
  <c r="AG19" i="6"/>
  <c r="C65" i="16"/>
  <c r="E65" i="16" s="1"/>
  <c r="B65" i="16" s="1"/>
  <c r="AM16" i="6"/>
  <c r="AM15" i="6" s="1"/>
  <c r="K19" i="6"/>
  <c r="U19" i="6"/>
  <c r="AG22" i="6"/>
  <c r="AS22" i="6"/>
  <c r="AG26" i="6"/>
  <c r="AS26" i="6"/>
  <c r="D49" i="16"/>
  <c r="G27" i="13"/>
  <c r="G23" i="11"/>
  <c r="G12" i="11"/>
  <c r="G14" i="10"/>
  <c r="G7" i="2"/>
  <c r="G12" i="10"/>
  <c r="G24" i="13" s="1"/>
  <c r="G16" i="10"/>
  <c r="G22" i="13"/>
  <c r="G21" i="7"/>
  <c r="G12" i="2" s="1"/>
  <c r="G10" i="7"/>
  <c r="D67" i="16"/>
  <c r="M27" i="13"/>
  <c r="M22" i="13"/>
  <c r="M23" i="13" s="1"/>
  <c r="M23" i="11"/>
  <c r="M14" i="10"/>
  <c r="M10" i="10"/>
  <c r="M7" i="2"/>
  <c r="M8" i="10"/>
  <c r="M12" i="10"/>
  <c r="M24" i="13" s="1"/>
  <c r="N24" i="13" s="1"/>
  <c r="H8" i="7"/>
  <c r="H8" i="2" s="1"/>
  <c r="M18" i="7"/>
  <c r="M10" i="2" s="1"/>
  <c r="M9" i="2"/>
  <c r="L13" i="2"/>
  <c r="C18" i="2"/>
  <c r="I18" i="2"/>
  <c r="D10" i="6"/>
  <c r="D7" i="6"/>
  <c r="J10" i="6"/>
  <c r="P10" i="6"/>
  <c r="V10" i="6"/>
  <c r="V26" i="6"/>
  <c r="V8" i="6"/>
  <c r="AB10" i="6"/>
  <c r="AB26" i="6"/>
  <c r="AB8" i="6"/>
  <c r="AH10" i="6"/>
  <c r="AN10" i="6"/>
  <c r="AN7" i="6"/>
  <c r="AT10" i="6"/>
  <c r="AT7" i="6"/>
  <c r="M7" i="6"/>
  <c r="U7" i="6"/>
  <c r="AE7" i="6"/>
  <c r="AQ7" i="6"/>
  <c r="L8" i="6"/>
  <c r="X8" i="6"/>
  <c r="AH8" i="6"/>
  <c r="S14" i="6"/>
  <c r="Y11" i="6"/>
  <c r="Y14" i="6"/>
  <c r="H10" i="6"/>
  <c r="T10" i="6"/>
  <c r="AD10" i="6"/>
  <c r="AP10" i="6"/>
  <c r="S11" i="6"/>
  <c r="AO11" i="6"/>
  <c r="AE14" i="6"/>
  <c r="H16" i="6"/>
  <c r="H15" i="6" s="1"/>
  <c r="T16" i="6"/>
  <c r="T15" i="6" s="1"/>
  <c r="AD15" i="6"/>
  <c r="AP15" i="6"/>
  <c r="R15" i="6"/>
  <c r="X15" i="6"/>
  <c r="D22" i="6"/>
  <c r="D19" i="6"/>
  <c r="D16" i="6"/>
  <c r="D15" i="6" s="1"/>
  <c r="J22" i="6"/>
  <c r="J19" i="6"/>
  <c r="J16" i="6"/>
  <c r="J15" i="6" s="1"/>
  <c r="P22" i="6"/>
  <c r="P19" i="6"/>
  <c r="P16" i="6"/>
  <c r="P15" i="6" s="1"/>
  <c r="V22" i="6"/>
  <c r="V19" i="6"/>
  <c r="V16" i="6"/>
  <c r="V15" i="6" s="1"/>
  <c r="AB22" i="6"/>
  <c r="AB19" i="6"/>
  <c r="AB16" i="6"/>
  <c r="AB15" i="6" s="1"/>
  <c r="AH22" i="6"/>
  <c r="AH19" i="6"/>
  <c r="AH16" i="6"/>
  <c r="AH15" i="6" s="1"/>
  <c r="AN22" i="6"/>
  <c r="AN19" i="6"/>
  <c r="AN16" i="6"/>
  <c r="AN15" i="6" s="1"/>
  <c r="AT22" i="6"/>
  <c r="AT19" i="6"/>
  <c r="AT16" i="6"/>
  <c r="AT15" i="6" s="1"/>
  <c r="N19" i="6"/>
  <c r="W19" i="6"/>
  <c r="AF19" i="6"/>
  <c r="AR19" i="6"/>
  <c r="G22" i="6"/>
  <c r="AQ22" i="6"/>
  <c r="C22" i="6"/>
  <c r="AI22" i="6"/>
  <c r="C45" i="16"/>
  <c r="C54" i="16"/>
  <c r="C63" i="16"/>
  <c r="E63" i="16" s="1"/>
  <c r="B63" i="16" s="1"/>
  <c r="AI26" i="6"/>
  <c r="C26" i="6"/>
  <c r="AH26" i="6"/>
  <c r="AT26" i="6"/>
  <c r="D52" i="16"/>
  <c r="H22" i="13"/>
  <c r="H27" i="13"/>
  <c r="H23" i="11"/>
  <c r="H12" i="11"/>
  <c r="H12" i="10"/>
  <c r="H24" i="13" s="1"/>
  <c r="H16" i="10"/>
  <c r="H10" i="10"/>
  <c r="H15" i="10" s="1"/>
  <c r="H17" i="10" s="1"/>
  <c r="H10" i="7"/>
  <c r="H38" i="11"/>
  <c r="I8" i="7"/>
  <c r="I8" i="2" s="1"/>
  <c r="C10" i="7"/>
  <c r="M10" i="7"/>
  <c r="D38" i="16"/>
  <c r="C21" i="7"/>
  <c r="C12" i="2" s="1"/>
  <c r="C17" i="7"/>
  <c r="C24" i="7"/>
  <c r="D56" i="16"/>
  <c r="I17" i="7"/>
  <c r="D54" i="16"/>
  <c r="H30" i="7"/>
  <c r="H14" i="2" s="1"/>
  <c r="I12" i="15"/>
  <c r="I14" i="15" s="1"/>
  <c r="I27" i="2" s="1"/>
  <c r="O8" i="15"/>
  <c r="P31" i="7"/>
  <c r="I33" i="7"/>
  <c r="I36" i="7" s="1"/>
  <c r="L16" i="15"/>
  <c r="L17" i="15" s="1"/>
  <c r="L28" i="2" s="1"/>
  <c r="L11" i="9"/>
  <c r="H16" i="8"/>
  <c r="H14" i="9" s="1"/>
  <c r="C16" i="8"/>
  <c r="D14" i="9" s="1"/>
  <c r="C7" i="16"/>
  <c r="C30" i="8"/>
  <c r="C31" i="8" s="1"/>
  <c r="C32" i="8" s="1"/>
  <c r="C19" i="16"/>
  <c r="I30" i="8"/>
  <c r="I31" i="8" s="1"/>
  <c r="I32" i="8" s="1"/>
  <c r="D19" i="16" s="1"/>
  <c r="I33" i="8"/>
  <c r="H22" i="8"/>
  <c r="H23" i="9"/>
  <c r="H29" i="9" s="1"/>
  <c r="G24" i="9"/>
  <c r="M24" i="9"/>
  <c r="L22" i="8"/>
  <c r="L11" i="15" s="1"/>
  <c r="I27" i="8"/>
  <c r="I28" i="8" s="1"/>
  <c r="E31" i="8"/>
  <c r="C34" i="8"/>
  <c r="C19" i="2" s="1"/>
  <c r="H7" i="9"/>
  <c r="K13" i="9"/>
  <c r="H38" i="9"/>
  <c r="H17" i="2" s="1"/>
  <c r="H31" i="9"/>
  <c r="J16" i="15"/>
  <c r="J17" i="15" s="1"/>
  <c r="J28" i="2" s="1"/>
  <c r="J10" i="10"/>
  <c r="O30" i="11"/>
  <c r="N37" i="11"/>
  <c r="I10" i="9"/>
  <c r="C13" i="16"/>
  <c r="D23" i="9"/>
  <c r="D29" i="9" s="1"/>
  <c r="J23" i="9"/>
  <c r="J29" i="9" s="1"/>
  <c r="D28" i="8"/>
  <c r="H31" i="8"/>
  <c r="H15" i="15" s="1"/>
  <c r="C16" i="9"/>
  <c r="C9" i="9"/>
  <c r="E18" i="9"/>
  <c r="L29" i="9"/>
  <c r="C15" i="10"/>
  <c r="C17" i="10" s="1"/>
  <c r="P9" i="11"/>
  <c r="H26" i="6"/>
  <c r="N26" i="6"/>
  <c r="T26" i="6"/>
  <c r="Z26" i="6"/>
  <c r="AF26" i="6"/>
  <c r="AL26" i="6"/>
  <c r="AR26" i="6"/>
  <c r="D43" i="16"/>
  <c r="E27" i="13"/>
  <c r="E22" i="13"/>
  <c r="E38" i="11"/>
  <c r="E23" i="11"/>
  <c r="D61" i="16"/>
  <c r="K27" i="13"/>
  <c r="K22" i="13"/>
  <c r="K12" i="10"/>
  <c r="K24" i="13" s="1"/>
  <c r="K10" i="10"/>
  <c r="K16" i="10"/>
  <c r="K23" i="11"/>
  <c r="K8" i="7"/>
  <c r="K8" i="2" s="1"/>
  <c r="E10" i="15"/>
  <c r="F34" i="9"/>
  <c r="E34" i="8"/>
  <c r="E19" i="2" s="1"/>
  <c r="K10" i="15"/>
  <c r="K36" i="9"/>
  <c r="J10" i="9"/>
  <c r="H11" i="9"/>
  <c r="H11" i="8"/>
  <c r="H12" i="9" s="1"/>
  <c r="C15" i="16"/>
  <c r="G30" i="8"/>
  <c r="G31" i="8" s="1"/>
  <c r="G32" i="8" s="1"/>
  <c r="C27" i="16"/>
  <c r="M30" i="8"/>
  <c r="K22" i="8"/>
  <c r="L30" i="8"/>
  <c r="L31" i="8" s="1"/>
  <c r="L32" i="8" s="1"/>
  <c r="D25" i="16" s="1"/>
  <c r="D31" i="9"/>
  <c r="J31" i="9"/>
  <c r="F18" i="9"/>
  <c r="F38" i="9"/>
  <c r="F17" i="2" s="1"/>
  <c r="D21" i="9"/>
  <c r="J21" i="9"/>
  <c r="I31" i="9"/>
  <c r="K8" i="10"/>
  <c r="N22" i="11"/>
  <c r="O31" i="11"/>
  <c r="O34" i="11"/>
  <c r="D7" i="13"/>
  <c r="D33" i="13"/>
  <c r="C8" i="13"/>
  <c r="J7" i="13"/>
  <c r="I34" i="13"/>
  <c r="I7" i="13"/>
  <c r="J33" i="13"/>
  <c r="I8" i="13"/>
  <c r="P23" i="13"/>
  <c r="Q21" i="13"/>
  <c r="P22" i="2"/>
  <c r="C43" i="16"/>
  <c r="C52" i="16"/>
  <c r="C61" i="16"/>
  <c r="E61" i="16" s="1"/>
  <c r="B61" i="16" s="1"/>
  <c r="K7" i="6"/>
  <c r="C41" i="16"/>
  <c r="E41" i="16" s="1"/>
  <c r="B41" i="16" s="1"/>
  <c r="C50" i="16"/>
  <c r="E50" i="16" s="1"/>
  <c r="B50" i="16" s="1"/>
  <c r="C59" i="16"/>
  <c r="C68" i="16"/>
  <c r="E68" i="16" s="1"/>
  <c r="B68" i="16" s="1"/>
  <c r="C39" i="16"/>
  <c r="E39" i="16" s="1"/>
  <c r="B39" i="16" s="1"/>
  <c r="C48" i="16"/>
  <c r="C57" i="16"/>
  <c r="E57" i="16" s="1"/>
  <c r="B57" i="16" s="1"/>
  <c r="C66" i="16"/>
  <c r="O26" i="6"/>
  <c r="E8" i="7"/>
  <c r="E8" i="2" s="1"/>
  <c r="L8" i="7"/>
  <c r="L8" i="2" s="1"/>
  <c r="H21" i="7"/>
  <c r="H12" i="2" s="1"/>
  <c r="D45" i="16"/>
  <c r="E33" i="7"/>
  <c r="E36" i="7" s="1"/>
  <c r="E7" i="9"/>
  <c r="E16" i="9" s="1"/>
  <c r="D63" i="16"/>
  <c r="K34" i="7"/>
  <c r="K33" i="7"/>
  <c r="K36" i="7" s="1"/>
  <c r="E30" i="7"/>
  <c r="E14" i="2" s="1"/>
  <c r="H32" i="7"/>
  <c r="H34" i="7" s="1"/>
  <c r="F10" i="15"/>
  <c r="F12" i="15" s="1"/>
  <c r="F14" i="15" s="1"/>
  <c r="F27" i="2" s="1"/>
  <c r="G34" i="9"/>
  <c r="F34" i="8"/>
  <c r="F19" i="2" s="1"/>
  <c r="L10" i="15"/>
  <c r="M34" i="9"/>
  <c r="L36" i="9"/>
  <c r="I20" i="9"/>
  <c r="I21" i="9" s="1"/>
  <c r="C17" i="16"/>
  <c r="H30" i="8"/>
  <c r="K16" i="9"/>
  <c r="N26" i="9"/>
  <c r="E36" i="9"/>
  <c r="E16" i="10"/>
  <c r="O10" i="11"/>
  <c r="O20" i="11"/>
  <c r="D39" i="16"/>
  <c r="J27" i="8"/>
  <c r="J28" i="8" s="1"/>
  <c r="D27" i="8"/>
  <c r="L12" i="15"/>
  <c r="L14" i="15" s="1"/>
  <c r="L27" i="2" s="1"/>
  <c r="C34" i="7"/>
  <c r="M10" i="15"/>
  <c r="M36" i="9"/>
  <c r="M34" i="8"/>
  <c r="M19" i="2" s="1"/>
  <c r="L27" i="8"/>
  <c r="L28" i="8" s="1"/>
  <c r="K23" i="9"/>
  <c r="C33" i="7"/>
  <c r="G10" i="15"/>
  <c r="G36" i="9"/>
  <c r="G34" i="8"/>
  <c r="G19" i="2" s="1"/>
  <c r="E27" i="8"/>
  <c r="E28" i="8" s="1"/>
  <c r="C40" i="16"/>
  <c r="E40" i="16" s="1"/>
  <c r="B40" i="16" s="1"/>
  <c r="C49" i="16"/>
  <c r="E49" i="16" s="1"/>
  <c r="B49" i="16" s="1"/>
  <c r="C58" i="16"/>
  <c r="E58" i="16" s="1"/>
  <c r="B58" i="16" s="1"/>
  <c r="C67" i="16"/>
  <c r="E67" i="16" s="1"/>
  <c r="B67" i="16" s="1"/>
  <c r="F27" i="13"/>
  <c r="F12" i="13"/>
  <c r="D46" i="16"/>
  <c r="F22" i="13"/>
  <c r="F8" i="10"/>
  <c r="F15" i="10" s="1"/>
  <c r="F17" i="10" s="1"/>
  <c r="F23" i="11"/>
  <c r="L27" i="13"/>
  <c r="D64" i="16"/>
  <c r="L22" i="13"/>
  <c r="L10" i="10"/>
  <c r="L8" i="10"/>
  <c r="L17" i="7"/>
  <c r="L21" i="7"/>
  <c r="L12" i="2" s="1"/>
  <c r="L24" i="7"/>
  <c r="L25" i="7" s="1"/>
  <c r="I30" i="7"/>
  <c r="I14" i="2" s="1"/>
  <c r="G8" i="15"/>
  <c r="G9" i="15" s="1"/>
  <c r="G32" i="7"/>
  <c r="G34" i="7" s="1"/>
  <c r="M8" i="15"/>
  <c r="M9" i="15" s="1"/>
  <c r="M32" i="7"/>
  <c r="N32" i="7" s="1"/>
  <c r="O32" i="7" s="1"/>
  <c r="P32" i="7" s="1"/>
  <c r="Q32" i="7" s="1"/>
  <c r="L32" i="7"/>
  <c r="L34" i="7" s="1"/>
  <c r="H10" i="15"/>
  <c r="G20" i="9"/>
  <c r="G21" i="9" s="1"/>
  <c r="M20" i="9"/>
  <c r="M21" i="9" s="1"/>
  <c r="D11" i="8"/>
  <c r="D12" i="9" s="1"/>
  <c r="J11" i="8"/>
  <c r="J12" i="9" s="1"/>
  <c r="D22" i="8"/>
  <c r="F27" i="8"/>
  <c r="F28" i="8" s="1"/>
  <c r="M27" i="8"/>
  <c r="M28" i="8" s="1"/>
  <c r="N28" i="8" s="1"/>
  <c r="O28" i="8" s="1"/>
  <c r="P28" i="8" s="1"/>
  <c r="Q28" i="8" s="1"/>
  <c r="D31" i="8"/>
  <c r="D32" i="8" s="1"/>
  <c r="D9" i="16" s="1"/>
  <c r="J31" i="8"/>
  <c r="J32" i="8" s="1"/>
  <c r="D21" i="16" s="1"/>
  <c r="H34" i="9"/>
  <c r="Q21" i="11"/>
  <c r="P32" i="11"/>
  <c r="F38" i="11"/>
  <c r="O19" i="11"/>
  <c r="C99" i="16"/>
  <c r="E99" i="16" s="1"/>
  <c r="B99" i="16" s="1"/>
  <c r="G11" i="13"/>
  <c r="G21" i="2" s="1"/>
  <c r="C127" i="16"/>
  <c r="E127" i="16" s="1"/>
  <c r="B127" i="16" s="1"/>
  <c r="M11" i="13"/>
  <c r="M21" i="2" s="1"/>
  <c r="G24" i="7"/>
  <c r="M24" i="7"/>
  <c r="D15" i="15"/>
  <c r="J12" i="15"/>
  <c r="J14" i="15" s="1"/>
  <c r="J27" i="2" s="1"/>
  <c r="J15" i="15"/>
  <c r="D33" i="7"/>
  <c r="D36" i="7" s="1"/>
  <c r="J33" i="7"/>
  <c r="J36" i="7" s="1"/>
  <c r="D10" i="15"/>
  <c r="J10" i="15"/>
  <c r="D33" i="8"/>
  <c r="J33" i="8"/>
  <c r="D7" i="9"/>
  <c r="J7" i="9"/>
  <c r="Q33" i="11"/>
  <c r="D34" i="13"/>
  <c r="J34" i="13"/>
  <c r="E11" i="13"/>
  <c r="E12" i="13" s="1"/>
  <c r="K11" i="13"/>
  <c r="K21" i="2" s="1"/>
  <c r="C82" i="16"/>
  <c r="E82" i="16" s="1"/>
  <c r="B82" i="16" s="1"/>
  <c r="C137" i="16"/>
  <c r="E137" i="16" s="1"/>
  <c r="B137" i="16" s="1"/>
  <c r="P35" i="13"/>
  <c r="C136" i="16" s="1"/>
  <c r="E136" i="16" s="1"/>
  <c r="B136" i="16" s="1"/>
  <c r="G33" i="13"/>
  <c r="G34" i="13" s="1"/>
  <c r="M33" i="13"/>
  <c r="M34" i="13" s="1"/>
  <c r="N6" i="13"/>
  <c r="F7" i="13"/>
  <c r="L7" i="13"/>
  <c r="C140" i="16"/>
  <c r="E140" i="16" s="1"/>
  <c r="B140" i="16" s="1"/>
  <c r="C139" i="16"/>
  <c r="E139" i="16" s="1"/>
  <c r="B139" i="16" s="1"/>
  <c r="H33" i="13"/>
  <c r="H34" i="13" s="1"/>
  <c r="N33" i="13"/>
  <c r="H7" i="13"/>
  <c r="E8" i="13"/>
  <c r="K8" i="13"/>
  <c r="C104" i="16"/>
  <c r="E104" i="16" s="1"/>
  <c r="B104" i="16" s="1"/>
  <c r="C78" i="16"/>
  <c r="E78" i="16" s="1"/>
  <c r="B78" i="16" s="1"/>
  <c r="C109" i="16"/>
  <c r="E109" i="16" s="1"/>
  <c r="B109" i="16" s="1"/>
  <c r="C11" i="13"/>
  <c r="C12" i="13" s="1"/>
  <c r="I11" i="13"/>
  <c r="I21" i="2" s="1"/>
  <c r="C131" i="16"/>
  <c r="E131" i="16" s="1"/>
  <c r="B131" i="16" s="1"/>
  <c r="E33" i="13"/>
  <c r="E34" i="13" s="1"/>
  <c r="K33" i="13"/>
  <c r="K34" i="13" s="1"/>
  <c r="C134" i="16"/>
  <c r="E134" i="16" s="1"/>
  <c r="B134" i="16" s="1"/>
  <c r="C133" i="16"/>
  <c r="E133" i="16" s="1"/>
  <c r="B133" i="16" s="1"/>
  <c r="E130" i="16"/>
  <c r="B130" i="16" s="1"/>
  <c r="L13" i="15" l="1"/>
  <c r="L26" i="2" s="1"/>
  <c r="L15" i="2"/>
  <c r="H13" i="15"/>
  <c r="H26" i="2" s="1"/>
  <c r="H15" i="2"/>
  <c r="I9" i="9"/>
  <c r="D23" i="16"/>
  <c r="K33" i="8"/>
  <c r="G13" i="15"/>
  <c r="G26" i="2" s="1"/>
  <c r="G15" i="2"/>
  <c r="H12" i="15"/>
  <c r="H14" i="15" s="1"/>
  <c r="H27" i="2" s="1"/>
  <c r="D15" i="16"/>
  <c r="G33" i="8"/>
  <c r="H33" i="9"/>
  <c r="B19" i="16"/>
  <c r="E19" i="16"/>
  <c r="AT11" i="6"/>
  <c r="AT14" i="6"/>
  <c r="H32" i="9"/>
  <c r="D44" i="11"/>
  <c r="D42" i="11"/>
  <c r="D45" i="11"/>
  <c r="D43" i="11"/>
  <c r="D41" i="11"/>
  <c r="D39" i="11"/>
  <c r="D40" i="11"/>
  <c r="L14" i="6"/>
  <c r="L11" i="6"/>
  <c r="E21" i="16"/>
  <c r="B21" i="16"/>
  <c r="L38" i="11"/>
  <c r="L15" i="10"/>
  <c r="L17" i="10" s="1"/>
  <c r="L12" i="11"/>
  <c r="H15" i="7"/>
  <c r="H11" i="7"/>
  <c r="H13" i="7"/>
  <c r="P36" i="11"/>
  <c r="C16" i="15"/>
  <c r="C17" i="15" s="1"/>
  <c r="C28" i="2" s="1"/>
  <c r="C36" i="7"/>
  <c r="D11" i="16"/>
  <c r="E33" i="8"/>
  <c r="B9" i="16"/>
  <c r="E9" i="16"/>
  <c r="D11" i="15"/>
  <c r="D12" i="15" s="1"/>
  <c r="D14" i="15" s="1"/>
  <c r="D27" i="2" s="1"/>
  <c r="D34" i="8"/>
  <c r="D19" i="2" s="1"/>
  <c r="P10" i="11"/>
  <c r="F35" i="9"/>
  <c r="I15" i="15"/>
  <c r="I18" i="7"/>
  <c r="I10" i="2" s="1"/>
  <c r="I9" i="2"/>
  <c r="M13" i="7"/>
  <c r="M11" i="7"/>
  <c r="M15" i="7"/>
  <c r="E54" i="16"/>
  <c r="B54" i="16" s="1"/>
  <c r="AN11" i="6"/>
  <c r="AN14" i="6"/>
  <c r="O24" i="13"/>
  <c r="E55" i="16"/>
  <c r="B55" i="16" s="1"/>
  <c r="M12" i="9"/>
  <c r="H32" i="8"/>
  <c r="D18" i="7"/>
  <c r="D10" i="2" s="1"/>
  <c r="D9" i="2"/>
  <c r="D35" i="9"/>
  <c r="D32" i="9"/>
  <c r="Z14" i="6"/>
  <c r="Z11" i="6"/>
  <c r="AJ11" i="6"/>
  <c r="AJ14" i="6"/>
  <c r="D20" i="16"/>
  <c r="I32" i="9"/>
  <c r="R11" i="6"/>
  <c r="R14" i="6"/>
  <c r="K11" i="15"/>
  <c r="K12" i="15" s="1"/>
  <c r="K14" i="15" s="1"/>
  <c r="K27" i="2" s="1"/>
  <c r="K34" i="8"/>
  <c r="K19" i="2" s="1"/>
  <c r="D11" i="6"/>
  <c r="D14" i="6"/>
  <c r="M27" i="11"/>
  <c r="M25" i="11"/>
  <c r="M26" i="11"/>
  <c r="M24" i="11"/>
  <c r="AI15" i="6"/>
  <c r="AI14" i="6"/>
  <c r="E18" i="7"/>
  <c r="E10" i="2" s="1"/>
  <c r="E9" i="2"/>
  <c r="I15" i="10"/>
  <c r="I17" i="10" s="1"/>
  <c r="H35" i="9"/>
  <c r="L15" i="15"/>
  <c r="F41" i="11"/>
  <c r="F43" i="11"/>
  <c r="F40" i="11"/>
  <c r="F42" i="11"/>
  <c r="F39" i="11"/>
  <c r="F45" i="11"/>
  <c r="F44" i="11"/>
  <c r="M15" i="15"/>
  <c r="L33" i="8"/>
  <c r="D26" i="16"/>
  <c r="L32" i="9"/>
  <c r="L33" i="9" s="1"/>
  <c r="L35" i="9" s="1"/>
  <c r="E52" i="16"/>
  <c r="B52" i="16" s="1"/>
  <c r="K38" i="11"/>
  <c r="K15" i="10"/>
  <c r="K17" i="10" s="1"/>
  <c r="K12" i="11"/>
  <c r="N30" i="8"/>
  <c r="O30" i="8" s="1"/>
  <c r="P30" i="8" s="1"/>
  <c r="Q30" i="8" s="1"/>
  <c r="M31" i="8"/>
  <c r="M32" i="8" s="1"/>
  <c r="Q9" i="11"/>
  <c r="P30" i="11"/>
  <c r="O37" i="11"/>
  <c r="H9" i="9"/>
  <c r="H16" i="9"/>
  <c r="D7" i="16"/>
  <c r="C33" i="8"/>
  <c r="C15" i="15"/>
  <c r="C13" i="7"/>
  <c r="C11" i="7"/>
  <c r="C15" i="7"/>
  <c r="E45" i="16"/>
  <c r="B45" i="16" s="1"/>
  <c r="AP14" i="6"/>
  <c r="AP11" i="6"/>
  <c r="AH14" i="6"/>
  <c r="AH11" i="6"/>
  <c r="V14" i="6"/>
  <c r="V11" i="6"/>
  <c r="M15" i="10"/>
  <c r="M17" i="10" s="1"/>
  <c r="M38" i="11"/>
  <c r="M20" i="13"/>
  <c r="M25" i="13" s="1"/>
  <c r="AM11" i="6"/>
  <c r="AM14" i="6"/>
  <c r="E37" i="16"/>
  <c r="B37" i="16" s="1"/>
  <c r="AO14" i="6"/>
  <c r="M29" i="9"/>
  <c r="F13" i="15"/>
  <c r="F26" i="2" s="1"/>
  <c r="F15" i="2"/>
  <c r="Q26" i="8"/>
  <c r="K15" i="15"/>
  <c r="D15" i="7"/>
  <c r="D13" i="7"/>
  <c r="D11" i="7"/>
  <c r="E15" i="7"/>
  <c r="E48" i="16"/>
  <c r="B48" i="16" s="1"/>
  <c r="E44" i="11"/>
  <c r="E42" i="11"/>
  <c r="E40" i="11"/>
  <c r="E41" i="11"/>
  <c r="E43" i="11"/>
  <c r="E39" i="11"/>
  <c r="E45" i="11"/>
  <c r="E38" i="16"/>
  <c r="B38" i="16" s="1"/>
  <c r="C11" i="6"/>
  <c r="C14" i="6"/>
  <c r="M14" i="9"/>
  <c r="F12" i="9"/>
  <c r="J32" i="9"/>
  <c r="J33" i="9" s="1"/>
  <c r="J35" i="9" s="1"/>
  <c r="I14" i="11"/>
  <c r="I13" i="11"/>
  <c r="I15" i="11"/>
  <c r="D27" i="7"/>
  <c r="O11" i="11"/>
  <c r="L34" i="8"/>
  <c r="L19" i="2" s="1"/>
  <c r="K13" i="15"/>
  <c r="K26" i="2" s="1"/>
  <c r="K15" i="2"/>
  <c r="C79" i="16"/>
  <c r="E79" i="16" s="1"/>
  <c r="B79" i="16" s="1"/>
  <c r="C21" i="2"/>
  <c r="C89" i="16"/>
  <c r="E89" i="16" s="1"/>
  <c r="B89" i="16" s="1"/>
  <c r="E21" i="2"/>
  <c r="J9" i="9"/>
  <c r="J16" i="9"/>
  <c r="M25" i="7"/>
  <c r="M27" i="7"/>
  <c r="D28" i="16"/>
  <c r="M32" i="9"/>
  <c r="D12" i="16"/>
  <c r="E32" i="9"/>
  <c r="E33" i="9" s="1"/>
  <c r="E35" i="9" s="1"/>
  <c r="F32" i="8"/>
  <c r="E59" i="16"/>
  <c r="B59" i="16" s="1"/>
  <c r="E43" i="16"/>
  <c r="B43" i="16" s="1"/>
  <c r="P34" i="11"/>
  <c r="C25" i="7"/>
  <c r="C27" i="7"/>
  <c r="H14" i="11"/>
  <c r="H15" i="11"/>
  <c r="H13" i="11"/>
  <c r="AD14" i="6"/>
  <c r="AD11" i="6"/>
  <c r="P11" i="6"/>
  <c r="P14" i="6"/>
  <c r="AL14" i="6"/>
  <c r="AL11" i="6"/>
  <c r="F11" i="6"/>
  <c r="F14" i="6"/>
  <c r="X11" i="6"/>
  <c r="X14" i="6"/>
  <c r="K25" i="7"/>
  <c r="K27" i="7"/>
  <c r="J15" i="7"/>
  <c r="J11" i="7"/>
  <c r="J13" i="7"/>
  <c r="E14" i="6"/>
  <c r="G33" i="9"/>
  <c r="G35" i="9" s="1"/>
  <c r="M11" i="15"/>
  <c r="M12" i="15" s="1"/>
  <c r="M14" i="15" s="1"/>
  <c r="M27" i="2" s="1"/>
  <c r="N22" i="8"/>
  <c r="E13" i="15"/>
  <c r="E26" i="2" s="1"/>
  <c r="E15" i="2"/>
  <c r="D14" i="11"/>
  <c r="D13" i="11"/>
  <c r="D15" i="11"/>
  <c r="J18" i="7"/>
  <c r="J10" i="2" s="1"/>
  <c r="J9" i="2"/>
  <c r="I45" i="11"/>
  <c r="I39" i="11"/>
  <c r="I42" i="11"/>
  <c r="I40" i="11"/>
  <c r="I44" i="11"/>
  <c r="I43" i="11"/>
  <c r="I41" i="11"/>
  <c r="E62" i="16"/>
  <c r="B62" i="16" s="1"/>
  <c r="L27" i="7"/>
  <c r="C13" i="15"/>
  <c r="C26" i="2" s="1"/>
  <c r="C15" i="2"/>
  <c r="P20" i="11"/>
  <c r="Q23" i="13"/>
  <c r="Q22" i="2"/>
  <c r="H14" i="6"/>
  <c r="H11" i="6"/>
  <c r="AB11" i="6"/>
  <c r="AB14" i="6"/>
  <c r="M33" i="9"/>
  <c r="M35" i="9" s="1"/>
  <c r="P19" i="11"/>
  <c r="J27" i="7"/>
  <c r="D16" i="16"/>
  <c r="G32" i="9"/>
  <c r="G27" i="11"/>
  <c r="G25" i="11"/>
  <c r="G26" i="11"/>
  <c r="G24" i="11"/>
  <c r="AG11" i="6"/>
  <c r="AG14" i="6"/>
  <c r="I14" i="9"/>
  <c r="N34" i="13"/>
  <c r="N9" i="13"/>
  <c r="N11" i="13" s="1"/>
  <c r="O6" i="13"/>
  <c r="N20" i="2"/>
  <c r="O33" i="13"/>
  <c r="D9" i="9"/>
  <c r="D16" i="9"/>
  <c r="G27" i="7"/>
  <c r="G25" i="7"/>
  <c r="Q32" i="11"/>
  <c r="G15" i="15"/>
  <c r="G12" i="15"/>
  <c r="G14" i="15" s="1"/>
  <c r="G27" i="2" s="1"/>
  <c r="L9" i="2"/>
  <c r="L18" i="7"/>
  <c r="L10" i="2" s="1"/>
  <c r="F27" i="11"/>
  <c r="F26" i="11"/>
  <c r="F25" i="11"/>
  <c r="F24" i="11"/>
  <c r="E66" i="16"/>
  <c r="B66" i="16" s="1"/>
  <c r="P31" i="11"/>
  <c r="I33" i="9"/>
  <c r="I35" i="9" s="1"/>
  <c r="D33" i="9"/>
  <c r="D24" i="16"/>
  <c r="K32" i="9"/>
  <c r="K33" i="9" s="1"/>
  <c r="K35" i="9" s="1"/>
  <c r="K26" i="11"/>
  <c r="K24" i="11"/>
  <c r="K25" i="11"/>
  <c r="K27" i="11"/>
  <c r="O22" i="11"/>
  <c r="H11" i="15"/>
  <c r="H34" i="8"/>
  <c r="H19" i="2" s="1"/>
  <c r="P8" i="15"/>
  <c r="Q31" i="7"/>
  <c r="Q8" i="15" s="1"/>
  <c r="C18" i="7"/>
  <c r="C10" i="2" s="1"/>
  <c r="C9" i="2"/>
  <c r="H45" i="11"/>
  <c r="H43" i="11"/>
  <c r="H41" i="11"/>
  <c r="H39" i="11"/>
  <c r="H40" i="11"/>
  <c r="H42" i="11"/>
  <c r="H44" i="11"/>
  <c r="T14" i="6"/>
  <c r="T11" i="6"/>
  <c r="J11" i="6"/>
  <c r="J14" i="6"/>
  <c r="G13" i="7"/>
  <c r="G11" i="7"/>
  <c r="G15" i="7"/>
  <c r="E64" i="16"/>
  <c r="B64" i="16" s="1"/>
  <c r="L9" i="9"/>
  <c r="L16" i="9"/>
  <c r="I11" i="7"/>
  <c r="I15" i="7"/>
  <c r="I13" i="7"/>
  <c r="K18" i="7"/>
  <c r="K10" i="2" s="1"/>
  <c r="K9" i="2"/>
  <c r="J12" i="11"/>
  <c r="J15" i="10"/>
  <c r="J17" i="10" s="1"/>
  <c r="J38" i="11"/>
  <c r="G16" i="9"/>
  <c r="M34" i="7"/>
  <c r="F9" i="9"/>
  <c r="F16" i="9"/>
  <c r="AF14" i="6"/>
  <c r="AF11" i="6"/>
  <c r="I12" i="9"/>
  <c r="D8" i="16"/>
  <c r="E15" i="15"/>
  <c r="E12" i="15"/>
  <c r="E14" i="15" s="1"/>
  <c r="E27" i="2" s="1"/>
  <c r="L15" i="7"/>
  <c r="K12" i="9"/>
  <c r="K9" i="9" s="1"/>
  <c r="C16" i="16" l="1"/>
  <c r="G37" i="9"/>
  <c r="C28" i="16"/>
  <c r="M37" i="9"/>
  <c r="N34" i="9"/>
  <c r="C24" i="16"/>
  <c r="K37" i="9"/>
  <c r="C22" i="16"/>
  <c r="J37" i="9"/>
  <c r="Q34" i="11"/>
  <c r="K44" i="11"/>
  <c r="K42" i="11"/>
  <c r="K40" i="11"/>
  <c r="K41" i="11"/>
  <c r="K43" i="11"/>
  <c r="K39" i="11"/>
  <c r="K45" i="11"/>
  <c r="M13" i="15"/>
  <c r="M26" i="2" s="1"/>
  <c r="M15" i="2"/>
  <c r="C26" i="16"/>
  <c r="L37" i="9"/>
  <c r="J44" i="11"/>
  <c r="J42" i="11"/>
  <c r="J45" i="11"/>
  <c r="J43" i="11"/>
  <c r="J41" i="11"/>
  <c r="J39" i="11"/>
  <c r="J40" i="11"/>
  <c r="O34" i="13"/>
  <c r="O9" i="13"/>
  <c r="O11" i="13" s="1"/>
  <c r="P33" i="13"/>
  <c r="P6" i="13"/>
  <c r="O20" i="2"/>
  <c r="C18" i="16"/>
  <c r="H37" i="9"/>
  <c r="D17" i="16"/>
  <c r="H33" i="8"/>
  <c r="L15" i="11"/>
  <c r="L13" i="11"/>
  <c r="L14" i="11"/>
  <c r="E11" i="16"/>
  <c r="B11" i="16"/>
  <c r="Q20" i="11"/>
  <c r="N12" i="13"/>
  <c r="O12" i="13" s="1"/>
  <c r="P12" i="13" s="1"/>
  <c r="Q12" i="13" s="1"/>
  <c r="M26" i="13"/>
  <c r="M28" i="13" s="1"/>
  <c r="D27" i="16"/>
  <c r="M33" i="8"/>
  <c r="C132" i="16"/>
  <c r="E132" i="16" s="1"/>
  <c r="B132" i="16" s="1"/>
  <c r="N21" i="2"/>
  <c r="M45" i="11"/>
  <c r="M43" i="11"/>
  <c r="M41" i="11"/>
  <c r="M44" i="11"/>
  <c r="M42" i="11"/>
  <c r="M40" i="11"/>
  <c r="M39" i="11"/>
  <c r="P37" i="11"/>
  <c r="Q30" i="11"/>
  <c r="K15" i="11"/>
  <c r="K13" i="11"/>
  <c r="K14" i="11"/>
  <c r="B25" i="16"/>
  <c r="E25" i="16"/>
  <c r="M9" i="9"/>
  <c r="E23" i="16"/>
  <c r="B23" i="16"/>
  <c r="C20" i="16"/>
  <c r="I37" i="9"/>
  <c r="Q19" i="11"/>
  <c r="P22" i="11"/>
  <c r="C12" i="16"/>
  <c r="E37" i="9"/>
  <c r="C10" i="16"/>
  <c r="D37" i="9"/>
  <c r="Q11" i="11"/>
  <c r="P24" i="13"/>
  <c r="Q10" i="11"/>
  <c r="P11" i="11"/>
  <c r="Q31" i="11"/>
  <c r="J13" i="11"/>
  <c r="J15" i="11"/>
  <c r="J14" i="11"/>
  <c r="N11" i="15"/>
  <c r="N24" i="9"/>
  <c r="O22" i="8"/>
  <c r="N20" i="8"/>
  <c r="N19" i="8"/>
  <c r="N23" i="9" s="1"/>
  <c r="D13" i="16"/>
  <c r="F33" i="8"/>
  <c r="B7" i="16"/>
  <c r="E7" i="16"/>
  <c r="C14" i="16"/>
  <c r="F37" i="9"/>
  <c r="Q36" i="11"/>
  <c r="L42" i="11"/>
  <c r="L44" i="11"/>
  <c r="L45" i="11"/>
  <c r="L41" i="11"/>
  <c r="L40" i="11"/>
  <c r="L39" i="11"/>
  <c r="L43" i="11"/>
  <c r="E15" i="16"/>
  <c r="B15" i="16"/>
  <c r="B26" i="16" l="1"/>
  <c r="E26" i="16"/>
  <c r="B28" i="16"/>
  <c r="E28" i="16"/>
  <c r="B13" i="16"/>
  <c r="E13" i="16"/>
  <c r="N14" i="13"/>
  <c r="P34" i="13"/>
  <c r="P9" i="13"/>
  <c r="P11" i="13" s="1"/>
  <c r="Q33" i="13"/>
  <c r="Q6" i="13"/>
  <c r="P20" i="2"/>
  <c r="B22" i="16"/>
  <c r="E22" i="16"/>
  <c r="Q24" i="13"/>
  <c r="E14" i="16"/>
  <c r="B14" i="16"/>
  <c r="Q22" i="11"/>
  <c r="Q37" i="11"/>
  <c r="B17" i="16"/>
  <c r="E17" i="16"/>
  <c r="B16" i="16"/>
  <c r="E16" i="16"/>
  <c r="E20" i="16"/>
  <c r="B20" i="16"/>
  <c r="B18" i="16"/>
  <c r="E18" i="16"/>
  <c r="O11" i="15"/>
  <c r="P22" i="8"/>
  <c r="O19" i="8"/>
  <c r="O23" i="9" s="1"/>
  <c r="E12" i="16"/>
  <c r="B12" i="16"/>
  <c r="B10" i="16"/>
  <c r="E10" i="16"/>
  <c r="B27" i="16"/>
  <c r="E27" i="16"/>
  <c r="C135" i="16"/>
  <c r="E135" i="16" s="1"/>
  <c r="B135" i="16" s="1"/>
  <c r="O14" i="13"/>
  <c r="O21" i="2"/>
  <c r="E24" i="16"/>
  <c r="B24" i="16"/>
  <c r="N16" i="13" l="1"/>
  <c r="N19" i="13"/>
  <c r="P11" i="15"/>
  <c r="P19" i="8"/>
  <c r="P23" i="9" s="1"/>
  <c r="P20" i="8"/>
  <c r="Q22" i="8"/>
  <c r="O24" i="9"/>
  <c r="Q34" i="13"/>
  <c r="Q9" i="13"/>
  <c r="Q11" i="13" s="1"/>
  <c r="Q20" i="2"/>
  <c r="O19" i="13"/>
  <c r="O16" i="13"/>
  <c r="O20" i="8"/>
  <c r="C138" i="16"/>
  <c r="E138" i="16" s="1"/>
  <c r="B138" i="16" s="1"/>
  <c r="P14" i="13"/>
  <c r="P21" i="2"/>
  <c r="P19" i="13" l="1"/>
  <c r="P16" i="13"/>
  <c r="C141" i="16"/>
  <c r="E141" i="16" s="1"/>
  <c r="B141" i="16" s="1"/>
  <c r="Q14" i="13"/>
  <c r="Q21" i="2"/>
  <c r="O18" i="13"/>
  <c r="O20" i="13"/>
  <c r="N18" i="13"/>
  <c r="N20" i="13"/>
  <c r="P24" i="9"/>
  <c r="Q11" i="15"/>
  <c r="Q19" i="8"/>
  <c r="Q23" i="9" s="1"/>
  <c r="N25" i="13" l="1"/>
  <c r="N26" i="13" s="1"/>
  <c r="Q20" i="8"/>
  <c r="O25" i="13"/>
  <c r="O26" i="13" s="1"/>
  <c r="P18" i="13"/>
  <c r="P20" i="13" s="1"/>
  <c r="Q19" i="13"/>
  <c r="Q16" i="13"/>
  <c r="Q24" i="9"/>
  <c r="P25" i="13" l="1"/>
  <c r="C72" i="16"/>
  <c r="O7" i="7"/>
  <c r="C70" i="16"/>
  <c r="N7" i="7"/>
  <c r="Q18" i="13"/>
  <c r="Q20" i="13" s="1"/>
  <c r="O13" i="10"/>
  <c r="O14" i="10" s="1"/>
  <c r="Q25" i="13" l="1"/>
  <c r="Q26" i="13" s="1"/>
  <c r="D70" i="16"/>
  <c r="N27" i="13"/>
  <c r="N28" i="13" s="1"/>
  <c r="N23" i="11"/>
  <c r="N16" i="8"/>
  <c r="N14" i="9" s="1"/>
  <c r="N18" i="8"/>
  <c r="N19" i="7"/>
  <c r="N25" i="9"/>
  <c r="N17" i="9"/>
  <c r="N9" i="8"/>
  <c r="N11" i="9" s="1"/>
  <c r="N20" i="7"/>
  <c r="N10" i="8"/>
  <c r="N20" i="9" s="1"/>
  <c r="N10" i="7"/>
  <c r="N16" i="10"/>
  <c r="D71" i="16" s="1"/>
  <c r="N14" i="7"/>
  <c r="N11" i="8"/>
  <c r="N12" i="9" s="1"/>
  <c r="N9" i="7"/>
  <c r="N7" i="2"/>
  <c r="N8" i="8"/>
  <c r="N10" i="9" s="1"/>
  <c r="N8" i="7"/>
  <c r="N11" i="10"/>
  <c r="N12" i="10" s="1"/>
  <c r="N7" i="10"/>
  <c r="N8" i="10" s="1"/>
  <c r="N9" i="10"/>
  <c r="N10" i="10" s="1"/>
  <c r="N13" i="10"/>
  <c r="N14" i="10" s="1"/>
  <c r="D72" i="16"/>
  <c r="O27" i="13"/>
  <c r="O28" i="13" s="1"/>
  <c r="O16" i="10"/>
  <c r="D73" i="16" s="1"/>
  <c r="O23" i="11"/>
  <c r="O25" i="9"/>
  <c r="O17" i="9"/>
  <c r="O18" i="8"/>
  <c r="O9" i="8"/>
  <c r="O11" i="9" s="1"/>
  <c r="O19" i="7"/>
  <c r="O8" i="9" s="1"/>
  <c r="O14" i="7"/>
  <c r="O10" i="8"/>
  <c r="O20" i="9" s="1"/>
  <c r="O10" i="7"/>
  <c r="O9" i="7"/>
  <c r="O16" i="8"/>
  <c r="O14" i="9" s="1"/>
  <c r="O8" i="8"/>
  <c r="O11" i="8"/>
  <c r="O12" i="9" s="1"/>
  <c r="O7" i="2"/>
  <c r="O8" i="7"/>
  <c r="O8" i="2" s="1"/>
  <c r="O20" i="7"/>
  <c r="O11" i="10"/>
  <c r="O12" i="10" s="1"/>
  <c r="O7" i="10"/>
  <c r="O8" i="10" s="1"/>
  <c r="O9" i="10"/>
  <c r="O10" i="10" s="1"/>
  <c r="P26" i="13"/>
  <c r="C76" i="16" l="1"/>
  <c r="Q7" i="7"/>
  <c r="O12" i="7"/>
  <c r="O13" i="7"/>
  <c r="O11" i="7"/>
  <c r="B70" i="16"/>
  <c r="E70" i="16"/>
  <c r="N13" i="7"/>
  <c r="N11" i="7"/>
  <c r="N12" i="7"/>
  <c r="O12" i="11"/>
  <c r="O15" i="10"/>
  <c r="O38" i="11"/>
  <c r="O10" i="9"/>
  <c r="N17" i="7"/>
  <c r="N24" i="7"/>
  <c r="N11" i="2"/>
  <c r="N21" i="7"/>
  <c r="N12" i="2" s="1"/>
  <c r="O18" i="9"/>
  <c r="O22" i="9"/>
  <c r="N15" i="12"/>
  <c r="N12" i="12"/>
  <c r="O12" i="12" s="1"/>
  <c r="N14" i="12"/>
  <c r="O14" i="12" s="1"/>
  <c r="N11" i="12"/>
  <c r="O11" i="12" s="1"/>
  <c r="N29" i="13"/>
  <c r="O29" i="13" s="1"/>
  <c r="N13" i="12"/>
  <c r="O13" i="12" s="1"/>
  <c r="N10" i="12"/>
  <c r="O10" i="12" s="1"/>
  <c r="N8" i="2"/>
  <c r="N21" i="12"/>
  <c r="C74" i="16"/>
  <c r="P7" i="7"/>
  <c r="N8" i="9"/>
  <c r="N15" i="8"/>
  <c r="O15" i="8" s="1"/>
  <c r="B72" i="16"/>
  <c r="E72" i="16"/>
  <c r="N12" i="11"/>
  <c r="N38" i="11"/>
  <c r="N15" i="10"/>
  <c r="N24" i="11"/>
  <c r="N27" i="11"/>
  <c r="N25" i="11"/>
  <c r="N26" i="11"/>
  <c r="N14" i="8"/>
  <c r="O14" i="8" s="1"/>
  <c r="N23" i="8"/>
  <c r="O24" i="11"/>
  <c r="O27" i="11"/>
  <c r="O25" i="11"/>
  <c r="O26" i="11"/>
  <c r="N13" i="9"/>
  <c r="N25" i="8"/>
  <c r="O21" i="7"/>
  <c r="O12" i="2" s="1"/>
  <c r="O11" i="2"/>
  <c r="O17" i="7"/>
  <c r="O15" i="7" s="1"/>
  <c r="O13" i="9"/>
  <c r="N18" i="9"/>
  <c r="N13" i="8"/>
  <c r="O13" i="8" s="1"/>
  <c r="N22" i="9"/>
  <c r="Q13" i="10"/>
  <c r="Q14" i="10" s="1"/>
  <c r="D74" i="16" l="1"/>
  <c r="P16" i="10"/>
  <c r="D75" i="16" s="1"/>
  <c r="P27" i="13"/>
  <c r="P28" i="13" s="1"/>
  <c r="P23" i="11"/>
  <c r="P25" i="9"/>
  <c r="P14" i="8" s="1"/>
  <c r="Q14" i="8" s="1"/>
  <c r="P17" i="9"/>
  <c r="P11" i="8"/>
  <c r="P12" i="9" s="1"/>
  <c r="P9" i="8"/>
  <c r="P11" i="9" s="1"/>
  <c r="P19" i="7"/>
  <c r="P8" i="9" s="1"/>
  <c r="P14" i="7"/>
  <c r="P8" i="7"/>
  <c r="P8" i="2" s="1"/>
  <c r="P9" i="7"/>
  <c r="P10" i="7" s="1"/>
  <c r="P7" i="2"/>
  <c r="P16" i="8"/>
  <c r="P14" i="9" s="1"/>
  <c r="P8" i="8"/>
  <c r="P10" i="9" s="1"/>
  <c r="P20" i="7"/>
  <c r="P10" i="8"/>
  <c r="P20" i="9" s="1"/>
  <c r="P18" i="8"/>
  <c r="P11" i="10"/>
  <c r="P12" i="10" s="1"/>
  <c r="P7" i="10"/>
  <c r="P8" i="10" s="1"/>
  <c r="P9" i="10"/>
  <c r="P10" i="10" s="1"/>
  <c r="P13" i="10"/>
  <c r="P14" i="10" s="1"/>
  <c r="P11" i="12"/>
  <c r="C73" i="16"/>
  <c r="O17" i="10"/>
  <c r="D76" i="16"/>
  <c r="Q27" i="13"/>
  <c r="Q28" i="13" s="1"/>
  <c r="Q8" i="8"/>
  <c r="Q10" i="9" s="1"/>
  <c r="Q25" i="9"/>
  <c r="Q16" i="8"/>
  <c r="Q19" i="7"/>
  <c r="Q8" i="9" s="1"/>
  <c r="Q16" i="10"/>
  <c r="D77" i="16" s="1"/>
  <c r="Q9" i="8"/>
  <c r="Q11" i="8"/>
  <c r="Q18" i="8"/>
  <c r="Q7" i="2"/>
  <c r="Q9" i="7"/>
  <c r="Q10" i="7" s="1"/>
  <c r="Q17" i="9"/>
  <c r="Q20" i="7"/>
  <c r="Q8" i="7"/>
  <c r="Q8" i="2" s="1"/>
  <c r="Q23" i="11"/>
  <c r="Q10" i="8"/>
  <c r="Q20" i="9" s="1"/>
  <c r="Q14" i="7"/>
  <c r="Q11" i="10"/>
  <c r="Q12" i="10" s="1"/>
  <c r="Q7" i="10"/>
  <c r="Q8" i="10" s="1"/>
  <c r="Q9" i="10"/>
  <c r="Q10" i="10" s="1"/>
  <c r="O26" i="9"/>
  <c r="O23" i="8" s="1"/>
  <c r="N16" i="7"/>
  <c r="N18" i="7"/>
  <c r="N10" i="2" s="1"/>
  <c r="N9" i="2"/>
  <c r="N42" i="11"/>
  <c r="N41" i="11"/>
  <c r="N40" i="11"/>
  <c r="N39" i="11"/>
  <c r="N44" i="11"/>
  <c r="N45" i="11"/>
  <c r="N43" i="11"/>
  <c r="O16" i="7"/>
  <c r="O9" i="2"/>
  <c r="O18" i="7"/>
  <c r="O10" i="2" s="1"/>
  <c r="P29" i="13"/>
  <c r="N15" i="7"/>
  <c r="N22" i="12"/>
  <c r="N23" i="2"/>
  <c r="O21" i="12"/>
  <c r="P14" i="12"/>
  <c r="O13" i="11"/>
  <c r="O14" i="11"/>
  <c r="O15" i="11"/>
  <c r="C71" i="16"/>
  <c r="N17" i="10"/>
  <c r="N20" i="12"/>
  <c r="O15" i="12"/>
  <c r="N19" i="12"/>
  <c r="P13" i="12"/>
  <c r="Q13" i="12" s="1"/>
  <c r="N13" i="11"/>
  <c r="N14" i="11"/>
  <c r="N15" i="11"/>
  <c r="O42" i="11"/>
  <c r="O44" i="11"/>
  <c r="O41" i="11"/>
  <c r="O39" i="11"/>
  <c r="O45" i="11"/>
  <c r="O43" i="11"/>
  <c r="O40" i="11"/>
  <c r="P12" i="12"/>
  <c r="Q12" i="12" s="1"/>
  <c r="N26" i="7"/>
  <c r="N27" i="7" s="1"/>
  <c r="N25" i="7"/>
  <c r="P26" i="9" l="1"/>
  <c r="O25" i="8"/>
  <c r="P12" i="7"/>
  <c r="P13" i="7"/>
  <c r="P11" i="7"/>
  <c r="Q12" i="7"/>
  <c r="Q13" i="7" s="1"/>
  <c r="Q11" i="7"/>
  <c r="P15" i="8"/>
  <c r="Q15" i="8" s="1"/>
  <c r="N30" i="13"/>
  <c r="N24" i="2"/>
  <c r="Q13" i="9"/>
  <c r="Q12" i="9"/>
  <c r="Q11" i="12"/>
  <c r="P22" i="9"/>
  <c r="P18" i="9"/>
  <c r="O22" i="12"/>
  <c r="P21" i="12"/>
  <c r="O23" i="2"/>
  <c r="P15" i="10"/>
  <c r="P12" i="11"/>
  <c r="P38" i="11"/>
  <c r="E74" i="16"/>
  <c r="B74" i="16"/>
  <c r="Q14" i="9"/>
  <c r="B73" i="16"/>
  <c r="E73" i="16"/>
  <c r="O20" i="12"/>
  <c r="P15" i="12"/>
  <c r="O19" i="12"/>
  <c r="Q38" i="11"/>
  <c r="Q12" i="11"/>
  <c r="Q15" i="10"/>
  <c r="Q21" i="7"/>
  <c r="Q12" i="2" s="1"/>
  <c r="Q11" i="2"/>
  <c r="Q17" i="7"/>
  <c r="Q15" i="7" s="1"/>
  <c r="Q11" i="9"/>
  <c r="B76" i="16"/>
  <c r="E76" i="16"/>
  <c r="P21" i="7"/>
  <c r="P12" i="2" s="1"/>
  <c r="P17" i="7"/>
  <c r="P11" i="2"/>
  <c r="P13" i="8"/>
  <c r="Q13" i="8" s="1"/>
  <c r="Q27" i="11"/>
  <c r="Q24" i="11"/>
  <c r="Q25" i="11"/>
  <c r="Q26" i="11"/>
  <c r="P13" i="9"/>
  <c r="Q29" i="13"/>
  <c r="N29" i="7"/>
  <c r="E71" i="16"/>
  <c r="B71" i="16"/>
  <c r="Q14" i="12"/>
  <c r="Q22" i="9"/>
  <c r="Q18" i="9"/>
  <c r="P24" i="11"/>
  <c r="P27" i="11"/>
  <c r="P25" i="11"/>
  <c r="P26" i="11"/>
  <c r="P10" i="12"/>
  <c r="Q10" i="12" s="1"/>
  <c r="P18" i="7" l="1"/>
  <c r="P10" i="2" s="1"/>
  <c r="P16" i="7"/>
  <c r="P9" i="2"/>
  <c r="O30" i="13"/>
  <c r="O24" i="2"/>
  <c r="Q21" i="12"/>
  <c r="P22" i="12"/>
  <c r="P23" i="2"/>
  <c r="P15" i="7"/>
  <c r="P20" i="12"/>
  <c r="Q15" i="12"/>
  <c r="P19" i="12"/>
  <c r="Q13" i="11"/>
  <c r="Q14" i="11"/>
  <c r="Q15" i="11"/>
  <c r="C75" i="16"/>
  <c r="P17" i="10"/>
  <c r="Q42" i="11"/>
  <c r="Q44" i="11"/>
  <c r="Q41" i="11"/>
  <c r="Q43" i="11"/>
  <c r="Q45" i="11"/>
  <c r="Q40" i="11"/>
  <c r="Q39" i="11"/>
  <c r="P42" i="11"/>
  <c r="P44" i="11"/>
  <c r="P41" i="11"/>
  <c r="P40" i="11"/>
  <c r="P39" i="11"/>
  <c r="P45" i="11"/>
  <c r="P43" i="11"/>
  <c r="Q18" i="7"/>
  <c r="Q10" i="2" s="1"/>
  <c r="Q16" i="7"/>
  <c r="Q9" i="2"/>
  <c r="N33" i="7"/>
  <c r="N35" i="7" s="1"/>
  <c r="N7" i="9"/>
  <c r="N15" i="9" s="1"/>
  <c r="N30" i="7"/>
  <c r="N14" i="2" s="1"/>
  <c r="N34" i="7"/>
  <c r="N13" i="2"/>
  <c r="C77" i="16"/>
  <c r="Q17" i="10"/>
  <c r="P13" i="11"/>
  <c r="P14" i="11"/>
  <c r="P15" i="11"/>
  <c r="P23" i="8"/>
  <c r="B75" i="16" l="1"/>
  <c r="E75" i="16"/>
  <c r="Q22" i="12"/>
  <c r="Q23" i="2"/>
  <c r="B77" i="16"/>
  <c r="E77" i="16"/>
  <c r="N16" i="9"/>
  <c r="N16" i="2"/>
  <c r="N38" i="9"/>
  <c r="N17" i="2" s="1"/>
  <c r="Q26" i="9"/>
  <c r="P25" i="8"/>
  <c r="P30" i="13"/>
  <c r="P24" i="2"/>
  <c r="Q20" i="12"/>
  <c r="Q19" i="12"/>
  <c r="N7" i="15"/>
  <c r="N15" i="2"/>
  <c r="N16" i="15"/>
  <c r="N28" i="9"/>
  <c r="N36" i="7"/>
  <c r="Q30" i="13" l="1"/>
  <c r="Q24" i="2"/>
  <c r="N30" i="9"/>
  <c r="N31" i="9" s="1"/>
  <c r="N33" i="9" s="1"/>
  <c r="N35" i="9" s="1"/>
  <c r="N27" i="8"/>
  <c r="N13" i="15"/>
  <c r="N26" i="2" s="1"/>
  <c r="N19" i="15"/>
  <c r="N20" i="15" s="1"/>
  <c r="N9" i="15"/>
  <c r="N25" i="2"/>
  <c r="Q23" i="8"/>
  <c r="Q25" i="8" s="1"/>
  <c r="N17" i="15"/>
  <c r="N28" i="2" s="1"/>
  <c r="C30" i="16" l="1"/>
  <c r="N7" i="8"/>
  <c r="O34" i="9"/>
  <c r="N29" i="8"/>
  <c r="N31" i="8" s="1"/>
  <c r="N32" i="8" s="1"/>
  <c r="D29" i="16" s="1"/>
  <c r="N10" i="15" l="1"/>
  <c r="N12" i="15" s="1"/>
  <c r="N14" i="15" s="1"/>
  <c r="N27" i="2" s="1"/>
  <c r="N34" i="8"/>
  <c r="N19" i="2" s="1"/>
  <c r="N36" i="9"/>
  <c r="N12" i="8"/>
  <c r="N17" i="8" s="1"/>
  <c r="N18" i="2"/>
  <c r="O23" i="7"/>
  <c r="O24" i="7" s="1"/>
  <c r="N15" i="15"/>
  <c r="D30" i="16" l="1"/>
  <c r="N37" i="9"/>
  <c r="C29" i="16"/>
  <c r="N33" i="8"/>
  <c r="O26" i="7"/>
  <c r="O27" i="7" s="1"/>
  <c r="O29" i="7"/>
  <c r="O25" i="7"/>
  <c r="O30" i="7" l="1"/>
  <c r="O14" i="2" s="1"/>
  <c r="O7" i="9"/>
  <c r="O15" i="9" s="1"/>
  <c r="O13" i="2"/>
  <c r="O34" i="7"/>
  <c r="O33" i="7"/>
  <c r="O35" i="7" s="1"/>
  <c r="E30" i="16"/>
  <c r="B30" i="16"/>
  <c r="E29" i="16"/>
  <c r="B29" i="16"/>
  <c r="O7" i="15" l="1"/>
  <c r="O15" i="2"/>
  <c r="O38" i="9"/>
  <c r="O17" i="2" s="1"/>
  <c r="O16" i="9"/>
  <c r="O16" i="2"/>
  <c r="O16" i="15"/>
  <c r="O17" i="15" s="1"/>
  <c r="O28" i="2" s="1"/>
  <c r="O28" i="9"/>
  <c r="O36" i="7"/>
  <c r="O30" i="9" l="1"/>
  <c r="O31" i="9" s="1"/>
  <c r="O33" i="9" s="1"/>
  <c r="O35" i="9" s="1"/>
  <c r="O27" i="8"/>
  <c r="O9" i="15"/>
  <c r="O13" i="15"/>
  <c r="O26" i="2" s="1"/>
  <c r="O19" i="15"/>
  <c r="O20" i="15" s="1"/>
  <c r="O25" i="2"/>
  <c r="O29" i="8" l="1"/>
  <c r="O31" i="8" s="1"/>
  <c r="O32" i="8" s="1"/>
  <c r="D31" i="16" s="1"/>
  <c r="C32" i="16"/>
  <c r="P34" i="9"/>
  <c r="O7" i="8"/>
  <c r="O10" i="15" l="1"/>
  <c r="O12" i="15" s="1"/>
  <c r="O14" i="15" s="1"/>
  <c r="O27" i="2" s="1"/>
  <c r="P23" i="7"/>
  <c r="P24" i="7" s="1"/>
  <c r="O12" i="8"/>
  <c r="O17" i="8" s="1"/>
  <c r="O36" i="9"/>
  <c r="O18" i="2"/>
  <c r="O34" i="8"/>
  <c r="O19" i="2" s="1"/>
  <c r="O15" i="15"/>
  <c r="D32" i="16" l="1"/>
  <c r="O37" i="9"/>
  <c r="C31" i="16"/>
  <c r="O33" i="8"/>
  <c r="P29" i="7"/>
  <c r="P25" i="7"/>
  <c r="P26" i="7"/>
  <c r="P27" i="7" s="1"/>
  <c r="P7" i="9" l="1"/>
  <c r="P15" i="9" s="1"/>
  <c r="P33" i="7"/>
  <c r="P35" i="7" s="1"/>
  <c r="P30" i="7"/>
  <c r="P14" i="2" s="1"/>
  <c r="P13" i="2"/>
  <c r="P34" i="7"/>
  <c r="E32" i="16"/>
  <c r="B32" i="16"/>
  <c r="B31" i="16"/>
  <c r="E31" i="16"/>
  <c r="P7" i="15" l="1"/>
  <c r="P15" i="2"/>
  <c r="P16" i="15"/>
  <c r="P36" i="7"/>
  <c r="P28" i="9"/>
  <c r="P16" i="2"/>
  <c r="P38" i="9"/>
  <c r="P17" i="2" s="1"/>
  <c r="P16" i="9"/>
  <c r="P30" i="9" l="1"/>
  <c r="P31" i="9" s="1"/>
  <c r="P33" i="9" s="1"/>
  <c r="P35" i="9" s="1"/>
  <c r="P27" i="8"/>
  <c r="P17" i="15"/>
  <c r="P28" i="2" s="1"/>
  <c r="P19" i="15"/>
  <c r="P20" i="15" s="1"/>
  <c r="P13" i="15"/>
  <c r="P26" i="2" s="1"/>
  <c r="P9" i="15"/>
  <c r="P25" i="2"/>
  <c r="P29" i="8" l="1"/>
  <c r="P31" i="8" s="1"/>
  <c r="P32" i="8" s="1"/>
  <c r="D33" i="16" s="1"/>
  <c r="P15" i="15"/>
  <c r="C34" i="16"/>
  <c r="Q34" i="9"/>
  <c r="P7" i="8"/>
  <c r="P10" i="15" l="1"/>
  <c r="P12" i="15" s="1"/>
  <c r="P14" i="15" s="1"/>
  <c r="P27" i="2" s="1"/>
  <c r="P36" i="9"/>
  <c r="P12" i="8"/>
  <c r="P17" i="8" s="1"/>
  <c r="P18" i="2"/>
  <c r="P34" i="8"/>
  <c r="P19" i="2" s="1"/>
  <c r="Q23" i="7"/>
  <c r="Q24" i="7" s="1"/>
  <c r="Q26" i="7" l="1"/>
  <c r="Q27" i="7" s="1"/>
  <c r="Q25" i="7"/>
  <c r="C33" i="16"/>
  <c r="P33" i="8"/>
  <c r="D34" i="16"/>
  <c r="P37" i="9"/>
  <c r="E33" i="16" l="1"/>
  <c r="B33" i="16"/>
  <c r="B34" i="16"/>
  <c r="E34" i="16"/>
  <c r="Q29" i="7"/>
  <c r="Q34" i="7" l="1"/>
  <c r="Q30" i="7"/>
  <c r="Q14" i="2" s="1"/>
  <c r="Q13" i="2"/>
  <c r="Q7" i="9"/>
  <c r="Q15" i="9" s="1"/>
  <c r="Q33" i="7"/>
  <c r="Q35" i="7" s="1"/>
  <c r="Q16" i="15" l="1"/>
  <c r="Q36" i="7"/>
  <c r="Q28" i="9"/>
  <c r="Q38" i="9"/>
  <c r="Q17" i="2" s="1"/>
  <c r="Q16" i="9"/>
  <c r="Q16" i="2"/>
  <c r="Q7" i="15"/>
  <c r="Q15" i="2"/>
  <c r="Q30" i="9" l="1"/>
  <c r="Q31" i="9" s="1"/>
  <c r="Q33" i="9" s="1"/>
  <c r="Q35" i="9" s="1"/>
  <c r="Q27" i="8"/>
  <c r="Q29" i="8" s="1"/>
  <c r="Q31" i="8" s="1"/>
  <c r="Q32" i="8" s="1"/>
  <c r="D35" i="16" s="1"/>
  <c r="Q19" i="15"/>
  <c r="Q20" i="15" s="1"/>
  <c r="Q13" i="15"/>
  <c r="Q26" i="2" s="1"/>
  <c r="Q9" i="15"/>
  <c r="Q25" i="2"/>
  <c r="Q17" i="15"/>
  <c r="Q28" i="2" s="1"/>
  <c r="Q15" i="15" l="1"/>
  <c r="C36" i="16"/>
  <c r="Q7" i="8"/>
  <c r="Q36" i="9" l="1"/>
  <c r="Q18" i="2"/>
  <c r="Q34" i="8"/>
  <c r="Q19" i="2" s="1"/>
  <c r="Q12" i="8"/>
  <c r="Q17" i="8" s="1"/>
  <c r="Q10" i="15"/>
  <c r="Q12" i="15" s="1"/>
  <c r="Q14" i="15" s="1"/>
  <c r="Q27" i="2" s="1"/>
  <c r="C35" i="16" l="1"/>
  <c r="Q33" i="8"/>
  <c r="D36" i="16"/>
  <c r="Q37" i="9"/>
  <c r="B36" i="16" l="1"/>
  <c r="E36" i="16"/>
  <c r="B35" i="16"/>
  <c r="E35" i="16"/>
  <c r="B16" i="1" l="1"/>
  <c r="B6" i="16"/>
  <c r="B8" i="16"/>
  <c r="C37" i="9"/>
  <c r="E8" i="16"/>
  <c r="C32" i="9"/>
  <c r="C33" i="9"/>
  <c r="C34" i="9"/>
  <c r="C35" i="9"/>
  <c r="C8" i="16"/>
</calcChain>
</file>

<file path=xl/sharedStrings.xml><?xml version="1.0" encoding="utf-8"?>
<sst xmlns="http://schemas.openxmlformats.org/spreadsheetml/2006/main" count="9850" uniqueCount="3456">
  <si>
    <t>HCLTech Fresh Integrated Financial Model</t>
  </si>
  <si>
    <t>Fresh-source build | Quarterly P&amp;L FY16–FY26 | Annual three statements FY16–FY30E | INR crore unless stated</t>
  </si>
  <si>
    <t>Operating model, cash-anchored three statements, client mining, AI revenue and valuation</t>
  </si>
  <si>
    <t>Model scope</t>
  </si>
  <si>
    <t>Quarterly P&amp;L only; annual P&amp;L, balance sheet and cash flow</t>
  </si>
  <si>
    <t>Historical period</t>
  </si>
  <si>
    <t>FY16–FY26</t>
  </si>
  <si>
    <t>Forecast period</t>
  </si>
  <si>
    <t>FY27E–FY30E</t>
  </si>
  <si>
    <t>Source policy</t>
  </si>
  <si>
    <t>Official HCLTech results / annual reports; market prices from HCLTECH.NS history</t>
  </si>
  <si>
    <t>FY16 convention</t>
  </si>
  <si>
    <t>12-month comparable P&amp;L; statutory FY16 BS/CFS reflects the 9-month transition year</t>
  </si>
  <si>
    <t>Cash policy</t>
  </si>
  <si>
    <t>Historical closing cash is linked to the reported annual balance sheet; differences versus audited CFS cash sit in an explicit basis / FX reconciliation line</t>
  </si>
  <si>
    <t>Forecast revenue</t>
  </si>
  <si>
    <t>Core services capacity and pricing, T&amp;M mix / AI deflation, Advanced AI recognized revenue, and HCLSoftware</t>
  </si>
  <si>
    <t>Billable FTE policy</t>
  </si>
  <si>
    <t>Historical implied billable FTE only where utilization was reported; later years remain blank rather than invented</t>
  </si>
  <si>
    <t>Client metric</t>
  </si>
  <si>
    <t>Revenue per $1m+ client is a proxy; total active client count is not assumed</t>
  </si>
  <si>
    <t>Formatting</t>
  </si>
  <si>
    <t>Aptos Narrow 10; reported actuals medium blue; formulas black; forecast columns pale green</t>
  </si>
  <si>
    <t>Model status</t>
  </si>
  <si>
    <t>HCLTech Financial Summary</t>
  </si>
  <si>
    <t>Integrated view of financials, operating drivers, cash generation and valuation</t>
  </si>
  <si>
    <t>Metric</t>
  </si>
  <si>
    <t>Units</t>
  </si>
  <si>
    <t>FY16A</t>
  </si>
  <si>
    <t>FY17A</t>
  </si>
  <si>
    <t>FY18A</t>
  </si>
  <si>
    <t>FY19A</t>
  </si>
  <si>
    <t>FY20A</t>
  </si>
  <si>
    <t>FY21A</t>
  </si>
  <si>
    <t>FY22A</t>
  </si>
  <si>
    <t>FY23A</t>
  </si>
  <si>
    <t>FY24A</t>
  </si>
  <si>
    <t>FY25A</t>
  </si>
  <si>
    <t>FY26A</t>
  </si>
  <si>
    <t>FY27E</t>
  </si>
  <si>
    <t>FY28E</t>
  </si>
  <si>
    <t>FY29E</t>
  </si>
  <si>
    <t>FY30E</t>
  </si>
  <si>
    <t>Revenue</t>
  </si>
  <si>
    <t>₹ cr</t>
  </si>
  <si>
    <t>Revenue growth</t>
  </si>
  <si>
    <t>%</t>
  </si>
  <si>
    <t>EBITDA</t>
  </si>
  <si>
    <t>EBITDA margin</t>
  </si>
  <si>
    <t>EBIT</t>
  </si>
  <si>
    <t>EBIT margin</t>
  </si>
  <si>
    <t>Net income</t>
  </si>
  <si>
    <t>Net margin</t>
  </si>
  <si>
    <t>Diluted EPS</t>
  </si>
  <si>
    <t>₹ / share</t>
  </si>
  <si>
    <t>CFO</t>
  </si>
  <si>
    <t>FCF</t>
  </si>
  <si>
    <t>Closing cash</t>
  </si>
  <si>
    <t>Net cash / (debt)</t>
  </si>
  <si>
    <t>Total headcount</t>
  </si>
  <si>
    <t>#</t>
  </si>
  <si>
    <t>Billable FTE</t>
  </si>
  <si>
    <t>Advanced AI recognized revenue / FY26 run-rate proxy</t>
  </si>
  <si>
    <t>$m</t>
  </si>
  <si>
    <t>TCV</t>
  </si>
  <si>
    <t>Revenue / $1m+ client proxy</t>
  </si>
  <si>
    <t>Share price / implied target</t>
  </si>
  <si>
    <t>P/E</t>
  </si>
  <si>
    <t>x</t>
  </si>
  <si>
    <t>EV / EBITDA</t>
  </si>
  <si>
    <t>Dividend yield</t>
  </si>
  <si>
    <t>Sources &amp; Data Conventions</t>
  </si>
  <si>
    <t>Primary-source register and transparent treatment of unavailable disclosures</t>
  </si>
  <si>
    <t>ID</t>
  </si>
  <si>
    <t>Data / Period</t>
  </si>
  <si>
    <t>Primary source</t>
  </si>
  <si>
    <t>Use in model</t>
  </si>
  <si>
    <t>Status</t>
  </si>
  <si>
    <t>Notes</t>
  </si>
  <si>
    <t>S1</t>
  </si>
  <si>
    <t>Quarterly / annual investor releases FY16–FY26</t>
  </si>
  <si>
    <t>₹ cr / $m</t>
  </si>
  <si>
    <t>https://www.hcltech.com/en-us/investor-relations/financial-results</t>
  </si>
  <si>
    <t>Quarterly P&amp;L, management P&amp;L, segments, clients, AI, headcount</t>
  </si>
  <si>
    <t>Loaded</t>
  </si>
  <si>
    <t>Official company archive</t>
  </si>
  <si>
    <t>S2</t>
  </si>
  <si>
    <t>Annual reports FY16–FY26</t>
  </si>
  <si>
    <t>https://www.hcltech.com/en-us/investor-relations/annual-report</t>
  </si>
  <si>
    <t>Audited CFS controls and accounting cross-checks</t>
  </si>
  <si>
    <t>FY16 was a 9-month statutory transition period</t>
  </si>
  <si>
    <t>S3</t>
  </si>
  <si>
    <t>FY26 Q4 investor release</t>
  </si>
  <si>
    <t>https://www.hcltech.com/sites/default/files/document/open/quarter-results/2026-04/hcltech-q4-fy26-investor-release.pdf</t>
  </si>
  <si>
    <t>FY26 P&amp;L, BS, CFS, AI, segments and clients</t>
  </si>
  <si>
    <t>Advanced AI Q4 recognized revenue $155m; exit annualized revenue $620m</t>
  </si>
  <si>
    <t>S4</t>
  </si>
  <si>
    <t>FY26 annual report</t>
  </si>
  <si>
    <t>https://www.hcltech.com/sites/default/files/document/open/annual-report/2026-07/AGM-Notice-Annual-Report-FY-2025-26.pdf</t>
  </si>
  <si>
    <t>Audited FY26 cash flow and balances</t>
  </si>
  <si>
    <t>CFS ending cash differs from investor-release BS cash; explicit reconciliation retained</t>
  </si>
  <si>
    <t>S5</t>
  </si>
  <si>
    <t>HCLTECH.NS price history</t>
  </si>
  <si>
    <t>https://query1.finance.yahoo.com/v8/finance/chart/HCLTECH.NS</t>
  </si>
  <si>
    <t>Daily prices and FY-end share prices</t>
  </si>
  <si>
    <t>Market-price source only; no valuation opinions fetched</t>
  </si>
  <si>
    <t>S6</t>
  </si>
  <si>
    <t>Advanced AI Q1 FY27 update</t>
  </si>
  <si>
    <t>Q1 FY27 recognized AI revenue</t>
  </si>
  <si>
    <t>$171m reported</t>
  </si>
  <si>
    <t>S7</t>
  </si>
  <si>
    <t>FY17–FY23 quarterly investor releases</t>
  </si>
  <si>
    <t>% / #</t>
  </si>
  <si>
    <t>Historical vertical, geography, contract mix, client bands and FY23 quarterly P&amp;L</t>
  </si>
  <si>
    <t>Annual operating mix loaded only where disclosed; recast quarter lines may differ modestly from annual controls</t>
  </si>
  <si>
    <t>S8</t>
  </si>
  <si>
    <t>FY17–FY26 annual reports</t>
  </si>
  <si>
    <t>₹ cr / %</t>
  </si>
  <si>
    <t>Audited cash flows, segment restatements and financial controls</t>
  </si>
  <si>
    <t>Gross cash capex and acquisition lines retained separately from total CFI</t>
  </si>
  <si>
    <t>S9</t>
  </si>
  <si>
    <t>FY23 large-deal announcement</t>
  </si>
  <si>
    <t>https://www.hcltech.com/en-us/press-releases/hcltech-delivers-another-year-stellar-growth-robust-deal-pipeline</t>
  </si>
  <si>
    <t>FY23 new-deal TCV</t>
  </si>
  <si>
    <t>$8.85bn</t>
  </si>
  <si>
    <t>S10</t>
  </si>
  <si>
    <t>Unavailable disclosures</t>
  </si>
  <si>
    <t>n/a</t>
  </si>
  <si>
    <t>Blanks retained</t>
  </si>
  <si>
    <t>Policy</t>
  </si>
  <si>
    <t>No total active clients and no utilization / billable FTE reported after FY19; FY20 annual operational mix not disclosed</t>
  </si>
  <si>
    <t>Forecast Assumptions</t>
  </si>
  <si>
    <t>Blue text on yellow = editable forecast input; all forecast outputs are formula-linked</t>
  </si>
  <si>
    <t>Driver</t>
  </si>
  <si>
    <t>Total headcount growth</t>
  </si>
  <si>
    <t>Service employee share</t>
  </si>
  <si>
    <t>Blended utilization / billable rate</t>
  </si>
  <si>
    <t>Revenue per billable FTE pricing / productivity</t>
  </si>
  <si>
    <t>T&amp;M mix</t>
  </si>
  <si>
    <t>AI deflation on T&amp;M revenue</t>
  </si>
  <si>
    <t>Advanced AI recognized revenue growth</t>
  </si>
  <si>
    <t>HCLSoftware revenue growth</t>
  </si>
  <si>
    <t>USD / INR average</t>
  </si>
  <si>
    <t>₹ / $</t>
  </si>
  <si>
    <t>Gross margin</t>
  </si>
  <si>
    <t>R&amp;D / revenue</t>
  </si>
  <si>
    <t>D&amp;A / revenue</t>
  </si>
  <si>
    <t>Effective tax rate</t>
  </si>
  <si>
    <t>Other income yield on cash + investments</t>
  </si>
  <si>
    <t>Receivable days</t>
  </si>
  <si>
    <t>days</t>
  </si>
  <si>
    <t>Unbilled days</t>
  </si>
  <si>
    <t>Other current assets / revenue</t>
  </si>
  <si>
    <t>Current operating liabilities / revenue</t>
  </si>
  <si>
    <t>Other non-current assets / revenue</t>
  </si>
  <si>
    <t>Treasury investments / revenue</t>
  </si>
  <si>
    <t>Capex / revenue</t>
  </si>
  <si>
    <t>PPE share of D&amp;A</t>
  </si>
  <si>
    <t>ROU asset additions / revenue</t>
  </si>
  <si>
    <t>ROU share of D&amp;A</t>
  </si>
  <si>
    <t>Lease principal / opening lease liability</t>
  </si>
  <si>
    <t>Acquisitions</t>
  </si>
  <si>
    <t>Debt change</t>
  </si>
  <si>
    <t>Short-term debt share</t>
  </si>
  <si>
    <t>Dividend payout</t>
  </si>
  <si>
    <t>Other comprehensive income / reserves</t>
  </si>
  <si>
    <t>Diluted share count change</t>
  </si>
  <si>
    <t>Target P/E</t>
  </si>
  <si>
    <t>LTM attrition</t>
  </si>
  <si>
    <t>Advanced AI recognized revenue</t>
  </si>
  <si>
    <t>Raw Reported Financials — Source Layer</t>
  </si>
  <si>
    <t>Hardcoded reported inputs only; actual values in medium blue; calculations live in downstream tabs</t>
  </si>
  <si>
    <t>Annual reported financials (INR crore unless stated)</t>
  </si>
  <si>
    <t>Direct costs</t>
  </si>
  <si>
    <t>Reported gross profit</t>
  </si>
  <si>
    <t>R&amp;D</t>
  </si>
  <si>
    <t>SG&amp;A</t>
  </si>
  <si>
    <t>Reported EBITDA</t>
  </si>
  <si>
    <t>D&amp;A</t>
  </si>
  <si>
    <t>FX gain / (loss)</t>
  </si>
  <si>
    <t>Other income, net</t>
  </si>
  <si>
    <t>Tax</t>
  </si>
  <si>
    <t>NCI / other attribution</t>
  </si>
  <si>
    <t>Net income attributable</t>
  </si>
  <si>
    <t>USD revenue</t>
  </si>
  <si>
    <t>Headcount</t>
  </si>
  <si>
    <t>Reported utilization</t>
  </si>
  <si>
    <t>Cash flow from operations</t>
  </si>
  <si>
    <t>Cash flow from investing</t>
  </si>
  <si>
    <t>Cash flow from financing</t>
  </si>
  <si>
    <t>Cash dividends paid</t>
  </si>
  <si>
    <t>Capex</t>
  </si>
  <si>
    <t>Acquisitions / cash acquired</t>
  </si>
  <si>
    <t>Cash &amp; equivalents</t>
  </si>
  <si>
    <t>Receivables</t>
  </si>
  <si>
    <t>Unbilled receivables</t>
  </si>
  <si>
    <t>Treasury / current investments</t>
  </si>
  <si>
    <t>Other current assets</t>
  </si>
  <si>
    <t>Total current assets</t>
  </si>
  <si>
    <t>PPE</t>
  </si>
  <si>
    <t>ROU assets</t>
  </si>
  <si>
    <t>Goodwill &amp; intangibles</t>
  </si>
  <si>
    <t>Other non-current assets reported</t>
  </si>
  <si>
    <t>Total assets</t>
  </si>
  <si>
    <t>Current operating liabilities</t>
  </si>
  <si>
    <t>Short-term borrowings</t>
  </si>
  <si>
    <t>Long-term borrowings</t>
  </si>
  <si>
    <t>Borrowings — split not reported</t>
  </si>
  <si>
    <t>Lease liabilities</t>
  </si>
  <si>
    <t>Other non-current liabilities</t>
  </si>
  <si>
    <t>Total liabilities</t>
  </si>
  <si>
    <t>Share capital</t>
  </si>
  <si>
    <t>Stockholders equity</t>
  </si>
  <si>
    <t>Total liabilities &amp; equity</t>
  </si>
  <si>
    <t>Technical employees</t>
  </si>
  <si>
    <t>Managed / fixed-price mix</t>
  </si>
  <si>
    <t>Quarterly reported P&amp;L — 12-month comparable basis for FY16</t>
  </si>
  <si>
    <t>Q1 FY16A</t>
  </si>
  <si>
    <t>Q2 FY16A</t>
  </si>
  <si>
    <t>Q3 FY16A</t>
  </si>
  <si>
    <t>Q4 FY16A</t>
  </si>
  <si>
    <t>Q1 FY17A</t>
  </si>
  <si>
    <t>Q2 FY17A</t>
  </si>
  <si>
    <t>Q3 FY17A</t>
  </si>
  <si>
    <t>Q4 FY17A</t>
  </si>
  <si>
    <t>Q1 FY18A</t>
  </si>
  <si>
    <t>Q2 FY18A</t>
  </si>
  <si>
    <t>Q3 FY18A</t>
  </si>
  <si>
    <t>Q4 FY18A</t>
  </si>
  <si>
    <t>Q1 FY19A</t>
  </si>
  <si>
    <t>Q2 FY19A</t>
  </si>
  <si>
    <t>Q3 FY19A</t>
  </si>
  <si>
    <t>Q4 FY19A</t>
  </si>
  <si>
    <t>Q1 FY20A</t>
  </si>
  <si>
    <t>Q2 FY20A</t>
  </si>
  <si>
    <t>Q3 FY20A</t>
  </si>
  <si>
    <t>Q4 FY20A</t>
  </si>
  <si>
    <t>Q1 FY21A</t>
  </si>
  <si>
    <t>Q2 FY21A</t>
  </si>
  <si>
    <t>Q3 FY21A</t>
  </si>
  <si>
    <t>Q4 FY21A</t>
  </si>
  <si>
    <t>Q1 FY22A</t>
  </si>
  <si>
    <t>Q2 FY22A</t>
  </si>
  <si>
    <t>Q3 FY22A</t>
  </si>
  <si>
    <t>Q4 FY22A</t>
  </si>
  <si>
    <t>Q1 FY23A</t>
  </si>
  <si>
    <t>Q2 FY23A</t>
  </si>
  <si>
    <t>Q3 FY23A</t>
  </si>
  <si>
    <t>Q4 FY23A</t>
  </si>
  <si>
    <t>Q1 FY24A</t>
  </si>
  <si>
    <t>Q2 FY24A</t>
  </si>
  <si>
    <t>Q3 FY24A</t>
  </si>
  <si>
    <t>Q4 FY24A</t>
  </si>
  <si>
    <t>Q1 FY25A</t>
  </si>
  <si>
    <t>Q2 FY25A</t>
  </si>
  <si>
    <t>Q3 FY25A</t>
  </si>
  <si>
    <t>Q4 FY25A</t>
  </si>
  <si>
    <t>Q1 FY26A</t>
  </si>
  <si>
    <t>Q2 FY26A</t>
  </si>
  <si>
    <t>Q3 FY26A</t>
  </si>
  <si>
    <t>Q4 FY26A</t>
  </si>
  <si>
    <t>Gross profit</t>
  </si>
  <si>
    <t>Quarterly Profit &amp; Loss</t>
  </si>
  <si>
    <t>Reported quarterly P&amp;L only | FY16 is 12-month comparable, with Q1 derived as annual less Q2–Q4</t>
  </si>
  <si>
    <t>QoQ growth</t>
  </si>
  <si>
    <t>YoY growth</t>
  </si>
  <si>
    <t>Other operating / reclassification</t>
  </si>
  <si>
    <t>PBT</t>
  </si>
  <si>
    <t>Annual Profit &amp; Loss</t>
  </si>
  <si>
    <t>Actuals link to raw reported data; FY27E–FY30E are formula-driven from operating assumptions</t>
  </si>
  <si>
    <t>Reported gross profit control</t>
  </si>
  <si>
    <t>Gross profit check</t>
  </si>
  <si>
    <t>SG&amp;A + other operating costs</t>
  </si>
  <si>
    <t>Reported EBITDA control</t>
  </si>
  <si>
    <t>PBT margin</t>
  </si>
  <si>
    <t>Basic shares outstanding</t>
  </si>
  <si>
    <t>m</t>
  </si>
  <si>
    <t>Diluted shares outstanding</t>
  </si>
  <si>
    <t>Basic EPS</t>
  </si>
  <si>
    <t>Dividend per share</t>
  </si>
  <si>
    <t>Annual Balance Sheet</t>
  </si>
  <si>
    <t>Historical balances from reported annual releases; borrowings remain unallocated where no maturity split was reported</t>
  </si>
  <si>
    <t>Trade receivables</t>
  </si>
  <si>
    <t>Treasury investments</t>
  </si>
  <si>
    <t>Other non-current assets</t>
  </si>
  <si>
    <t>Borrowings — maturity split not reported</t>
  </si>
  <si>
    <t>Total borrowings</t>
  </si>
  <si>
    <t>Retained earnings / cumulative profit proxy</t>
  </si>
  <si>
    <t>Other reserves / equity</t>
  </si>
  <si>
    <t>Non-controlling interests</t>
  </si>
  <si>
    <t>Total equity</t>
  </si>
  <si>
    <t>Balance check</t>
  </si>
  <si>
    <t>Annual Cash Flow Statement</t>
  </si>
  <si>
    <t>Historical totals are reported controls; closing cash is anchored to the annual balance sheet</t>
  </si>
  <si>
    <t>Other non-cash items / operating reconciliation</t>
  </si>
  <si>
    <t>Change in trade receivables</t>
  </si>
  <si>
    <t>Change in unbilled receivables</t>
  </si>
  <si>
    <t>Change in other current assets</t>
  </si>
  <si>
    <t>Change in current operating liabilities</t>
  </si>
  <si>
    <t>Change in other non-current operating assets / liabilities</t>
  </si>
  <si>
    <t>CFO / net income</t>
  </si>
  <si>
    <t>Reported capex control</t>
  </si>
  <si>
    <t>Acquisitions / net cash acquired</t>
  </si>
  <si>
    <t>Change in treasury investments</t>
  </si>
  <si>
    <t>Other investing / reclassification</t>
  </si>
  <si>
    <t>Short-term borrowings change</t>
  </si>
  <si>
    <t>Long-term / unallocated borrowings change</t>
  </si>
  <si>
    <t>ROU asset additions (non-cash reference)</t>
  </si>
  <si>
    <t>Lease principal paid</t>
  </si>
  <si>
    <t>Equity issuance / buybacks</t>
  </si>
  <si>
    <t>Dividends paid</t>
  </si>
  <si>
    <t>Other financing / reclassification</t>
  </si>
  <si>
    <t>Net cash flow before FX / basis</t>
  </si>
  <si>
    <t>FX / accounting-basis cash reconciliation</t>
  </si>
  <si>
    <t>Net change in cash</t>
  </si>
  <si>
    <t>Opening cash</t>
  </si>
  <si>
    <t>Closing cash per cash flow</t>
  </si>
  <si>
    <t>Closing cash per balance sheet</t>
  </si>
  <si>
    <t>Cash tie-out</t>
  </si>
  <si>
    <t>Free cash flow</t>
  </si>
  <si>
    <t>Segment Revenue</t>
  </si>
  <si>
    <t>Reported/restated mix FY19–FY26; revenues calculated from mix; forecasts link to the revenue-driver build</t>
  </si>
  <si>
    <t>IT &amp; Business Services mix</t>
  </si>
  <si>
    <t>IT &amp; Business Services revenue</t>
  </si>
  <si>
    <t>Engineering &amp; R&amp;D Services mix</t>
  </si>
  <si>
    <t>Engineering &amp; R&amp;D Services revenue</t>
  </si>
  <si>
    <t>HCLSoftware / P&amp;P mix</t>
  </si>
  <si>
    <t>HCLSoftware / P&amp;P revenue</t>
  </si>
  <si>
    <t>Inter-segment mix</t>
  </si>
  <si>
    <t>Inter-segment eliminations</t>
  </si>
  <si>
    <t>Total segment revenue</t>
  </si>
  <si>
    <t>Annual P&amp;L revenue</t>
  </si>
  <si>
    <t>Revenue check</t>
  </si>
  <si>
    <t>Revenue Mix — Geography &amp; Verticals</t>
  </si>
  <si>
    <t>Operational/company, services-only and IFRS geography are kept separate; blanks mean annual disclosure was unavailable</t>
  </si>
  <si>
    <t>Operational geography mix — Americas / Europe / RoW</t>
  </si>
  <si>
    <t>Americas</t>
  </si>
  <si>
    <t>Europe</t>
  </si>
  <si>
    <t>Rest of World</t>
  </si>
  <si>
    <t>Mix check</t>
  </si>
  <si>
    <t>Applicable revenue basis</t>
  </si>
  <si>
    <t>Americas revenue</t>
  </si>
  <si>
    <t>Europe revenue</t>
  </si>
  <si>
    <t>Rest of World revenue</t>
  </si>
  <si>
    <t>IFRS geography mix — total company revenue</t>
  </si>
  <si>
    <t>USA</t>
  </si>
  <si>
    <t>India</t>
  </si>
  <si>
    <t>USA revenue</t>
  </si>
  <si>
    <t>India revenue</t>
  </si>
  <si>
    <t>Vertical mix — company basis through FY22; Services basis from FY23</t>
  </si>
  <si>
    <t>Financial Services</t>
  </si>
  <si>
    <t>Manufacturing</t>
  </si>
  <si>
    <t>Technology &amp; Services / Other</t>
  </si>
  <si>
    <t>Life Sciences &amp; Healthcare</t>
  </si>
  <si>
    <t>Telecom, Media, Publishing &amp; Entertainment</t>
  </si>
  <si>
    <t>Retail &amp; CPG</t>
  </si>
  <si>
    <t>Public Services</t>
  </si>
  <si>
    <t>Financial Services revenue</t>
  </si>
  <si>
    <t>Manufacturing revenue</t>
  </si>
  <si>
    <t>Technology &amp; Services / Other revenue</t>
  </si>
  <si>
    <t>Life Sciences &amp; Healthcare revenue</t>
  </si>
  <si>
    <t>Telecom / Media revenue</t>
  </si>
  <si>
    <t>Retail &amp; CPG revenue</t>
  </si>
  <si>
    <t>Public Services revenue</t>
  </si>
  <si>
    <t>Client Data &amp; Revenue per Client</t>
  </si>
  <si>
    <t>Client bands and concentration; revenue per $1m+ client is a disclosed-band proxy, not average revenue per total client</t>
  </si>
  <si>
    <t>$100m+ clients</t>
  </si>
  <si>
    <t>$50m+ clients</t>
  </si>
  <si>
    <t>$20m+ clients</t>
  </si>
  <si>
    <t>$10m+ clients</t>
  </si>
  <si>
    <t>$5m+ clients</t>
  </si>
  <si>
    <t>$1m+ clients</t>
  </si>
  <si>
    <t>Top 5 client contribution</t>
  </si>
  <si>
    <t>Top 10 client contribution</t>
  </si>
  <si>
    <t>Top 20 client contribution</t>
  </si>
  <si>
    <t>Revenue per $1m+ client proxy</t>
  </si>
  <si>
    <t>Incremental $1m+ clients</t>
  </si>
  <si>
    <t>TCV / USD revenue</t>
  </si>
  <si>
    <t>Revenue Drivers — Billable FTE, T&amp;M Deflation and Advanced AI</t>
  </si>
  <si>
    <t>Historical utilization stays blank when not disclosed; FY26 AI baseline is a run-rate proxy, not reported full-year revenue</t>
  </si>
  <si>
    <t>Headcount growth</t>
  </si>
  <si>
    <t>Technical / service employee share</t>
  </si>
  <si>
    <t>Technical / service employees</t>
  </si>
  <si>
    <t>Reported / assumed utilization</t>
  </si>
  <si>
    <t>Implied / forecast billable FTE</t>
  </si>
  <si>
    <t>Revenue per billable FTE</t>
  </si>
  <si>
    <t>Pricing / productivity uplift</t>
  </si>
  <si>
    <t>Capacity revenue before mix / AI deflation</t>
  </si>
  <si>
    <t>T&amp;M revenue before AI deflation</t>
  </si>
  <si>
    <t>AI deflation rate</t>
  </si>
  <si>
    <t>AI deflation drag</t>
  </si>
  <si>
    <t>Managed / fixed-price revenue</t>
  </si>
  <si>
    <t>Core services ex-AI</t>
  </si>
  <si>
    <t>Advanced AI FX rate</t>
  </si>
  <si>
    <t>Total modeled revenue</t>
  </si>
  <si>
    <t>Reported / Annual P&amp;L revenue</t>
  </si>
  <si>
    <t>Revenue bridge check</t>
  </si>
  <si>
    <t>AI note</t>
  </si>
  <si>
    <t>text</t>
  </si>
  <si>
    <t>Implied separations</t>
  </si>
  <si>
    <t>Implied gross additions</t>
  </si>
  <si>
    <t>HCLT Prices</t>
  </si>
  <si>
    <t>Daily HCLTECH.NS close and adjusted close; annual FY-end prices are linked into Valuation</t>
  </si>
  <si>
    <t>Date</t>
  </si>
  <si>
    <t>Close</t>
  </si>
  <si>
    <t>Adjusted close</t>
  </si>
  <si>
    <t>Volume</t>
  </si>
  <si>
    <t>Fiscal year</t>
  </si>
  <si>
    <t>Source</t>
  </si>
  <si>
    <t>2015-01-01</t>
  </si>
  <si>
    <t>FY15</t>
  </si>
  <si>
    <t>HCLTECH.NS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</si>
  <si>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</si>
  <si>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</si>
  <si>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</si>
  <si>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</si>
  <si>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</si>
  <si>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</si>
  <si>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</si>
  <si>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</si>
  <si>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</si>
  <si>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</si>
  <si>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</si>
  <si>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</si>
  <si>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</si>
  <si>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</si>
  <si>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</si>
  <si>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</si>
  <si>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</si>
  <si>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</si>
  <si>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</si>
  <si>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</si>
  <si>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</si>
  <si>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</si>
  <si>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</si>
  <si>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</si>
  <si>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</si>
  <si>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</si>
  <si>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</si>
  <si>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</si>
  <si>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</si>
  <si>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</si>
  <si>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</si>
  <si>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</si>
  <si>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</si>
  <si>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</si>
  <si>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</si>
  <si>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</si>
  <si>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</si>
  <si>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</si>
  <si>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</si>
  <si>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2015-02-28</t>
  </si>
  <si>
    <t>2015-03-02</t>
  </si>
  <si>
    <t>2015-03-03</t>
  </si>
  <si>
    <t>2015-03-04</t>
  </si>
  <si>
    <t>2015-03-05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</si>
  <si>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</si>
  <si>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</si>
  <si>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</si>
  <si>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</si>
  <si>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</si>
  <si>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</si>
  <si>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</si>
  <si>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</si>
  <si>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</si>
  <si>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</si>
  <si>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</si>
  <si>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</si>
  <si>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</si>
  <si>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</si>
  <si>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</si>
  <si>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</si>
  <si>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</si>
  <si>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</si>
  <si>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FY16</t>
  </si>
  <si>
    <t>2015-04-06</t>
  </si>
  <si>
    <t>2015-04-07</t>
  </si>
  <si>
    <t>2015-04-08</t>
  </si>
  <si>
    <t>2015-04-09</t>
  </si>
  <si>
    <t>2015-04-10</t>
  </si>
  <si>
    <t>2015-04-13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</si>
  <si>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</si>
  <si>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</si>
  <si>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</si>
  <si>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</si>
  <si>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</si>
  <si>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</si>
  <si>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</si>
  <si>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</si>
  <si>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</si>
  <si>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</si>
  <si>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</si>
  <si>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</si>
  <si>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</si>
  <si>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</si>
  <si>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</si>
  <si>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</si>
  <si>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</si>
  <si>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</si>
  <si>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</si>
  <si>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</si>
  <si>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</si>
  <si>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</si>
  <si>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</si>
  <si>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</si>
  <si>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</si>
  <si>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</si>
  <si>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</si>
  <si>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</si>
  <si>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</si>
  <si>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</si>
  <si>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</si>
  <si>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</si>
  <si>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</si>
  <si>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</si>
  <si>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</si>
  <si>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</si>
  <si>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</si>
  <si>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</si>
  <si>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</si>
  <si>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</si>
  <si>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</si>
  <si>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</si>
  <si>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</si>
  <si>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</si>
  <si>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</si>
  <si>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</si>
  <si>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</si>
  <si>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</si>
  <si>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</si>
  <si>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</si>
  <si>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</si>
  <si>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</si>
  <si>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</si>
  <si>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</si>
  <si>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</si>
  <si>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</si>
  <si>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</si>
  <si>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</si>
  <si>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</si>
  <si>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</si>
  <si>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</si>
  <si>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</si>
  <si>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</si>
  <si>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</si>
  <si>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</si>
  <si>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</si>
  <si>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</si>
  <si>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</si>
  <si>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</si>
  <si>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</si>
  <si>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</si>
  <si>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</si>
  <si>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</si>
  <si>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</si>
  <si>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</si>
  <si>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</si>
  <si>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</si>
  <si>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</si>
  <si>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</si>
  <si>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</si>
  <si>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</si>
  <si>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</si>
  <si>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</si>
  <si>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</si>
  <si>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</si>
  <si>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</si>
  <si>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</si>
  <si>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</si>
  <si>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</si>
  <si>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</si>
  <si>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</si>
  <si>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</si>
  <si>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</si>
  <si>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</si>
  <si>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</si>
  <si>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</si>
  <si>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</si>
  <si>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</si>
  <si>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</si>
  <si>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</si>
  <si>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</si>
  <si>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</si>
  <si>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</si>
  <si>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</si>
  <si>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</si>
  <si>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</si>
  <si>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</si>
  <si>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</si>
  <si>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</si>
  <si>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</si>
  <si>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2015-09-18</t>
  </si>
  <si>
    <t>2015-09-21</t>
  </si>
  <si>
    <t>2015-09-22</t>
  </si>
  <si>
    <t>2015-09-23</t>
  </si>
  <si>
    <t>2015-09-24</t>
  </si>
  <si>
    <t>2015-09-28</t>
  </si>
  <si>
    <t>2015-09-29</t>
  </si>
  <si>
    <t>2015-09-30</t>
  </si>
  <si>
    <t>2015-10-01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</si>
  <si>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</si>
  <si>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</si>
  <si>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</si>
  <si>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</si>
  <si>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</si>
  <si>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</si>
  <si>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</si>
  <si>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</si>
  <si>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</si>
  <si>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</si>
  <si>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</si>
  <si>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</si>
  <si>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</si>
  <si>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</si>
  <si>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</si>
  <si>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</si>
  <si>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</si>
  <si>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</si>
  <si>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</si>
  <si>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</si>
  <si>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</si>
  <si>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</si>
  <si>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</si>
  <si>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</si>
  <si>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</si>
  <si>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</si>
  <si>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</si>
  <si>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</si>
  <si>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</si>
  <si>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</si>
  <si>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</si>
  <si>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</si>
  <si>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</si>
  <si>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</si>
  <si>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</si>
  <si>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</si>
  <si>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</si>
  <si>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</si>
  <si>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</si>
  <si>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</si>
  <si>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</si>
  <si>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</si>
  <si>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</si>
  <si>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</si>
  <si>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</si>
  <si>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</si>
  <si>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</si>
  <si>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</si>
  <si>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</si>
  <si>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</si>
  <si>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</si>
  <si>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</si>
  <si>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</si>
  <si>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</si>
  <si>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</si>
  <si>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</si>
  <si>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</si>
  <si>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</si>
  <si>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</si>
  <si>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</si>
  <si>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</si>
  <si>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</si>
  <si>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</si>
  <si>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</si>
  <si>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</si>
  <si>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</si>
  <si>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</si>
  <si>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</si>
  <si>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</si>
  <si>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</si>
  <si>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</si>
  <si>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</si>
  <si>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</si>
  <si>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</si>
  <si>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</si>
  <si>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</si>
  <si>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</si>
  <si>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</si>
  <si>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</si>
  <si>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</si>
  <si>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</si>
  <si>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</si>
  <si>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</si>
  <si>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</si>
  <si>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</si>
  <si>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</si>
  <si>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</si>
  <si>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</si>
  <si>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</si>
  <si>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</si>
  <si>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</si>
  <si>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</si>
  <si>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</si>
  <si>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</si>
  <si>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</si>
  <si>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</si>
  <si>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</si>
  <si>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</si>
  <si>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</si>
  <si>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</si>
  <si>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</si>
  <si>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</si>
  <si>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</si>
  <si>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</si>
  <si>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</si>
  <si>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</si>
  <si>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</si>
  <si>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</si>
  <si>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</si>
  <si>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</si>
  <si>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</si>
  <si>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</si>
  <si>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</si>
  <si>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</si>
  <si>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</si>
  <si>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</si>
  <si>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2016-03-28</t>
  </si>
  <si>
    <t>2016-03-29</t>
  </si>
  <si>
    <t>2016-03-30</t>
  </si>
  <si>
    <t>2016-03-31</t>
  </si>
  <si>
    <t>2016-04-01</t>
  </si>
  <si>
    <t>FY17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</si>
  <si>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</si>
  <si>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</si>
  <si>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</si>
  <si>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</si>
  <si>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</si>
  <si>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</si>
  <si>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</si>
  <si>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</si>
  <si>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2016-04-18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</si>
  <si>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</si>
  <si>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</si>
  <si>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</si>
  <si>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</si>
  <si>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</si>
  <si>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</si>
  <si>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</si>
  <si>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</si>
  <si>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</si>
  <si>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</si>
  <si>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</si>
  <si>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</si>
  <si>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</si>
  <si>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</si>
  <si>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</si>
  <si>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</si>
  <si>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</si>
  <si>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</si>
  <si>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</si>
  <si>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</si>
  <si>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</si>
  <si>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</si>
  <si>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</si>
  <si>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</si>
  <si>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</si>
  <si>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</si>
  <si>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</si>
  <si>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</si>
  <si>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</si>
  <si>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</si>
  <si>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</si>
  <si>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</si>
  <si>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</si>
  <si>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</si>
  <si>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</si>
  <si>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</si>
  <si>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</si>
  <si>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</si>
  <si>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</si>
  <si>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</si>
  <si>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</si>
  <si>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</si>
  <si>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</si>
  <si>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</si>
  <si>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</si>
  <si>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</si>
  <si>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</si>
  <si>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</si>
  <si>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</si>
  <si>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</si>
  <si>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</si>
  <si>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</si>
  <si>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</si>
  <si>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</si>
  <si>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</si>
  <si>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</si>
  <si>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</si>
  <si>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</si>
  <si>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</si>
  <si>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</si>
  <si>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</si>
  <si>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</si>
  <si>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</si>
  <si>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</si>
  <si>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</si>
  <si>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</si>
  <si>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</si>
  <si>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</si>
  <si>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</si>
  <si>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</si>
  <si>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</si>
  <si>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</si>
  <si>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</si>
  <si>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</si>
  <si>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</si>
  <si>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</si>
  <si>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</si>
  <si>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</si>
  <si>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</si>
  <si>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</si>
  <si>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</si>
  <si>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</si>
  <si>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</si>
  <si>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</si>
  <si>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</si>
  <si>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</si>
  <si>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</si>
  <si>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</si>
  <si>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</si>
  <si>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</si>
  <si>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</si>
  <si>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</si>
  <si>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</si>
  <si>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</si>
  <si>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</si>
  <si>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</si>
  <si>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</si>
  <si>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</si>
  <si>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</si>
  <si>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</si>
  <si>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</si>
  <si>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</si>
  <si>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</si>
  <si>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</si>
  <si>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</si>
  <si>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</si>
  <si>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</si>
  <si>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</si>
  <si>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</si>
  <si>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</si>
  <si>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</si>
  <si>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</si>
  <si>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</si>
  <si>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</si>
  <si>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</si>
  <si>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</si>
  <si>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</si>
  <si>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</si>
  <si>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</si>
  <si>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</si>
  <si>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</si>
  <si>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</si>
  <si>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</si>
  <si>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</si>
  <si>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</si>
  <si>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</si>
  <si>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</si>
  <si>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</si>
  <si>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</si>
  <si>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</si>
  <si>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</si>
  <si>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</si>
  <si>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</si>
  <si>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</si>
  <si>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</si>
  <si>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</si>
  <si>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</si>
  <si>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</si>
  <si>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</si>
  <si>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</si>
  <si>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</si>
  <si>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</si>
  <si>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</si>
  <si>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</si>
  <si>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</si>
  <si>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</si>
  <si>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</si>
  <si>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</si>
  <si>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</si>
  <si>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</si>
  <si>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</si>
  <si>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</si>
  <si>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</si>
  <si>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</si>
  <si>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</si>
  <si>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</si>
  <si>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</si>
  <si>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</si>
  <si>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</si>
  <si>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</si>
  <si>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</si>
  <si>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</si>
  <si>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</si>
  <si>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</si>
  <si>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</si>
  <si>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</si>
  <si>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</si>
  <si>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</si>
  <si>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</si>
  <si>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</si>
  <si>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</si>
  <si>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</si>
  <si>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</si>
  <si>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</si>
  <si>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</si>
  <si>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</si>
  <si>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</si>
  <si>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</si>
  <si>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</si>
  <si>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</si>
  <si>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</si>
  <si>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</si>
  <si>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</si>
  <si>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</si>
  <si>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</si>
  <si>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</si>
  <si>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</si>
  <si>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</si>
  <si>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</si>
  <si>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</si>
  <si>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</si>
  <si>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</si>
  <si>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</si>
  <si>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</si>
  <si>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</si>
  <si>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</si>
  <si>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</si>
  <si>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</si>
  <si>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</si>
  <si>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</si>
  <si>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</si>
  <si>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</si>
  <si>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</si>
  <si>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</si>
  <si>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</si>
  <si>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</si>
  <si>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</si>
  <si>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</si>
  <si>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</si>
  <si>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</si>
  <si>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</si>
  <si>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</si>
  <si>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</si>
  <si>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</si>
  <si>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</si>
  <si>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</si>
  <si>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</si>
  <si>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</si>
  <si>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</si>
  <si>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</si>
  <si>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</si>
  <si>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</si>
  <si>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</si>
  <si>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</si>
  <si>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</si>
  <si>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</si>
  <si>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</si>
  <si>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</si>
  <si>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</si>
  <si>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</si>
  <si>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</si>
  <si>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</si>
  <si>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</si>
  <si>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</si>
  <si>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</si>
  <si>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</si>
  <si>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</si>
  <si>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</si>
  <si>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FY18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</si>
  <si>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</si>
  <si>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</si>
  <si>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</si>
  <si>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</si>
  <si>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</si>
  <si>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</si>
  <si>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</si>
  <si>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</si>
  <si>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</si>
  <si>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</si>
  <si>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</si>
  <si>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</si>
  <si>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</si>
  <si>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</si>
  <si>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</si>
  <si>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</si>
  <si>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</si>
  <si>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</si>
  <si>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</si>
  <si>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</si>
  <si>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</si>
  <si>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</si>
  <si>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</si>
  <si>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</si>
  <si>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</si>
  <si>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</si>
  <si>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</si>
  <si>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</si>
  <si>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</si>
  <si>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</si>
  <si>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</si>
  <si>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</si>
  <si>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</si>
  <si>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</si>
  <si>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</si>
  <si>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</si>
  <si>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</si>
  <si>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</si>
  <si>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</si>
  <si>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</si>
  <si>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</si>
  <si>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</si>
  <si>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</si>
  <si>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</si>
  <si>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</si>
  <si>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</si>
  <si>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</si>
  <si>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</si>
  <si>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</si>
  <si>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</si>
  <si>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</si>
  <si>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</si>
  <si>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</si>
  <si>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</si>
  <si>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</si>
  <si>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</si>
  <si>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</si>
  <si>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</si>
  <si>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</si>
  <si>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</si>
  <si>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</si>
  <si>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</si>
  <si>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</si>
  <si>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</si>
  <si>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</si>
  <si>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</si>
  <si>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</si>
  <si>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</si>
  <si>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</si>
  <si>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</si>
  <si>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</si>
  <si>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</si>
  <si>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</si>
  <si>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</si>
  <si>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</si>
  <si>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</si>
  <si>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</si>
  <si>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</si>
  <si>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</si>
  <si>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</si>
  <si>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</si>
  <si>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</si>
  <si>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</si>
  <si>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</si>
  <si>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</si>
  <si>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</si>
  <si>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</si>
  <si>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</si>
  <si>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</si>
  <si>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</si>
  <si>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</si>
  <si>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</si>
  <si>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</si>
  <si>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</si>
  <si>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</si>
  <si>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</si>
  <si>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</si>
  <si>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</si>
  <si>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</si>
  <si>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</si>
  <si>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</si>
  <si>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</si>
  <si>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</si>
  <si>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</si>
  <si>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</si>
  <si>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</si>
  <si>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</si>
  <si>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</si>
  <si>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</si>
  <si>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</si>
  <si>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</si>
  <si>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</si>
  <si>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</si>
  <si>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</si>
  <si>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</si>
  <si>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</si>
  <si>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</si>
  <si>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</si>
  <si>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</si>
  <si>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</si>
  <si>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</si>
  <si>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</si>
  <si>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</si>
  <si>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</si>
  <si>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</si>
  <si>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</si>
  <si>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</si>
  <si>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</si>
  <si>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</si>
  <si>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</si>
  <si>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</si>
  <si>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</si>
  <si>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</si>
  <si>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</si>
  <si>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</si>
  <si>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</si>
  <si>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</si>
  <si>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</si>
  <si>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</si>
  <si>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</si>
  <si>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</si>
  <si>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</si>
  <si>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</si>
  <si>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</si>
  <si>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</si>
  <si>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</si>
  <si>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</si>
  <si>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</si>
  <si>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</si>
  <si>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</si>
  <si>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</si>
  <si>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</si>
  <si>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</si>
  <si>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</si>
  <si>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</si>
  <si>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</si>
  <si>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</si>
  <si>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</si>
  <si>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</si>
  <si>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</si>
  <si>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</si>
  <si>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</si>
  <si>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</si>
  <si>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</si>
  <si>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</si>
  <si>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</si>
  <si>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</si>
  <si>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</si>
  <si>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</si>
  <si>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</si>
  <si>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</si>
  <si>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</si>
  <si>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</si>
  <si>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</si>
  <si>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</si>
  <si>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</si>
  <si>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</si>
  <si>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</si>
  <si>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</si>
  <si>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</si>
  <si>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</si>
  <si>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</si>
  <si>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</si>
  <si>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</si>
  <si>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</si>
  <si>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</si>
  <si>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</si>
  <si>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</si>
  <si>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</si>
  <si>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</si>
  <si>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</si>
  <si>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</si>
  <si>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</si>
  <si>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</si>
  <si>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</si>
  <si>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</si>
  <si>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</si>
  <si>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</si>
  <si>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</si>
  <si>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</si>
  <si>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</si>
  <si>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</si>
  <si>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</si>
  <si>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</si>
  <si>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</si>
  <si>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</si>
  <si>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</si>
  <si>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</si>
  <si>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</si>
  <si>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</si>
  <si>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</si>
  <si>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</si>
  <si>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</si>
  <si>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</si>
  <si>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</si>
  <si>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</si>
  <si>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</si>
  <si>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</si>
  <si>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</si>
  <si>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</si>
  <si>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</si>
  <si>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</si>
  <si>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</si>
  <si>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</si>
  <si>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</si>
  <si>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</si>
  <si>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</si>
  <si>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</si>
  <si>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</si>
  <si>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</si>
  <si>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</si>
  <si>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</si>
  <si>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</si>
  <si>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</si>
  <si>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</si>
  <si>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</si>
  <si>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</si>
  <si>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</si>
  <si>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</si>
  <si>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</si>
  <si>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</si>
  <si>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</si>
  <si>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</si>
  <si>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</si>
  <si>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</si>
  <si>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2018-04-02</t>
  </si>
  <si>
    <t>FY19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</si>
  <si>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</si>
  <si>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</si>
  <si>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</si>
  <si>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</si>
  <si>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</si>
  <si>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</si>
  <si>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</si>
  <si>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</si>
  <si>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</si>
  <si>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</si>
  <si>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</si>
  <si>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</si>
  <si>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</si>
  <si>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</si>
  <si>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</si>
  <si>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</si>
  <si>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</si>
  <si>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</si>
  <si>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</si>
  <si>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</si>
  <si>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</si>
  <si>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</si>
  <si>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</si>
  <si>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</si>
  <si>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</si>
  <si>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</si>
  <si>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</si>
  <si>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</si>
  <si>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</si>
  <si>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</si>
  <si>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</si>
  <si>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</si>
  <si>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</si>
  <si>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</si>
  <si>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</si>
  <si>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</si>
  <si>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</si>
  <si>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</si>
  <si>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</si>
  <si>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</si>
  <si>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</si>
  <si>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</si>
  <si>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</si>
  <si>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</si>
  <si>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</si>
  <si>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</si>
  <si>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</si>
  <si>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</si>
  <si>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</si>
  <si>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</si>
  <si>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</si>
  <si>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</si>
  <si>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</si>
  <si>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</si>
  <si>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</si>
  <si>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</si>
  <si>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</si>
  <si>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</si>
  <si>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</si>
  <si>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</si>
  <si>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</si>
  <si>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</si>
  <si>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</si>
  <si>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</si>
  <si>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</si>
  <si>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</si>
  <si>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</si>
  <si>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</si>
  <si>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</si>
  <si>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</si>
  <si>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</si>
  <si>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</si>
  <si>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</si>
  <si>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</si>
  <si>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</si>
  <si>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</si>
  <si>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</si>
  <si>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</si>
  <si>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</si>
  <si>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</si>
  <si>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</si>
  <si>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</si>
  <si>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</si>
  <si>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</si>
  <si>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</si>
  <si>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</si>
  <si>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</si>
  <si>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</si>
  <si>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</si>
  <si>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</si>
  <si>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</si>
  <si>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</si>
  <si>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</si>
  <si>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</si>
  <si>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</si>
  <si>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</si>
  <si>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</si>
  <si>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</si>
  <si>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</si>
  <si>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</si>
  <si>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</si>
  <si>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</si>
  <si>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</si>
  <si>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</si>
  <si>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</si>
  <si>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</si>
  <si>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</si>
  <si>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</si>
  <si>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</si>
  <si>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</si>
  <si>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</si>
  <si>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</si>
  <si>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</si>
  <si>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</si>
  <si>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2018-09-14</t>
  </si>
  <si>
    <t>2018-09-17</t>
  </si>
  <si>
    <t>2018-09-18</t>
  </si>
  <si>
    <t>2018-09-19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</si>
  <si>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</si>
  <si>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</si>
  <si>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</si>
  <si>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</si>
  <si>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</si>
  <si>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</si>
  <si>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</si>
  <si>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</si>
  <si>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</si>
  <si>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</si>
  <si>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</si>
  <si>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</si>
  <si>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</si>
  <si>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</si>
  <si>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</si>
  <si>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</si>
  <si>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</si>
  <si>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</si>
  <si>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</si>
  <si>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</si>
  <si>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</si>
  <si>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</si>
  <si>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</si>
  <si>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</si>
  <si>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</si>
  <si>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</si>
  <si>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</si>
  <si>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</si>
  <si>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</si>
  <si>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</si>
  <si>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</si>
  <si>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</si>
  <si>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</si>
  <si>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</si>
  <si>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</si>
  <si>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</si>
  <si>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</si>
  <si>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</si>
  <si>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</si>
  <si>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</si>
  <si>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</si>
  <si>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</si>
  <si>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</si>
  <si>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</si>
  <si>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</si>
  <si>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</si>
  <si>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</si>
  <si>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</si>
  <si>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</si>
  <si>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</si>
  <si>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</si>
  <si>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</si>
  <si>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</si>
  <si>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</si>
  <si>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</si>
  <si>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</si>
  <si>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</si>
  <si>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</si>
  <si>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</si>
  <si>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</si>
  <si>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</si>
  <si>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</si>
  <si>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</si>
  <si>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</si>
  <si>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</si>
  <si>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</si>
  <si>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</si>
  <si>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</si>
  <si>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</si>
  <si>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</si>
  <si>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</si>
  <si>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</si>
  <si>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</si>
  <si>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</si>
  <si>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</si>
  <si>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</si>
  <si>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</si>
  <si>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</si>
  <si>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</si>
  <si>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</si>
  <si>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</si>
  <si>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</si>
  <si>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</si>
  <si>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</si>
  <si>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</si>
  <si>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</si>
  <si>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</si>
  <si>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</si>
  <si>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</si>
  <si>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</si>
  <si>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</si>
  <si>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</si>
  <si>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</si>
  <si>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</si>
  <si>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</si>
  <si>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</si>
  <si>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</si>
  <si>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</si>
  <si>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</si>
  <si>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</si>
  <si>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</si>
  <si>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</si>
  <si>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</si>
  <si>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</si>
  <si>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</si>
  <si>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</si>
  <si>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</si>
  <si>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</si>
  <si>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</si>
  <si>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</si>
  <si>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</si>
  <si>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</si>
  <si>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</si>
  <si>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</si>
  <si>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</si>
  <si>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</si>
  <si>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</si>
  <si>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</si>
  <si>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</si>
  <si>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</si>
  <si>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</si>
  <si>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</si>
  <si>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</si>
  <si>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</si>
  <si>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</si>
  <si>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</si>
  <si>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</si>
  <si>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2019-04-01</t>
  </si>
  <si>
    <t>FY20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</si>
  <si>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</si>
  <si>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</si>
  <si>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</si>
  <si>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</si>
  <si>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</si>
  <si>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</si>
  <si>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</si>
  <si>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</si>
  <si>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</si>
  <si>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</si>
  <si>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</si>
  <si>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2019-04-18</t>
  </si>
  <si>
    <t>2019-04-22</t>
  </si>
  <si>
    <t>2019-04-23</t>
  </si>
  <si>
    <t>2019-04-24</t>
  </si>
  <si>
    <t>2019-04-25</t>
  </si>
  <si>
    <t>2019-04-26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</si>
  <si>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</si>
  <si>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</si>
  <si>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</si>
  <si>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</si>
  <si>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</si>
  <si>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</si>
  <si>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</si>
  <si>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</si>
  <si>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</si>
  <si>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</si>
  <si>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</si>
  <si>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</si>
  <si>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</si>
  <si>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</si>
  <si>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</si>
  <si>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</si>
  <si>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</si>
  <si>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</si>
  <si>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</si>
  <si>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</si>
  <si>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</si>
  <si>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</si>
  <si>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</si>
  <si>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</si>
  <si>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</si>
  <si>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</si>
  <si>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</si>
  <si>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</si>
  <si>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</si>
  <si>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</si>
  <si>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</si>
  <si>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</si>
  <si>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</si>
  <si>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</si>
  <si>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</si>
  <si>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</si>
  <si>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</si>
  <si>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</si>
  <si>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</si>
  <si>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</si>
  <si>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</si>
  <si>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</si>
  <si>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</si>
  <si>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</si>
  <si>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</si>
  <si>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</si>
  <si>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</si>
  <si>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</si>
  <si>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</si>
  <si>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</si>
  <si>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</si>
  <si>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</si>
  <si>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</si>
  <si>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</si>
  <si>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</si>
  <si>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</si>
  <si>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</si>
  <si>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</si>
  <si>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</si>
  <si>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</si>
  <si>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</si>
  <si>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</si>
  <si>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</si>
  <si>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</si>
  <si>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</si>
  <si>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</si>
  <si>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</si>
  <si>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</si>
  <si>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</si>
  <si>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</si>
  <si>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</si>
  <si>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</si>
  <si>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</si>
  <si>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</si>
  <si>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</si>
  <si>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</si>
  <si>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</si>
  <si>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</si>
  <si>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</si>
  <si>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</si>
  <si>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</si>
  <si>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</si>
  <si>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</si>
  <si>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</si>
  <si>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</si>
  <si>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</si>
  <si>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</si>
  <si>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</si>
  <si>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</si>
  <si>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</si>
  <si>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</si>
  <si>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</si>
  <si>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</si>
  <si>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</si>
  <si>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</si>
  <si>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</si>
  <si>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</si>
  <si>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</si>
  <si>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</si>
  <si>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</si>
  <si>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</si>
  <si>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</si>
  <si>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</si>
  <si>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</si>
  <si>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</si>
  <si>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2019-10-03</t>
  </si>
  <si>
    <t>2019-10-04</t>
  </si>
  <si>
    <t>2019-10-07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</si>
  <si>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</si>
  <si>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</si>
  <si>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</si>
  <si>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</si>
  <si>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</si>
  <si>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</si>
  <si>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</si>
  <si>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</si>
  <si>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2019-10-22</t>
  </si>
  <si>
    <t>2019-10-23</t>
  </si>
  <si>
    <t>2019-10-24</t>
  </si>
  <si>
    <t>2019-10-25</t>
  </si>
  <si>
    <t>2019-10-27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</si>
  <si>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</si>
  <si>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</si>
  <si>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</si>
  <si>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</si>
  <si>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</si>
  <si>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</si>
  <si>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</si>
  <si>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</si>
  <si>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</si>
  <si>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</si>
  <si>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</si>
  <si>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</si>
  <si>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</si>
  <si>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</si>
  <si>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</si>
  <si>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</si>
  <si>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</si>
  <si>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</si>
  <si>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</si>
  <si>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</si>
  <si>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</si>
  <si>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</si>
  <si>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</si>
  <si>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</si>
  <si>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</si>
  <si>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</si>
  <si>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</si>
  <si>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</si>
  <si>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</si>
  <si>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</si>
  <si>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</si>
  <si>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</si>
  <si>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</si>
  <si>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</si>
  <si>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</si>
  <si>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</si>
  <si>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</si>
  <si>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</si>
  <si>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</si>
  <si>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</si>
  <si>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</si>
  <si>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</si>
  <si>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</si>
  <si>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</si>
  <si>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</si>
  <si>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</si>
  <si>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</si>
  <si>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</si>
  <si>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</si>
  <si>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</si>
  <si>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</si>
  <si>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</si>
  <si>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</si>
  <si>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</si>
  <si>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</si>
  <si>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</si>
  <si>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</si>
  <si>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</si>
  <si>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</si>
  <si>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</si>
  <si>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</si>
  <si>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</si>
  <si>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</si>
  <si>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</si>
  <si>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</si>
  <si>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</si>
  <si>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</si>
  <si>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</si>
  <si>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</si>
  <si>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</si>
  <si>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</si>
  <si>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</si>
  <si>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</si>
  <si>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</si>
  <si>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</si>
  <si>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</si>
  <si>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</si>
  <si>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</si>
  <si>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</si>
  <si>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</si>
  <si>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</si>
  <si>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</si>
  <si>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</si>
  <si>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</si>
  <si>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</si>
  <si>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</si>
  <si>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</si>
  <si>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</si>
  <si>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</si>
  <si>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</si>
  <si>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</si>
  <si>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</si>
  <si>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</si>
  <si>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</si>
  <si>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</si>
  <si>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</si>
  <si>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</si>
  <si>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</si>
  <si>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</si>
  <si>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</si>
  <si>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</si>
  <si>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</si>
  <si>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</si>
  <si>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</si>
  <si>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</si>
  <si>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</si>
  <si>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</si>
  <si>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</si>
  <si>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FY21</t>
  </si>
  <si>
    <t>2020-04-03</t>
  </si>
  <si>
    <t>2020-04-07</t>
  </si>
  <si>
    <t>2020-04-08</t>
  </si>
  <si>
    <t>2020-04-09</t>
  </si>
  <si>
    <t>2020-04-13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</si>
  <si>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</si>
  <si>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</si>
  <si>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</si>
  <si>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</si>
  <si>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</si>
  <si>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</si>
  <si>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</si>
  <si>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</si>
  <si>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</si>
  <si>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</si>
  <si>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</si>
  <si>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</si>
  <si>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</si>
  <si>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</si>
  <si>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</si>
  <si>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</si>
  <si>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</si>
  <si>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</si>
  <si>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</si>
  <si>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</si>
  <si>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</si>
  <si>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</si>
  <si>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</si>
  <si>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</si>
  <si>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</si>
  <si>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</si>
  <si>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</si>
  <si>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</si>
  <si>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</si>
  <si>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</si>
  <si>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</si>
  <si>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</si>
  <si>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</si>
  <si>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</si>
  <si>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</si>
  <si>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</si>
  <si>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</si>
  <si>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</si>
  <si>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</si>
  <si>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</si>
  <si>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</si>
  <si>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</si>
  <si>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</si>
  <si>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</si>
  <si>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</si>
  <si>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</si>
  <si>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</si>
  <si>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</si>
  <si>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</si>
  <si>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</si>
  <si>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</si>
  <si>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</si>
  <si>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</si>
  <si>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</si>
  <si>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</si>
  <si>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</si>
  <si>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</si>
  <si>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</si>
  <si>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</si>
  <si>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</si>
  <si>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</si>
  <si>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</si>
  <si>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</si>
  <si>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</si>
  <si>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</si>
  <si>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</si>
  <si>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</si>
  <si>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</si>
  <si>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</si>
  <si>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</si>
  <si>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</si>
  <si>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</si>
  <si>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</si>
  <si>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</si>
  <si>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</si>
  <si>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</si>
  <si>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</si>
  <si>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</si>
  <si>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</si>
  <si>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</si>
  <si>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</si>
  <si>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</si>
  <si>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</si>
  <si>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</si>
  <si>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</si>
  <si>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</si>
  <si>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</si>
  <si>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</si>
  <si>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</si>
  <si>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</si>
  <si>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</si>
  <si>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</si>
  <si>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</si>
  <si>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</si>
  <si>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</si>
  <si>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</si>
  <si>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</si>
  <si>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</si>
  <si>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</si>
  <si>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</si>
  <si>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</si>
  <si>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</si>
  <si>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</si>
  <si>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</si>
  <si>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</si>
  <si>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</si>
  <si>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</si>
  <si>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</si>
  <si>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</si>
  <si>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</si>
  <si>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</si>
  <si>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</si>
  <si>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</si>
  <si>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</si>
  <si>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</si>
  <si>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</si>
  <si>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</si>
  <si>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</si>
  <si>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</si>
  <si>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</si>
  <si>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</si>
  <si>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</si>
  <si>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</si>
  <si>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</si>
  <si>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</si>
  <si>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</si>
  <si>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</si>
  <si>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</si>
  <si>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</si>
  <si>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</si>
  <si>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</si>
  <si>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</si>
  <si>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</si>
  <si>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</si>
  <si>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</si>
  <si>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</si>
  <si>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</si>
  <si>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</si>
  <si>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</si>
  <si>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</si>
  <si>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</si>
  <si>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</si>
  <si>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</si>
  <si>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</si>
  <si>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</si>
  <si>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</si>
  <si>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</si>
  <si>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</si>
  <si>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</si>
  <si>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</si>
  <si>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2020-11-14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</si>
  <si>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</si>
  <si>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</si>
  <si>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</si>
  <si>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</si>
  <si>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</si>
  <si>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</si>
  <si>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</si>
  <si>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</si>
  <si>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</si>
  <si>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</si>
  <si>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</si>
  <si>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</si>
  <si>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</si>
  <si>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</si>
  <si>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</si>
  <si>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</si>
  <si>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</si>
  <si>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</si>
  <si>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</si>
  <si>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</si>
  <si>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</si>
  <si>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</si>
  <si>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</si>
  <si>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</si>
  <si>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</si>
  <si>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</si>
  <si>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</si>
  <si>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</si>
  <si>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</si>
  <si>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</si>
  <si>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</si>
  <si>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</si>
  <si>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</si>
  <si>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</si>
  <si>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</si>
  <si>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</si>
  <si>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</si>
  <si>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</si>
  <si>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</si>
  <si>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</si>
  <si>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</si>
  <si>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</si>
  <si>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</si>
  <si>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</si>
  <si>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</si>
  <si>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</si>
  <si>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</si>
  <si>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</si>
  <si>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</si>
  <si>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</si>
  <si>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</si>
  <si>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</si>
  <si>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</si>
  <si>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</si>
  <si>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</si>
  <si>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</si>
  <si>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</si>
  <si>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</si>
  <si>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</si>
  <si>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</si>
  <si>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</si>
  <si>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</si>
  <si>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</si>
  <si>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</si>
  <si>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</si>
  <si>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</si>
  <si>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</si>
  <si>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</si>
  <si>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</si>
  <si>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</si>
  <si>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</si>
  <si>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</si>
  <si>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</si>
  <si>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</si>
  <si>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</si>
  <si>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</si>
  <si>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</si>
  <si>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</si>
  <si>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</si>
  <si>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</si>
  <si>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</si>
  <si>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</si>
  <si>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</si>
  <si>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</si>
  <si>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</si>
  <si>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</si>
  <si>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</si>
  <si>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</si>
  <si>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</si>
  <si>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</si>
  <si>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2021-03-30</t>
  </si>
  <si>
    <t>2021-03-31</t>
  </si>
  <si>
    <t>2021-04-01</t>
  </si>
  <si>
    <t>FY22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</si>
  <si>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</si>
  <si>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</si>
  <si>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</si>
  <si>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</si>
  <si>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</si>
  <si>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</si>
  <si>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</si>
  <si>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2021-04-15</t>
  </si>
  <si>
    <t>2021-04-16</t>
  </si>
  <si>
    <t>2021-04-19</t>
  </si>
  <si>
    <t>2021-04-20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</si>
  <si>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</si>
  <si>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</si>
  <si>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</si>
  <si>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</si>
  <si>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</si>
  <si>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</si>
  <si>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</si>
  <si>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</si>
  <si>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</si>
  <si>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</si>
  <si>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</si>
  <si>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</si>
  <si>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</si>
  <si>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</si>
  <si>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</si>
  <si>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</si>
  <si>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</si>
  <si>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</si>
  <si>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</si>
  <si>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</si>
  <si>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</si>
  <si>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</si>
  <si>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</si>
  <si>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</si>
  <si>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</si>
  <si>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</si>
  <si>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</si>
  <si>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</si>
  <si>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</si>
  <si>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</si>
  <si>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</si>
  <si>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</si>
  <si>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</si>
  <si>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</si>
  <si>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</si>
  <si>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</si>
  <si>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</si>
  <si>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</si>
  <si>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</si>
  <si>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</si>
  <si>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</si>
  <si>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</si>
  <si>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</si>
  <si>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</si>
  <si>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</si>
  <si>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</si>
  <si>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</si>
  <si>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</si>
  <si>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</si>
  <si>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</si>
  <si>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</si>
  <si>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</si>
  <si>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</si>
  <si>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</si>
  <si>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</si>
  <si>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</si>
  <si>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</si>
  <si>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</si>
  <si>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</si>
  <si>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</si>
  <si>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</si>
  <si>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</si>
  <si>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</si>
  <si>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</si>
  <si>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</si>
  <si>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</si>
  <si>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</si>
  <si>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</si>
  <si>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</si>
  <si>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</si>
  <si>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</si>
  <si>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</si>
  <si>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</si>
  <si>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</si>
  <si>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</si>
  <si>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</si>
  <si>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</si>
  <si>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</si>
  <si>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</si>
  <si>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</si>
  <si>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</si>
  <si>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</si>
  <si>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</si>
  <si>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</si>
  <si>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</si>
  <si>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</si>
  <si>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</si>
  <si>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</si>
  <si>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</si>
  <si>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</si>
  <si>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</si>
  <si>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</si>
  <si>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</si>
  <si>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</si>
  <si>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</si>
  <si>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</si>
  <si>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</si>
  <si>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</si>
  <si>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</si>
  <si>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</si>
  <si>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</si>
  <si>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</si>
  <si>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</si>
  <si>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</si>
  <si>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</si>
  <si>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</si>
  <si>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</si>
  <si>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</si>
  <si>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</si>
  <si>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</si>
  <si>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</si>
  <si>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</si>
  <si>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</si>
  <si>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</si>
  <si>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</si>
  <si>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</si>
  <si>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</si>
  <si>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</si>
  <si>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</si>
  <si>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</si>
  <si>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</si>
  <si>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</si>
  <si>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</si>
  <si>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</si>
  <si>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</si>
  <si>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</si>
  <si>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</si>
  <si>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</si>
  <si>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</si>
  <si>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</si>
  <si>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</si>
  <si>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</si>
  <si>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</si>
  <si>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</si>
  <si>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</si>
  <si>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</si>
  <si>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</si>
  <si>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</si>
  <si>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</si>
  <si>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</si>
  <si>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</si>
  <si>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</si>
  <si>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</si>
  <si>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</si>
  <si>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</si>
  <si>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</si>
  <si>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</si>
  <si>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</si>
  <si>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</si>
  <si>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</si>
  <si>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</si>
  <si>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</si>
  <si>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</si>
  <si>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</si>
  <si>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</si>
  <si>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</si>
  <si>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</si>
  <si>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</si>
  <si>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</si>
  <si>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</si>
  <si>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</si>
  <si>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</si>
  <si>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</si>
  <si>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</si>
  <si>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</si>
  <si>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</si>
  <si>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</si>
  <si>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</si>
  <si>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</si>
  <si>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</si>
  <si>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</si>
  <si>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</si>
  <si>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</si>
  <si>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</si>
  <si>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</si>
  <si>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</si>
  <si>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</si>
  <si>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</si>
  <si>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</si>
  <si>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</si>
  <si>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</si>
  <si>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</si>
  <si>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</si>
  <si>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</si>
  <si>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</si>
  <si>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</si>
  <si>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</si>
  <si>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</si>
  <si>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</si>
  <si>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</si>
  <si>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</si>
  <si>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</si>
  <si>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</si>
  <si>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</si>
  <si>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</si>
  <si>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</si>
  <si>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</si>
  <si>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</si>
  <si>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</si>
  <si>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</si>
  <si>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</si>
  <si>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</si>
  <si>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</si>
  <si>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</si>
  <si>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</si>
  <si>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</si>
  <si>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</si>
  <si>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</si>
  <si>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</si>
  <si>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</si>
  <si>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</si>
  <si>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</si>
  <si>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</si>
  <si>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</si>
  <si>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</si>
  <si>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</si>
  <si>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</si>
  <si>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</si>
  <si>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</si>
  <si>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</si>
  <si>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</si>
  <si>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</si>
  <si>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</si>
  <si>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</si>
  <si>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</si>
  <si>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</si>
  <si>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</si>
  <si>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</si>
  <si>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</si>
  <si>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</si>
  <si>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</si>
  <si>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</si>
  <si>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</si>
  <si>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</si>
  <si>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</si>
  <si>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</si>
  <si>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</si>
  <si>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FY23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</si>
  <si>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</si>
  <si>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</si>
  <si>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</si>
  <si>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</si>
  <si>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</si>
  <si>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</si>
  <si>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</si>
  <si>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</si>
  <si>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</si>
  <si>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</si>
  <si>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</si>
  <si>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</si>
  <si>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</si>
  <si>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</si>
  <si>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</si>
  <si>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</si>
  <si>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</si>
  <si>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</si>
  <si>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</si>
  <si>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</si>
  <si>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</si>
  <si>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</si>
  <si>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</si>
  <si>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</si>
  <si>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</si>
  <si>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</si>
  <si>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</si>
  <si>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</si>
  <si>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</si>
  <si>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</si>
  <si>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</si>
  <si>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</si>
  <si>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</si>
  <si>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</si>
  <si>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</si>
  <si>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</si>
  <si>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</si>
  <si>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</si>
  <si>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</si>
  <si>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</si>
  <si>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</si>
  <si>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</si>
  <si>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</si>
  <si>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</si>
  <si>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</si>
  <si>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</si>
  <si>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</si>
  <si>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</si>
  <si>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</si>
  <si>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</si>
  <si>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</si>
  <si>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</si>
  <si>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</si>
  <si>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</si>
  <si>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</si>
  <si>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</si>
  <si>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</si>
  <si>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</si>
  <si>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</si>
  <si>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</si>
  <si>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</si>
  <si>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</si>
  <si>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</si>
  <si>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</si>
  <si>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</si>
  <si>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</si>
  <si>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</si>
  <si>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</si>
  <si>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</si>
  <si>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</si>
  <si>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</si>
  <si>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</si>
  <si>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</si>
  <si>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</si>
  <si>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</si>
  <si>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</si>
  <si>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</si>
  <si>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</si>
  <si>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</si>
  <si>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</si>
  <si>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</si>
  <si>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</si>
  <si>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</si>
  <si>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</si>
  <si>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</si>
  <si>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</si>
  <si>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</si>
  <si>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</si>
  <si>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</si>
  <si>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</si>
  <si>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</si>
  <si>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</si>
  <si>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</si>
  <si>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</si>
  <si>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</si>
  <si>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</si>
  <si>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</si>
  <si>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</si>
  <si>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</si>
  <si>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</si>
  <si>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</si>
  <si>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</si>
  <si>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</si>
  <si>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</si>
  <si>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</si>
  <si>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</si>
  <si>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</si>
  <si>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</si>
  <si>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</si>
  <si>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</si>
  <si>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</si>
  <si>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</si>
  <si>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</si>
  <si>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</si>
  <si>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</si>
  <si>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</si>
  <si>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</si>
  <si>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</si>
  <si>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</si>
  <si>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</si>
  <si>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</si>
  <si>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</si>
  <si>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</si>
  <si>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</si>
  <si>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</si>
  <si>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</si>
  <si>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</si>
  <si>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</si>
  <si>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</si>
  <si>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</si>
  <si>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</si>
  <si>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</si>
  <si>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</si>
  <si>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</si>
  <si>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</si>
  <si>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</si>
  <si>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</si>
  <si>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</si>
  <si>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</si>
  <si>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</si>
  <si>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</si>
  <si>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</si>
  <si>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</si>
  <si>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</si>
  <si>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</si>
  <si>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</si>
  <si>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</si>
  <si>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</si>
  <si>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</si>
  <si>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</si>
  <si>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</si>
  <si>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</si>
  <si>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</si>
  <si>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</si>
  <si>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</si>
  <si>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</si>
  <si>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</si>
  <si>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</si>
  <si>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</si>
  <si>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</si>
  <si>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</si>
  <si>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</si>
  <si>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</si>
  <si>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</si>
  <si>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</si>
  <si>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</si>
  <si>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</si>
  <si>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</si>
  <si>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</si>
  <si>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</si>
  <si>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</si>
  <si>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</si>
  <si>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</si>
  <si>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</si>
  <si>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</si>
  <si>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</si>
  <si>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</si>
  <si>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</si>
  <si>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</si>
  <si>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</si>
  <si>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</si>
  <si>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</si>
  <si>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</si>
  <si>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</si>
  <si>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</si>
  <si>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</si>
  <si>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</si>
  <si>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</si>
  <si>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</si>
  <si>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</si>
  <si>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</si>
  <si>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</si>
  <si>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</si>
  <si>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</si>
  <si>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</si>
  <si>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</si>
  <si>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</si>
  <si>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</si>
  <si>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</si>
  <si>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</si>
  <si>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</si>
  <si>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</si>
  <si>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</si>
  <si>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</si>
  <si>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</si>
  <si>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</si>
  <si>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</si>
  <si>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</si>
  <si>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</si>
  <si>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</si>
  <si>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</si>
  <si>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</si>
  <si>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</si>
  <si>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</si>
  <si>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</si>
  <si>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</si>
  <si>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</si>
  <si>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</si>
  <si>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</si>
  <si>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</si>
  <si>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</si>
  <si>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</si>
  <si>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</si>
  <si>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</si>
  <si>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</si>
  <si>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</si>
  <si>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</si>
  <si>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</si>
  <si>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</si>
  <si>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</si>
  <si>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</si>
  <si>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</si>
  <si>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</si>
  <si>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</si>
  <si>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</si>
  <si>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</si>
  <si>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</si>
  <si>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</si>
  <si>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</si>
  <si>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</si>
  <si>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</si>
  <si>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</si>
  <si>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</si>
  <si>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</si>
  <si>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</si>
  <si>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</si>
  <si>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</si>
  <si>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</si>
  <si>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</si>
  <si>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FY24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</si>
  <si>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</si>
  <si>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</si>
  <si>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</si>
  <si>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</si>
  <si>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</si>
  <si>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</si>
  <si>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</si>
  <si>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</si>
  <si>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</si>
  <si>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</si>
  <si>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</si>
  <si>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</si>
  <si>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</si>
  <si>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</si>
  <si>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</si>
  <si>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</si>
  <si>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</si>
  <si>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</si>
  <si>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</si>
  <si>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</si>
  <si>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</si>
  <si>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</si>
  <si>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</si>
  <si>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</si>
  <si>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</si>
  <si>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</si>
  <si>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</si>
  <si>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</si>
  <si>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</si>
  <si>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</si>
  <si>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</si>
  <si>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</si>
  <si>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</si>
  <si>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</si>
  <si>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</si>
  <si>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</si>
  <si>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</si>
  <si>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</si>
  <si>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</si>
  <si>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</si>
  <si>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</si>
  <si>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</si>
  <si>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</si>
  <si>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</si>
  <si>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</si>
  <si>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</si>
  <si>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</si>
  <si>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</si>
  <si>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</si>
  <si>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</si>
  <si>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</si>
  <si>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</si>
  <si>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</si>
  <si>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</si>
  <si>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</si>
  <si>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</si>
  <si>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</si>
  <si>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</si>
  <si>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</si>
  <si>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</si>
  <si>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</si>
  <si>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</si>
  <si>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</si>
  <si>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</si>
  <si>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</si>
  <si>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</si>
  <si>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</si>
  <si>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</si>
  <si>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</si>
  <si>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</si>
  <si>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</si>
  <si>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</si>
  <si>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</si>
  <si>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</si>
  <si>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</si>
  <si>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</si>
  <si>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</si>
  <si>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</si>
  <si>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</si>
  <si>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</si>
  <si>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</si>
  <si>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</si>
  <si>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</si>
  <si>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</si>
  <si>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</si>
  <si>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</si>
  <si>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</si>
  <si>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</si>
  <si>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</si>
  <si>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</si>
  <si>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</si>
  <si>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</si>
  <si>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</si>
  <si>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</si>
  <si>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</si>
  <si>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</si>
  <si>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</si>
  <si>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</si>
  <si>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</si>
  <si>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</si>
  <si>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</si>
  <si>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</si>
  <si>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</si>
  <si>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</si>
  <si>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</si>
  <si>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</si>
  <si>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</si>
  <si>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</si>
  <si>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</si>
  <si>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</si>
  <si>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</si>
  <si>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</si>
  <si>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</si>
  <si>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</si>
  <si>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</si>
  <si>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</si>
  <si>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</si>
  <si>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</si>
  <si>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</si>
  <si>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</si>
  <si>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</si>
  <si>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</si>
  <si>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</si>
  <si>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</si>
  <si>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</si>
  <si>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</si>
  <si>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</si>
  <si>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</si>
  <si>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</si>
  <si>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</si>
  <si>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</si>
  <si>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</si>
  <si>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</si>
  <si>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</si>
  <si>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</si>
  <si>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</si>
  <si>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</si>
  <si>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</si>
  <si>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</si>
  <si>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</si>
  <si>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</si>
  <si>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</si>
  <si>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</si>
  <si>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</si>
  <si>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</si>
  <si>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</si>
  <si>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</si>
  <si>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</si>
  <si>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</si>
  <si>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</si>
  <si>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</si>
  <si>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</si>
  <si>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</si>
  <si>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</si>
  <si>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</si>
  <si>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</si>
  <si>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</si>
  <si>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</si>
  <si>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</si>
  <si>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</si>
  <si>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</si>
  <si>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</si>
  <si>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</si>
  <si>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</si>
  <si>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</si>
  <si>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</si>
  <si>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</si>
  <si>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</si>
  <si>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</si>
  <si>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</si>
  <si>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</si>
  <si>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</si>
  <si>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</si>
  <si>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</si>
  <si>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</si>
  <si>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</si>
  <si>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</si>
  <si>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</si>
  <si>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</si>
  <si>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</si>
  <si>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</si>
  <si>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</si>
  <si>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</si>
  <si>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</si>
  <si>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</si>
  <si>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</si>
  <si>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</si>
  <si>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</si>
  <si>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</si>
  <si>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</si>
  <si>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</si>
  <si>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</si>
  <si>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</si>
  <si>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</si>
  <si>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</si>
  <si>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</si>
  <si>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</si>
  <si>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</si>
  <si>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</si>
  <si>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</si>
  <si>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</si>
  <si>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</si>
  <si>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</si>
  <si>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</si>
  <si>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</si>
  <si>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</si>
  <si>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</si>
  <si>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</si>
  <si>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</si>
  <si>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</si>
  <si>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</si>
  <si>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</si>
  <si>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</si>
  <si>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</si>
  <si>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</si>
  <si>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</si>
  <si>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</si>
  <si>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</si>
  <si>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</si>
  <si>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</si>
  <si>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</si>
  <si>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</si>
  <si>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</si>
  <si>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</si>
  <si>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</si>
  <si>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</si>
  <si>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</si>
  <si>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</si>
  <si>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</si>
  <si>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</si>
  <si>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</si>
  <si>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</si>
  <si>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</si>
  <si>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</si>
  <si>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</si>
  <si>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</si>
  <si>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</si>
  <si>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</si>
  <si>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</si>
  <si>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</si>
  <si>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</si>
  <si>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</si>
  <si>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</si>
  <si>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FY25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</si>
  <si>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</si>
  <si>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</si>
  <si>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</si>
  <si>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</si>
  <si>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</si>
  <si>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</si>
  <si>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</si>
  <si>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</si>
  <si>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</si>
  <si>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</si>
  <si>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</si>
  <si>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</si>
  <si>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</si>
  <si>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</si>
  <si>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</si>
  <si>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</si>
  <si>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</si>
  <si>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</si>
  <si>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</si>
  <si>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</si>
  <si>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</si>
  <si>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</si>
  <si>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</si>
  <si>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</si>
  <si>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</si>
  <si>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</si>
  <si>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</si>
  <si>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</si>
  <si>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</si>
  <si>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</si>
  <si>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</si>
  <si>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</si>
  <si>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</si>
  <si>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</si>
  <si>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</si>
  <si>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</si>
  <si>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</si>
  <si>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</si>
  <si>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</si>
  <si>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</si>
  <si>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</si>
  <si>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</si>
  <si>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</si>
  <si>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</si>
  <si>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</si>
  <si>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</si>
  <si>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</si>
  <si>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</si>
  <si>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</si>
  <si>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</si>
  <si>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</si>
  <si>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</si>
  <si>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</si>
  <si>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</si>
  <si>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</si>
  <si>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</si>
  <si>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</si>
  <si>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</si>
  <si>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</si>
  <si>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</si>
  <si>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</si>
  <si>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</si>
  <si>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</si>
  <si>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</si>
  <si>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</si>
  <si>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</si>
  <si>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</si>
  <si>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</si>
  <si>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</si>
  <si>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</si>
  <si>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</si>
  <si>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</si>
  <si>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</si>
  <si>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</si>
  <si>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</si>
  <si>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</si>
  <si>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</si>
  <si>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</si>
  <si>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</si>
  <si>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</si>
  <si>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</si>
  <si>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</si>
  <si>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</si>
  <si>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</si>
  <si>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</si>
  <si>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</si>
  <si>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</si>
  <si>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</si>
  <si>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</si>
  <si>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</si>
  <si>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</si>
  <si>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</si>
  <si>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</si>
  <si>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</si>
  <si>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</si>
  <si>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</si>
  <si>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</si>
  <si>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</si>
  <si>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</si>
  <si>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</si>
  <si>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</si>
  <si>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</si>
  <si>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</si>
  <si>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</si>
  <si>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</si>
  <si>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</si>
  <si>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</si>
  <si>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</si>
  <si>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</si>
  <si>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</si>
  <si>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</si>
  <si>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</si>
  <si>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</si>
  <si>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</si>
  <si>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</si>
  <si>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</si>
  <si>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</si>
  <si>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</si>
  <si>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</si>
  <si>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</si>
  <si>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</si>
  <si>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</si>
  <si>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</si>
  <si>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</si>
  <si>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</si>
  <si>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</si>
  <si>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</si>
  <si>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</si>
  <si>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</si>
  <si>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</si>
  <si>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</si>
  <si>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</si>
  <si>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</si>
  <si>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</si>
  <si>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</si>
  <si>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</si>
  <si>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</si>
  <si>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</si>
  <si>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</si>
  <si>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</si>
  <si>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</si>
  <si>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</si>
  <si>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</si>
  <si>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</si>
  <si>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</si>
  <si>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</si>
  <si>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</si>
  <si>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</si>
  <si>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</si>
  <si>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</si>
  <si>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</si>
  <si>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</si>
  <si>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</si>
  <si>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</si>
  <si>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</si>
  <si>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</si>
  <si>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</si>
  <si>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</si>
  <si>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</si>
  <si>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</si>
  <si>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</si>
  <si>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</si>
  <si>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</si>
  <si>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</si>
  <si>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</si>
  <si>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</si>
  <si>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</si>
  <si>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</si>
  <si>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</si>
  <si>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</si>
  <si>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</si>
  <si>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</si>
  <si>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</si>
  <si>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</si>
  <si>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</si>
  <si>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</si>
  <si>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</si>
  <si>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</si>
  <si>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</si>
  <si>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</si>
  <si>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</si>
  <si>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</si>
  <si>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</si>
  <si>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</si>
  <si>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</si>
  <si>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</si>
  <si>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</si>
  <si>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</si>
  <si>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</si>
  <si>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</si>
  <si>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</si>
  <si>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</si>
  <si>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</si>
  <si>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</si>
  <si>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</si>
  <si>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</si>
  <si>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</si>
  <si>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</si>
  <si>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</si>
  <si>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</si>
  <si>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</si>
  <si>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</si>
  <si>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</si>
  <si>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</si>
  <si>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</si>
  <si>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</si>
  <si>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</si>
  <si>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</si>
  <si>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</si>
  <si>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</si>
  <si>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</si>
  <si>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</si>
  <si>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</si>
  <si>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</si>
  <si>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</si>
  <si>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</si>
  <si>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</si>
  <si>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</si>
  <si>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</si>
  <si>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</si>
  <si>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</si>
  <si>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</si>
  <si>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</si>
  <si>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</si>
  <si>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</si>
  <si>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</si>
  <si>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</si>
  <si>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</si>
  <si>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</si>
  <si>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</si>
  <si>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</si>
  <si>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</si>
  <si>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</si>
  <si>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</si>
  <si>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</si>
  <si>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</si>
  <si>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</si>
  <si>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</si>
  <si>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</si>
  <si>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</si>
  <si>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</si>
  <si>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</si>
  <si>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</si>
  <si>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</si>
  <si>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</si>
  <si>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</si>
  <si>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</si>
  <si>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2025-04-01</t>
  </si>
  <si>
    <t>FY26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</si>
  <si>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</si>
  <si>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</si>
  <si>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</si>
  <si>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</si>
  <si>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</si>
  <si>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</si>
  <si>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</si>
  <si>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</si>
  <si>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</si>
  <si>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</si>
  <si>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</si>
  <si>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</si>
  <si>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</si>
  <si>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</si>
  <si>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</si>
  <si>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</si>
  <si>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</si>
  <si>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</si>
  <si>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</si>
  <si>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</si>
  <si>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</si>
  <si>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</si>
  <si>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</si>
  <si>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</si>
  <si>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</si>
  <si>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</si>
  <si>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</si>
  <si>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</si>
  <si>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</si>
  <si>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</si>
  <si>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</si>
  <si>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</si>
  <si>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</si>
  <si>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</si>
  <si>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</si>
  <si>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</si>
  <si>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</si>
  <si>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</si>
  <si>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</si>
  <si>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</si>
  <si>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</si>
  <si>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</si>
  <si>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</si>
  <si>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</si>
  <si>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</si>
  <si>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</si>
  <si>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</si>
  <si>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</si>
  <si>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</si>
  <si>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</si>
  <si>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</si>
  <si>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</si>
  <si>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</si>
  <si>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</si>
  <si>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</si>
  <si>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</si>
  <si>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</si>
  <si>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</si>
  <si>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</si>
  <si>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</si>
  <si>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</si>
  <si>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</si>
  <si>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</si>
  <si>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</si>
  <si>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</si>
  <si>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</si>
  <si>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</si>
  <si>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</si>
  <si>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</si>
  <si>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</si>
  <si>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</si>
  <si>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</si>
  <si>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</si>
  <si>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</si>
  <si>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</si>
  <si>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</si>
  <si>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</si>
  <si>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</si>
  <si>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</si>
  <si>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</si>
  <si>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</si>
  <si>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</si>
  <si>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</si>
  <si>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</si>
  <si>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</si>
  <si>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</si>
  <si>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</si>
  <si>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</si>
  <si>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</si>
  <si>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</si>
  <si>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</si>
  <si>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</si>
  <si>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</si>
  <si>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</si>
  <si>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</si>
  <si>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</si>
  <si>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</si>
  <si>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</si>
  <si>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</si>
  <si>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</si>
  <si>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</si>
  <si>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</si>
  <si>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</si>
  <si>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</si>
  <si>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</si>
  <si>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</si>
  <si>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</si>
  <si>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</si>
  <si>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</si>
  <si>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</si>
  <si>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</si>
  <si>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</si>
  <si>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</si>
  <si>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</si>
  <si>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</si>
  <si>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</si>
  <si>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</si>
  <si>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</si>
  <si>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</si>
  <si>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</si>
  <si>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</si>
  <si>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</si>
  <si>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</si>
  <si>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</si>
  <si>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</si>
  <si>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</si>
  <si>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</si>
  <si>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</si>
  <si>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</si>
  <si>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</si>
  <si>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</si>
  <si>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</si>
  <si>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</si>
  <si>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</si>
  <si>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</si>
  <si>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</si>
  <si>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</si>
  <si>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</si>
  <si>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</si>
  <si>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</si>
  <si>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</si>
  <si>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</si>
  <si>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</si>
  <si>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</si>
  <si>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</si>
  <si>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</si>
  <si>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</si>
  <si>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</si>
  <si>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</si>
  <si>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</si>
  <si>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</si>
  <si>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</si>
  <si>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</si>
  <si>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</si>
  <si>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</si>
  <si>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</si>
  <si>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</si>
  <si>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</si>
  <si>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</si>
  <si>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</si>
  <si>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</si>
  <si>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</si>
  <si>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</si>
  <si>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</si>
  <si>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</si>
  <si>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</si>
  <si>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</si>
  <si>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</si>
  <si>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</si>
  <si>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</si>
  <si>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</si>
  <si>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</si>
  <si>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</si>
  <si>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</si>
  <si>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</si>
  <si>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</si>
  <si>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</si>
  <si>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</si>
  <si>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</si>
  <si>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</si>
  <si>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</si>
  <si>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</si>
  <si>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</si>
  <si>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</si>
  <si>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</si>
  <si>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</si>
  <si>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</si>
  <si>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</si>
  <si>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</si>
  <si>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</si>
  <si>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</si>
  <si>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</si>
  <si>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</si>
  <si>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</si>
  <si>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</si>
  <si>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</si>
  <si>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</si>
  <si>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</si>
  <si>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</si>
  <si>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</si>
  <si>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</si>
  <si>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</si>
  <si>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</si>
  <si>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</si>
  <si>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</si>
  <si>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</si>
  <si>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</si>
  <si>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</si>
  <si>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</si>
  <si>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</si>
  <si>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</si>
  <si>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</si>
  <si>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</si>
  <si>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</si>
  <si>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</si>
  <si>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</si>
  <si>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</si>
  <si>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</si>
  <si>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</si>
  <si>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</si>
  <si>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</si>
  <si>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</si>
  <si>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</si>
  <si>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</si>
  <si>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</si>
  <si>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</si>
  <si>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</si>
  <si>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</si>
  <si>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</si>
  <si>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</si>
  <si>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</si>
  <si>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</si>
  <si>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</si>
  <si>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</si>
  <si>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</si>
  <si>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</si>
  <si>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</si>
  <si>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</si>
  <si>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</si>
  <si>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</si>
  <si>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</si>
  <si>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</si>
  <si>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</si>
  <si>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</si>
  <si>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2026-03-27</t>
  </si>
  <si>
    <t>2026-03-30</t>
  </si>
  <si>
    <t>2026-04-01</t>
  </si>
  <si>
    <t>FY27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</si>
  <si>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</si>
  <si>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</si>
  <si>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</si>
  <si>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</si>
  <si>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</si>
  <si>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</si>
  <si>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</si>
  <si>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</si>
  <si>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</si>
  <si>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</si>
  <si>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</si>
  <si>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</si>
  <si>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</si>
  <si>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</si>
  <si>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</si>
  <si>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</si>
  <si>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</si>
  <si>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</si>
  <si>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</si>
  <si>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</si>
  <si>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</si>
  <si>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</si>
  <si>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</si>
  <si>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</si>
  <si>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</si>
  <si>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</si>
  <si>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</si>
  <si>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</si>
  <si>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</si>
  <si>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</si>
  <si>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</si>
  <si>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</si>
  <si>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</si>
  <si>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</si>
  <si>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</si>
  <si>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</si>
  <si>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</si>
  <si>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</si>
  <si>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</si>
  <si>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</si>
  <si>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</si>
  <si>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</si>
  <si>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</si>
  <si>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</si>
  <si>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</si>
  <si>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</si>
  <si>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</si>
  <si>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</si>
  <si>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</si>
  <si>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</si>
  <si>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</si>
  <si>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</si>
  <si>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</si>
  <si>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</si>
  <si>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</si>
  <si>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</si>
  <si>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</si>
  <si>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</si>
  <si>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</si>
  <si>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</si>
  <si>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</si>
  <si>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</si>
  <si>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</si>
  <si>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</si>
  <si>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</si>
  <si>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</si>
  <si>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</si>
  <si>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</si>
  <si>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</si>
  <si>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</si>
  <si>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</si>
  <si>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</si>
  <si>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</si>
  <si>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</si>
  <si>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</si>
  <si>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</si>
  <si>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</si>
  <si>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</si>
  <si>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</si>
  <si>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</si>
  <si>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</si>
  <si>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</si>
  <si>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</si>
  <si>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</si>
  <si>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</si>
  <si>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</si>
  <si>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</si>
  <si>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</si>
  <si>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</si>
  <si>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</si>
  <si>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</si>
  <si>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</si>
  <si>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</si>
  <si>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</si>
  <si>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</si>
  <si>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</si>
  <si>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</si>
  <si>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</si>
  <si>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</si>
  <si>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</si>
  <si>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</si>
  <si>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</si>
  <si>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Valuation</t>
  </si>
  <si>
    <t>Historical FY-end prices; forecast share price = diluted EPS × target P/E assumption</t>
  </si>
  <si>
    <t>Share price</t>
  </si>
  <si>
    <t>Market capitalization</t>
  </si>
  <si>
    <t>Cash &amp; treasury investments</t>
  </si>
  <si>
    <t>Enterprise value</t>
  </si>
  <si>
    <t>P / book</t>
  </si>
  <si>
    <t>Target P/E assumption</t>
  </si>
  <si>
    <t>Implied share price</t>
  </si>
  <si>
    <t>Upside / (downside) vs prior FY-end</t>
  </si>
  <si>
    <t>Model Checks</t>
  </si>
  <si>
    <t>All critical accounting, cash and operating reconciliations</t>
  </si>
  <si>
    <t>Check</t>
  </si>
  <si>
    <t>Actual / Calc</t>
  </si>
  <si>
    <t>Control</t>
  </si>
  <si>
    <t>Difference</t>
  </si>
  <si>
    <t>Tolerance</t>
  </si>
  <si>
    <t>OVERALL MODEL STATUS</t>
  </si>
  <si>
    <t>FY16A balance sheet</t>
  </si>
  <si>
    <t>FY16A cash tie</t>
  </si>
  <si>
    <t>FY17A balance sheet</t>
  </si>
  <si>
    <t>FY17A cash tie</t>
  </si>
  <si>
    <t>FY18A balance sheet</t>
  </si>
  <si>
    <t>FY18A cash tie</t>
  </si>
  <si>
    <t>FY19A balance sheet</t>
  </si>
  <si>
    <t>FY19A cash tie</t>
  </si>
  <si>
    <t>FY20A balance sheet</t>
  </si>
  <si>
    <t>FY20A cash tie</t>
  </si>
  <si>
    <t>FY21A balance sheet</t>
  </si>
  <si>
    <t>FY21A cash tie</t>
  </si>
  <si>
    <t>FY22A balance sheet</t>
  </si>
  <si>
    <t>FY22A cash tie</t>
  </si>
  <si>
    <t>FY23A balance sheet</t>
  </si>
  <si>
    <t>FY23A cash tie</t>
  </si>
  <si>
    <t>FY24A balance sheet</t>
  </si>
  <si>
    <t>FY24A cash tie</t>
  </si>
  <si>
    <t>FY25A balance sheet</t>
  </si>
  <si>
    <t>FY25A cash tie</t>
  </si>
  <si>
    <t>FY26A balance sheet</t>
  </si>
  <si>
    <t>FY26A cash tie</t>
  </si>
  <si>
    <t>FY27E balance sheet</t>
  </si>
  <si>
    <t>FY27E cash tie</t>
  </si>
  <si>
    <t>FY28E balance sheet</t>
  </si>
  <si>
    <t>FY28E cash tie</t>
  </si>
  <si>
    <t>FY29E balance sheet</t>
  </si>
  <si>
    <t>FY29E cash tie</t>
  </si>
  <si>
    <t>FY30E balance sheet</t>
  </si>
  <si>
    <t>FY30E cash tie</t>
  </si>
  <si>
    <t>FY16 quarterly revenue roll-up</t>
  </si>
  <si>
    <t>FY16 quarterly EBIT roll-up</t>
  </si>
  <si>
    <t>FY16 quarterly NI roll-up</t>
  </si>
  <si>
    <t>FY17 quarterly revenue roll-up</t>
  </si>
  <si>
    <t>FY17 quarterly EBIT roll-up</t>
  </si>
  <si>
    <t>FY17 quarterly NI roll-up</t>
  </si>
  <si>
    <t>FY18 quarterly revenue roll-up</t>
  </si>
  <si>
    <t>FY18 quarterly EBIT roll-up</t>
  </si>
  <si>
    <t>FY18 quarterly NI roll-up</t>
  </si>
  <si>
    <t>FY19 quarterly revenue roll-up</t>
  </si>
  <si>
    <t>FY19 quarterly EBIT roll-up</t>
  </si>
  <si>
    <t>FY19 quarterly NI roll-up</t>
  </si>
  <si>
    <t>FY20 quarterly revenue roll-up</t>
  </si>
  <si>
    <t>FY20 quarterly EBIT roll-up</t>
  </si>
  <si>
    <t>FY20 quarterly NI roll-up</t>
  </si>
  <si>
    <t>FY21 quarterly revenue roll-up</t>
  </si>
  <si>
    <t>FY21 quarterly EBIT roll-up</t>
  </si>
  <si>
    <t>FY21 quarterly NI roll-up</t>
  </si>
  <si>
    <t>FY22 quarterly revenue roll-up</t>
  </si>
  <si>
    <t>FY22 quarterly EBIT roll-up</t>
  </si>
  <si>
    <t>FY22 quarterly NI roll-up</t>
  </si>
  <si>
    <t>FY23 quarterly revenue roll-up</t>
  </si>
  <si>
    <t>FY23 quarterly EBIT roll-up</t>
  </si>
  <si>
    <t>FY23 quarterly NI roll-up</t>
  </si>
  <si>
    <t>FY24 quarterly revenue roll-up</t>
  </si>
  <si>
    <t>FY24 quarterly EBIT roll-up</t>
  </si>
  <si>
    <t>FY24 quarterly NI roll-up</t>
  </si>
  <si>
    <t>FY25 quarterly revenue roll-up</t>
  </si>
  <si>
    <t>FY25 quarterly EBIT roll-up</t>
  </si>
  <si>
    <t>FY25 quarterly NI roll-up</t>
  </si>
  <si>
    <t>FY26 quarterly revenue roll-up</t>
  </si>
  <si>
    <t>FY26 quarterly EBIT roll-up</t>
  </si>
  <si>
    <t>FY26 quarterly NI roll-up</t>
  </si>
  <si>
    <t>FY27E revenue driver tie</t>
  </si>
  <si>
    <t>FY27E segment tie</t>
  </si>
  <si>
    <t>FY28E revenue driver tie</t>
  </si>
  <si>
    <t>FY28E segment tie</t>
  </si>
  <si>
    <t>FY29E revenue driver tie</t>
  </si>
  <si>
    <t>FY29E segment tie</t>
  </si>
  <si>
    <t>FY30E revenue driver tie</t>
  </si>
  <si>
    <t>FY30E segment tie</t>
  </si>
  <si>
    <t>FY16 technical headcount &lt;= total</t>
  </si>
  <si>
    <t>FY16 billable FTE &lt;= technical employees</t>
  </si>
  <si>
    <t>FY17 operational geography mix</t>
  </si>
  <si>
    <t>FY17 vertical mix</t>
  </si>
  <si>
    <t>FY17 contract mix</t>
  </si>
  <si>
    <t>FY17 technical headcount &lt;= total</t>
  </si>
  <si>
    <t>FY17 billable FTE &lt;= technical employees</t>
  </si>
  <si>
    <t>FY18 operational geography mix</t>
  </si>
  <si>
    <t>FY18 vertical mix</t>
  </si>
  <si>
    <t>FY18 contract mix</t>
  </si>
  <si>
    <t>FY18 technical headcount &lt;= total</t>
  </si>
  <si>
    <t>FY18 billable FTE &lt;= technical employees</t>
  </si>
  <si>
    <t>FY19 segment mix</t>
  </si>
  <si>
    <t>FY19 operational geography mix</t>
  </si>
  <si>
    <t>FY19 IFRS geography mix</t>
  </si>
  <si>
    <t>FY19 vertical mix</t>
  </si>
  <si>
    <t>FY19 contract mix</t>
  </si>
  <si>
    <t>FY19 technical headcount &lt;= total</t>
  </si>
  <si>
    <t>FY19 billable FTE &lt;= technical employees</t>
  </si>
  <si>
    <t>FY20 segment mix</t>
  </si>
  <si>
    <t>FY20 IFRS geography mix</t>
  </si>
  <si>
    <t>FY20 technical headcount &lt;= total</t>
  </si>
  <si>
    <t>FY21 segment mix</t>
  </si>
  <si>
    <t>FY21 operational geography mix</t>
  </si>
  <si>
    <t>FY21 vertical mix</t>
  </si>
  <si>
    <t>FY21 contract mix</t>
  </si>
  <si>
    <t>FY21 technical headcount &lt;= total</t>
  </si>
  <si>
    <t>FY22 segment mix</t>
  </si>
  <si>
    <t>FY22 operational geography mix</t>
  </si>
  <si>
    <t>FY22 vertical mix</t>
  </si>
  <si>
    <t>FY22 contract mix</t>
  </si>
  <si>
    <t>FY22 technical headcount &lt;= total</t>
  </si>
  <si>
    <t>FY23 segment mix</t>
  </si>
  <si>
    <t>FY23 operational geography mix</t>
  </si>
  <si>
    <t>FY23 vertical mix</t>
  </si>
  <si>
    <t>FY23 technical headcount &lt;= total</t>
  </si>
  <si>
    <t>FY24 segment mix</t>
  </si>
  <si>
    <t>FY24 operational geography mix</t>
  </si>
  <si>
    <t>FY24 IFRS geography mix</t>
  </si>
  <si>
    <t>FY24 vertical mix</t>
  </si>
  <si>
    <t>FY24 technical headcount &lt;= total</t>
  </si>
  <si>
    <t>FY25 segment mix</t>
  </si>
  <si>
    <t>FY25 operational geography mix</t>
  </si>
  <si>
    <t>FY25 IFRS geography mix</t>
  </si>
  <si>
    <t>FY25 vertical mix</t>
  </si>
  <si>
    <t>FY25 technical headcount &lt;= total</t>
  </si>
  <si>
    <t>FY26 segment mix</t>
  </si>
  <si>
    <t>FY26 IFRS geography mix</t>
  </si>
  <si>
    <t>FY26 vertical mix</t>
  </si>
  <si>
    <t>FY26 technical headcount &lt;= total</t>
  </si>
  <si>
    <t>Historical client table completeness</t>
  </si>
  <si>
    <t>Historical CFS capex / acquisition / dividend completeness</t>
  </si>
  <si>
    <t>FY21–FY26 TCV completeness</t>
  </si>
  <si>
    <t>FY27 T&amp;M + managed/fixed mix</t>
  </si>
  <si>
    <t>FY27 billable FTE &lt;= technical employees</t>
  </si>
  <si>
    <t>FY28 T&amp;M + managed/fixed mix</t>
  </si>
  <si>
    <t>FY28 T&amp;M mix non-increasing</t>
  </si>
  <si>
    <t>FY28 billable FTE &lt;= technical employees</t>
  </si>
  <si>
    <t>FY29 T&amp;M + managed/fixed mix</t>
  </si>
  <si>
    <t>FY29 T&amp;M mix non-increasing</t>
  </si>
  <si>
    <t>FY29 billable FTE &lt;= technical employees</t>
  </si>
  <si>
    <t>FY30 T&amp;M + managed/fixed mix</t>
  </si>
  <si>
    <t>FY30 T&amp;M mix non-increasing</t>
  </si>
  <si>
    <t>FY30 billable FTE &lt;= technical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</si>
</sst>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;[Red]\(0.0%\);\-"/>
    <numFmt numFmtId="165" formatCode="#,##0.0;[Red]\(#,##0.0\);\-"/>
    <numFmt numFmtId="166" formatCode="#,##0;[Red]\(#,##0\);\-"/>
    <numFmt numFmtId="167" formatCode="\$#,##0.0;[Red]\(\$#,##0.0\);\-"/>
    <numFmt numFmtId="168" formatCode="0.00;[Red]\(0.00\);\-"/>
  </numFmts>
  <fonts count="11">
    <font>
      <sz val="11"/>
      <name val="Carlito"/>
    </font>
    <font>
      <sz val="10"/>
      <name val="Aptos Narrow"/>
    </font>
    <font>
      <b/>
      <sz val="16"/>
      <color rgb="FFFFFFFF"/>
      <name val="Aptos Narrow"/>
    </font>
    <font>
      <i/>
      <sz val="10"/>
      <color rgb="FF666666"/>
      <name val="Aptos Narrow"/>
    </font>
    <font>
      <b/>
      <sz val="13"/>
      <name val="Aptos Narrow"/>
    </font>
    <font>
      <sz val="10"/>
      <color rgb="FF000000"/>
      <name val="Aptos Narrow"/>
    </font>
    <font>
      <b/>
      <sz val="10"/>
      <name val="Aptos Narrow"/>
    </font>
    <font>
      <b/>
      <sz val="10"/>
      <color rgb="FFFFFFFF"/>
      <name val="Aptos Narrow"/>
    </font>
    <font>
      <sz val="10"/>
      <color rgb="FF4472C4"/>
      <name val="Aptos Narrow"/>
    </font>
    <font>
      <sz val="11"/>
      <color rgb="FF4472C4"/>
      <name val="Carlito"/>
    </font>
    <font>
      <b/>
      <sz val="10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 style="thin">
        <color rgb="FF7F7F7F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6" fillId="0" borderId="0" xfId="0" applyFont="1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4" borderId="0" xfId="0" applyFont="1" applyFill="1" applyAlignment="1">
      <alignment horizontal="center" vertical="center"/>
    </xf>
    <xf numFmtId="164" fontId="8" fillId="5" borderId="0" xfId="0" applyNumberFormat="1" applyFont="1" applyFill="1"/>
    <xf numFmtId="165" fontId="8" fillId="5" borderId="0" xfId="0" applyNumberFormat="1" applyFont="1" applyFill="1"/>
    <xf numFmtId="0" fontId="7" fillId="2" borderId="0" xfId="0" applyFont="1" applyFill="1"/>
    <xf numFmtId="0" fontId="8" fillId="0" borderId="0" xfId="0" applyFont="1"/>
    <xf numFmtId="166" fontId="8" fillId="0" borderId="0" xfId="0" applyNumberFormat="1" applyFont="1"/>
    <xf numFmtId="167" fontId="8" fillId="0" borderId="0" xfId="0" applyNumberFormat="1" applyFont="1"/>
    <xf numFmtId="164" fontId="8" fillId="0" borderId="0" xfId="0" applyNumberFormat="1" applyFont="1"/>
    <xf numFmtId="3" fontId="8" fillId="0" borderId="0" xfId="0" applyNumberFormat="1" applyFont="1"/>
    <xf numFmtId="166" fontId="5" fillId="0" borderId="0" xfId="0" applyNumberFormat="1" applyFont="1"/>
    <xf numFmtId="164" fontId="5" fillId="0" borderId="0" xfId="0" applyNumberFormat="1" applyFont="1"/>
    <xf numFmtId="0" fontId="1" fillId="0" borderId="1" xfId="0" applyFont="1" applyBorder="1"/>
    <xf numFmtId="166" fontId="5" fillId="0" borderId="1" xfId="0" applyNumberFormat="1" applyFont="1" applyBorder="1"/>
    <xf numFmtId="0" fontId="6" fillId="0" borderId="1" xfId="0" applyFont="1" applyBorder="1"/>
    <xf numFmtId="0" fontId="7" fillId="6" borderId="0" xfId="0" applyFont="1" applyFill="1" applyAlignment="1">
      <alignment horizontal="center" vertical="center"/>
    </xf>
    <xf numFmtId="3" fontId="5" fillId="0" borderId="0" xfId="0" applyNumberFormat="1" applyFont="1"/>
    <xf numFmtId="165" fontId="5" fillId="0" borderId="0" xfId="0" applyNumberFormat="1" applyFont="1"/>
    <xf numFmtId="167" fontId="5" fillId="0" borderId="0" xfId="0" applyNumberFormat="1" applyFont="1"/>
    <xf numFmtId="3" fontId="5" fillId="0" borderId="1" xfId="0" applyNumberFormat="1" applyFont="1" applyBorder="1"/>
    <xf numFmtId="3" fontId="5" fillId="6" borderId="0" xfId="0" applyNumberFormat="1" applyFont="1" applyFill="1"/>
    <xf numFmtId="164" fontId="5" fillId="6" borderId="0" xfId="0" applyNumberFormat="1" applyFont="1" applyFill="1"/>
    <xf numFmtId="3" fontId="5" fillId="6" borderId="1" xfId="0" applyNumberFormat="1" applyFont="1" applyFill="1" applyBorder="1"/>
    <xf numFmtId="165" fontId="5" fillId="6" borderId="0" xfId="0" applyNumberFormat="1" applyFont="1" applyFill="1"/>
    <xf numFmtId="166" fontId="5" fillId="6" borderId="0" xfId="0" applyNumberFormat="1" applyFont="1" applyFill="1"/>
    <xf numFmtId="166" fontId="5" fillId="6" borderId="1" xfId="0" applyNumberFormat="1" applyFont="1" applyFill="1" applyBorder="1"/>
    <xf numFmtId="167" fontId="5" fillId="6" borderId="0" xfId="0" applyNumberFormat="1" applyFont="1" applyFill="1"/>
    <xf numFmtId="0" fontId="5" fillId="6" borderId="0" xfId="0" applyFont="1" applyFill="1" applyAlignment="1">
      <alignment wrapText="1"/>
    </xf>
    <xf numFmtId="168" fontId="5" fillId="0" borderId="0" xfId="0" applyNumberFormat="1" applyFont="1"/>
    <xf numFmtId="0" fontId="1" fillId="6" borderId="0" xfId="0" applyFont="1" applyFill="1"/>
    <xf numFmtId="168" fontId="5" fillId="6" borderId="0" xfId="0" applyNumberFormat="1" applyFont="1" applyFill="1"/>
    <xf numFmtId="0" fontId="9" fillId="0" borderId="0" xfId="0" applyFont="1"/>
    <xf numFmtId="4" fontId="8" fillId="0" borderId="0" xfId="0" applyNumberFormat="1" applyFont="1"/>
    <xf numFmtId="4" fontId="9" fillId="0" borderId="0" xfId="0" applyNumberFormat="1" applyFont="1"/>
    <xf numFmtId="4" fontId="5" fillId="6" borderId="0" xfId="0" applyNumberFormat="1" applyFont="1" applyFill="1"/>
    <xf numFmtId="168" fontId="5" fillId="0" borderId="1" xfId="0" applyNumberFormat="1" applyFont="1" applyBorder="1"/>
    <xf numFmtId="168" fontId="5" fillId="6" borderId="1" xfId="0" applyNumberFormat="1" applyFont="1" applyFill="1" applyBorder="1"/>
    <xf numFmtId="0" fontId="10" fillId="2" borderId="0" xfId="0" applyFont="1" applyFill="1"/>
    <xf numFmtId="0" fontId="2" fillId="0" borderId="0" xfId="0" applyFont="1"/>
    <xf numFmtId="0" fontId="2" fillId="2" borderId="0" xfId="0" applyFont="1" applyFill="1"/>
    <xf numFmtId="0" fontId="3" fillId="0" borderId="0" xfId="0" applyFont="1" applyAlignment="1">
      <alignment wrapText="1"/>
    </xf>
    <xf numFmtId="0" fontId="4" fillId="3" borderId="0" xfId="0" applyFont="1" applyFill="1"/>
    <xf numFmtId="0" fontId="7" fillId="2" borderId="0" xfId="0" applyFont="1" applyFill="1"/>
    <xf numFmtId="0" fontId="7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0"/>
  <sheetViews>
    <sheetView showGridLines="0" workbookViewId="0">
      <selection sqref="A1:H1"/>
    </sheetView>
  </sheetViews>
  <sheetFormatPr defaultRowHeight="13.8"/>
  <cols>
    <col min="1" max="1" width="28" customWidth="1"/>
    <col min="2" max="2" width="52" customWidth="1"/>
    <col min="3" max="8" width="12" customWidth="1"/>
  </cols>
  <sheetData>
    <row r="1" spans="1:46" ht="25.95" customHeight="1">
      <c r="A1" s="43" t="s">
        <v>0</v>
      </c>
      <c r="B1" s="43"/>
      <c r="C1" s="43"/>
      <c r="D1" s="43"/>
      <c r="E1" s="43"/>
      <c r="F1" s="43"/>
      <c r="G1" s="43"/>
      <c r="H1" s="4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4" t="s">
        <v>1</v>
      </c>
      <c r="B2" s="44"/>
      <c r="C2" s="44"/>
      <c r="D2" s="44"/>
      <c r="E2" s="44"/>
      <c r="F2" s="44"/>
      <c r="G2" s="44"/>
      <c r="H2" s="4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7.399999999999999">
      <c r="A4" s="45" t="s">
        <v>2</v>
      </c>
      <c r="B4" s="45"/>
      <c r="C4" s="45"/>
      <c r="D4" s="45"/>
      <c r="E4" s="45"/>
      <c r="F4" s="45"/>
      <c r="G4" s="45"/>
      <c r="H4" s="4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2" t="s">
        <v>3</v>
      </c>
      <c r="B6" s="3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2" t="s">
        <v>5</v>
      </c>
      <c r="B7" s="3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2" t="s">
        <v>7</v>
      </c>
      <c r="B8" s="3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27.6">
      <c r="A9" s="2" t="s">
        <v>9</v>
      </c>
      <c r="B9" s="3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27.6">
      <c r="A10" s="2" t="s">
        <v>11</v>
      </c>
      <c r="B10" s="3" t="s">
        <v>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41.4">
      <c r="A11" s="2" t="s">
        <v>13</v>
      </c>
      <c r="B11" s="3" t="s">
        <v>14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27.6">
      <c r="A12" s="2" t="s">
        <v>15</v>
      </c>
      <c r="B12" s="3" t="s">
        <v>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27.6">
      <c r="A13" s="2" t="s">
        <v>17</v>
      </c>
      <c r="B13" s="3" t="s">
        <v>18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27.6">
      <c r="A14" s="2" t="s">
        <v>19</v>
      </c>
      <c r="B14" s="3" t="s">
        <v>20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27.6">
      <c r="A15" s="2" t="s">
        <v>21</v>
      </c>
      <c r="B15" s="3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2" t="s">
        <v>23</v>
      </c>
      <c r="B16" s="4" t="str">
        <f ca="1">Checks!B6</f>
        <v>OK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3">
    <mergeCell ref="A1:H1"/>
    <mergeCell ref="A2:H2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300"/>
  <sheetViews>
    <sheetView showGridLines="0" tabSelected="1" topLeftCell="H1" workbookViewId="0">
      <selection sqref="A1:Q1"/>
    </sheetView>
  </sheetViews>
  <sheetFormatPr defaultRowHeight="13.8"/>
  <cols>
    <col min="1" max="1" width="34" customWidth="1"/>
    <col min="2" max="17" width="11" customWidth="1"/>
  </cols>
  <sheetData>
    <row r="1" spans="1:46" ht="25.95" customHeight="1">
      <c r="A1" s="43" t="s">
        <v>24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4" t="s">
        <v>25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19" t="s">
        <v>39</v>
      </c>
      <c r="O5" s="19" t="s">
        <v>40</v>
      </c>
      <c r="P5" s="19" t="s">
        <v>41</v>
      </c>
      <c r="Q5" s="19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3"/>
      <c r="O6" s="33"/>
      <c r="P6" s="33"/>
      <c r="Q6" s="3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8" t="s">
        <v>43</v>
      </c>
      <c r="B7" s="16" t="s">
        <v>44</v>
      </c>
      <c r="C7" s="17">
        <f>'Annual P&amp;L'!C7</f>
        <v>40913</v>
      </c>
      <c r="D7" s="17">
        <f>'Annual P&amp;L'!D7</f>
        <v>46723</v>
      </c>
      <c r="E7" s="17">
        <f>'Annual P&amp;L'!E7</f>
        <v>50570</v>
      </c>
      <c r="F7" s="17">
        <f>'Annual P&amp;L'!F7</f>
        <v>60427</v>
      </c>
      <c r="G7" s="17">
        <f>'Annual P&amp;L'!G7</f>
        <v>70678</v>
      </c>
      <c r="H7" s="17">
        <f>'Annual P&amp;L'!H7</f>
        <v>75379</v>
      </c>
      <c r="I7" s="17">
        <f>'Annual P&amp;L'!I7</f>
        <v>85651</v>
      </c>
      <c r="J7" s="17">
        <f>'Annual P&amp;L'!J7</f>
        <v>101456</v>
      </c>
      <c r="K7" s="17">
        <f>'Annual P&amp;L'!K7</f>
        <v>109913</v>
      </c>
      <c r="L7" s="17">
        <f>'Annual P&amp;L'!L7</f>
        <v>117055</v>
      </c>
      <c r="M7" s="17">
        <f>'Annual P&amp;L'!M7</f>
        <v>130144</v>
      </c>
      <c r="N7" s="29">
        <f>'Annual P&amp;L'!N7</f>
        <v>138192.40421510153</v>
      </c>
      <c r="O7" s="29">
        <f>'Annual P&amp;L'!O7</f>
        <v>149041.66425269016</v>
      </c>
      <c r="P7" s="29">
        <f>'Annual P&amp;L'!P7</f>
        <v>162065.57235964728</v>
      </c>
      <c r="Q7" s="29">
        <f>'Annual P&amp;L'!Q7</f>
        <v>175279.01959009824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45</v>
      </c>
      <c r="B8" s="1" t="s">
        <v>46</v>
      </c>
      <c r="C8" s="15">
        <f>'Annual P&amp;L'!C8</f>
        <v>0</v>
      </c>
      <c r="D8" s="15">
        <f>'Annual P&amp;L'!D8</f>
        <v>0.14200865250653827</v>
      </c>
      <c r="E8" s="15">
        <f>'Annual P&amp;L'!E8</f>
        <v>8.2336322582025945E-2</v>
      </c>
      <c r="F8" s="15">
        <f>'Annual P&amp;L'!F8</f>
        <v>0.19491793553490222</v>
      </c>
      <c r="G8" s="15">
        <f>'Annual P&amp;L'!G8</f>
        <v>0.16964270938487758</v>
      </c>
      <c r="H8" s="15">
        <f>'Annual P&amp;L'!H8</f>
        <v>6.6512917739607769E-2</v>
      </c>
      <c r="I8" s="15">
        <f>'Annual P&amp;L'!I8</f>
        <v>0.13627137531673283</v>
      </c>
      <c r="J8" s="15">
        <f>'Annual P&amp;L'!J8</f>
        <v>0.18452790977338274</v>
      </c>
      <c r="K8" s="15">
        <f>'Annual P&amp;L'!K8</f>
        <v>8.3356331808863038E-2</v>
      </c>
      <c r="L8" s="15">
        <f>'Annual P&amp;L'!L8</f>
        <v>6.4978664944092213E-2</v>
      </c>
      <c r="M8" s="15">
        <f>'Annual P&amp;L'!M8</f>
        <v>0.11181923027636587</v>
      </c>
      <c r="N8" s="25">
        <f>'Annual P&amp;L'!N8</f>
        <v>6.1842299415274748E-2</v>
      </c>
      <c r="O8" s="25">
        <f>'Annual P&amp;L'!O8</f>
        <v>7.8508367368016474E-2</v>
      </c>
      <c r="P8" s="25">
        <f>'Annual P&amp;L'!P8</f>
        <v>8.7384344319155982E-2</v>
      </c>
      <c r="Q8" s="25">
        <f>'Annual P&amp;L'!Q8</f>
        <v>8.1531487767978028E-2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47</v>
      </c>
      <c r="B9" s="1" t="s">
        <v>44</v>
      </c>
      <c r="C9" s="14">
        <f>'Annual P&amp;L'!C17</f>
        <v>8732</v>
      </c>
      <c r="D9" s="14">
        <f>'Annual P&amp;L'!D17</f>
        <v>10309</v>
      </c>
      <c r="E9" s="14">
        <f>'Annual P&amp;L'!E17</f>
        <v>11440</v>
      </c>
      <c r="F9" s="14">
        <f>'Annual P&amp;L'!F17</f>
        <v>13967</v>
      </c>
      <c r="G9" s="14">
        <f>'Annual P&amp;L'!G17</f>
        <v>16694</v>
      </c>
      <c r="H9" s="14">
        <f>'Annual P&amp;L'!H17</f>
        <v>19955</v>
      </c>
      <c r="I9" s="14">
        <f>'Annual P&amp;L'!I17</f>
        <v>20530</v>
      </c>
      <c r="J9" s="14">
        <f>'Annual P&amp;L'!J17</f>
        <v>22628</v>
      </c>
      <c r="K9" s="14">
        <f>'Annual P&amp;L'!K17</f>
        <v>24200</v>
      </c>
      <c r="L9" s="14">
        <f>'Annual P&amp;L'!L17</f>
        <v>25504</v>
      </c>
      <c r="M9" s="14">
        <f>'Annual P&amp;L'!M17</f>
        <v>26752</v>
      </c>
      <c r="N9" s="28">
        <f>'Annual P&amp;L'!N17</f>
        <v>29434.982097816624</v>
      </c>
      <c r="O9" s="28">
        <f>'Annual P&amp;L'!O17</f>
        <v>31894.916150075696</v>
      </c>
      <c r="P9" s="28">
        <f>'Annual P&amp;L'!P17</f>
        <v>34844.098057324169</v>
      </c>
      <c r="Q9" s="28">
        <f>'Annual P&amp;L'!Q17</f>
        <v>37684.989211871121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48</v>
      </c>
      <c r="B10" s="1" t="s">
        <v>46</v>
      </c>
      <c r="C10" s="15">
        <f>'Annual P&amp;L'!C18</f>
        <v>0.213428494610515</v>
      </c>
      <c r="D10" s="15">
        <f>'Annual P&amp;L'!D18</f>
        <v>0.22064079789397084</v>
      </c>
      <c r="E10" s="15">
        <f>'Annual P&amp;L'!E18</f>
        <v>0.2262210796915167</v>
      </c>
      <c r="F10" s="15">
        <f>'Annual P&amp;L'!F18</f>
        <v>0.2311383983980671</v>
      </c>
      <c r="G10" s="15">
        <f>'Annual P&amp;L'!G18</f>
        <v>0.23619796825037495</v>
      </c>
      <c r="H10" s="15">
        <f>'Annual P&amp;L'!H18</f>
        <v>0.26472890327544807</v>
      </c>
      <c r="I10" s="15">
        <f>'Annual P&amp;L'!I18</f>
        <v>0.23969364047121458</v>
      </c>
      <c r="J10" s="15">
        <f>'Annual P&amp;L'!J18</f>
        <v>0.22303264469326606</v>
      </c>
      <c r="K10" s="15">
        <f>'Annual P&amp;L'!K18</f>
        <v>0.22017413772711145</v>
      </c>
      <c r="L10" s="15">
        <f>'Annual P&amp;L'!L18</f>
        <v>0.21788048353338174</v>
      </c>
      <c r="M10" s="15">
        <f>'Annual P&amp;L'!M18</f>
        <v>0.20555692156380626</v>
      </c>
      <c r="N10" s="25">
        <f>'Annual P&amp;L'!N18</f>
        <v>0.21299999999999999</v>
      </c>
      <c r="O10" s="25">
        <f>'Annual P&amp;L'!O18</f>
        <v>0.21400000000000002</v>
      </c>
      <c r="P10" s="25">
        <f>'Annual P&amp;L'!P18</f>
        <v>0.21500000000000002</v>
      </c>
      <c r="Q10" s="25">
        <f>'Annual P&amp;L'!Q18</f>
        <v>0.215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8" t="s">
        <v>49</v>
      </c>
      <c r="B11" s="16" t="s">
        <v>44</v>
      </c>
      <c r="C11" s="17">
        <f>'Annual P&amp;L'!C20</f>
        <v>8226</v>
      </c>
      <c r="D11" s="17">
        <f>'Annual P&amp;L'!D20</f>
        <v>9474</v>
      </c>
      <c r="E11" s="17">
        <f>'Annual P&amp;L'!E20</f>
        <v>9987</v>
      </c>
      <c r="F11" s="17">
        <f>'Annual P&amp;L'!F20</f>
        <v>11820</v>
      </c>
      <c r="G11" s="17">
        <f>'Annual P&amp;L'!G20</f>
        <v>13853</v>
      </c>
      <c r="H11" s="17">
        <f>'Annual P&amp;L'!H20</f>
        <v>15344</v>
      </c>
      <c r="I11" s="17">
        <f>'Annual P&amp;L'!I20</f>
        <v>16204</v>
      </c>
      <c r="J11" s="17">
        <f>'Annual P&amp;L'!J20</f>
        <v>18483</v>
      </c>
      <c r="K11" s="17">
        <f>'Annual P&amp;L'!K20</f>
        <v>20027</v>
      </c>
      <c r="L11" s="17">
        <f>'Annual P&amp;L'!L20</f>
        <v>21420</v>
      </c>
      <c r="M11" s="17">
        <f>'Annual P&amp;L'!M20</f>
        <v>22397</v>
      </c>
      <c r="N11" s="29">
        <f>'Annual P&amp;L'!N20</f>
        <v>24874.632758718275</v>
      </c>
      <c r="O11" s="29">
        <f>'Annual P&amp;L'!O20</f>
        <v>27125.582893989609</v>
      </c>
      <c r="P11" s="29">
        <f>'Annual P&amp;L'!P20</f>
        <v>29820.065314175099</v>
      </c>
      <c r="Q11" s="29">
        <f>'Annual P&amp;L'!Q20</f>
        <v>32426.618624168172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50</v>
      </c>
      <c r="B12" s="1" t="s">
        <v>46</v>
      </c>
      <c r="C12" s="15">
        <f>'Annual P&amp;L'!C21</f>
        <v>0.20106078752474763</v>
      </c>
      <c r="D12" s="15">
        <f>'Annual P&amp;L'!D21</f>
        <v>0.20276951394388204</v>
      </c>
      <c r="E12" s="15">
        <f>'Annual P&amp;L'!E21</f>
        <v>0.19748862962230571</v>
      </c>
      <c r="F12" s="15">
        <f>'Annual P&amp;L'!F21</f>
        <v>0.19560792361030666</v>
      </c>
      <c r="G12" s="15">
        <f>'Annual P&amp;L'!G21</f>
        <v>0.19600158465151815</v>
      </c>
      <c r="H12" s="15">
        <f>'Annual P&amp;L'!H21</f>
        <v>0.20355802013823479</v>
      </c>
      <c r="I12" s="15">
        <f>'Annual P&amp;L'!I21</f>
        <v>0.18918634925453293</v>
      </c>
      <c r="J12" s="15">
        <f>'Annual P&amp;L'!J21</f>
        <v>0.18217749566314462</v>
      </c>
      <c r="K12" s="15">
        <f>'Annual P&amp;L'!K21</f>
        <v>0.18220774612648186</v>
      </c>
      <c r="L12" s="15">
        <f>'Annual P&amp;L'!L21</f>
        <v>0.18299090171287002</v>
      </c>
      <c r="M12" s="15">
        <f>'Annual P&amp;L'!M21</f>
        <v>0.1720939881976887</v>
      </c>
      <c r="N12" s="25">
        <f>'Annual P&amp;L'!N21</f>
        <v>0.18</v>
      </c>
      <c r="O12" s="25">
        <f>'Annual P&amp;L'!O21</f>
        <v>0.182</v>
      </c>
      <c r="P12" s="25">
        <f>'Annual P&amp;L'!P21</f>
        <v>0.184</v>
      </c>
      <c r="Q12" s="25">
        <f>'Annual P&amp;L'!Q21</f>
        <v>0.185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8" t="s">
        <v>51</v>
      </c>
      <c r="B13" s="16" t="s">
        <v>44</v>
      </c>
      <c r="C13" s="17">
        <f>'Annual P&amp;L'!C29</f>
        <v>7354</v>
      </c>
      <c r="D13" s="17">
        <f>'Annual P&amp;L'!D29</f>
        <v>8457</v>
      </c>
      <c r="E13" s="17">
        <f>'Annual P&amp;L'!E29</f>
        <v>8780</v>
      </c>
      <c r="F13" s="17">
        <f>'Annual P&amp;L'!F29</f>
        <v>10123</v>
      </c>
      <c r="G13" s="17">
        <f>'Annual P&amp;L'!G29</f>
        <v>11062</v>
      </c>
      <c r="H13" s="17">
        <f>'Annual P&amp;L'!H29</f>
        <v>11145</v>
      </c>
      <c r="I13" s="17">
        <f>'Annual P&amp;L'!I29</f>
        <v>13499</v>
      </c>
      <c r="J13" s="17">
        <f>'Annual P&amp;L'!J29</f>
        <v>14851</v>
      </c>
      <c r="K13" s="17">
        <f>'Annual P&amp;L'!K29</f>
        <v>15702</v>
      </c>
      <c r="L13" s="17">
        <f>'Annual P&amp;L'!L29</f>
        <v>17390</v>
      </c>
      <c r="M13" s="17">
        <f>'Annual P&amp;L'!M29</f>
        <v>17361</v>
      </c>
      <c r="N13" s="29">
        <f>'Annual P&amp;L'!N29</f>
        <v>19362.497069038705</v>
      </c>
      <c r="O13" s="29">
        <f>'Annual P&amp;L'!O29</f>
        <v>21186.401289740803</v>
      </c>
      <c r="P13" s="29">
        <f>'Annual P&amp;L'!P29</f>
        <v>23270.976212185895</v>
      </c>
      <c r="Q13" s="29">
        <f>'Annual P&amp;L'!Q29</f>
        <v>25300.616324986368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52</v>
      </c>
      <c r="B14" s="1" t="s">
        <v>46</v>
      </c>
      <c r="C14" s="15">
        <f>'Annual P&amp;L'!C30</f>
        <v>0.17974726859433432</v>
      </c>
      <c r="D14" s="15">
        <f>'Annual P&amp;L'!D30</f>
        <v>0.18100293217473193</v>
      </c>
      <c r="E14" s="15">
        <f>'Annual P&amp;L'!E30</f>
        <v>0.17362072374925847</v>
      </c>
      <c r="F14" s="15">
        <f>'Annual P&amp;L'!F30</f>
        <v>0.1675244509904513</v>
      </c>
      <c r="G14" s="15">
        <f>'Annual P&amp;L'!G30</f>
        <v>0.15651263476612243</v>
      </c>
      <c r="H14" s="15">
        <f>'Annual P&amp;L'!H30</f>
        <v>0.14785285026333594</v>
      </c>
      <c r="I14" s="15">
        <f>'Annual P&amp;L'!I30</f>
        <v>0.15760469813545669</v>
      </c>
      <c r="J14" s="15">
        <f>'Annual P&amp;L'!J30</f>
        <v>0.14637872575303579</v>
      </c>
      <c r="K14" s="15">
        <f>'Annual P&amp;L'!K30</f>
        <v>0.14285844258640926</v>
      </c>
      <c r="L14" s="15">
        <f>'Annual P&amp;L'!L30</f>
        <v>0.14856264149331511</v>
      </c>
      <c r="M14" s="15">
        <f>'Annual P&amp;L'!M30</f>
        <v>0.13339838947627244</v>
      </c>
      <c r="N14" s="25">
        <f>'Annual P&amp;L'!N30</f>
        <v>0.14011260010282672</v>
      </c>
      <c r="O14" s="25">
        <f>'Annual P&amp;L'!O30</f>
        <v>0.14215086362576226</v>
      </c>
      <c r="P14" s="25">
        <f>'Annual P&amp;L'!P30</f>
        <v>0.14358988077087825</v>
      </c>
      <c r="Q14" s="25">
        <f>'Annual P&amp;L'!Q30</f>
        <v>0.14434480740566416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53</v>
      </c>
      <c r="B15" s="1" t="s">
        <v>54</v>
      </c>
      <c r="C15" s="32">
        <f>'Annual P&amp;L'!C34</f>
        <v>27.084560989982325</v>
      </c>
      <c r="D15" s="32">
        <f>'Annual P&amp;L'!D34</f>
        <v>31.146876841484975</v>
      </c>
      <c r="E15" s="32">
        <f>'Annual P&amp;L'!E34</f>
        <v>32.336476134354747</v>
      </c>
      <c r="F15" s="32">
        <f>'Annual P&amp;L'!F34</f>
        <v>37.282704773129055</v>
      </c>
      <c r="G15" s="32">
        <f>'Annual P&amp;L'!G34</f>
        <v>40.74101355332941</v>
      </c>
      <c r="H15" s="32">
        <f>'Annual P&amp;L'!H34</f>
        <v>41.04670005892752</v>
      </c>
      <c r="I15" s="32">
        <f>'Annual P&amp;L'!I34</f>
        <v>49.716411314083679</v>
      </c>
      <c r="J15" s="32">
        <f>'Annual P&amp;L'!J34</f>
        <v>54.695786682380678</v>
      </c>
      <c r="K15" s="32">
        <f>'Annual P&amp;L'!K34</f>
        <v>57.829994107248091</v>
      </c>
      <c r="L15" s="32">
        <f>'Annual P&amp;L'!L34</f>
        <v>64.046847377725399</v>
      </c>
      <c r="M15" s="32">
        <f>'Annual P&amp;L'!M34</f>
        <v>63.940041249263409</v>
      </c>
      <c r="N15" s="34">
        <f>'Annual P&amp;L'!N34</f>
        <v>71.311494803471959</v>
      </c>
      <c r="O15" s="34">
        <f>'Annual P&amp;L'!O34</f>
        <v>78.028879234460831</v>
      </c>
      <c r="P15" s="34">
        <f>'Annual P&amp;L'!P34</f>
        <v>85.706306026023483</v>
      </c>
      <c r="Q15" s="34">
        <f>'Annual P&amp;L'!Q34</f>
        <v>93.18140956462274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8" t="s">
        <v>55</v>
      </c>
      <c r="B16" s="16" t="s">
        <v>44</v>
      </c>
      <c r="C16" s="17">
        <f>'Annual Cash Flow'!C15</f>
        <v>3823</v>
      </c>
      <c r="D16" s="17">
        <f>'Annual Cash Flow'!D15</f>
        <v>8995</v>
      </c>
      <c r="E16" s="17">
        <f>'Annual Cash Flow'!E15</f>
        <v>8328</v>
      </c>
      <c r="F16" s="17">
        <f>'Annual Cash Flow'!F15</f>
        <v>8971</v>
      </c>
      <c r="G16" s="17">
        <f>'Annual Cash Flow'!G15</f>
        <v>13359</v>
      </c>
      <c r="H16" s="17">
        <f>'Annual Cash Flow'!H15</f>
        <v>19618</v>
      </c>
      <c r="I16" s="17">
        <f>'Annual Cash Flow'!I15</f>
        <v>16900</v>
      </c>
      <c r="J16" s="17">
        <f>'Annual Cash Flow'!J15</f>
        <v>18009</v>
      </c>
      <c r="K16" s="17">
        <f>'Annual Cash Flow'!K15</f>
        <v>22448</v>
      </c>
      <c r="L16" s="17">
        <f>'Annual Cash Flow'!L15</f>
        <v>22261</v>
      </c>
      <c r="M16" s="17">
        <f>'Annual Cash Flow'!M15</f>
        <v>19975</v>
      </c>
      <c r="N16" s="29">
        <f>'Annual Cash Flow'!N15</f>
        <v>26502.879654417324</v>
      </c>
      <c r="O16" s="29">
        <f>'Annual Cash Flow'!O15</f>
        <v>25185.659888463844</v>
      </c>
      <c r="P16" s="29">
        <f>'Annual Cash Flow'!P15</f>
        <v>27804.110916775884</v>
      </c>
      <c r="Q16" s="29">
        <f>'Annual Cash Flow'!Q15</f>
        <v>29887.888523595095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8" t="s">
        <v>56</v>
      </c>
      <c r="B17" s="16" t="s">
        <v>44</v>
      </c>
      <c r="C17" s="17">
        <f>'Annual Cash Flow'!C38</f>
        <v>2881</v>
      </c>
      <c r="D17" s="17">
        <f>'Annual Cash Flow'!D38</f>
        <v>5073</v>
      </c>
      <c r="E17" s="17">
        <f>'Annual Cash Flow'!E38</f>
        <v>3007</v>
      </c>
      <c r="F17" s="17">
        <f>'Annual Cash Flow'!F38</f>
        <v>5537</v>
      </c>
      <c r="G17" s="17">
        <f>'Annual Cash Flow'!G38</f>
        <v>11493</v>
      </c>
      <c r="H17" s="17">
        <f>'Annual Cash Flow'!H38</f>
        <v>17714</v>
      </c>
      <c r="I17" s="17">
        <f>'Annual Cash Flow'!I38</f>
        <v>15255</v>
      </c>
      <c r="J17" s="17">
        <f>'Annual Cash Flow'!J38</f>
        <v>16348</v>
      </c>
      <c r="K17" s="17">
        <f>'Annual Cash Flow'!K38</f>
        <v>21400</v>
      </c>
      <c r="L17" s="17">
        <f>'Annual Cash Flow'!L38</f>
        <v>21153</v>
      </c>
      <c r="M17" s="17">
        <f>'Annual Cash Flow'!M38</f>
        <v>18553</v>
      </c>
      <c r="N17" s="29">
        <f>'Annual Cash Flow'!N38</f>
        <v>24568.185995405904</v>
      </c>
      <c r="O17" s="29">
        <f>'Annual Cash Flow'!O38</f>
        <v>23099.076588926182</v>
      </c>
      <c r="P17" s="29">
        <f>'Annual Cash Flow'!P38</f>
        <v>25535.192903740823</v>
      </c>
      <c r="Q17" s="29">
        <f>'Annual Cash Flow'!Q38</f>
        <v>27433.98224933372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8" t="s">
        <v>57</v>
      </c>
      <c r="B18" s="16" t="s">
        <v>44</v>
      </c>
      <c r="C18" s="17">
        <f>'Annual Balance Sheet'!C7</f>
        <v>729.3</v>
      </c>
      <c r="D18" s="17">
        <f>'Annual Balance Sheet'!D7</f>
        <v>1316.5</v>
      </c>
      <c r="E18" s="17">
        <f>'Annual Balance Sheet'!E7</f>
        <v>1693.9</v>
      </c>
      <c r="F18" s="17">
        <f>'Annual Balance Sheet'!F7</f>
        <v>5929</v>
      </c>
      <c r="G18" s="17">
        <f>'Annual Balance Sheet'!G7</f>
        <v>4843</v>
      </c>
      <c r="H18" s="17">
        <f>'Annual Balance Sheet'!H7</f>
        <v>6515</v>
      </c>
      <c r="I18" s="17">
        <f>'Annual Balance Sheet'!I7</f>
        <v>10510</v>
      </c>
      <c r="J18" s="17">
        <f>'Annual Balance Sheet'!J7</f>
        <v>9065</v>
      </c>
      <c r="K18" s="17">
        <f>'Annual Balance Sheet'!K7</f>
        <v>9456</v>
      </c>
      <c r="L18" s="17">
        <f>'Annual Balance Sheet'!L7</f>
        <v>8245</v>
      </c>
      <c r="M18" s="17">
        <f>'Annual Balance Sheet'!M7</f>
        <v>8265</v>
      </c>
      <c r="N18" s="29">
        <f>'Annual Balance Sheet'!N7</f>
        <v>11175.181832401769</v>
      </c>
      <c r="O18" s="29">
        <f>'Annual Balance Sheet'!O7</f>
        <v>12690.724404566598</v>
      </c>
      <c r="P18" s="29">
        <f>'Annual Balance Sheet'!P7</f>
        <v>14412.746169051828</v>
      </c>
      <c r="Q18" s="29">
        <f>'Annual Balance Sheet'!Q7</f>
        <v>16169.033020464423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8" t="s">
        <v>58</v>
      </c>
      <c r="B19" s="16" t="s">
        <v>44</v>
      </c>
      <c r="C19" s="17">
        <f>'Annual Balance Sheet'!C34</f>
        <v>-243.90000000000009</v>
      </c>
      <c r="D19" s="17">
        <f>'Annual Balance Sheet'!D34</f>
        <v>774.8</v>
      </c>
      <c r="E19" s="17">
        <f>'Annual Balance Sheet'!E34</f>
        <v>1256.8000000000002</v>
      </c>
      <c r="F19" s="17">
        <f>'Annual Balance Sheet'!F34</f>
        <v>1943</v>
      </c>
      <c r="G19" s="17">
        <f>'Annual Balance Sheet'!G34</f>
        <v>-249</v>
      </c>
      <c r="H19" s="17">
        <f>'Annual Balance Sheet'!H34</f>
        <v>2608</v>
      </c>
      <c r="I19" s="17">
        <f>'Annual Balance Sheet'!I34</f>
        <v>6525</v>
      </c>
      <c r="J19" s="17">
        <f>'Annual Balance Sheet'!J34</f>
        <v>6814</v>
      </c>
      <c r="K19" s="17">
        <f>'Annual Balance Sheet'!K34</f>
        <v>7129</v>
      </c>
      <c r="L19" s="17">
        <f>'Annual Balance Sheet'!L34</f>
        <v>5954</v>
      </c>
      <c r="M19" s="17">
        <f>'Annual Balance Sheet'!M34</f>
        <v>8106</v>
      </c>
      <c r="N19" s="29">
        <f>'Annual Balance Sheet'!N34</f>
        <v>11116.181832401769</v>
      </c>
      <c r="O19" s="29">
        <f>'Annual Balance Sheet'!O34</f>
        <v>12690.724404566598</v>
      </c>
      <c r="P19" s="29">
        <f>'Annual Balance Sheet'!P34</f>
        <v>14412.746169051828</v>
      </c>
      <c r="Q19" s="29">
        <f>'Annual Balance Sheet'!Q34</f>
        <v>16169.033020464423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8" t="s">
        <v>59</v>
      </c>
      <c r="B20" s="16" t="s">
        <v>60</v>
      </c>
      <c r="C20" s="17">
        <f>'Revenue Drivers'!C6</f>
        <v>104896</v>
      </c>
      <c r="D20" s="17">
        <f>'Revenue Drivers'!D6</f>
        <v>115973</v>
      </c>
      <c r="E20" s="17">
        <f>'Revenue Drivers'!E6</f>
        <v>120081</v>
      </c>
      <c r="F20" s="17">
        <f>'Revenue Drivers'!F6</f>
        <v>137965</v>
      </c>
      <c r="G20" s="17">
        <f>'Revenue Drivers'!G6</f>
        <v>150423</v>
      </c>
      <c r="H20" s="17">
        <f>'Revenue Drivers'!H6</f>
        <v>168977</v>
      </c>
      <c r="I20" s="17">
        <f>'Revenue Drivers'!I6</f>
        <v>208877</v>
      </c>
      <c r="J20" s="17">
        <f>'Revenue Drivers'!J6</f>
        <v>225944</v>
      </c>
      <c r="K20" s="17">
        <f>'Revenue Drivers'!K6</f>
        <v>227481</v>
      </c>
      <c r="L20" s="17">
        <f>'Revenue Drivers'!L6</f>
        <v>223420</v>
      </c>
      <c r="M20" s="17">
        <f>'Revenue Drivers'!M6</f>
        <v>227181</v>
      </c>
      <c r="N20" s="29">
        <f>'Revenue Drivers'!N6</f>
        <v>233996.43</v>
      </c>
      <c r="O20" s="29">
        <f>'Revenue Drivers'!O6</f>
        <v>242186.30504999997</v>
      </c>
      <c r="P20" s="29">
        <f>'Revenue Drivers'!P6</f>
        <v>251873.75725199998</v>
      </c>
      <c r="Q20" s="29">
        <f>'Revenue Drivers'!Q6</f>
        <v>261948.70754208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8" t="s">
        <v>61</v>
      </c>
      <c r="B21" s="16" t="s">
        <v>60</v>
      </c>
      <c r="C21" s="17">
        <f>'Revenue Drivers'!C11</f>
        <v>81875.543999999994</v>
      </c>
      <c r="D21" s="17">
        <f>'Revenue Drivers'!D11</f>
        <v>90453.778999999995</v>
      </c>
      <c r="E21" s="17">
        <f>'Revenue Drivers'!E11</f>
        <v>94116.334999999992</v>
      </c>
      <c r="F21" s="17">
        <f>'Revenue Drivers'!F11</f>
        <v>108216.318</v>
      </c>
      <c r="G21" s="17">
        <f>'Revenue Drivers'!G11</f>
        <v>0</v>
      </c>
      <c r="H21" s="17">
        <f>'Revenue Drivers'!H11</f>
        <v>0</v>
      </c>
      <c r="I21" s="17">
        <f>'Revenue Drivers'!I11</f>
        <v>0</v>
      </c>
      <c r="J21" s="17">
        <f>'Revenue Drivers'!J11</f>
        <v>0</v>
      </c>
      <c r="K21" s="17">
        <f>'Revenue Drivers'!K11</f>
        <v>0</v>
      </c>
      <c r="L21" s="17">
        <f>'Revenue Drivers'!L11</f>
        <v>0</v>
      </c>
      <c r="M21" s="17">
        <f>'Revenue Drivers'!M11</f>
        <v>0</v>
      </c>
      <c r="N21" s="29">
        <f>'Revenue Drivers'!N11</f>
        <v>184763.58112799999</v>
      </c>
      <c r="O21" s="29">
        <f>'Revenue Drivers'!O11</f>
        <v>192368.58210121494</v>
      </c>
      <c r="P21" s="29">
        <f>'Revenue Drivers'!P11</f>
        <v>201247.13204434796</v>
      </c>
      <c r="Q21" s="29">
        <f>'Revenue Drivers'!Q11</f>
        <v>209297.01732612192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62</v>
      </c>
      <c r="B22" s="1" t="s">
        <v>63</v>
      </c>
      <c r="C22" s="22">
        <f>'Revenue Drivers'!C21</f>
        <v>0</v>
      </c>
      <c r="D22" s="22">
        <f>'Revenue Drivers'!D21</f>
        <v>0</v>
      </c>
      <c r="E22" s="22">
        <f>'Revenue Drivers'!E21</f>
        <v>0</v>
      </c>
      <c r="F22" s="22">
        <f>'Revenue Drivers'!F21</f>
        <v>0</v>
      </c>
      <c r="G22" s="22">
        <f>'Revenue Drivers'!G21</f>
        <v>0</v>
      </c>
      <c r="H22" s="22">
        <f>'Revenue Drivers'!H21</f>
        <v>0</v>
      </c>
      <c r="I22" s="22">
        <f>'Revenue Drivers'!I21</f>
        <v>0</v>
      </c>
      <c r="J22" s="22">
        <f>'Revenue Drivers'!J21</f>
        <v>0</v>
      </c>
      <c r="K22" s="22">
        <f>'Revenue Drivers'!K21</f>
        <v>0</v>
      </c>
      <c r="L22" s="22">
        <f>'Revenue Drivers'!L21</f>
        <v>0</v>
      </c>
      <c r="M22" s="22">
        <f>'Revenue Drivers'!M21</f>
        <v>620</v>
      </c>
      <c r="N22" s="30">
        <f>'Revenue Drivers'!N21</f>
        <v>741</v>
      </c>
      <c r="O22" s="30">
        <f>'Revenue Drivers'!O21</f>
        <v>852.15</v>
      </c>
      <c r="P22" s="30">
        <f>'Revenue Drivers'!P21</f>
        <v>954.40800000000002</v>
      </c>
      <c r="Q22" s="30">
        <f>'Revenue Drivers'!Q21</f>
        <v>1049.8488000000002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64</v>
      </c>
      <c r="B23" s="1" t="s">
        <v>63</v>
      </c>
      <c r="C23" s="22">
        <f>'Client Data'!C21</f>
        <v>0</v>
      </c>
      <c r="D23" s="22">
        <f>'Client Data'!D21</f>
        <v>0</v>
      </c>
      <c r="E23" s="22">
        <f>'Client Data'!E21</f>
        <v>0</v>
      </c>
      <c r="F23" s="22">
        <f>'Client Data'!F21</f>
        <v>0</v>
      </c>
      <c r="G23" s="22">
        <f>'Client Data'!G21</f>
        <v>0</v>
      </c>
      <c r="H23" s="22">
        <f>'Client Data'!H21</f>
        <v>7300</v>
      </c>
      <c r="I23" s="22">
        <f>'Client Data'!I21</f>
        <v>8308</v>
      </c>
      <c r="J23" s="22">
        <f>'Client Data'!J21</f>
        <v>8850</v>
      </c>
      <c r="K23" s="22">
        <f>'Client Data'!K21</f>
        <v>9759</v>
      </c>
      <c r="L23" s="22">
        <f>'Client Data'!L21</f>
        <v>9268</v>
      </c>
      <c r="M23" s="22">
        <f>'Client Data'!M21</f>
        <v>9323</v>
      </c>
      <c r="N23" s="30">
        <f>'Client Data'!N21</f>
        <v>9899.5557574486065</v>
      </c>
      <c r="O23" s="30">
        <f>'Client Data'!O21</f>
        <v>10676.753717634545</v>
      </c>
      <c r="P23" s="30">
        <f>'Client Data'!P21</f>
        <v>11609.734840707151</v>
      </c>
      <c r="Q23" s="30">
        <f>'Client Data'!Q21</f>
        <v>12556.293794861735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65</v>
      </c>
      <c r="B24" s="1" t="s">
        <v>63</v>
      </c>
      <c r="C24" s="22">
        <f>'Client Data'!C19</f>
        <v>12.936514522821575</v>
      </c>
      <c r="D24" s="22">
        <f>'Client Data'!D19</f>
        <v>13.903162055335969</v>
      </c>
      <c r="E24" s="22">
        <f>'Client Data'!E19</f>
        <v>13.971479500891265</v>
      </c>
      <c r="F24" s="22">
        <f>'Client Data'!F19</f>
        <v>13.855537720706261</v>
      </c>
      <c r="G24" s="22">
        <f>'Client Data'!G19</f>
        <v>12.561314791403287</v>
      </c>
      <c r="H24" s="22">
        <f>'Client Data'!H19</f>
        <v>12.57725587144623</v>
      </c>
      <c r="I24" s="22">
        <f>'Client Data'!I19</f>
        <v>13.017006802721088</v>
      </c>
      <c r="J24" s="22">
        <f>'Client Data'!J19</f>
        <v>13.453674121405751</v>
      </c>
      <c r="K24" s="22">
        <f>'Client Data'!K19</f>
        <v>13.952681388012618</v>
      </c>
      <c r="L24" s="22">
        <f>'Client Data'!L19</f>
        <v>14.59915611814346</v>
      </c>
      <c r="M24" s="22">
        <f>'Client Data'!M19</f>
        <v>15.024590163934427</v>
      </c>
      <c r="N24" s="30">
        <f>'Client Data'!N19</f>
        <v>14.04108963778719</v>
      </c>
      <c r="O24" s="30">
        <f>'Client Data'!O19</f>
        <v>13.898991369431714</v>
      </c>
      <c r="P24" s="30">
        <f>'Client Data'!P19</f>
        <v>13.751268283878264</v>
      </c>
      <c r="Q24" s="30">
        <f>'Client Data'!Q19</f>
        <v>13.611578572212764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8" t="s">
        <v>66</v>
      </c>
      <c r="B25" s="16" t="s">
        <v>54</v>
      </c>
      <c r="C25" s="39">
        <f>Valuation!C7</f>
        <v>407.04998779296875</v>
      </c>
      <c r="D25" s="39">
        <f>Valuation!D7</f>
        <v>437.375</v>
      </c>
      <c r="E25" s="39">
        <f>Valuation!E7</f>
        <v>484.29998779296875</v>
      </c>
      <c r="F25" s="39">
        <f>Valuation!F7</f>
        <v>541.45001220703125</v>
      </c>
      <c r="G25" s="39">
        <f>Valuation!G7</f>
        <v>436.39999389648438</v>
      </c>
      <c r="H25" s="39">
        <f>Valuation!H7</f>
        <v>982.6500244140625</v>
      </c>
      <c r="I25" s="39">
        <f>Valuation!I7</f>
        <v>1163.75</v>
      </c>
      <c r="J25" s="39">
        <f>Valuation!J7</f>
        <v>1085.25</v>
      </c>
      <c r="K25" s="39">
        <f>Valuation!K7</f>
        <v>1543.550048828125</v>
      </c>
      <c r="L25" s="39">
        <f>Valuation!L7</f>
        <v>1592.5</v>
      </c>
      <c r="M25" s="39">
        <f>Valuation!M7</f>
        <v>1341.5999755859375</v>
      </c>
      <c r="N25" s="40">
        <f>Valuation!N7</f>
        <v>1426.2298960694393</v>
      </c>
      <c r="O25" s="40">
        <f>Valuation!O7</f>
        <v>1599.592024306447</v>
      </c>
      <c r="P25" s="40">
        <f>Valuation!P7</f>
        <v>1799.8324265464933</v>
      </c>
      <c r="Q25" s="40">
        <f>Valuation!Q7</f>
        <v>1956.8096008570776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67</v>
      </c>
      <c r="B26" s="1" t="s">
        <v>68</v>
      </c>
      <c r="C26" s="14">
        <f>Valuation!C13</f>
        <v>15.028856769859514</v>
      </c>
      <c r="D26" s="14">
        <f>Valuation!D13</f>
        <v>14.042338890859643</v>
      </c>
      <c r="E26" s="14">
        <f>Valuation!E13</f>
        <v>14.976894383319689</v>
      </c>
      <c r="F26" s="14">
        <f>Valuation!F13</f>
        <v>14.522820044893125</v>
      </c>
      <c r="G26" s="14">
        <f>Valuation!G13</f>
        <v>10.711564485877185</v>
      </c>
      <c r="H26" s="14">
        <f>Valuation!H13</f>
        <v>23.939805709188537</v>
      </c>
      <c r="I26" s="14">
        <f>Valuation!I13</f>
        <v>23.407763538039855</v>
      </c>
      <c r="J26" s="14">
        <f>Valuation!J13</f>
        <v>19.841564877786006</v>
      </c>
      <c r="K26" s="14">
        <f>Valuation!K13</f>
        <v>26.691167319947297</v>
      </c>
      <c r="L26" s="14">
        <f>Valuation!L13</f>
        <v>24.86461184588844</v>
      </c>
      <c r="M26" s="14">
        <f>Valuation!M13</f>
        <v>20.982156867178951</v>
      </c>
      <c r="N26" s="28">
        <f>Valuation!N13</f>
        <v>20</v>
      </c>
      <c r="O26" s="28">
        <f>Valuation!O13</f>
        <v>20.5</v>
      </c>
      <c r="P26" s="28">
        <f>Valuation!P13</f>
        <v>21</v>
      </c>
      <c r="Q26" s="28">
        <f>Valuation!Q13</f>
        <v>21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69</v>
      </c>
      <c r="B27" s="1" t="s">
        <v>68</v>
      </c>
      <c r="C27" s="14">
        <f>Valuation!C14</f>
        <v>11.404197799745523</v>
      </c>
      <c r="D27" s="14">
        <f>Valuation!D14</f>
        <v>10.335663376661168</v>
      </c>
      <c r="E27" s="14">
        <f>Valuation!E14</f>
        <v>10.671668504141426</v>
      </c>
      <c r="F27" s="14">
        <f>Valuation!F14</f>
        <v>9.9898539280176184</v>
      </c>
      <c r="G27" s="14">
        <f>Valuation!G14</f>
        <v>6.4780679491846751</v>
      </c>
      <c r="H27" s="14">
        <f>Valuation!H14</f>
        <v>12.532134158117971</v>
      </c>
      <c r="I27" s="14">
        <f>Valuation!I14</f>
        <v>14.510902946906967</v>
      </c>
      <c r="J27" s="14">
        <f>Valuation!J14</f>
        <v>12.110804865653172</v>
      </c>
      <c r="K27" s="14">
        <f>Valuation!K14</f>
        <v>16.248437055805297</v>
      </c>
      <c r="L27" s="14">
        <f>Valuation!L14</f>
        <v>15.868480434441656</v>
      </c>
      <c r="M27" s="14">
        <f>Valuation!M14</f>
        <v>12.441237491580285</v>
      </c>
      <c r="N27" s="28">
        <f>Valuation!N14</f>
        <v>11.879173804186866</v>
      </c>
      <c r="O27" s="28">
        <f>Valuation!O14</f>
        <v>12.347355092319049</v>
      </c>
      <c r="P27" s="28">
        <f>Valuation!P14</f>
        <v>12.766465519248237</v>
      </c>
      <c r="Q27" s="28">
        <f>Valuation!Q14</f>
        <v>12.847995184866162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70</v>
      </c>
      <c r="B28" s="1" t="s">
        <v>46</v>
      </c>
      <c r="C28" s="15">
        <f>Valuation!C17</f>
        <v>2.4415822878413807E-2</v>
      </c>
      <c r="D28" s="15">
        <f>Valuation!D17</f>
        <v>3.4274028546293266E-2</v>
      </c>
      <c r="E28" s="15">
        <f>Valuation!E17</f>
        <v>1.5453741047339525E-2</v>
      </c>
      <c r="F28" s="15">
        <f>Valuation!F17</f>
        <v>8.9904745322494078E-3</v>
      </c>
      <c r="G28" s="15">
        <f>Valuation!G17</f>
        <v>1.3721664448575917E-2</v>
      </c>
      <c r="H28" s="15">
        <f>Valuation!H17</f>
        <v>1.2210225715550412E-2</v>
      </c>
      <c r="I28" s="15">
        <f>Valuation!I17</f>
        <v>3.6063183717483641E-2</v>
      </c>
      <c r="J28" s="15">
        <f>Valuation!J17</f>
        <v>4.4124993526197927E-2</v>
      </c>
      <c r="K28" s="15">
        <f>Valuation!K17</f>
        <v>3.3597281423400661E-2</v>
      </c>
      <c r="L28" s="15">
        <f>Valuation!L17</f>
        <v>3.7602099099580136E-2</v>
      </c>
      <c r="M28" s="15">
        <f>Valuation!M17</f>
        <v>4.0151620807062534E-2</v>
      </c>
      <c r="N28" s="25">
        <f>Valuation!N17</f>
        <v>4.5024873788554381E-2</v>
      </c>
      <c r="O28" s="25">
        <f>Valuation!O17</f>
        <v>4.3926706135174999E-2</v>
      </c>
      <c r="P28" s="25">
        <f>Valuation!P17</f>
        <v>4.2880832179575598E-2</v>
      </c>
      <c r="Q28" s="25">
        <f>Valuation!Q17</f>
        <v>4.2880832179575598E-2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3"/>
      <c r="O29" s="33"/>
      <c r="P29" s="33"/>
      <c r="Q29" s="33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3"/>
      <c r="O30" s="33"/>
      <c r="P30" s="33"/>
      <c r="Q30" s="33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33"/>
      <c r="O31" s="33"/>
      <c r="P31" s="33"/>
      <c r="Q31" s="33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3"/>
      <c r="O32" s="33"/>
      <c r="P32" s="33"/>
      <c r="Q32" s="33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33"/>
      <c r="O33" s="33"/>
      <c r="P33" s="33"/>
      <c r="Q33" s="33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3"/>
      <c r="O34" s="33"/>
      <c r="P34" s="33"/>
      <c r="Q34" s="33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3"/>
      <c r="O35" s="33"/>
      <c r="P35" s="33"/>
      <c r="Q35" s="33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3"/>
      <c r="O36" s="33"/>
      <c r="P36" s="33"/>
      <c r="Q36" s="3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3"/>
      <c r="O37" s="33"/>
      <c r="P37" s="33"/>
      <c r="Q37" s="3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3"/>
      <c r="O38" s="33"/>
      <c r="P38" s="33"/>
      <c r="Q38" s="33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3"/>
      <c r="O39" s="33"/>
      <c r="P39" s="33"/>
      <c r="Q39" s="33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3"/>
      <c r="O40" s="33"/>
      <c r="P40" s="33"/>
      <c r="Q40" s="33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3"/>
      <c r="O41" s="33"/>
      <c r="P41" s="33"/>
      <c r="Q41" s="33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3"/>
      <c r="O42" s="33"/>
      <c r="P42" s="33"/>
      <c r="Q42" s="33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3"/>
      <c r="O43" s="33"/>
      <c r="P43" s="33"/>
      <c r="Q43" s="33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3"/>
      <c r="O44" s="33"/>
      <c r="P44" s="33"/>
      <c r="Q44" s="33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3"/>
      <c r="O45" s="33"/>
      <c r="P45" s="33"/>
      <c r="Q45" s="33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3"/>
      <c r="O46" s="33"/>
      <c r="P46" s="33"/>
      <c r="Q46" s="33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3"/>
      <c r="O47" s="33"/>
      <c r="P47" s="33"/>
      <c r="Q47" s="3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3"/>
      <c r="O48" s="33"/>
      <c r="P48" s="33"/>
      <c r="Q48" s="3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3"/>
      <c r="O49" s="33"/>
      <c r="P49" s="33"/>
      <c r="Q49" s="3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3"/>
      <c r="O50" s="33"/>
      <c r="P50" s="33"/>
      <c r="Q50" s="3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3"/>
      <c r="O51" s="33"/>
      <c r="P51" s="33"/>
      <c r="Q51" s="3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3"/>
      <c r="O52" s="33"/>
      <c r="P52" s="33"/>
      <c r="Q52" s="33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3"/>
      <c r="O53" s="33"/>
      <c r="P53" s="33"/>
      <c r="Q53" s="33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3"/>
      <c r="O54" s="33"/>
      <c r="P54" s="33"/>
      <c r="Q54" s="33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3"/>
      <c r="O55" s="33"/>
      <c r="P55" s="33"/>
      <c r="Q55" s="33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3"/>
      <c r="O56" s="33"/>
      <c r="P56" s="33"/>
      <c r="Q56" s="33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3"/>
      <c r="O57" s="33"/>
      <c r="P57" s="33"/>
      <c r="Q57" s="33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3"/>
      <c r="O58" s="33"/>
      <c r="P58" s="33"/>
      <c r="Q58" s="33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3"/>
      <c r="O59" s="33"/>
      <c r="P59" s="33"/>
      <c r="Q59" s="33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3"/>
      <c r="O60" s="33"/>
      <c r="P60" s="33"/>
      <c r="Q60" s="33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3"/>
      <c r="O61" s="33"/>
      <c r="P61" s="33"/>
      <c r="Q61" s="33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3"/>
      <c r="O62" s="33"/>
      <c r="P62" s="33"/>
      <c r="Q62" s="33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3"/>
      <c r="O63" s="33"/>
      <c r="P63" s="33"/>
      <c r="Q63" s="33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3"/>
      <c r="O64" s="33"/>
      <c r="P64" s="33"/>
      <c r="Q64" s="3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3"/>
      <c r="O65" s="33"/>
      <c r="P65" s="33"/>
      <c r="Q65" s="33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3"/>
      <c r="O66" s="33"/>
      <c r="P66" s="33"/>
      <c r="Q66" s="33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3"/>
      <c r="O67" s="33"/>
      <c r="P67" s="33"/>
      <c r="Q67" s="33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3"/>
      <c r="O68" s="33"/>
      <c r="P68" s="33"/>
      <c r="Q68" s="33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3"/>
      <c r="O69" s="33"/>
      <c r="P69" s="33"/>
      <c r="Q69" s="33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3"/>
      <c r="O70" s="33"/>
      <c r="P70" s="33"/>
      <c r="Q70" s="33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3"/>
      <c r="O71" s="33"/>
      <c r="P71" s="33"/>
      <c r="Q71" s="33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3"/>
      <c r="O72" s="33"/>
      <c r="P72" s="33"/>
      <c r="Q72" s="33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3"/>
      <c r="O73" s="33"/>
      <c r="P73" s="33"/>
      <c r="Q73" s="33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3"/>
      <c r="O74" s="33"/>
      <c r="P74" s="33"/>
      <c r="Q74" s="3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3"/>
      <c r="O75" s="33"/>
      <c r="P75" s="33"/>
      <c r="Q75" s="3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3"/>
      <c r="O76" s="33"/>
      <c r="P76" s="33"/>
      <c r="Q76" s="3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3"/>
      <c r="O77" s="33"/>
      <c r="P77" s="33"/>
      <c r="Q77" s="33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3"/>
      <c r="O78" s="33"/>
      <c r="P78" s="33"/>
      <c r="Q78" s="33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3"/>
      <c r="O79" s="33"/>
      <c r="P79" s="33"/>
      <c r="Q79" s="33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3"/>
      <c r="O80" s="33"/>
      <c r="P80" s="33"/>
      <c r="Q80" s="33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3"/>
      <c r="O81" s="33"/>
      <c r="P81" s="33"/>
      <c r="Q81" s="33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3"/>
      <c r="O82" s="33"/>
      <c r="P82" s="33"/>
      <c r="Q82" s="33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3"/>
      <c r="O83" s="33"/>
      <c r="P83" s="33"/>
      <c r="Q83" s="33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3"/>
      <c r="O84" s="33"/>
      <c r="P84" s="33"/>
      <c r="Q84" s="33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3"/>
      <c r="O85" s="33"/>
      <c r="P85" s="33"/>
      <c r="Q85" s="33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3"/>
      <c r="O86" s="33"/>
      <c r="P86" s="33"/>
      <c r="Q86" s="3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3"/>
      <c r="O87" s="33"/>
      <c r="P87" s="33"/>
      <c r="Q87" s="3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3"/>
      <c r="O88" s="33"/>
      <c r="P88" s="33"/>
      <c r="Q88" s="33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3"/>
      <c r="O89" s="33"/>
      <c r="P89" s="33"/>
      <c r="Q89" s="33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3"/>
      <c r="O90" s="33"/>
      <c r="P90" s="33"/>
      <c r="Q90" s="33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3"/>
      <c r="O91" s="33"/>
      <c r="P91" s="33"/>
      <c r="Q91" s="33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3"/>
      <c r="O92" s="33"/>
      <c r="P92" s="33"/>
      <c r="Q92" s="33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3"/>
      <c r="O93" s="33"/>
      <c r="P93" s="33"/>
      <c r="Q93" s="33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3"/>
      <c r="O94" s="33"/>
      <c r="P94" s="33"/>
      <c r="Q94" s="33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3"/>
      <c r="O95" s="33"/>
      <c r="P95" s="33"/>
      <c r="Q95" s="33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3"/>
      <c r="O96" s="33"/>
      <c r="P96" s="33"/>
      <c r="Q96" s="33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3"/>
      <c r="O97" s="33"/>
      <c r="P97" s="33"/>
      <c r="Q97" s="33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3"/>
      <c r="O98" s="33"/>
      <c r="P98" s="33"/>
      <c r="Q98" s="33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3"/>
      <c r="O99" s="33"/>
      <c r="P99" s="33"/>
      <c r="Q99" s="33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3"/>
      <c r="O100" s="33"/>
      <c r="P100" s="33"/>
      <c r="Q100" s="3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3"/>
      <c r="O101" s="33"/>
      <c r="P101" s="33"/>
      <c r="Q101" s="3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3"/>
      <c r="O102" s="33"/>
      <c r="P102" s="33"/>
      <c r="Q102" s="3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3"/>
      <c r="O103" s="33"/>
      <c r="P103" s="33"/>
      <c r="Q103" s="3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3"/>
      <c r="O104" s="33"/>
      <c r="P104" s="33"/>
      <c r="Q104" s="3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3"/>
      <c r="O105" s="33"/>
      <c r="P105" s="33"/>
      <c r="Q105" s="3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3"/>
      <c r="O106" s="33"/>
      <c r="P106" s="33"/>
      <c r="Q106" s="3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3"/>
      <c r="O107" s="33"/>
      <c r="P107" s="33"/>
      <c r="Q107" s="3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3"/>
      <c r="O108" s="33"/>
      <c r="P108" s="33"/>
      <c r="Q108" s="3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3"/>
      <c r="O109" s="33"/>
      <c r="P109" s="33"/>
      <c r="Q109" s="3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3"/>
      <c r="O110" s="33"/>
      <c r="P110" s="33"/>
      <c r="Q110" s="3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3"/>
      <c r="O111" s="33"/>
      <c r="P111" s="33"/>
      <c r="Q111" s="3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3"/>
      <c r="O112" s="33"/>
      <c r="P112" s="33"/>
      <c r="Q112" s="3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3"/>
      <c r="O113" s="33"/>
      <c r="P113" s="33"/>
      <c r="Q113" s="3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3"/>
      <c r="O114" s="33"/>
      <c r="P114" s="33"/>
      <c r="Q114" s="3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3"/>
      <c r="O115" s="33"/>
      <c r="P115" s="33"/>
      <c r="Q115" s="3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3"/>
      <c r="O116" s="33"/>
      <c r="P116" s="33"/>
      <c r="Q116" s="3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3"/>
      <c r="O117" s="33"/>
      <c r="P117" s="33"/>
      <c r="Q117" s="3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3"/>
      <c r="O118" s="33"/>
      <c r="P118" s="33"/>
      <c r="Q118" s="3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3"/>
      <c r="O119" s="33"/>
      <c r="P119" s="33"/>
      <c r="Q119" s="3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3"/>
      <c r="O120" s="33"/>
      <c r="P120" s="33"/>
      <c r="Q120" s="3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3"/>
      <c r="O121" s="33"/>
      <c r="P121" s="33"/>
      <c r="Q121" s="3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3"/>
      <c r="O122" s="33"/>
      <c r="P122" s="33"/>
      <c r="Q122" s="3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3"/>
      <c r="O123" s="33"/>
      <c r="P123" s="33"/>
      <c r="Q123" s="3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3"/>
      <c r="O124" s="33"/>
      <c r="P124" s="33"/>
      <c r="Q124" s="3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3"/>
      <c r="O125" s="33"/>
      <c r="P125" s="33"/>
      <c r="Q125" s="3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3"/>
      <c r="O126" s="33"/>
      <c r="P126" s="33"/>
      <c r="Q126" s="3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3"/>
      <c r="O127" s="33"/>
      <c r="P127" s="33"/>
      <c r="Q127" s="3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3"/>
      <c r="O128" s="33"/>
      <c r="P128" s="33"/>
      <c r="Q128" s="3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3"/>
      <c r="O129" s="33"/>
      <c r="P129" s="33"/>
      <c r="Q129" s="3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3"/>
      <c r="O130" s="33"/>
      <c r="P130" s="33"/>
      <c r="Q130" s="3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3"/>
      <c r="O131" s="33"/>
      <c r="P131" s="33"/>
      <c r="Q131" s="3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3"/>
      <c r="O132" s="33"/>
      <c r="P132" s="33"/>
      <c r="Q132" s="3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3"/>
      <c r="O133" s="33"/>
      <c r="P133" s="33"/>
      <c r="Q133" s="3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3"/>
      <c r="O134" s="33"/>
      <c r="P134" s="33"/>
      <c r="Q134" s="3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3"/>
      <c r="O135" s="33"/>
      <c r="P135" s="33"/>
      <c r="Q135" s="3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3"/>
      <c r="O136" s="33"/>
      <c r="P136" s="33"/>
      <c r="Q136" s="3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3"/>
      <c r="O137" s="33"/>
      <c r="P137" s="33"/>
      <c r="Q137" s="3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3"/>
      <c r="O138" s="33"/>
      <c r="P138" s="33"/>
      <c r="Q138" s="3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3"/>
      <c r="O139" s="33"/>
      <c r="P139" s="33"/>
      <c r="Q139" s="3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3"/>
      <c r="O140" s="33"/>
      <c r="P140" s="33"/>
      <c r="Q140" s="3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3"/>
      <c r="O141" s="33"/>
      <c r="P141" s="33"/>
      <c r="Q141" s="3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3"/>
      <c r="O142" s="33"/>
      <c r="P142" s="33"/>
      <c r="Q142" s="3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3"/>
      <c r="O143" s="33"/>
      <c r="P143" s="33"/>
      <c r="Q143" s="3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3"/>
      <c r="O144" s="33"/>
      <c r="P144" s="33"/>
      <c r="Q144" s="3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3"/>
      <c r="O145" s="33"/>
      <c r="P145" s="33"/>
      <c r="Q145" s="3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3"/>
      <c r="O146" s="33"/>
      <c r="P146" s="33"/>
      <c r="Q146" s="3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3"/>
      <c r="O147" s="33"/>
      <c r="P147" s="33"/>
      <c r="Q147" s="3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3"/>
      <c r="O148" s="33"/>
      <c r="P148" s="33"/>
      <c r="Q148" s="3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3"/>
      <c r="O149" s="33"/>
      <c r="P149" s="33"/>
      <c r="Q149" s="3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3"/>
      <c r="O150" s="33"/>
      <c r="P150" s="33"/>
      <c r="Q150" s="3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3"/>
      <c r="O151" s="33"/>
      <c r="P151" s="33"/>
      <c r="Q151" s="3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3"/>
      <c r="O152" s="33"/>
      <c r="P152" s="33"/>
      <c r="Q152" s="3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3"/>
      <c r="O153" s="33"/>
      <c r="P153" s="33"/>
      <c r="Q153" s="3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3"/>
      <c r="O154" s="33"/>
      <c r="P154" s="33"/>
      <c r="Q154" s="3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3"/>
      <c r="O155" s="33"/>
      <c r="P155" s="33"/>
      <c r="Q155" s="3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3"/>
      <c r="O156" s="33"/>
      <c r="P156" s="33"/>
      <c r="Q156" s="3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3"/>
      <c r="O157" s="33"/>
      <c r="P157" s="33"/>
      <c r="Q157" s="3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3"/>
      <c r="O158" s="33"/>
      <c r="P158" s="33"/>
      <c r="Q158" s="3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3"/>
      <c r="O159" s="33"/>
      <c r="P159" s="33"/>
      <c r="Q159" s="3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3"/>
      <c r="O160" s="33"/>
      <c r="P160" s="33"/>
      <c r="Q160" s="3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3"/>
      <c r="O161" s="33"/>
      <c r="P161" s="33"/>
      <c r="Q161" s="3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3"/>
      <c r="O162" s="33"/>
      <c r="P162" s="33"/>
      <c r="Q162" s="3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3"/>
      <c r="O163" s="33"/>
      <c r="P163" s="33"/>
      <c r="Q163" s="3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3"/>
      <c r="O164" s="33"/>
      <c r="P164" s="33"/>
      <c r="Q164" s="3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3"/>
      <c r="O165" s="33"/>
      <c r="P165" s="33"/>
      <c r="Q165" s="3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3"/>
      <c r="O166" s="33"/>
      <c r="P166" s="33"/>
      <c r="Q166" s="3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3"/>
      <c r="O167" s="33"/>
      <c r="P167" s="33"/>
      <c r="Q167" s="3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3"/>
      <c r="O168" s="33"/>
      <c r="P168" s="33"/>
      <c r="Q168" s="3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3"/>
      <c r="O169" s="33"/>
      <c r="P169" s="33"/>
      <c r="Q169" s="3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3"/>
      <c r="O170" s="33"/>
      <c r="P170" s="33"/>
      <c r="Q170" s="3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3"/>
      <c r="O171" s="33"/>
      <c r="P171" s="33"/>
      <c r="Q171" s="3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3"/>
      <c r="O172" s="33"/>
      <c r="P172" s="33"/>
      <c r="Q172" s="3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3"/>
      <c r="O173" s="33"/>
      <c r="P173" s="33"/>
      <c r="Q173" s="3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3"/>
      <c r="O174" s="33"/>
      <c r="P174" s="33"/>
      <c r="Q174" s="3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3"/>
      <c r="O175" s="33"/>
      <c r="P175" s="33"/>
      <c r="Q175" s="3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3"/>
      <c r="O176" s="33"/>
      <c r="P176" s="33"/>
      <c r="Q176" s="3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3"/>
      <c r="O177" s="33"/>
      <c r="P177" s="33"/>
      <c r="Q177" s="3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3"/>
      <c r="O178" s="33"/>
      <c r="P178" s="33"/>
      <c r="Q178" s="3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3"/>
      <c r="O179" s="33"/>
      <c r="P179" s="33"/>
      <c r="Q179" s="3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3"/>
      <c r="O180" s="33"/>
      <c r="P180" s="33"/>
      <c r="Q180" s="3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3"/>
      <c r="O181" s="33"/>
      <c r="P181" s="33"/>
      <c r="Q181" s="3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3"/>
      <c r="O182" s="33"/>
      <c r="P182" s="33"/>
      <c r="Q182" s="3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3"/>
      <c r="O183" s="33"/>
      <c r="P183" s="33"/>
      <c r="Q183" s="3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3"/>
      <c r="O184" s="33"/>
      <c r="P184" s="33"/>
      <c r="Q184" s="3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3"/>
      <c r="O185" s="33"/>
      <c r="P185" s="33"/>
      <c r="Q185" s="3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3"/>
      <c r="O186" s="33"/>
      <c r="P186" s="33"/>
      <c r="Q186" s="3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3"/>
      <c r="O187" s="33"/>
      <c r="P187" s="33"/>
      <c r="Q187" s="3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3"/>
      <c r="O188" s="33"/>
      <c r="P188" s="33"/>
      <c r="Q188" s="3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3"/>
      <c r="O189" s="33"/>
      <c r="P189" s="33"/>
      <c r="Q189" s="3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3"/>
      <c r="O190" s="33"/>
      <c r="P190" s="33"/>
      <c r="Q190" s="3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3"/>
      <c r="O191" s="33"/>
      <c r="P191" s="33"/>
      <c r="Q191" s="3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3"/>
      <c r="O192" s="33"/>
      <c r="P192" s="33"/>
      <c r="Q192" s="3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3"/>
      <c r="O193" s="33"/>
      <c r="P193" s="33"/>
      <c r="Q193" s="3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3"/>
      <c r="O194" s="33"/>
      <c r="P194" s="33"/>
      <c r="Q194" s="3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3"/>
      <c r="O195" s="33"/>
      <c r="P195" s="33"/>
      <c r="Q195" s="3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3"/>
      <c r="O196" s="33"/>
      <c r="P196" s="33"/>
      <c r="Q196" s="3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3"/>
      <c r="O197" s="33"/>
      <c r="P197" s="33"/>
      <c r="Q197" s="3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3"/>
      <c r="O198" s="33"/>
      <c r="P198" s="33"/>
      <c r="Q198" s="3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3"/>
      <c r="O199" s="33"/>
      <c r="P199" s="33"/>
      <c r="Q199" s="3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3"/>
      <c r="O200" s="33"/>
      <c r="P200" s="33"/>
      <c r="Q200" s="3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300"/>
  <sheetViews>
    <sheetView showGridLines="0" workbookViewId="0"/>
  </sheetViews>
  <sheetFormatPr defaultRowHeight="13.8"/>
  <cols>
    <col min="1" max="1" width="8" customWidth="1"/>
    <col min="2" max="2" width="26" customWidth="1"/>
    <col min="3" max="3" width="12" customWidth="1"/>
    <col min="4" max="4" width="62" customWidth="1"/>
    <col min="5" max="5" width="35" customWidth="1"/>
    <col min="6" max="6" width="12" customWidth="1"/>
    <col min="7" max="7" width="42" customWidth="1"/>
  </cols>
  <sheetData>
    <row r="1" spans="1:46" ht="25.95" customHeight="1">
      <c r="A1" s="43" t="s">
        <v>71</v>
      </c>
      <c r="B1" s="43"/>
      <c r="C1" s="43"/>
      <c r="D1" s="43"/>
      <c r="E1" s="43"/>
      <c r="F1" s="43"/>
      <c r="G1" s="4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4" t="s">
        <v>72</v>
      </c>
      <c r="B2" s="44"/>
      <c r="C2" s="44"/>
      <c r="D2" s="44"/>
      <c r="E2" s="44"/>
      <c r="F2" s="44"/>
      <c r="G2" s="4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73</v>
      </c>
      <c r="B5" s="5" t="s">
        <v>74</v>
      </c>
      <c r="C5" s="5" t="s">
        <v>27</v>
      </c>
      <c r="D5" s="5" t="s">
        <v>75</v>
      </c>
      <c r="E5" s="5" t="s">
        <v>76</v>
      </c>
      <c r="F5" s="5" t="s">
        <v>77</v>
      </c>
      <c r="G5" s="5" t="s">
        <v>78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34.049999999999997" customHeight="1">
      <c r="A6" s="3" t="s">
        <v>79</v>
      </c>
      <c r="B6" s="3" t="s">
        <v>80</v>
      </c>
      <c r="C6" s="3" t="s">
        <v>81</v>
      </c>
      <c r="D6" s="3" t="s">
        <v>82</v>
      </c>
      <c r="E6" s="3" t="s">
        <v>83</v>
      </c>
      <c r="F6" s="3" t="s">
        <v>84</v>
      </c>
      <c r="G6" s="3" t="s">
        <v>85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34.049999999999997" customHeight="1">
      <c r="A7" s="3" t="s">
        <v>86</v>
      </c>
      <c r="B7" s="3" t="s">
        <v>87</v>
      </c>
      <c r="C7" s="3" t="s">
        <v>44</v>
      </c>
      <c r="D7" s="3" t="s">
        <v>88</v>
      </c>
      <c r="E7" s="3" t="s">
        <v>89</v>
      </c>
      <c r="F7" s="3" t="s">
        <v>84</v>
      </c>
      <c r="G7" s="3" t="s">
        <v>90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34.049999999999997" customHeight="1">
      <c r="A8" s="3" t="s">
        <v>91</v>
      </c>
      <c r="B8" s="3" t="s">
        <v>92</v>
      </c>
      <c r="C8" s="3" t="s">
        <v>81</v>
      </c>
      <c r="D8" s="3" t="s">
        <v>93</v>
      </c>
      <c r="E8" s="3" t="s">
        <v>94</v>
      </c>
      <c r="F8" s="3" t="s">
        <v>84</v>
      </c>
      <c r="G8" s="3" t="s">
        <v>95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34.049999999999997" customHeight="1">
      <c r="A9" s="3" t="s">
        <v>96</v>
      </c>
      <c r="B9" s="3" t="s">
        <v>97</v>
      </c>
      <c r="C9" s="3" t="s">
        <v>44</v>
      </c>
      <c r="D9" s="3" t="s">
        <v>98</v>
      </c>
      <c r="E9" s="3" t="s">
        <v>99</v>
      </c>
      <c r="F9" s="3" t="s">
        <v>84</v>
      </c>
      <c r="G9" s="3" t="s">
        <v>100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34.049999999999997" customHeight="1">
      <c r="A10" s="3" t="s">
        <v>101</v>
      </c>
      <c r="B10" s="3" t="s">
        <v>102</v>
      </c>
      <c r="C10" s="3" t="s">
        <v>54</v>
      </c>
      <c r="D10" s="3" t="s">
        <v>103</v>
      </c>
      <c r="E10" s="3" t="s">
        <v>104</v>
      </c>
      <c r="F10" s="3" t="s">
        <v>84</v>
      </c>
      <c r="G10" s="3" t="s">
        <v>105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34.049999999999997" customHeight="1">
      <c r="A11" s="3" t="s">
        <v>106</v>
      </c>
      <c r="B11" s="3" t="s">
        <v>107</v>
      </c>
      <c r="C11" s="3" t="s">
        <v>63</v>
      </c>
      <c r="D11" s="3" t="s">
        <v>82</v>
      </c>
      <c r="E11" s="3" t="s">
        <v>108</v>
      </c>
      <c r="F11" s="3" t="s">
        <v>84</v>
      </c>
      <c r="G11" s="3" t="s">
        <v>109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34.049999999999997" customHeight="1">
      <c r="A12" s="3" t="s">
        <v>110</v>
      </c>
      <c r="B12" s="3" t="s">
        <v>111</v>
      </c>
      <c r="C12" s="3" t="s">
        <v>112</v>
      </c>
      <c r="D12" s="3" t="s">
        <v>82</v>
      </c>
      <c r="E12" s="3" t="s">
        <v>113</v>
      </c>
      <c r="F12" s="3" t="s">
        <v>84</v>
      </c>
      <c r="G12" s="3" t="s">
        <v>114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34.049999999999997" customHeight="1">
      <c r="A13" s="3" t="s">
        <v>115</v>
      </c>
      <c r="B13" s="3" t="s">
        <v>116</v>
      </c>
      <c r="C13" s="3" t="s">
        <v>117</v>
      </c>
      <c r="D13" s="3" t="s">
        <v>88</v>
      </c>
      <c r="E13" s="3" t="s">
        <v>118</v>
      </c>
      <c r="F13" s="3" t="s">
        <v>84</v>
      </c>
      <c r="G13" s="3" t="s">
        <v>119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34.049999999999997" customHeight="1">
      <c r="A14" s="3" t="s">
        <v>120</v>
      </c>
      <c r="B14" s="3" t="s">
        <v>121</v>
      </c>
      <c r="C14" s="3" t="s">
        <v>63</v>
      </c>
      <c r="D14" s="3" t="s">
        <v>122</v>
      </c>
      <c r="E14" s="3" t="s">
        <v>123</v>
      </c>
      <c r="F14" s="3" t="s">
        <v>84</v>
      </c>
      <c r="G14" s="3" t="s">
        <v>124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34.049999999999997" customHeight="1">
      <c r="A15" s="3" t="s">
        <v>125</v>
      </c>
      <c r="B15" s="3" t="s">
        <v>126</v>
      </c>
      <c r="C15" s="3" t="s">
        <v>127</v>
      </c>
      <c r="D15" s="3" t="s">
        <v>127</v>
      </c>
      <c r="E15" s="3" t="s">
        <v>128</v>
      </c>
      <c r="F15" s="3" t="s">
        <v>129</v>
      </c>
      <c r="G15" s="3" t="s">
        <v>130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300"/>
  <sheetViews>
    <sheetView showGridLines="0" workbookViewId="0">
      <selection sqref="A1:F1"/>
    </sheetView>
  </sheetViews>
  <sheetFormatPr defaultRowHeight="13.8"/>
  <cols>
    <col min="1" max="1" width="46" customWidth="1"/>
    <col min="2" max="2" width="12" customWidth="1"/>
    <col min="3" max="6" width="13" customWidth="1"/>
  </cols>
  <sheetData>
    <row r="1" spans="1:46" ht="25.95" customHeight="1">
      <c r="A1" s="43" t="s">
        <v>131</v>
      </c>
      <c r="B1" s="43"/>
      <c r="C1" s="43"/>
      <c r="D1" s="43"/>
      <c r="E1" s="43"/>
      <c r="F1" s="4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4" t="s">
        <v>132</v>
      </c>
      <c r="B2" s="44"/>
      <c r="C2" s="44"/>
      <c r="D2" s="44"/>
      <c r="E2" s="44"/>
      <c r="F2" s="4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133</v>
      </c>
      <c r="B5" s="5" t="s">
        <v>27</v>
      </c>
      <c r="C5" s="5" t="s">
        <v>39</v>
      </c>
      <c r="D5" s="5" t="s">
        <v>40</v>
      </c>
      <c r="E5" s="5" t="s">
        <v>41</v>
      </c>
      <c r="F5" s="5" t="s">
        <v>42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 t="s">
        <v>134</v>
      </c>
      <c r="B6" s="1" t="s">
        <v>46</v>
      </c>
      <c r="C6" s="6">
        <v>0.03</v>
      </c>
      <c r="D6" s="6">
        <v>3.5000000000000003E-2</v>
      </c>
      <c r="E6" s="6">
        <v>0.04</v>
      </c>
      <c r="F6" s="6">
        <v>0.04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135</v>
      </c>
      <c r="B7" s="1" t="s">
        <v>46</v>
      </c>
      <c r="C7" s="6">
        <v>0.94</v>
      </c>
      <c r="D7" s="6">
        <v>0.94</v>
      </c>
      <c r="E7" s="6">
        <v>0.94</v>
      </c>
      <c r="F7" s="6">
        <v>0.94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136</v>
      </c>
      <c r="B8" s="1" t="s">
        <v>46</v>
      </c>
      <c r="C8" s="6">
        <v>0.84</v>
      </c>
      <c r="D8" s="6">
        <v>0.84499999999999997</v>
      </c>
      <c r="E8" s="6">
        <v>0.85</v>
      </c>
      <c r="F8" s="6">
        <v>0.85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137</v>
      </c>
      <c r="B9" s="1" t="s">
        <v>46</v>
      </c>
      <c r="C9" s="6">
        <v>0.03</v>
      </c>
      <c r="D9" s="6">
        <v>3.5000000000000003E-2</v>
      </c>
      <c r="E9" s="6">
        <v>0.04</v>
      </c>
      <c r="F9" s="6">
        <v>0.04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138</v>
      </c>
      <c r="B10" s="1" t="s">
        <v>46</v>
      </c>
      <c r="C10" s="6">
        <v>0.34</v>
      </c>
      <c r="D10" s="6">
        <v>0.33</v>
      </c>
      <c r="E10" s="6">
        <v>0.32</v>
      </c>
      <c r="F10" s="6">
        <v>0.31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139</v>
      </c>
      <c r="B11" s="1" t="s">
        <v>46</v>
      </c>
      <c r="C11" s="6">
        <v>0.01</v>
      </c>
      <c r="D11" s="6">
        <v>1.2999999999999999E-2</v>
      </c>
      <c r="E11" s="6">
        <v>1.4999999999999999E-2</v>
      </c>
      <c r="F11" s="6">
        <v>1.4999999999999999E-2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140</v>
      </c>
      <c r="B12" s="1" t="s">
        <v>46</v>
      </c>
      <c r="C12" s="6"/>
      <c r="D12" s="6">
        <v>0.15</v>
      </c>
      <c r="E12" s="6">
        <v>0.12</v>
      </c>
      <c r="F12" s="6">
        <v>0.1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141</v>
      </c>
      <c r="B13" s="1" t="s">
        <v>46</v>
      </c>
      <c r="C13" s="6">
        <v>0.04</v>
      </c>
      <c r="D13" s="6">
        <v>0.05</v>
      </c>
      <c r="E13" s="6">
        <v>0.06</v>
      </c>
      <c r="F13" s="6">
        <v>0.06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142</v>
      </c>
      <c r="B14" s="1" t="s">
        <v>143</v>
      </c>
      <c r="C14" s="7">
        <v>95</v>
      </c>
      <c r="D14" s="7">
        <v>96</v>
      </c>
      <c r="E14" s="7">
        <v>97</v>
      </c>
      <c r="F14" s="7">
        <v>98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144</v>
      </c>
      <c r="B15" s="1" t="s">
        <v>46</v>
      </c>
      <c r="C15" s="6">
        <v>0.34200000000000003</v>
      </c>
      <c r="D15" s="6">
        <v>0.34399999999999997</v>
      </c>
      <c r="E15" s="6">
        <v>0.34599999999999997</v>
      </c>
      <c r="F15" s="6">
        <v>0.34699999999999998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145</v>
      </c>
      <c r="B16" s="1" t="s">
        <v>46</v>
      </c>
      <c r="C16" s="6">
        <v>1.4999999999999999E-2</v>
      </c>
      <c r="D16" s="6">
        <v>1.4999999999999999E-2</v>
      </c>
      <c r="E16" s="6">
        <v>1.4999999999999999E-2</v>
      </c>
      <c r="F16" s="6">
        <v>1.4999999999999999E-2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146</v>
      </c>
      <c r="B17" s="1" t="s">
        <v>46</v>
      </c>
      <c r="C17" s="6">
        <v>3.3000000000000002E-2</v>
      </c>
      <c r="D17" s="6">
        <v>3.2000000000000001E-2</v>
      </c>
      <c r="E17" s="6">
        <v>3.1E-2</v>
      </c>
      <c r="F17" s="6">
        <v>0.03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50</v>
      </c>
      <c r="B18" s="1" t="s">
        <v>46</v>
      </c>
      <c r="C18" s="6">
        <v>0.18</v>
      </c>
      <c r="D18" s="6">
        <v>0.182</v>
      </c>
      <c r="E18" s="6">
        <v>0.184</v>
      </c>
      <c r="F18" s="6">
        <v>0.185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147</v>
      </c>
      <c r="B19" s="1" t="s">
        <v>46</v>
      </c>
      <c r="C19" s="6">
        <v>0.25</v>
      </c>
      <c r="D19" s="6">
        <v>0.25</v>
      </c>
      <c r="E19" s="6">
        <v>0.25</v>
      </c>
      <c r="F19" s="6">
        <v>0.25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148</v>
      </c>
      <c r="B20" s="1" t="s">
        <v>46</v>
      </c>
      <c r="C20" s="6">
        <v>0.03</v>
      </c>
      <c r="D20" s="6">
        <v>0.03</v>
      </c>
      <c r="E20" s="6">
        <v>0.03</v>
      </c>
      <c r="F20" s="6">
        <v>0.03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149</v>
      </c>
      <c r="B21" s="1" t="s">
        <v>150</v>
      </c>
      <c r="C21" s="7">
        <v>64</v>
      </c>
      <c r="D21" s="7">
        <v>63</v>
      </c>
      <c r="E21" s="7">
        <v>62</v>
      </c>
      <c r="F21" s="7">
        <v>61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151</v>
      </c>
      <c r="B22" s="1" t="s">
        <v>150</v>
      </c>
      <c r="C22" s="7">
        <v>22</v>
      </c>
      <c r="D22" s="7">
        <v>22</v>
      </c>
      <c r="E22" s="7">
        <v>21</v>
      </c>
      <c r="F22" s="7">
        <v>21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152</v>
      </c>
      <c r="B23" s="1" t="s">
        <v>46</v>
      </c>
      <c r="C23" s="6">
        <v>5.8000000000000003E-2</v>
      </c>
      <c r="D23" s="6">
        <v>5.7000000000000002E-2</v>
      </c>
      <c r="E23" s="6">
        <v>5.6000000000000001E-2</v>
      </c>
      <c r="F23" s="6">
        <v>5.5E-2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153</v>
      </c>
      <c r="B24" s="1" t="s">
        <v>46</v>
      </c>
      <c r="C24" s="6">
        <v>0.22500000000000001</v>
      </c>
      <c r="D24" s="6">
        <v>0.223</v>
      </c>
      <c r="E24" s="6">
        <v>0.221</v>
      </c>
      <c r="F24" s="6">
        <v>0.22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154</v>
      </c>
      <c r="B25" s="1" t="s">
        <v>46</v>
      </c>
      <c r="C25" s="6">
        <v>0.04</v>
      </c>
      <c r="D25" s="6">
        <v>3.9E-2</v>
      </c>
      <c r="E25" s="6">
        <v>3.7999999999999999E-2</v>
      </c>
      <c r="F25" s="6">
        <v>3.6999999999999998E-2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155</v>
      </c>
      <c r="B26" s="1" t="s">
        <v>46</v>
      </c>
      <c r="C26" s="6">
        <v>0.19</v>
      </c>
      <c r="D26" s="6">
        <v>0.185</v>
      </c>
      <c r="E26" s="6">
        <v>0.18</v>
      </c>
      <c r="F26" s="6">
        <v>0.17499999999999999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156</v>
      </c>
      <c r="B27" s="1" t="s">
        <v>46</v>
      </c>
      <c r="C27" s="6">
        <v>1.4E-2</v>
      </c>
      <c r="D27" s="6">
        <v>1.4E-2</v>
      </c>
      <c r="E27" s="6">
        <v>1.4E-2</v>
      </c>
      <c r="F27" s="6">
        <v>1.4E-2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157</v>
      </c>
      <c r="B28" s="1" t="s">
        <v>46</v>
      </c>
      <c r="C28" s="6">
        <v>0.6</v>
      </c>
      <c r="D28" s="6">
        <v>0.6</v>
      </c>
      <c r="E28" s="6">
        <v>0.6</v>
      </c>
      <c r="F28" s="6">
        <v>0.6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158</v>
      </c>
      <c r="B29" s="1" t="s">
        <v>46</v>
      </c>
      <c r="C29" s="6">
        <v>1.2E-2</v>
      </c>
      <c r="D29" s="6">
        <v>1.2E-2</v>
      </c>
      <c r="E29" s="6">
        <v>1.2E-2</v>
      </c>
      <c r="F29" s="6">
        <v>1.2E-2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159</v>
      </c>
      <c r="B30" s="1" t="s">
        <v>46</v>
      </c>
      <c r="C30" s="6">
        <v>0.2</v>
      </c>
      <c r="D30" s="6">
        <v>0.2</v>
      </c>
      <c r="E30" s="6">
        <v>0.2</v>
      </c>
      <c r="F30" s="6">
        <v>0.2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160</v>
      </c>
      <c r="B31" s="1" t="s">
        <v>46</v>
      </c>
      <c r="C31" s="6">
        <v>0.2</v>
      </c>
      <c r="D31" s="6">
        <v>0.2</v>
      </c>
      <c r="E31" s="6">
        <v>0.2</v>
      </c>
      <c r="F31" s="6">
        <v>0.2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161</v>
      </c>
      <c r="B32" s="1" t="s">
        <v>44</v>
      </c>
      <c r="C32" s="7">
        <v>0</v>
      </c>
      <c r="D32" s="7">
        <v>0</v>
      </c>
      <c r="E32" s="7">
        <v>0</v>
      </c>
      <c r="F32" s="7">
        <v>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162</v>
      </c>
      <c r="B33" s="1" t="s">
        <v>44</v>
      </c>
      <c r="C33" s="7">
        <v>-100</v>
      </c>
      <c r="D33" s="7">
        <v>-100</v>
      </c>
      <c r="E33" s="7">
        <v>-100</v>
      </c>
      <c r="F33" s="7">
        <v>-100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163</v>
      </c>
      <c r="B34" s="1" t="s">
        <v>46</v>
      </c>
      <c r="C34" s="6">
        <v>0.2</v>
      </c>
      <c r="D34" s="6">
        <v>0.2</v>
      </c>
      <c r="E34" s="6">
        <v>0.2</v>
      </c>
      <c r="F34" s="6">
        <v>0.2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164</v>
      </c>
      <c r="B35" s="1" t="s">
        <v>46</v>
      </c>
      <c r="C35" s="6">
        <v>0.9</v>
      </c>
      <c r="D35" s="6">
        <v>0.9</v>
      </c>
      <c r="E35" s="6">
        <v>0.9</v>
      </c>
      <c r="F35" s="6">
        <v>0.9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165</v>
      </c>
      <c r="B36" s="1" t="s">
        <v>44</v>
      </c>
      <c r="C36" s="7">
        <v>0</v>
      </c>
      <c r="D36" s="7">
        <v>0</v>
      </c>
      <c r="E36" s="7">
        <v>0</v>
      </c>
      <c r="F36" s="7">
        <v>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166</v>
      </c>
      <c r="B37" s="1" t="s">
        <v>46</v>
      </c>
      <c r="C37" s="6">
        <v>0</v>
      </c>
      <c r="D37" s="6">
        <v>0</v>
      </c>
      <c r="E37" s="6">
        <v>0</v>
      </c>
      <c r="F37" s="6">
        <v>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167</v>
      </c>
      <c r="B38" s="1" t="s">
        <v>68</v>
      </c>
      <c r="C38" s="7">
        <v>20</v>
      </c>
      <c r="D38" s="7">
        <v>20.5</v>
      </c>
      <c r="E38" s="7">
        <v>21</v>
      </c>
      <c r="F38" s="7">
        <v>21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168</v>
      </c>
      <c r="B39" s="1" t="s">
        <v>46</v>
      </c>
      <c r="C39" s="6">
        <v>0.125</v>
      </c>
      <c r="D39" s="6">
        <v>0.123</v>
      </c>
      <c r="E39" s="6">
        <v>0.12</v>
      </c>
      <c r="F39" s="6">
        <v>0.12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169</v>
      </c>
      <c r="B40" s="1" t="s">
        <v>63</v>
      </c>
      <c r="C40" s="7">
        <v>741</v>
      </c>
      <c r="D40" s="7"/>
      <c r="E40" s="7"/>
      <c r="F40" s="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00"/>
  <sheetViews>
    <sheetView showGridLines="0" workbookViewId="0"/>
  </sheetViews>
  <sheetFormatPr defaultRowHeight="13.8"/>
  <cols>
    <col min="1" max="1" width="38" customWidth="1"/>
    <col min="2" max="46" width="10" customWidth="1"/>
  </cols>
  <sheetData>
    <row r="1" spans="1:46" ht="25.95" customHeight="1">
      <c r="A1" s="43" t="s">
        <v>170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</row>
    <row r="2" spans="1:46" ht="18" customHeight="1">
      <c r="A2" s="44" t="s">
        <v>171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8" customHeight="1">
      <c r="A4" s="46" t="s">
        <v>172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 t="s">
        <v>43</v>
      </c>
      <c r="B6" s="1" t="s">
        <v>44</v>
      </c>
      <c r="C6" s="10">
        <v>40913</v>
      </c>
      <c r="D6" s="10">
        <v>46723</v>
      </c>
      <c r="E6" s="10">
        <v>50570</v>
      </c>
      <c r="F6" s="10">
        <v>60427</v>
      </c>
      <c r="G6" s="10">
        <v>70678</v>
      </c>
      <c r="H6" s="10">
        <v>75379</v>
      </c>
      <c r="I6" s="10">
        <v>85651</v>
      </c>
      <c r="J6" s="10">
        <v>101456</v>
      </c>
      <c r="K6" s="10">
        <v>109913</v>
      </c>
      <c r="L6" s="10">
        <v>117055</v>
      </c>
      <c r="M6" s="10">
        <v>130144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173</v>
      </c>
      <c r="B7" s="1" t="s">
        <v>44</v>
      </c>
      <c r="C7" s="10">
        <v>26901</v>
      </c>
      <c r="D7" s="10">
        <v>30890</v>
      </c>
      <c r="E7" s="10">
        <v>33237</v>
      </c>
      <c r="F7" s="10">
        <v>39268</v>
      </c>
      <c r="G7" s="10">
        <v>44018</v>
      </c>
      <c r="H7" s="10">
        <v>44591</v>
      </c>
      <c r="I7" s="10">
        <v>52760</v>
      </c>
      <c r="J7" s="10">
        <v>64523</v>
      </c>
      <c r="K7" s="10">
        <v>70474</v>
      </c>
      <c r="L7" s="10">
        <v>76157</v>
      </c>
      <c r="M7" s="10">
        <v>85811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174</v>
      </c>
      <c r="B8" s="1" t="s">
        <v>44</v>
      </c>
      <c r="C8" s="10">
        <v>14012</v>
      </c>
      <c r="D8" s="10">
        <v>15833</v>
      </c>
      <c r="E8" s="10">
        <v>17333</v>
      </c>
      <c r="F8" s="10">
        <v>21159</v>
      </c>
      <c r="G8" s="10">
        <v>26659</v>
      </c>
      <c r="H8" s="10">
        <v>30788</v>
      </c>
      <c r="I8" s="10">
        <v>32891</v>
      </c>
      <c r="J8" s="10">
        <v>36933</v>
      </c>
      <c r="K8" s="10">
        <v>39439</v>
      </c>
      <c r="L8" s="10">
        <v>40898</v>
      </c>
      <c r="M8" s="10">
        <v>44333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175</v>
      </c>
      <c r="B9" s="1" t="s">
        <v>44</v>
      </c>
      <c r="C9" s="10"/>
      <c r="D9" s="10"/>
      <c r="E9" s="10"/>
      <c r="F9" s="10"/>
      <c r="G9" s="10">
        <v>1276</v>
      </c>
      <c r="H9" s="10">
        <v>1383</v>
      </c>
      <c r="I9" s="10">
        <v>1526</v>
      </c>
      <c r="J9" s="10">
        <v>1632</v>
      </c>
      <c r="K9" s="10">
        <v>1651</v>
      </c>
      <c r="L9" s="10">
        <v>1658</v>
      </c>
      <c r="M9" s="10">
        <v>2000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176</v>
      </c>
      <c r="B10" s="1" t="s">
        <v>44</v>
      </c>
      <c r="C10" s="10">
        <v>5217</v>
      </c>
      <c r="D10" s="10">
        <v>5524</v>
      </c>
      <c r="E10" s="10">
        <v>5894</v>
      </c>
      <c r="F10" s="10">
        <v>7191</v>
      </c>
      <c r="G10" s="10">
        <v>8690</v>
      </c>
      <c r="H10" s="10">
        <v>9348</v>
      </c>
      <c r="I10" s="10">
        <v>10835</v>
      </c>
      <c r="J10" s="10">
        <v>12673</v>
      </c>
      <c r="K10" s="10">
        <v>13588</v>
      </c>
      <c r="L10" s="10">
        <v>13736</v>
      </c>
      <c r="M10" s="10">
        <v>15581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177</v>
      </c>
      <c r="B11" s="1" t="s">
        <v>44</v>
      </c>
      <c r="C11" s="10">
        <v>8795</v>
      </c>
      <c r="D11" s="10">
        <v>10309</v>
      </c>
      <c r="E11" s="10">
        <v>11440</v>
      </c>
      <c r="F11" s="10">
        <v>13967</v>
      </c>
      <c r="G11" s="10">
        <v>16694</v>
      </c>
      <c r="H11" s="10">
        <v>20057</v>
      </c>
      <c r="I11" s="10">
        <v>20530</v>
      </c>
      <c r="J11" s="10">
        <v>22628</v>
      </c>
      <c r="K11" s="10">
        <v>24200</v>
      </c>
      <c r="L11" s="10">
        <v>25504</v>
      </c>
      <c r="M11" s="10">
        <v>26752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178</v>
      </c>
      <c r="B12" s="1" t="s">
        <v>44</v>
      </c>
      <c r="C12" s="10">
        <v>506</v>
      </c>
      <c r="D12" s="10">
        <v>835</v>
      </c>
      <c r="E12" s="10">
        <v>1453</v>
      </c>
      <c r="F12" s="10">
        <v>2147</v>
      </c>
      <c r="G12" s="10">
        <v>2841</v>
      </c>
      <c r="H12" s="10">
        <v>4611</v>
      </c>
      <c r="I12" s="10">
        <v>4326</v>
      </c>
      <c r="J12" s="10">
        <v>4145</v>
      </c>
      <c r="K12" s="10">
        <v>4173</v>
      </c>
      <c r="L12" s="10">
        <v>4084</v>
      </c>
      <c r="M12" s="10">
        <v>4355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49</v>
      </c>
      <c r="B13" s="1" t="s">
        <v>44</v>
      </c>
      <c r="C13" s="10">
        <v>8226</v>
      </c>
      <c r="D13" s="10">
        <v>9474</v>
      </c>
      <c r="E13" s="10">
        <v>9987</v>
      </c>
      <c r="F13" s="10">
        <v>11820</v>
      </c>
      <c r="G13" s="10">
        <v>13853</v>
      </c>
      <c r="H13" s="10">
        <v>15344</v>
      </c>
      <c r="I13" s="10">
        <v>16204</v>
      </c>
      <c r="J13" s="10">
        <v>18483</v>
      </c>
      <c r="K13" s="10">
        <v>20027</v>
      </c>
      <c r="L13" s="10">
        <v>21420</v>
      </c>
      <c r="M13" s="10">
        <v>22397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179</v>
      </c>
      <c r="B14" s="1" t="s">
        <v>44</v>
      </c>
      <c r="C14" s="10">
        <v>72</v>
      </c>
      <c r="D14" s="10">
        <v>188</v>
      </c>
      <c r="E14" s="10">
        <v>541</v>
      </c>
      <c r="F14" s="10">
        <v>182</v>
      </c>
      <c r="G14" s="10">
        <v>-15</v>
      </c>
      <c r="H14" s="10">
        <v>46</v>
      </c>
      <c r="I14" s="10">
        <v>328</v>
      </c>
      <c r="J14" s="10">
        <v>91</v>
      </c>
      <c r="K14" s="10">
        <v>-2</v>
      </c>
      <c r="L14" s="10">
        <v>86</v>
      </c>
      <c r="M14" s="10">
        <v>-241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180</v>
      </c>
      <c r="B15" s="1" t="s">
        <v>44</v>
      </c>
      <c r="C15" s="10">
        <v>937</v>
      </c>
      <c r="D15" s="10">
        <v>746</v>
      </c>
      <c r="E15" s="10">
        <v>570</v>
      </c>
      <c r="F15" s="10">
        <v>623</v>
      </c>
      <c r="G15" s="10">
        <v>193</v>
      </c>
      <c r="H15" s="10">
        <v>463</v>
      </c>
      <c r="I15" s="10">
        <v>419</v>
      </c>
      <c r="J15" s="10">
        <v>914</v>
      </c>
      <c r="K15" s="10">
        <v>942</v>
      </c>
      <c r="L15" s="10">
        <v>1755</v>
      </c>
      <c r="M15" s="10">
        <v>902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181</v>
      </c>
      <c r="B16" s="1" t="s">
        <v>44</v>
      </c>
      <c r="C16" s="10">
        <v>1883</v>
      </c>
      <c r="D16" s="10">
        <v>1952</v>
      </c>
      <c r="E16" s="10">
        <v>2316</v>
      </c>
      <c r="F16" s="10">
        <v>2481</v>
      </c>
      <c r="G16" s="10">
        <v>2938</v>
      </c>
      <c r="H16" s="10">
        <v>4684</v>
      </c>
      <c r="I16" s="10">
        <v>3428</v>
      </c>
      <c r="J16" s="10">
        <v>4643</v>
      </c>
      <c r="K16" s="10">
        <v>5257</v>
      </c>
      <c r="L16" s="10">
        <v>5862</v>
      </c>
      <c r="M16" s="10">
        <v>5687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182</v>
      </c>
      <c r="B17" s="1" t="s">
        <v>44</v>
      </c>
      <c r="C17" s="10"/>
      <c r="D17" s="10"/>
      <c r="E17" s="10"/>
      <c r="F17" s="10"/>
      <c r="G17" s="10">
        <v>31</v>
      </c>
      <c r="H17" s="10">
        <v>24</v>
      </c>
      <c r="I17" s="10">
        <v>24</v>
      </c>
      <c r="J17" s="10">
        <v>-6</v>
      </c>
      <c r="K17" s="10">
        <v>8</v>
      </c>
      <c r="L17" s="10">
        <v>9</v>
      </c>
      <c r="M17" s="1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183</v>
      </c>
      <c r="B18" s="1" t="s">
        <v>44</v>
      </c>
      <c r="C18" s="10">
        <v>7354</v>
      </c>
      <c r="D18" s="10">
        <v>8457</v>
      </c>
      <c r="E18" s="10">
        <v>8780</v>
      </c>
      <c r="F18" s="10">
        <v>10123</v>
      </c>
      <c r="G18" s="10">
        <v>11062</v>
      </c>
      <c r="H18" s="10">
        <v>11145</v>
      </c>
      <c r="I18" s="10">
        <v>13499</v>
      </c>
      <c r="J18" s="10">
        <v>14851</v>
      </c>
      <c r="K18" s="10">
        <v>15702</v>
      </c>
      <c r="L18" s="10">
        <v>17390</v>
      </c>
      <c r="M18" s="10">
        <v>17361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184</v>
      </c>
      <c r="B19" s="1" t="s">
        <v>63</v>
      </c>
      <c r="C19" s="11">
        <v>6235.4</v>
      </c>
      <c r="D19" s="11">
        <v>7035</v>
      </c>
      <c r="E19" s="11">
        <v>7838</v>
      </c>
      <c r="F19" s="11">
        <v>8632</v>
      </c>
      <c r="G19" s="11">
        <v>9936</v>
      </c>
      <c r="H19" s="11">
        <v>10175</v>
      </c>
      <c r="I19" s="11">
        <v>11481</v>
      </c>
      <c r="J19" s="11">
        <v>12633</v>
      </c>
      <c r="K19" s="11">
        <v>13269</v>
      </c>
      <c r="L19" s="11">
        <v>13840</v>
      </c>
      <c r="M19" s="11">
        <v>14664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185</v>
      </c>
      <c r="B20" s="1" t="s">
        <v>60</v>
      </c>
      <c r="C20" s="10">
        <v>104896</v>
      </c>
      <c r="D20" s="10">
        <v>115973</v>
      </c>
      <c r="E20" s="10">
        <v>120081</v>
      </c>
      <c r="F20" s="10">
        <v>137965</v>
      </c>
      <c r="G20" s="10">
        <v>150423</v>
      </c>
      <c r="H20" s="10">
        <v>168977</v>
      </c>
      <c r="I20" s="10">
        <v>208877</v>
      </c>
      <c r="J20" s="10">
        <v>225944</v>
      </c>
      <c r="K20" s="10">
        <v>227481</v>
      </c>
      <c r="L20" s="10">
        <v>223420</v>
      </c>
      <c r="M20" s="10">
        <v>227181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186</v>
      </c>
      <c r="B21" s="1" t="s">
        <v>46</v>
      </c>
      <c r="C21" s="12">
        <v>0.85599999999999998</v>
      </c>
      <c r="D21" s="12">
        <v>0.85699999999999998</v>
      </c>
      <c r="E21" s="12">
        <v>0.85899999999999999</v>
      </c>
      <c r="F21" s="12">
        <v>0.85399999999999998</v>
      </c>
      <c r="G21" s="12"/>
      <c r="H21" s="12"/>
      <c r="I21" s="12"/>
      <c r="J21" s="12"/>
      <c r="K21" s="12"/>
      <c r="L21" s="12"/>
      <c r="M21" s="1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64</v>
      </c>
      <c r="B22" s="1" t="s">
        <v>63</v>
      </c>
      <c r="C22" s="11"/>
      <c r="D22" s="11"/>
      <c r="E22" s="11"/>
      <c r="F22" s="11"/>
      <c r="G22" s="11"/>
      <c r="H22" s="11">
        <v>7300</v>
      </c>
      <c r="I22" s="11">
        <v>8308</v>
      </c>
      <c r="J22" s="11">
        <v>8850</v>
      </c>
      <c r="K22" s="11">
        <v>9759</v>
      </c>
      <c r="L22" s="11">
        <v>9268</v>
      </c>
      <c r="M22" s="11">
        <v>9323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187</v>
      </c>
      <c r="B23" s="1" t="s">
        <v>44</v>
      </c>
      <c r="C23" s="10">
        <v>3823</v>
      </c>
      <c r="D23" s="10">
        <v>8995</v>
      </c>
      <c r="E23" s="10">
        <v>8328</v>
      </c>
      <c r="F23" s="10">
        <v>8971</v>
      </c>
      <c r="G23" s="10">
        <v>13359</v>
      </c>
      <c r="H23" s="10">
        <v>19618</v>
      </c>
      <c r="I23" s="10">
        <v>16900</v>
      </c>
      <c r="J23" s="10">
        <v>18009</v>
      </c>
      <c r="K23" s="10">
        <v>22448</v>
      </c>
      <c r="L23" s="10">
        <v>22261</v>
      </c>
      <c r="M23" s="10">
        <v>19975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188</v>
      </c>
      <c r="B24" s="1" t="s">
        <v>44</v>
      </c>
      <c r="C24" s="10">
        <v>-2189</v>
      </c>
      <c r="D24" s="10">
        <v>-3817</v>
      </c>
      <c r="E24" s="10">
        <v>-2283</v>
      </c>
      <c r="F24" s="10">
        <v>-3073</v>
      </c>
      <c r="G24" s="10">
        <v>-12374</v>
      </c>
      <c r="H24" s="10">
        <v>-5730</v>
      </c>
      <c r="I24" s="10">
        <v>1477</v>
      </c>
      <c r="J24" s="10">
        <v>-3931</v>
      </c>
      <c r="K24" s="10">
        <v>-6723</v>
      </c>
      <c r="L24" s="10">
        <v>-4914</v>
      </c>
      <c r="M24" s="10">
        <v>-1473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189</v>
      </c>
      <c r="B25" s="1" t="s">
        <v>44</v>
      </c>
      <c r="C25" s="10">
        <v>-2237</v>
      </c>
      <c r="D25" s="10">
        <v>-4533</v>
      </c>
      <c r="E25" s="10">
        <v>-5714</v>
      </c>
      <c r="F25" s="10">
        <v>-1462</v>
      </c>
      <c r="G25" s="10">
        <v>-3168</v>
      </c>
      <c r="H25" s="10">
        <v>-11192</v>
      </c>
      <c r="I25" s="10">
        <v>-14508</v>
      </c>
      <c r="J25" s="10">
        <v>-15881</v>
      </c>
      <c r="K25" s="10">
        <v>-15464</v>
      </c>
      <c r="L25" s="10">
        <v>-18561</v>
      </c>
      <c r="M25" s="10">
        <v>-19369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190</v>
      </c>
      <c r="B26" s="1" t="s">
        <v>44</v>
      </c>
      <c r="C26" s="10">
        <v>-2697</v>
      </c>
      <c r="D26" s="10">
        <v>-4068</v>
      </c>
      <c r="E26" s="10">
        <v>-2031</v>
      </c>
      <c r="F26" s="10">
        <v>-1321</v>
      </c>
      <c r="G26" s="10">
        <v>-1625</v>
      </c>
      <c r="H26" s="10">
        <v>-3256</v>
      </c>
      <c r="I26" s="10">
        <v>-11389</v>
      </c>
      <c r="J26" s="10">
        <v>-12995</v>
      </c>
      <c r="K26" s="10">
        <v>-14073</v>
      </c>
      <c r="L26" s="10">
        <v>-16250</v>
      </c>
      <c r="M26" s="10">
        <v>-14618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191</v>
      </c>
      <c r="B27" s="1" t="s">
        <v>44</v>
      </c>
      <c r="C27" s="10">
        <v>-942</v>
      </c>
      <c r="D27" s="10">
        <v>-3922</v>
      </c>
      <c r="E27" s="10">
        <v>-5321</v>
      </c>
      <c r="F27" s="10">
        <v>-3434</v>
      </c>
      <c r="G27" s="10">
        <v>-1866</v>
      </c>
      <c r="H27" s="10">
        <v>-1904</v>
      </c>
      <c r="I27" s="10">
        <v>-1645</v>
      </c>
      <c r="J27" s="10">
        <v>-1661</v>
      </c>
      <c r="K27" s="10">
        <v>-1048</v>
      </c>
      <c r="L27" s="10">
        <v>-1108</v>
      </c>
      <c r="M27" s="10">
        <v>-1422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192</v>
      </c>
      <c r="B28" s="1" t="s">
        <v>44</v>
      </c>
      <c r="C28" s="10">
        <v>-1183</v>
      </c>
      <c r="D28" s="10">
        <v>-488</v>
      </c>
      <c r="E28" s="10">
        <v>-107</v>
      </c>
      <c r="F28" s="10">
        <v>-2828</v>
      </c>
      <c r="G28" s="10">
        <v>-6091</v>
      </c>
      <c r="H28" s="10">
        <v>-1211</v>
      </c>
      <c r="I28" s="10">
        <v>40</v>
      </c>
      <c r="J28" s="10">
        <v>-738</v>
      </c>
      <c r="K28" s="10">
        <v>-2048</v>
      </c>
      <c r="L28" s="10">
        <v>-2032</v>
      </c>
      <c r="M28" s="10">
        <v>-160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193</v>
      </c>
      <c r="B29" s="1" t="s">
        <v>44</v>
      </c>
      <c r="C29" s="10">
        <v>729.3</v>
      </c>
      <c r="D29" s="10">
        <v>1316.5</v>
      </c>
      <c r="E29" s="10">
        <v>1693.9</v>
      </c>
      <c r="F29" s="10">
        <v>5929</v>
      </c>
      <c r="G29" s="10">
        <v>4843</v>
      </c>
      <c r="H29" s="10">
        <v>6515</v>
      </c>
      <c r="I29" s="10">
        <v>10510</v>
      </c>
      <c r="J29" s="10">
        <v>9065</v>
      </c>
      <c r="K29" s="10">
        <v>9456</v>
      </c>
      <c r="L29" s="10">
        <v>8245</v>
      </c>
      <c r="M29" s="10">
        <v>8265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194</v>
      </c>
      <c r="B30" s="1" t="s">
        <v>44</v>
      </c>
      <c r="C30" s="10">
        <v>7721.3</v>
      </c>
      <c r="D30" s="10">
        <v>8301.4</v>
      </c>
      <c r="E30" s="10">
        <v>9639.4</v>
      </c>
      <c r="F30" s="10">
        <v>11706</v>
      </c>
      <c r="G30" s="10">
        <v>14134</v>
      </c>
      <c r="H30" s="10">
        <v>13663</v>
      </c>
      <c r="I30" s="10">
        <v>15476</v>
      </c>
      <c r="J30" s="10">
        <v>19572</v>
      </c>
      <c r="K30" s="10">
        <v>19483</v>
      </c>
      <c r="L30" s="10">
        <v>19523</v>
      </c>
      <c r="M30" s="10">
        <v>23585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195</v>
      </c>
      <c r="B31" s="1" t="s">
        <v>44</v>
      </c>
      <c r="C31" s="10">
        <v>3001.5</v>
      </c>
      <c r="D31" s="10">
        <v>2501.1999999999998</v>
      </c>
      <c r="E31" s="10">
        <v>2618.1</v>
      </c>
      <c r="F31" s="10"/>
      <c r="G31" s="10">
        <v>3638</v>
      </c>
      <c r="H31" s="10">
        <v>3862</v>
      </c>
      <c r="I31" s="10">
        <v>5195</v>
      </c>
      <c r="J31" s="10">
        <v>5934</v>
      </c>
      <c r="K31" s="10">
        <v>6038</v>
      </c>
      <c r="L31" s="10">
        <v>6319</v>
      </c>
      <c r="M31" s="10">
        <v>7956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196</v>
      </c>
      <c r="B32" s="1" t="s">
        <v>44</v>
      </c>
      <c r="C32" s="10">
        <v>11123.6</v>
      </c>
      <c r="D32" s="10">
        <v>11365.3</v>
      </c>
      <c r="E32" s="10">
        <v>8083.8</v>
      </c>
      <c r="F32" s="10">
        <v>5462</v>
      </c>
      <c r="G32" s="10">
        <v>10530</v>
      </c>
      <c r="H32" s="10">
        <v>13975</v>
      </c>
      <c r="I32" s="10">
        <v>11373</v>
      </c>
      <c r="J32" s="10">
        <v>13647</v>
      </c>
      <c r="K32" s="10">
        <v>18532</v>
      </c>
      <c r="L32" s="10">
        <v>21493</v>
      </c>
      <c r="M32" s="10">
        <v>23136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197</v>
      </c>
      <c r="B33" s="1" t="s">
        <v>44</v>
      </c>
      <c r="C33" s="10">
        <v>2410.3000000000002</v>
      </c>
      <c r="D33" s="10">
        <v>2983.2</v>
      </c>
      <c r="E33" s="10">
        <v>2519.8000000000002</v>
      </c>
      <c r="F33" s="10">
        <v>3716</v>
      </c>
      <c r="G33" s="10">
        <v>5188</v>
      </c>
      <c r="H33" s="10">
        <v>4943</v>
      </c>
      <c r="I33" s="10">
        <v>5326</v>
      </c>
      <c r="J33" s="10">
        <v>5359</v>
      </c>
      <c r="K33" s="10">
        <v>5822</v>
      </c>
      <c r="L33" s="10">
        <v>6529</v>
      </c>
      <c r="M33" s="10">
        <v>7600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198</v>
      </c>
      <c r="B34" s="1" t="s">
        <v>44</v>
      </c>
      <c r="C34" s="10">
        <v>24985.9</v>
      </c>
      <c r="D34" s="10">
        <v>26467.599999999999</v>
      </c>
      <c r="E34" s="10">
        <v>24555</v>
      </c>
      <c r="F34" s="10">
        <v>29717</v>
      </c>
      <c r="G34" s="10">
        <v>38425</v>
      </c>
      <c r="H34" s="10">
        <v>43052</v>
      </c>
      <c r="I34" s="10">
        <v>48041</v>
      </c>
      <c r="J34" s="10">
        <v>53577</v>
      </c>
      <c r="K34" s="10">
        <v>59331</v>
      </c>
      <c r="L34" s="10">
        <v>62109</v>
      </c>
      <c r="M34" s="10">
        <v>70542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199</v>
      </c>
      <c r="B35" s="1" t="s">
        <v>44</v>
      </c>
      <c r="C35" s="10">
        <v>4323.1000000000004</v>
      </c>
      <c r="D35" s="10">
        <v>4680.6000000000004</v>
      </c>
      <c r="E35" s="10">
        <v>5184.7</v>
      </c>
      <c r="F35" s="10">
        <v>5801</v>
      </c>
      <c r="G35" s="10">
        <v>6244</v>
      </c>
      <c r="H35" s="10">
        <v>6245</v>
      </c>
      <c r="I35" s="10">
        <v>5741</v>
      </c>
      <c r="J35" s="10">
        <v>5411</v>
      </c>
      <c r="K35" s="10">
        <v>4999</v>
      </c>
      <c r="L35" s="10">
        <v>4560</v>
      </c>
      <c r="M35" s="10">
        <v>4717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200</v>
      </c>
      <c r="B36" s="1" t="s">
        <v>44</v>
      </c>
      <c r="C36" s="10"/>
      <c r="D36" s="10"/>
      <c r="E36" s="10"/>
      <c r="F36" s="10"/>
      <c r="G36" s="10"/>
      <c r="H36" s="10"/>
      <c r="I36" s="10">
        <v>2305</v>
      </c>
      <c r="J36" s="10">
        <v>2337</v>
      </c>
      <c r="K36" s="10">
        <v>2910</v>
      </c>
      <c r="L36" s="10">
        <v>3016</v>
      </c>
      <c r="M36" s="10">
        <v>3592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201</v>
      </c>
      <c r="B37" s="1" t="s">
        <v>44</v>
      </c>
      <c r="C37" s="10">
        <v>6419.4</v>
      </c>
      <c r="D37" s="10">
        <v>7358.3</v>
      </c>
      <c r="E37" s="10">
        <v>14405.7</v>
      </c>
      <c r="F37" s="10">
        <v>17695</v>
      </c>
      <c r="G37" s="10">
        <v>29421</v>
      </c>
      <c r="H37" s="10">
        <v>29150</v>
      </c>
      <c r="I37" s="10">
        <v>27160</v>
      </c>
      <c r="J37" s="10">
        <v>26911</v>
      </c>
      <c r="K37" s="10">
        <v>27262</v>
      </c>
      <c r="L37" s="10">
        <v>28655</v>
      </c>
      <c r="M37" s="10">
        <v>29130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202</v>
      </c>
      <c r="B38" s="1" t="s">
        <v>44</v>
      </c>
      <c r="C38" s="10">
        <v>3878.9</v>
      </c>
      <c r="D38" s="10">
        <v>3711.8</v>
      </c>
      <c r="E38" s="10">
        <v>3767.5</v>
      </c>
      <c r="F38" s="10">
        <v>5293</v>
      </c>
      <c r="G38" s="10">
        <v>4149</v>
      </c>
      <c r="H38" s="10">
        <v>4389</v>
      </c>
      <c r="I38" s="10">
        <v>4298</v>
      </c>
      <c r="J38" s="10">
        <v>3435</v>
      </c>
      <c r="K38" s="10">
        <v>3863</v>
      </c>
      <c r="L38" s="10">
        <v>4843</v>
      </c>
      <c r="M38" s="10">
        <v>4955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203</v>
      </c>
      <c r="B39" s="1" t="s">
        <v>44</v>
      </c>
      <c r="C39" s="10">
        <v>39767.300000000003</v>
      </c>
      <c r="D39" s="10">
        <v>46432.3</v>
      </c>
      <c r="E39" s="10">
        <v>48435.1</v>
      </c>
      <c r="F39" s="10">
        <v>58897</v>
      </c>
      <c r="G39" s="10">
        <v>83216</v>
      </c>
      <c r="H39" s="10">
        <v>87702</v>
      </c>
      <c r="I39" s="10">
        <v>89033</v>
      </c>
      <c r="J39" s="10">
        <v>93411</v>
      </c>
      <c r="K39" s="10">
        <v>99777</v>
      </c>
      <c r="L39" s="10">
        <v>105544</v>
      </c>
      <c r="M39" s="10">
        <v>116258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204</v>
      </c>
      <c r="B40" s="1" t="s">
        <v>44</v>
      </c>
      <c r="C40" s="10">
        <v>9508.5</v>
      </c>
      <c r="D40" s="10">
        <v>11147.7</v>
      </c>
      <c r="E40" s="10">
        <v>9914.2999999999993</v>
      </c>
      <c r="F40" s="10">
        <v>11148</v>
      </c>
      <c r="G40" s="10">
        <v>20889</v>
      </c>
      <c r="H40" s="10">
        <v>16755</v>
      </c>
      <c r="I40" s="10">
        <v>18014</v>
      </c>
      <c r="J40" s="10">
        <v>20420</v>
      </c>
      <c r="K40" s="10">
        <v>21532</v>
      </c>
      <c r="L40" s="10">
        <v>24471</v>
      </c>
      <c r="M40" s="10">
        <v>29828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205</v>
      </c>
      <c r="B41" s="1" t="s">
        <v>44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206</v>
      </c>
      <c r="B42" s="1" t="s">
        <v>44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207</v>
      </c>
      <c r="B43" s="1" t="s">
        <v>44</v>
      </c>
      <c r="C43" s="10">
        <v>973.2</v>
      </c>
      <c r="D43" s="10">
        <v>541.70000000000005</v>
      </c>
      <c r="E43" s="10">
        <v>437.1</v>
      </c>
      <c r="F43" s="10">
        <v>3986</v>
      </c>
      <c r="G43" s="10">
        <v>5092</v>
      </c>
      <c r="H43" s="10">
        <v>3907</v>
      </c>
      <c r="I43" s="10">
        <v>3985</v>
      </c>
      <c r="J43" s="10">
        <v>2251</v>
      </c>
      <c r="K43" s="10">
        <v>2327</v>
      </c>
      <c r="L43" s="10">
        <v>2291</v>
      </c>
      <c r="M43" s="10">
        <v>159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208</v>
      </c>
      <c r="B44" s="1" t="s">
        <v>44</v>
      </c>
      <c r="C44" s="10"/>
      <c r="D44" s="10"/>
      <c r="E44" s="10"/>
      <c r="F44" s="10"/>
      <c r="G44" s="10"/>
      <c r="H44" s="10"/>
      <c r="I44" s="10">
        <v>2358</v>
      </c>
      <c r="J44" s="10">
        <v>2535</v>
      </c>
      <c r="K44" s="10">
        <v>3429</v>
      </c>
      <c r="L44" s="10">
        <v>3985</v>
      </c>
      <c r="M44" s="10">
        <v>5056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209</v>
      </c>
      <c r="B45" s="1" t="s">
        <v>44</v>
      </c>
      <c r="C45" s="10">
        <v>1263.5</v>
      </c>
      <c r="D45" s="10">
        <v>1252.5</v>
      </c>
      <c r="E45" s="10">
        <v>1266.9000000000001</v>
      </c>
      <c r="F45" s="10">
        <v>1538</v>
      </c>
      <c r="G45" s="10">
        <v>2548</v>
      </c>
      <c r="H45" s="10">
        <v>2683</v>
      </c>
      <c r="I45" s="10">
        <v>2670</v>
      </c>
      <c r="J45" s="10">
        <v>2807</v>
      </c>
      <c r="K45" s="10">
        <v>4218</v>
      </c>
      <c r="L45" s="10">
        <v>5124</v>
      </c>
      <c r="M45" s="10">
        <v>6018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 t="s">
        <v>210</v>
      </c>
      <c r="B46" s="1" t="s">
        <v>44</v>
      </c>
      <c r="C46" s="10">
        <v>11745.2</v>
      </c>
      <c r="D46" s="10">
        <v>12941.9</v>
      </c>
      <c r="E46" s="10">
        <v>11618.3</v>
      </c>
      <c r="F46" s="10">
        <v>16672</v>
      </c>
      <c r="G46" s="10">
        <v>31002</v>
      </c>
      <c r="H46" s="10">
        <v>25612</v>
      </c>
      <c r="I46" s="10">
        <v>27027</v>
      </c>
      <c r="J46" s="10">
        <v>28013</v>
      </c>
      <c r="K46" s="10">
        <v>31506</v>
      </c>
      <c r="L46" s="10">
        <v>35871</v>
      </c>
      <c r="M46" s="10">
        <v>41061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 t="s">
        <v>211</v>
      </c>
      <c r="B47" s="1" t="s">
        <v>44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 t="s">
        <v>212</v>
      </c>
      <c r="B48" s="1" t="s">
        <v>44</v>
      </c>
      <c r="C48" s="10">
        <v>28022.1</v>
      </c>
      <c r="D48" s="10">
        <v>33490.400000000001</v>
      </c>
      <c r="E48" s="10">
        <v>36816.800000000003</v>
      </c>
      <c r="F48" s="10">
        <v>41770</v>
      </c>
      <c r="G48" s="10">
        <v>51686</v>
      </c>
      <c r="H48" s="10">
        <v>61506</v>
      </c>
      <c r="I48" s="10">
        <v>61914</v>
      </c>
      <c r="J48" s="10">
        <v>65405</v>
      </c>
      <c r="K48" s="10">
        <v>68263</v>
      </c>
      <c r="L48" s="10">
        <v>69655</v>
      </c>
      <c r="M48" s="10">
        <v>75165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 t="s">
        <v>213</v>
      </c>
      <c r="B49" s="1" t="s">
        <v>44</v>
      </c>
      <c r="C49" s="10">
        <v>39767.300000000003</v>
      </c>
      <c r="D49" s="10">
        <v>46432.3</v>
      </c>
      <c r="E49" s="10">
        <v>48435.1</v>
      </c>
      <c r="F49" s="10"/>
      <c r="G49" s="10"/>
      <c r="H49" s="10"/>
      <c r="I49" s="10"/>
      <c r="J49" s="10">
        <v>93411</v>
      </c>
      <c r="K49" s="10">
        <v>99777</v>
      </c>
      <c r="L49" s="10">
        <v>105544</v>
      </c>
      <c r="M49" s="10">
        <v>116258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 t="s">
        <v>214</v>
      </c>
      <c r="B50" s="1" t="s">
        <v>60</v>
      </c>
      <c r="C50" s="13">
        <v>95649</v>
      </c>
      <c r="D50" s="13">
        <v>105547</v>
      </c>
      <c r="E50" s="13">
        <v>109565</v>
      </c>
      <c r="F50" s="13">
        <v>126717</v>
      </c>
      <c r="G50" s="13">
        <v>139302</v>
      </c>
      <c r="H50" s="13">
        <v>156580</v>
      </c>
      <c r="I50" s="13">
        <v>195195</v>
      </c>
      <c r="J50" s="13">
        <v>211445</v>
      </c>
      <c r="K50" s="13">
        <v>213059</v>
      </c>
      <c r="L50" s="13">
        <v>209182</v>
      </c>
      <c r="M50" s="13">
        <v>212779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 t="s">
        <v>168</v>
      </c>
      <c r="B51" s="1" t="s">
        <v>46</v>
      </c>
      <c r="C51" s="12">
        <v>0.17299999999999999</v>
      </c>
      <c r="D51" s="12">
        <v>0.16900000000000001</v>
      </c>
      <c r="E51" s="12">
        <v>0.155</v>
      </c>
      <c r="F51" s="12">
        <v>0.17699999999999999</v>
      </c>
      <c r="G51" s="12">
        <v>0.16300000000000001</v>
      </c>
      <c r="H51" s="12">
        <v>9.9000000000000005E-2</v>
      </c>
      <c r="I51" s="12">
        <v>0.219</v>
      </c>
      <c r="J51" s="12">
        <v>0.19500000000000001</v>
      </c>
      <c r="K51" s="12">
        <v>0.124</v>
      </c>
      <c r="L51" s="12">
        <v>0.13</v>
      </c>
      <c r="M51" s="12">
        <v>0.125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 t="s">
        <v>138</v>
      </c>
      <c r="B52" s="1" t="s">
        <v>46</v>
      </c>
      <c r="C52" s="12"/>
      <c r="D52" s="12">
        <v>0.38200000000000001</v>
      </c>
      <c r="E52" s="12">
        <v>0.39300000000000002</v>
      </c>
      <c r="F52" s="12">
        <v>0.373</v>
      </c>
      <c r="G52" s="12"/>
      <c r="H52" s="12">
        <v>0.32400000000000001</v>
      </c>
      <c r="I52" s="12">
        <v>0.35</v>
      </c>
      <c r="J52" s="12"/>
      <c r="K52" s="12"/>
      <c r="L52" s="12"/>
      <c r="M52" s="1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 t="s">
        <v>215</v>
      </c>
      <c r="B53" s="1" t="s">
        <v>46</v>
      </c>
      <c r="C53" s="12"/>
      <c r="D53" s="12">
        <v>0.61799999999999999</v>
      </c>
      <c r="E53" s="12">
        <v>0.60699999999999998</v>
      </c>
      <c r="F53" s="12">
        <v>0.627</v>
      </c>
      <c r="G53" s="12"/>
      <c r="H53" s="12">
        <v>0.67600000000000005</v>
      </c>
      <c r="I53" s="12">
        <v>0.65</v>
      </c>
      <c r="J53" s="12"/>
      <c r="K53" s="12"/>
      <c r="L53" s="12"/>
      <c r="M53" s="1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8" customHeight="1">
      <c r="A54" s="46" t="s">
        <v>216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</row>
    <row r="55" spans="1:46" ht="19.95" customHeight="1">
      <c r="A55" s="5" t="s">
        <v>26</v>
      </c>
      <c r="B55" s="5" t="s">
        <v>27</v>
      </c>
      <c r="C55" s="5" t="s">
        <v>217</v>
      </c>
      <c r="D55" s="5" t="s">
        <v>218</v>
      </c>
      <c r="E55" s="5" t="s">
        <v>219</v>
      </c>
      <c r="F55" s="5" t="s">
        <v>220</v>
      </c>
      <c r="G55" s="5" t="s">
        <v>221</v>
      </c>
      <c r="H55" s="5" t="s">
        <v>222</v>
      </c>
      <c r="I55" s="5" t="s">
        <v>223</v>
      </c>
      <c r="J55" s="5" t="s">
        <v>224</v>
      </c>
      <c r="K55" s="5" t="s">
        <v>225</v>
      </c>
      <c r="L55" s="5" t="s">
        <v>226</v>
      </c>
      <c r="M55" s="5" t="s">
        <v>227</v>
      </c>
      <c r="N55" s="5" t="s">
        <v>228</v>
      </c>
      <c r="O55" s="5" t="s">
        <v>229</v>
      </c>
      <c r="P55" s="5" t="s">
        <v>230</v>
      </c>
      <c r="Q55" s="5" t="s">
        <v>231</v>
      </c>
      <c r="R55" s="5" t="s">
        <v>232</v>
      </c>
      <c r="S55" s="5" t="s">
        <v>233</v>
      </c>
      <c r="T55" s="5" t="s">
        <v>234</v>
      </c>
      <c r="U55" s="5" t="s">
        <v>235</v>
      </c>
      <c r="V55" s="5" t="s">
        <v>236</v>
      </c>
      <c r="W55" s="5" t="s">
        <v>237</v>
      </c>
      <c r="X55" s="5" t="s">
        <v>238</v>
      </c>
      <c r="Y55" s="5" t="s">
        <v>239</v>
      </c>
      <c r="Z55" s="5" t="s">
        <v>240</v>
      </c>
      <c r="AA55" s="5" t="s">
        <v>241</v>
      </c>
      <c r="AB55" s="5" t="s">
        <v>242</v>
      </c>
      <c r="AC55" s="5" t="s">
        <v>243</v>
      </c>
      <c r="AD55" s="5" t="s">
        <v>244</v>
      </c>
      <c r="AE55" s="5" t="s">
        <v>245</v>
      </c>
      <c r="AF55" s="5" t="s">
        <v>246</v>
      </c>
      <c r="AG55" s="5" t="s">
        <v>247</v>
      </c>
      <c r="AH55" s="5" t="s">
        <v>248</v>
      </c>
      <c r="AI55" s="5" t="s">
        <v>249</v>
      </c>
      <c r="AJ55" s="5" t="s">
        <v>250</v>
      </c>
      <c r="AK55" s="5" t="s">
        <v>251</v>
      </c>
      <c r="AL55" s="5" t="s">
        <v>252</v>
      </c>
      <c r="AM55" s="5" t="s">
        <v>253</v>
      </c>
      <c r="AN55" s="5" t="s">
        <v>254</v>
      </c>
      <c r="AO55" s="5" t="s">
        <v>255</v>
      </c>
      <c r="AP55" s="5" t="s">
        <v>256</v>
      </c>
      <c r="AQ55" s="5" t="s">
        <v>257</v>
      </c>
      <c r="AR55" s="5" t="s">
        <v>258</v>
      </c>
      <c r="AS55" s="5" t="s">
        <v>259</v>
      </c>
      <c r="AT55" s="5" t="s">
        <v>260</v>
      </c>
    </row>
    <row r="56" spans="1:46" ht="14.4">
      <c r="A56" s="1" t="s">
        <v>43</v>
      </c>
      <c r="B56" s="1" t="s">
        <v>44</v>
      </c>
      <c r="C56" s="10">
        <v>9777</v>
      </c>
      <c r="D56" s="10">
        <v>10097</v>
      </c>
      <c r="E56" s="10">
        <v>10341</v>
      </c>
      <c r="F56" s="10">
        <v>10698</v>
      </c>
      <c r="G56" s="10">
        <v>11336</v>
      </c>
      <c r="H56" s="10">
        <v>11519</v>
      </c>
      <c r="I56" s="10">
        <v>11814</v>
      </c>
      <c r="J56" s="10">
        <v>12053</v>
      </c>
      <c r="K56" s="10">
        <v>12149</v>
      </c>
      <c r="L56" s="10">
        <v>12434</v>
      </c>
      <c r="M56" s="10">
        <v>12808</v>
      </c>
      <c r="N56" s="10">
        <v>13179</v>
      </c>
      <c r="O56" s="10">
        <v>13878</v>
      </c>
      <c r="P56" s="10">
        <v>14861</v>
      </c>
      <c r="Q56" s="10">
        <v>15699</v>
      </c>
      <c r="R56" s="10">
        <v>15990</v>
      </c>
      <c r="S56" s="10">
        <v>16425</v>
      </c>
      <c r="T56" s="10">
        <v>17528</v>
      </c>
      <c r="U56" s="10">
        <v>18135</v>
      </c>
      <c r="V56" s="10">
        <v>18590</v>
      </c>
      <c r="W56" s="10">
        <v>17841</v>
      </c>
      <c r="X56" s="10">
        <v>18594</v>
      </c>
      <c r="Y56" s="10">
        <v>19302</v>
      </c>
      <c r="Z56" s="10">
        <v>19642</v>
      </c>
      <c r="AA56" s="10">
        <v>20068</v>
      </c>
      <c r="AB56" s="10">
        <v>20655</v>
      </c>
      <c r="AC56" s="10">
        <v>22331</v>
      </c>
      <c r="AD56" s="10">
        <v>22597</v>
      </c>
      <c r="AE56" s="10">
        <v>23464</v>
      </c>
      <c r="AF56" s="10">
        <v>24686</v>
      </c>
      <c r="AG56" s="10">
        <v>26700</v>
      </c>
      <c r="AH56" s="10">
        <v>26606</v>
      </c>
      <c r="AI56" s="10">
        <v>26296</v>
      </c>
      <c r="AJ56" s="10">
        <v>26672</v>
      </c>
      <c r="AK56" s="10">
        <v>28446</v>
      </c>
      <c r="AL56" s="10">
        <v>28499</v>
      </c>
      <c r="AM56" s="10">
        <v>28057</v>
      </c>
      <c r="AN56" s="10">
        <v>28862</v>
      </c>
      <c r="AO56" s="10">
        <v>29890</v>
      </c>
      <c r="AP56" s="10">
        <v>30246</v>
      </c>
      <c r="AQ56" s="10">
        <v>30349</v>
      </c>
      <c r="AR56" s="10">
        <v>31942</v>
      </c>
      <c r="AS56" s="10">
        <v>33872</v>
      </c>
      <c r="AT56" s="10">
        <v>33981</v>
      </c>
    </row>
    <row r="57" spans="1:46" ht="14.4">
      <c r="A57" s="1" t="s">
        <v>173</v>
      </c>
      <c r="B57" s="1" t="s">
        <v>44</v>
      </c>
      <c r="C57" s="10">
        <v>6430</v>
      </c>
      <c r="D57" s="10">
        <v>6742</v>
      </c>
      <c r="E57" s="10">
        <v>6768</v>
      </c>
      <c r="F57" s="10">
        <v>6961</v>
      </c>
      <c r="G57" s="10">
        <v>7440</v>
      </c>
      <c r="H57" s="10">
        <v>7653</v>
      </c>
      <c r="I57" s="10">
        <v>7809</v>
      </c>
      <c r="J57" s="10">
        <v>7987</v>
      </c>
      <c r="K57" s="10">
        <v>8057</v>
      </c>
      <c r="L57" s="10">
        <v>8208</v>
      </c>
      <c r="M57" s="10">
        <v>8412</v>
      </c>
      <c r="N57" s="10">
        <v>8560</v>
      </c>
      <c r="O57" s="10">
        <v>9106</v>
      </c>
      <c r="P57" s="10">
        <v>9589</v>
      </c>
      <c r="Q57" s="10">
        <v>10152</v>
      </c>
      <c r="R57" s="10">
        <v>10421</v>
      </c>
      <c r="S57" s="10">
        <v>10631</v>
      </c>
      <c r="T57" s="10">
        <v>11061</v>
      </c>
      <c r="U57" s="10">
        <v>11176</v>
      </c>
      <c r="V57" s="10">
        <v>11151</v>
      </c>
      <c r="W57" s="10">
        <v>10728</v>
      </c>
      <c r="X57" s="10">
        <v>10929</v>
      </c>
      <c r="Y57" s="10">
        <v>11195</v>
      </c>
      <c r="Z57" s="10">
        <v>11740</v>
      </c>
      <c r="AA57" s="10">
        <v>12197</v>
      </c>
      <c r="AB57" s="10">
        <v>12758</v>
      </c>
      <c r="AC57" s="10">
        <v>13798</v>
      </c>
      <c r="AD57" s="10">
        <v>14292</v>
      </c>
      <c r="AE57" s="10">
        <v>15066</v>
      </c>
      <c r="AF57" s="10">
        <v>15848</v>
      </c>
      <c r="AG57" s="10">
        <v>16720</v>
      </c>
      <c r="AH57" s="10">
        <v>16889</v>
      </c>
      <c r="AI57" s="10">
        <v>16936</v>
      </c>
      <c r="AJ57" s="10">
        <v>17013</v>
      </c>
      <c r="AK57" s="10">
        <v>17998</v>
      </c>
      <c r="AL57" s="10">
        <v>18527</v>
      </c>
      <c r="AM57" s="10">
        <v>18364</v>
      </c>
      <c r="AN57" s="10">
        <v>18789</v>
      </c>
      <c r="AO57" s="10">
        <v>19262</v>
      </c>
      <c r="AP57" s="10">
        <v>19742</v>
      </c>
      <c r="AQ57" s="10">
        <v>20128</v>
      </c>
      <c r="AR57" s="10">
        <v>21044</v>
      </c>
      <c r="AS57" s="10">
        <v>22102</v>
      </c>
      <c r="AT57" s="10">
        <v>22537</v>
      </c>
    </row>
    <row r="58" spans="1:46" ht="14.4">
      <c r="A58" s="1" t="s">
        <v>261</v>
      </c>
      <c r="B58" s="1" t="s">
        <v>44</v>
      </c>
      <c r="C58" s="10">
        <v>3347</v>
      </c>
      <c r="D58" s="10">
        <v>3355</v>
      </c>
      <c r="E58" s="10">
        <v>3573</v>
      </c>
      <c r="F58" s="10">
        <v>3737</v>
      </c>
      <c r="G58" s="10">
        <v>3896</v>
      </c>
      <c r="H58" s="10">
        <v>3866</v>
      </c>
      <c r="I58" s="10">
        <v>4005</v>
      </c>
      <c r="J58" s="10">
        <v>4066</v>
      </c>
      <c r="K58" s="10">
        <v>4092</v>
      </c>
      <c r="L58" s="10">
        <v>4226</v>
      </c>
      <c r="M58" s="10">
        <v>4397</v>
      </c>
      <c r="N58" s="10">
        <v>4618</v>
      </c>
      <c r="O58" s="10">
        <v>4771</v>
      </c>
      <c r="P58" s="10">
        <v>5272</v>
      </c>
      <c r="Q58" s="10">
        <v>5547</v>
      </c>
      <c r="R58" s="10">
        <v>5568</v>
      </c>
      <c r="S58" s="10">
        <v>5794</v>
      </c>
      <c r="T58" s="10">
        <v>6467</v>
      </c>
      <c r="U58" s="10">
        <v>6959</v>
      </c>
      <c r="V58" s="10">
        <v>7439</v>
      </c>
      <c r="W58" s="10">
        <v>7113</v>
      </c>
      <c r="X58" s="10">
        <v>7665</v>
      </c>
      <c r="Y58" s="10">
        <v>8108</v>
      </c>
      <c r="Z58" s="10">
        <v>7902</v>
      </c>
      <c r="AA58" s="10">
        <v>7871</v>
      </c>
      <c r="AB58" s="10">
        <v>7897</v>
      </c>
      <c r="AC58" s="10">
        <v>8533</v>
      </c>
      <c r="AD58" s="10">
        <v>8305</v>
      </c>
      <c r="AE58" s="10">
        <v>8398</v>
      </c>
      <c r="AF58" s="10">
        <v>8837</v>
      </c>
      <c r="AG58" s="10">
        <v>9980</v>
      </c>
      <c r="AH58" s="10">
        <v>9717</v>
      </c>
      <c r="AI58" s="10">
        <v>9360</v>
      </c>
      <c r="AJ58" s="10">
        <v>9659</v>
      </c>
      <c r="AK58" s="10">
        <v>10448</v>
      </c>
      <c r="AL58" s="10">
        <v>9972</v>
      </c>
      <c r="AM58" s="10">
        <v>9692</v>
      </c>
      <c r="AN58" s="10">
        <v>10074</v>
      </c>
      <c r="AO58" s="10">
        <v>10628</v>
      </c>
      <c r="AP58" s="10">
        <v>10504</v>
      </c>
      <c r="AQ58" s="10">
        <v>10221</v>
      </c>
      <c r="AR58" s="10">
        <v>10898</v>
      </c>
      <c r="AS58" s="10">
        <v>11770</v>
      </c>
      <c r="AT58" s="10">
        <v>11444</v>
      </c>
    </row>
    <row r="59" spans="1:46" ht="14.4">
      <c r="A59" s="1" t="s">
        <v>175</v>
      </c>
      <c r="B59" s="1" t="s">
        <v>44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>
        <v>289</v>
      </c>
      <c r="T59" s="10">
        <v>325</v>
      </c>
      <c r="U59" s="10">
        <v>334</v>
      </c>
      <c r="V59" s="10">
        <v>328</v>
      </c>
      <c r="W59" s="10">
        <v>342</v>
      </c>
      <c r="X59" s="10">
        <v>350</v>
      </c>
      <c r="Y59" s="10">
        <v>356</v>
      </c>
      <c r="Z59" s="10">
        <v>335</v>
      </c>
      <c r="AA59" s="10">
        <v>396</v>
      </c>
      <c r="AB59" s="10">
        <v>369</v>
      </c>
      <c r="AC59" s="10">
        <v>381</v>
      </c>
      <c r="AD59" s="10">
        <v>380</v>
      </c>
      <c r="AE59" s="10">
        <v>391</v>
      </c>
      <c r="AF59" s="10">
        <v>388</v>
      </c>
      <c r="AG59" s="10">
        <v>415</v>
      </c>
      <c r="AH59" s="10">
        <v>438</v>
      </c>
      <c r="AI59" s="10">
        <v>394</v>
      </c>
      <c r="AJ59" s="10">
        <v>404</v>
      </c>
      <c r="AK59" s="10">
        <v>418</v>
      </c>
      <c r="AL59" s="10">
        <v>435</v>
      </c>
      <c r="AM59" s="10">
        <v>407</v>
      </c>
      <c r="AN59" s="10">
        <v>395</v>
      </c>
      <c r="AO59" s="10">
        <v>399</v>
      </c>
      <c r="AP59" s="10">
        <v>457</v>
      </c>
      <c r="AQ59" s="10">
        <v>455</v>
      </c>
      <c r="AR59" s="10">
        <v>494</v>
      </c>
      <c r="AS59" s="10">
        <v>521</v>
      </c>
      <c r="AT59" s="10">
        <v>530</v>
      </c>
    </row>
    <row r="60" spans="1:46" ht="14.4">
      <c r="A60" s="1" t="s">
        <v>176</v>
      </c>
      <c r="B60" s="1" t="s">
        <v>44</v>
      </c>
      <c r="C60" s="10">
        <v>1248</v>
      </c>
      <c r="D60" s="10">
        <v>1263</v>
      </c>
      <c r="E60" s="10">
        <v>1348</v>
      </c>
      <c r="F60" s="10">
        <v>1358</v>
      </c>
      <c r="G60" s="10">
        <v>1375</v>
      </c>
      <c r="H60" s="10">
        <v>1355</v>
      </c>
      <c r="I60" s="10">
        <v>1377</v>
      </c>
      <c r="J60" s="10">
        <v>1417</v>
      </c>
      <c r="K60" s="10">
        <v>1411</v>
      </c>
      <c r="L60" s="10">
        <v>1467</v>
      </c>
      <c r="M60" s="10">
        <v>1432</v>
      </c>
      <c r="N60" s="10">
        <v>1583</v>
      </c>
      <c r="O60" s="10">
        <v>1546</v>
      </c>
      <c r="P60" s="10">
        <v>1773</v>
      </c>
      <c r="Q60" s="10">
        <v>1900</v>
      </c>
      <c r="R60" s="10">
        <v>1972</v>
      </c>
      <c r="S60" s="10">
        <v>2105</v>
      </c>
      <c r="T60" s="10">
        <v>2039</v>
      </c>
      <c r="U60" s="10">
        <v>2155</v>
      </c>
      <c r="V60" s="10">
        <v>2391</v>
      </c>
      <c r="W60" s="10">
        <v>2205</v>
      </c>
      <c r="X60" s="10">
        <v>2364</v>
      </c>
      <c r="Y60" s="10">
        <v>2309</v>
      </c>
      <c r="Z60" s="10">
        <v>2470</v>
      </c>
      <c r="AA60" s="10">
        <v>2567</v>
      </c>
      <c r="AB60" s="10">
        <v>2690</v>
      </c>
      <c r="AC60" s="10">
        <v>2759</v>
      </c>
      <c r="AD60" s="10">
        <v>2872</v>
      </c>
      <c r="AE60" s="10">
        <v>3032</v>
      </c>
      <c r="AF60" s="10">
        <v>3024</v>
      </c>
      <c r="AG60" s="10">
        <v>3200</v>
      </c>
      <c r="AH60" s="10">
        <v>3416</v>
      </c>
      <c r="AI60" s="10">
        <v>3579</v>
      </c>
      <c r="AJ60" s="10">
        <v>3311</v>
      </c>
      <c r="AK60" s="10">
        <v>3272</v>
      </c>
      <c r="AL60" s="10">
        <v>3426</v>
      </c>
      <c r="AM60" s="10">
        <v>3492</v>
      </c>
      <c r="AN60" s="10">
        <v>3309</v>
      </c>
      <c r="AO60" s="10">
        <v>3369</v>
      </c>
      <c r="AP60" s="10">
        <v>3565</v>
      </c>
      <c r="AQ60" s="10">
        <v>3731</v>
      </c>
      <c r="AR60" s="10">
        <v>3811</v>
      </c>
      <c r="AS60" s="10">
        <v>3837</v>
      </c>
      <c r="AT60" s="10">
        <v>4202</v>
      </c>
    </row>
    <row r="61" spans="1:46" ht="14.4">
      <c r="A61" s="1" t="s">
        <v>47</v>
      </c>
      <c r="B61" s="1" t="s">
        <v>44</v>
      </c>
      <c r="C61" s="10">
        <v>2100</v>
      </c>
      <c r="D61" s="10">
        <v>2092</v>
      </c>
      <c r="E61" s="10">
        <v>2225</v>
      </c>
      <c r="F61" s="10">
        <v>2378</v>
      </c>
      <c r="G61" s="10">
        <v>2521</v>
      </c>
      <c r="H61" s="10">
        <v>2511</v>
      </c>
      <c r="I61" s="10">
        <v>2628</v>
      </c>
      <c r="J61" s="10">
        <v>2649</v>
      </c>
      <c r="K61" s="10">
        <v>2681</v>
      </c>
      <c r="L61" s="10">
        <v>2759</v>
      </c>
      <c r="M61" s="10">
        <v>2964</v>
      </c>
      <c r="N61" s="10">
        <v>3036</v>
      </c>
      <c r="O61" s="10">
        <v>3225</v>
      </c>
      <c r="P61" s="10">
        <v>3499</v>
      </c>
      <c r="Q61" s="10">
        <v>3647</v>
      </c>
      <c r="R61" s="10">
        <v>3596</v>
      </c>
      <c r="S61" s="10">
        <v>3401</v>
      </c>
      <c r="T61" s="10">
        <v>4103</v>
      </c>
      <c r="U61" s="10">
        <v>4470</v>
      </c>
      <c r="V61" s="10">
        <v>4720</v>
      </c>
      <c r="W61" s="10">
        <v>4566</v>
      </c>
      <c r="X61" s="10">
        <v>4951</v>
      </c>
      <c r="Y61" s="10">
        <v>5443</v>
      </c>
      <c r="Z61" s="10">
        <v>5097</v>
      </c>
      <c r="AA61" s="10">
        <v>4908</v>
      </c>
      <c r="AB61" s="10">
        <v>4838</v>
      </c>
      <c r="AC61" s="10">
        <v>5393</v>
      </c>
      <c r="AD61" s="10">
        <v>5053</v>
      </c>
      <c r="AE61" s="10">
        <v>4975</v>
      </c>
      <c r="AF61" s="10">
        <v>5425</v>
      </c>
      <c r="AG61" s="10">
        <v>6365</v>
      </c>
      <c r="AH61" s="10">
        <v>5863</v>
      </c>
      <c r="AI61" s="10">
        <v>5387</v>
      </c>
      <c r="AJ61" s="10">
        <v>5944</v>
      </c>
      <c r="AK61" s="10">
        <v>6758</v>
      </c>
      <c r="AL61" s="10">
        <v>6111</v>
      </c>
      <c r="AM61" s="10">
        <v>5793</v>
      </c>
      <c r="AN61" s="10">
        <v>6369</v>
      </c>
      <c r="AO61" s="10">
        <v>6860</v>
      </c>
      <c r="AP61" s="10">
        <v>6482</v>
      </c>
      <c r="AQ61" s="10">
        <v>6035</v>
      </c>
      <c r="AR61" s="10">
        <v>6593</v>
      </c>
      <c r="AS61" s="10">
        <v>7412</v>
      </c>
      <c r="AT61" s="10">
        <v>6712</v>
      </c>
    </row>
    <row r="62" spans="1:46" ht="14.4">
      <c r="A62" s="1" t="s">
        <v>178</v>
      </c>
      <c r="B62" s="1" t="s">
        <v>44</v>
      </c>
      <c r="C62" s="10">
        <v>111</v>
      </c>
      <c r="D62" s="10">
        <v>122</v>
      </c>
      <c r="E62" s="10">
        <v>134</v>
      </c>
      <c r="F62" s="10">
        <v>139</v>
      </c>
      <c r="G62" s="10">
        <v>169</v>
      </c>
      <c r="H62" s="10">
        <v>172</v>
      </c>
      <c r="I62" s="10">
        <v>220</v>
      </c>
      <c r="J62" s="10">
        <v>233</v>
      </c>
      <c r="K62" s="10">
        <v>236</v>
      </c>
      <c r="L62" s="10">
        <v>308</v>
      </c>
      <c r="M62" s="10">
        <v>455</v>
      </c>
      <c r="N62" s="10">
        <v>453</v>
      </c>
      <c r="O62" s="10">
        <v>496</v>
      </c>
      <c r="P62" s="10">
        <v>533</v>
      </c>
      <c r="Q62" s="10">
        <v>561</v>
      </c>
      <c r="R62" s="10">
        <v>558</v>
      </c>
      <c r="S62" s="10">
        <v>595</v>
      </c>
      <c r="T62" s="10">
        <v>606</v>
      </c>
      <c r="U62" s="10">
        <v>800</v>
      </c>
      <c r="V62" s="10">
        <v>839</v>
      </c>
      <c r="W62" s="10">
        <v>906</v>
      </c>
      <c r="X62" s="10">
        <v>935</v>
      </c>
      <c r="Y62" s="10">
        <v>1027</v>
      </c>
      <c r="Z62" s="10">
        <v>1117</v>
      </c>
      <c r="AA62" s="10">
        <v>977</v>
      </c>
      <c r="AB62" s="10">
        <v>922</v>
      </c>
      <c r="AC62" s="10">
        <v>1136</v>
      </c>
      <c r="AD62" s="10">
        <v>984</v>
      </c>
      <c r="AE62" s="10">
        <v>983</v>
      </c>
      <c r="AF62" s="10">
        <v>998</v>
      </c>
      <c r="AG62" s="10">
        <v>1136</v>
      </c>
      <c r="AH62" s="10">
        <v>1027</v>
      </c>
      <c r="AI62" s="10">
        <v>927</v>
      </c>
      <c r="AJ62" s="10">
        <v>1010</v>
      </c>
      <c r="AK62" s="10">
        <v>1143</v>
      </c>
      <c r="AL62" s="10">
        <v>1093</v>
      </c>
      <c r="AM62" s="10">
        <v>998</v>
      </c>
      <c r="AN62" s="10">
        <v>1007</v>
      </c>
      <c r="AO62" s="10">
        <v>1039</v>
      </c>
      <c r="AP62" s="10">
        <v>1040</v>
      </c>
      <c r="AQ62" s="10">
        <v>1093</v>
      </c>
      <c r="AR62" s="10">
        <v>1043</v>
      </c>
      <c r="AS62" s="10">
        <v>1127</v>
      </c>
      <c r="AT62" s="10">
        <v>1092</v>
      </c>
    </row>
    <row r="63" spans="1:46" ht="14.4">
      <c r="A63" s="1" t="s">
        <v>49</v>
      </c>
      <c r="B63" s="1" t="s">
        <v>44</v>
      </c>
      <c r="C63" s="10">
        <v>1975</v>
      </c>
      <c r="D63" s="10">
        <v>1957</v>
      </c>
      <c r="E63" s="10">
        <v>2072</v>
      </c>
      <c r="F63" s="10">
        <v>2222</v>
      </c>
      <c r="G63" s="10">
        <v>2333</v>
      </c>
      <c r="H63" s="10">
        <v>2318</v>
      </c>
      <c r="I63" s="10">
        <v>2408</v>
      </c>
      <c r="J63" s="10">
        <v>2416</v>
      </c>
      <c r="K63" s="10">
        <v>2444</v>
      </c>
      <c r="L63" s="10">
        <v>2451</v>
      </c>
      <c r="M63" s="10">
        <v>2510</v>
      </c>
      <c r="N63" s="10">
        <v>2583</v>
      </c>
      <c r="O63" s="10">
        <v>2729</v>
      </c>
      <c r="P63" s="10">
        <v>2966</v>
      </c>
      <c r="Q63" s="10">
        <v>3086</v>
      </c>
      <c r="R63" s="10">
        <v>3039</v>
      </c>
      <c r="S63" s="10">
        <v>2806</v>
      </c>
      <c r="T63" s="10">
        <v>3497</v>
      </c>
      <c r="U63" s="10">
        <v>3670</v>
      </c>
      <c r="V63" s="10">
        <v>3881</v>
      </c>
      <c r="W63" s="10">
        <v>3660</v>
      </c>
      <c r="X63" s="10">
        <v>4016</v>
      </c>
      <c r="Y63" s="10">
        <v>4416</v>
      </c>
      <c r="Z63" s="10">
        <v>3252</v>
      </c>
      <c r="AA63" s="10">
        <v>3931</v>
      </c>
      <c r="AB63" s="10">
        <v>3916</v>
      </c>
      <c r="AC63" s="10">
        <v>4257</v>
      </c>
      <c r="AD63" s="10">
        <v>4069</v>
      </c>
      <c r="AE63" s="10">
        <v>3992</v>
      </c>
      <c r="AF63" s="10">
        <v>4427</v>
      </c>
      <c r="AG63" s="10">
        <v>5228</v>
      </c>
      <c r="AH63" s="10">
        <v>4862</v>
      </c>
      <c r="AI63" s="10">
        <v>4460</v>
      </c>
      <c r="AJ63" s="10">
        <v>4934</v>
      </c>
      <c r="AK63" s="10">
        <v>5615</v>
      </c>
      <c r="AL63" s="10">
        <v>5018</v>
      </c>
      <c r="AM63" s="10">
        <v>4795</v>
      </c>
      <c r="AN63" s="10">
        <v>5362</v>
      </c>
      <c r="AO63" s="10">
        <v>5821</v>
      </c>
      <c r="AP63" s="10">
        <v>5442</v>
      </c>
      <c r="AQ63" s="10">
        <v>4942</v>
      </c>
      <c r="AR63" s="10">
        <v>5550</v>
      </c>
      <c r="AS63" s="10">
        <v>6285</v>
      </c>
      <c r="AT63" s="10">
        <v>5620</v>
      </c>
    </row>
    <row r="64" spans="1:46" ht="14.4">
      <c r="A64" s="1" t="s">
        <v>179</v>
      </c>
      <c r="B64" s="1" t="s">
        <v>44</v>
      </c>
      <c r="C64" s="10">
        <v>36</v>
      </c>
      <c r="D64" s="10">
        <v>22</v>
      </c>
      <c r="E64" s="10">
        <v>11</v>
      </c>
      <c r="F64" s="10">
        <v>3</v>
      </c>
      <c r="G64" s="10">
        <v>66</v>
      </c>
      <c r="H64" s="10">
        <v>31</v>
      </c>
      <c r="I64" s="10">
        <v>43</v>
      </c>
      <c r="J64" s="10">
        <v>48</v>
      </c>
      <c r="K64" s="10">
        <v>107</v>
      </c>
      <c r="L64" s="10">
        <v>144</v>
      </c>
      <c r="M64" s="10">
        <v>129</v>
      </c>
      <c r="N64" s="10">
        <v>161</v>
      </c>
      <c r="O64" s="10">
        <v>143</v>
      </c>
      <c r="P64" s="10">
        <v>69</v>
      </c>
      <c r="Q64" s="10">
        <v>-54</v>
      </c>
      <c r="R64" s="10">
        <v>23</v>
      </c>
      <c r="S64" s="10">
        <v>19</v>
      </c>
      <c r="T64" s="10">
        <v>-10</v>
      </c>
      <c r="U64" s="10">
        <v>13</v>
      </c>
      <c r="V64" s="10">
        <v>-36</v>
      </c>
      <c r="W64" s="10">
        <v>0</v>
      </c>
      <c r="X64" s="10">
        <v>-3</v>
      </c>
      <c r="Y64" s="10">
        <v>2</v>
      </c>
      <c r="Z64" s="10">
        <v>47</v>
      </c>
      <c r="AA64" s="10">
        <v>41</v>
      </c>
      <c r="AB64" s="10">
        <v>79</v>
      </c>
      <c r="AC64" s="10">
        <v>73</v>
      </c>
      <c r="AD64" s="10">
        <v>135</v>
      </c>
      <c r="AE64" s="10">
        <v>82</v>
      </c>
      <c r="AF64" s="10">
        <v>46</v>
      </c>
      <c r="AG64" s="10">
        <v>3</v>
      </c>
      <c r="AH64" s="10">
        <v>-40</v>
      </c>
      <c r="AI64" s="10">
        <v>-22</v>
      </c>
      <c r="AJ64" s="10">
        <v>-15</v>
      </c>
      <c r="AK64" s="10">
        <v>29</v>
      </c>
      <c r="AL64" s="10">
        <v>6</v>
      </c>
      <c r="AM64" s="10">
        <v>81</v>
      </c>
      <c r="AN64" s="10">
        <v>3</v>
      </c>
      <c r="AO64" s="10">
        <v>7</v>
      </c>
      <c r="AP64" s="10">
        <v>-5</v>
      </c>
      <c r="AQ64" s="10">
        <v>5</v>
      </c>
      <c r="AR64" s="10">
        <v>-53</v>
      </c>
      <c r="AS64" s="10">
        <v>-65</v>
      </c>
      <c r="AT64" s="10">
        <v>-128</v>
      </c>
    </row>
    <row r="65" spans="1:46" ht="14.4">
      <c r="A65" s="1" t="s">
        <v>180</v>
      </c>
      <c r="B65" s="1" t="s">
        <v>44</v>
      </c>
      <c r="C65" s="10">
        <v>177</v>
      </c>
      <c r="D65" s="10">
        <v>219</v>
      </c>
      <c r="E65" s="10">
        <v>344</v>
      </c>
      <c r="F65" s="10">
        <v>197</v>
      </c>
      <c r="G65" s="10">
        <v>187</v>
      </c>
      <c r="H65" s="10">
        <v>204</v>
      </c>
      <c r="I65" s="10">
        <v>188</v>
      </c>
      <c r="J65" s="10">
        <v>167</v>
      </c>
      <c r="K65" s="10">
        <v>162</v>
      </c>
      <c r="L65" s="10">
        <v>154</v>
      </c>
      <c r="M65" s="10">
        <v>135</v>
      </c>
      <c r="N65" s="10">
        <v>119</v>
      </c>
      <c r="O65" s="10">
        <v>153</v>
      </c>
      <c r="P65" s="10">
        <v>183</v>
      </c>
      <c r="Q65" s="10">
        <v>159</v>
      </c>
      <c r="R65" s="10">
        <v>129</v>
      </c>
      <c r="S65" s="10">
        <v>109</v>
      </c>
      <c r="T65" s="10">
        <v>7</v>
      </c>
      <c r="U65" s="10">
        <v>54</v>
      </c>
      <c r="V65" s="10">
        <v>23</v>
      </c>
      <c r="W65" s="10">
        <v>205</v>
      </c>
      <c r="X65" s="10">
        <v>139</v>
      </c>
      <c r="Y65" s="10">
        <v>124</v>
      </c>
      <c r="Z65" s="10">
        <v>143</v>
      </c>
      <c r="AA65" s="10">
        <v>153</v>
      </c>
      <c r="AB65" s="10">
        <v>128</v>
      </c>
      <c r="AC65" s="10">
        <v>100</v>
      </c>
      <c r="AD65" s="10">
        <v>117</v>
      </c>
      <c r="AE65" s="10">
        <v>263</v>
      </c>
      <c r="AF65" s="10">
        <v>111</v>
      </c>
      <c r="AG65" s="10">
        <v>141</v>
      </c>
      <c r="AH65" s="10">
        <v>397</v>
      </c>
      <c r="AI65" s="10">
        <v>258</v>
      </c>
      <c r="AJ65" s="10">
        <v>209</v>
      </c>
      <c r="AK65" s="10">
        <v>230</v>
      </c>
      <c r="AL65" s="10">
        <v>245</v>
      </c>
      <c r="AM65" s="10">
        <v>831</v>
      </c>
      <c r="AN65" s="10">
        <v>322</v>
      </c>
      <c r="AO65" s="10">
        <v>304</v>
      </c>
      <c r="AP65" s="10">
        <v>298</v>
      </c>
      <c r="AQ65" s="10">
        <v>242</v>
      </c>
      <c r="AR65" s="10">
        <v>205</v>
      </c>
      <c r="AS65" s="10">
        <v>245</v>
      </c>
      <c r="AT65" s="10">
        <v>210</v>
      </c>
    </row>
    <row r="66" spans="1:46" ht="14.4">
      <c r="A66" s="1" t="s">
        <v>181</v>
      </c>
      <c r="B66" s="1" t="s">
        <v>44</v>
      </c>
      <c r="C66" s="10">
        <v>406</v>
      </c>
      <c r="D66" s="10">
        <v>472</v>
      </c>
      <c r="E66" s="10">
        <v>508</v>
      </c>
      <c r="F66" s="10">
        <v>497</v>
      </c>
      <c r="G66" s="10">
        <v>543</v>
      </c>
      <c r="H66" s="10">
        <v>538</v>
      </c>
      <c r="I66" s="10">
        <v>568</v>
      </c>
      <c r="J66" s="10">
        <v>303</v>
      </c>
      <c r="K66" s="10">
        <v>543</v>
      </c>
      <c r="L66" s="10">
        <v>561</v>
      </c>
      <c r="M66" s="10">
        <v>579</v>
      </c>
      <c r="N66" s="10">
        <v>634</v>
      </c>
      <c r="O66" s="10">
        <v>622</v>
      </c>
      <c r="P66" s="10">
        <v>678</v>
      </c>
      <c r="Q66" s="10">
        <v>566</v>
      </c>
      <c r="R66" s="10">
        <v>615</v>
      </c>
      <c r="S66" s="10">
        <v>705</v>
      </c>
      <c r="T66" s="10">
        <v>835</v>
      </c>
      <c r="U66" s="10">
        <v>691</v>
      </c>
      <c r="V66" s="10">
        <v>707</v>
      </c>
      <c r="W66" s="10">
        <v>929</v>
      </c>
      <c r="X66" s="10">
        <v>999</v>
      </c>
      <c r="Y66" s="10">
        <v>544</v>
      </c>
      <c r="Z66" s="10">
        <v>1191</v>
      </c>
      <c r="AA66" s="10">
        <v>894</v>
      </c>
      <c r="AB66" s="10">
        <v>846</v>
      </c>
      <c r="AC66" s="10">
        <v>982</v>
      </c>
      <c r="AD66" s="10">
        <v>721</v>
      </c>
      <c r="AE66" s="10">
        <v>1056</v>
      </c>
      <c r="AF66" s="10">
        <v>1096</v>
      </c>
      <c r="AG66" s="10">
        <v>1276</v>
      </c>
      <c r="AH66" s="10">
        <v>1214</v>
      </c>
      <c r="AI66" s="10">
        <v>1165</v>
      </c>
      <c r="AJ66" s="10">
        <v>1295</v>
      </c>
      <c r="AK66" s="10">
        <v>1523</v>
      </c>
      <c r="AL66" s="10">
        <v>1274</v>
      </c>
      <c r="AM66" s="10">
        <v>1448</v>
      </c>
      <c r="AN66" s="10">
        <v>1450</v>
      </c>
      <c r="AO66" s="10">
        <v>1538</v>
      </c>
      <c r="AP66" s="10">
        <v>1426</v>
      </c>
      <c r="AQ66" s="10">
        <v>1345</v>
      </c>
      <c r="AR66" s="10">
        <v>1466</v>
      </c>
      <c r="AS66" s="10">
        <v>1664</v>
      </c>
      <c r="AT66" s="10">
        <v>1212</v>
      </c>
    </row>
    <row r="67" spans="1:46" ht="14.4">
      <c r="A67" s="1" t="s">
        <v>182</v>
      </c>
      <c r="B67" s="1" t="s">
        <v>44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>
        <v>8</v>
      </c>
      <c r="T67" s="10">
        <v>2540</v>
      </c>
      <c r="U67" s="10">
        <v>8</v>
      </c>
      <c r="V67" s="10">
        <v>8</v>
      </c>
      <c r="W67" s="10">
        <v>13</v>
      </c>
      <c r="X67" s="10">
        <v>11</v>
      </c>
      <c r="Y67" s="10">
        <v>16</v>
      </c>
      <c r="Z67" s="10">
        <v>17</v>
      </c>
      <c r="AA67" s="10">
        <v>16</v>
      </c>
      <c r="AB67" s="10">
        <v>13</v>
      </c>
      <c r="AC67" s="10">
        <v>6</v>
      </c>
      <c r="AD67" s="10">
        <v>6</v>
      </c>
      <c r="AE67" s="10">
        <v>-2</v>
      </c>
      <c r="AF67" s="10">
        <v>-1</v>
      </c>
      <c r="AG67" s="10">
        <v>0</v>
      </c>
      <c r="AH67" s="10">
        <v>-2</v>
      </c>
      <c r="AI67" s="10">
        <v>-3</v>
      </c>
      <c r="AJ67" s="10">
        <v>1</v>
      </c>
      <c r="AK67" s="10">
        <v>1</v>
      </c>
      <c r="AL67" s="10">
        <v>9</v>
      </c>
      <c r="AM67" s="10">
        <v>2</v>
      </c>
      <c r="AN67" s="10">
        <v>2</v>
      </c>
      <c r="AO67" s="10">
        <v>3</v>
      </c>
      <c r="AP67" s="10">
        <v>2</v>
      </c>
      <c r="AQ67" s="10">
        <v>1</v>
      </c>
      <c r="AR67" s="10">
        <v>1</v>
      </c>
      <c r="AS67" s="10">
        <v>6</v>
      </c>
      <c r="AT67" s="10">
        <v>2</v>
      </c>
    </row>
    <row r="68" spans="1:46" ht="14.4">
      <c r="A68" s="1" t="s">
        <v>183</v>
      </c>
      <c r="B68" s="1" t="s">
        <v>44</v>
      </c>
      <c r="C68" s="10">
        <v>1782</v>
      </c>
      <c r="D68" s="10">
        <v>1726</v>
      </c>
      <c r="E68" s="10">
        <v>1920</v>
      </c>
      <c r="F68" s="10">
        <v>1926</v>
      </c>
      <c r="G68" s="10">
        <v>2047</v>
      </c>
      <c r="H68" s="10">
        <v>2014</v>
      </c>
      <c r="I68" s="10">
        <v>2070</v>
      </c>
      <c r="J68" s="10">
        <v>2325</v>
      </c>
      <c r="K68" s="10">
        <v>2171</v>
      </c>
      <c r="L68" s="10">
        <v>2188</v>
      </c>
      <c r="M68" s="10">
        <v>2194</v>
      </c>
      <c r="N68" s="10">
        <v>2227</v>
      </c>
      <c r="O68" s="10">
        <v>2403</v>
      </c>
      <c r="P68" s="10">
        <v>2540</v>
      </c>
      <c r="Q68" s="10">
        <v>2611</v>
      </c>
      <c r="R68" s="10">
        <v>2568</v>
      </c>
      <c r="S68" s="10">
        <v>2220</v>
      </c>
      <c r="T68" s="10">
        <v>2651</v>
      </c>
      <c r="U68" s="10">
        <v>3037</v>
      </c>
      <c r="V68" s="10">
        <v>3154</v>
      </c>
      <c r="W68" s="10">
        <v>2925</v>
      </c>
      <c r="X68" s="10">
        <v>3142</v>
      </c>
      <c r="Y68" s="10">
        <v>3982</v>
      </c>
      <c r="Z68" s="10">
        <v>1096</v>
      </c>
      <c r="AA68" s="10">
        <v>3214</v>
      </c>
      <c r="AB68" s="10">
        <v>3265</v>
      </c>
      <c r="AC68" s="10">
        <v>3442</v>
      </c>
      <c r="AD68" s="10">
        <v>3593</v>
      </c>
      <c r="AE68" s="10">
        <v>3283</v>
      </c>
      <c r="AF68" s="10">
        <v>3489</v>
      </c>
      <c r="AG68" s="10">
        <v>4096</v>
      </c>
      <c r="AH68" s="10">
        <v>3983</v>
      </c>
      <c r="AI68" s="10">
        <v>3534</v>
      </c>
      <c r="AJ68" s="10">
        <v>3832</v>
      </c>
      <c r="AK68" s="10">
        <v>4350</v>
      </c>
      <c r="AL68" s="10">
        <v>3986</v>
      </c>
      <c r="AM68" s="10">
        <v>4257</v>
      </c>
      <c r="AN68" s="10">
        <v>4235</v>
      </c>
      <c r="AO68" s="10">
        <v>4591</v>
      </c>
      <c r="AP68" s="10">
        <v>4307</v>
      </c>
      <c r="AQ68" s="10">
        <v>3843</v>
      </c>
      <c r="AR68" s="10">
        <v>4235</v>
      </c>
      <c r="AS68" s="10">
        <v>4795</v>
      </c>
      <c r="AT68" s="10">
        <v>4488</v>
      </c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4">
    <mergeCell ref="A1:M1"/>
    <mergeCell ref="A2:M2"/>
    <mergeCell ref="A4:M4"/>
    <mergeCell ref="A54:AT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300"/>
  <sheetViews>
    <sheetView showGridLines="0" workbookViewId="0"/>
  </sheetViews>
  <sheetFormatPr defaultRowHeight="13.8"/>
  <cols>
    <col min="1" max="1" width="34" customWidth="1"/>
    <col min="2" max="46" width="10" customWidth="1"/>
  </cols>
  <sheetData>
    <row r="1" spans="1:46" ht="25.95" customHeight="1">
      <c r="A1" s="43" t="s">
        <v>262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</row>
    <row r="2" spans="1:46" ht="18" customHeight="1">
      <c r="A2" s="44" t="s">
        <v>263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26</v>
      </c>
      <c r="B5" s="5" t="s">
        <v>27</v>
      </c>
      <c r="C5" s="5" t="s">
        <v>217</v>
      </c>
      <c r="D5" s="5" t="s">
        <v>218</v>
      </c>
      <c r="E5" s="5" t="s">
        <v>219</v>
      </c>
      <c r="F5" s="5" t="s">
        <v>220</v>
      </c>
      <c r="G5" s="5" t="s">
        <v>221</v>
      </c>
      <c r="H5" s="5" t="s">
        <v>222</v>
      </c>
      <c r="I5" s="5" t="s">
        <v>223</v>
      </c>
      <c r="J5" s="5" t="s">
        <v>224</v>
      </c>
      <c r="K5" s="5" t="s">
        <v>225</v>
      </c>
      <c r="L5" s="5" t="s">
        <v>226</v>
      </c>
      <c r="M5" s="5" t="s">
        <v>227</v>
      </c>
      <c r="N5" s="5" t="s">
        <v>228</v>
      </c>
      <c r="O5" s="5" t="s">
        <v>229</v>
      </c>
      <c r="P5" s="5" t="s">
        <v>230</v>
      </c>
      <c r="Q5" s="5" t="s">
        <v>231</v>
      </c>
      <c r="R5" s="5" t="s">
        <v>232</v>
      </c>
      <c r="S5" s="5" t="s">
        <v>233</v>
      </c>
      <c r="T5" s="5" t="s">
        <v>234</v>
      </c>
      <c r="U5" s="5" t="s">
        <v>235</v>
      </c>
      <c r="V5" s="5" t="s">
        <v>236</v>
      </c>
      <c r="W5" s="5" t="s">
        <v>237</v>
      </c>
      <c r="X5" s="5" t="s">
        <v>238</v>
      </c>
      <c r="Y5" s="5" t="s">
        <v>239</v>
      </c>
      <c r="Z5" s="5" t="s">
        <v>240</v>
      </c>
      <c r="AA5" s="5" t="s">
        <v>241</v>
      </c>
      <c r="AB5" s="5" t="s">
        <v>242</v>
      </c>
      <c r="AC5" s="5" t="s">
        <v>243</v>
      </c>
      <c r="AD5" s="5" t="s">
        <v>244</v>
      </c>
      <c r="AE5" s="5" t="s">
        <v>245</v>
      </c>
      <c r="AF5" s="5" t="s">
        <v>246</v>
      </c>
      <c r="AG5" s="5" t="s">
        <v>247</v>
      </c>
      <c r="AH5" s="5" t="s">
        <v>248</v>
      </c>
      <c r="AI5" s="5" t="s">
        <v>249</v>
      </c>
      <c r="AJ5" s="5" t="s">
        <v>250</v>
      </c>
      <c r="AK5" s="5" t="s">
        <v>251</v>
      </c>
      <c r="AL5" s="5" t="s">
        <v>252</v>
      </c>
      <c r="AM5" s="5" t="s">
        <v>253</v>
      </c>
      <c r="AN5" s="5" t="s">
        <v>254</v>
      </c>
      <c r="AO5" s="5" t="s">
        <v>255</v>
      </c>
      <c r="AP5" s="5" t="s">
        <v>256</v>
      </c>
      <c r="AQ5" s="5" t="s">
        <v>257</v>
      </c>
      <c r="AR5" s="5" t="s">
        <v>258</v>
      </c>
      <c r="AS5" s="5" t="s">
        <v>259</v>
      </c>
      <c r="AT5" s="5" t="s">
        <v>260</v>
      </c>
    </row>
    <row r="6" spans="1:46" ht="14.4">
      <c r="A6" s="1" t="s">
        <v>43</v>
      </c>
      <c r="B6" s="1" t="s">
        <v>44</v>
      </c>
      <c r="C6" s="14">
        <f>'Raw Financials'!C56</f>
        <v>9777</v>
      </c>
      <c r="D6" s="14">
        <f>'Raw Financials'!D56</f>
        <v>10097</v>
      </c>
      <c r="E6" s="14">
        <f>'Raw Financials'!E56</f>
        <v>10341</v>
      </c>
      <c r="F6" s="14">
        <f>'Raw Financials'!F56</f>
        <v>10698</v>
      </c>
      <c r="G6" s="14">
        <f>'Raw Financials'!G56</f>
        <v>11336</v>
      </c>
      <c r="H6" s="14">
        <f>'Raw Financials'!H56</f>
        <v>11519</v>
      </c>
      <c r="I6" s="14">
        <f>'Raw Financials'!I56</f>
        <v>11814</v>
      </c>
      <c r="J6" s="14">
        <f>'Raw Financials'!J56</f>
        <v>12053</v>
      </c>
      <c r="K6" s="14">
        <f>'Raw Financials'!K56</f>
        <v>12149</v>
      </c>
      <c r="L6" s="14">
        <f>'Raw Financials'!L56</f>
        <v>12434</v>
      </c>
      <c r="M6" s="14">
        <f>'Raw Financials'!M56</f>
        <v>12808</v>
      </c>
      <c r="N6" s="14">
        <f>'Raw Financials'!N56</f>
        <v>13179</v>
      </c>
      <c r="O6" s="14">
        <f>'Raw Financials'!O56</f>
        <v>13878</v>
      </c>
      <c r="P6" s="14">
        <f>'Raw Financials'!P56</f>
        <v>14861</v>
      </c>
      <c r="Q6" s="14">
        <f>'Raw Financials'!Q56</f>
        <v>15699</v>
      </c>
      <c r="R6" s="14">
        <f>'Raw Financials'!R56</f>
        <v>15990</v>
      </c>
      <c r="S6" s="14">
        <f>'Raw Financials'!S56</f>
        <v>16425</v>
      </c>
      <c r="T6" s="14">
        <f>'Raw Financials'!T56</f>
        <v>17528</v>
      </c>
      <c r="U6" s="14">
        <f>'Raw Financials'!U56</f>
        <v>18135</v>
      </c>
      <c r="V6" s="14">
        <f>'Raw Financials'!V56</f>
        <v>18590</v>
      </c>
      <c r="W6" s="14">
        <f>'Raw Financials'!W56</f>
        <v>17841</v>
      </c>
      <c r="X6" s="14">
        <f>'Raw Financials'!X56</f>
        <v>18594</v>
      </c>
      <c r="Y6" s="14">
        <f>'Raw Financials'!Y56</f>
        <v>19302</v>
      </c>
      <c r="Z6" s="14">
        <f>'Raw Financials'!Z56</f>
        <v>19642</v>
      </c>
      <c r="AA6" s="14">
        <f>'Raw Financials'!AA56</f>
        <v>20068</v>
      </c>
      <c r="AB6" s="14">
        <f>'Raw Financials'!AB56</f>
        <v>20655</v>
      </c>
      <c r="AC6" s="14">
        <f>'Raw Financials'!AC56</f>
        <v>22331</v>
      </c>
      <c r="AD6" s="14">
        <f>'Raw Financials'!AD56</f>
        <v>22597</v>
      </c>
      <c r="AE6" s="14">
        <f>'Raw Financials'!AE56</f>
        <v>23464</v>
      </c>
      <c r="AF6" s="14">
        <f>'Raw Financials'!AF56</f>
        <v>24686</v>
      </c>
      <c r="AG6" s="14">
        <f>'Raw Financials'!AG56</f>
        <v>26700</v>
      </c>
      <c r="AH6" s="14">
        <f>'Raw Financials'!AH56</f>
        <v>26606</v>
      </c>
      <c r="AI6" s="14">
        <f>'Raw Financials'!AI56</f>
        <v>26296</v>
      </c>
      <c r="AJ6" s="14">
        <f>'Raw Financials'!AJ56</f>
        <v>26672</v>
      </c>
      <c r="AK6" s="14">
        <f>'Raw Financials'!AK56</f>
        <v>28446</v>
      </c>
      <c r="AL6" s="14">
        <f>'Raw Financials'!AL56</f>
        <v>28499</v>
      </c>
      <c r="AM6" s="14">
        <f>'Raw Financials'!AM56</f>
        <v>28057</v>
      </c>
      <c r="AN6" s="14">
        <f>'Raw Financials'!AN56</f>
        <v>28862</v>
      </c>
      <c r="AO6" s="14">
        <f>'Raw Financials'!AO56</f>
        <v>29890</v>
      </c>
      <c r="AP6" s="14">
        <f>'Raw Financials'!AP56</f>
        <v>30246</v>
      </c>
      <c r="AQ6" s="14">
        <f>'Raw Financials'!AQ56</f>
        <v>30349</v>
      </c>
      <c r="AR6" s="14">
        <f>'Raw Financials'!AR56</f>
        <v>31942</v>
      </c>
      <c r="AS6" s="14">
        <f>'Raw Financials'!AS56</f>
        <v>33872</v>
      </c>
      <c r="AT6" s="14">
        <f>'Raw Financials'!AT56</f>
        <v>33981</v>
      </c>
    </row>
    <row r="7" spans="1:46" ht="14.4">
      <c r="A7" s="1" t="s">
        <v>264</v>
      </c>
      <c r="B7" s="1" t="s">
        <v>46</v>
      </c>
      <c r="C7" s="1"/>
      <c r="D7" s="15">
        <f t="shared" ref="D7:AT7" si="0">IFERROR(D6/C6-1,"")</f>
        <v>3.2729876240155553E-2</v>
      </c>
      <c r="E7" s="15">
        <f t="shared" si="0"/>
        <v>2.416559374071503E-2</v>
      </c>
      <c r="F7" s="15">
        <f t="shared" si="0"/>
        <v>3.4522773426167719E-2</v>
      </c>
      <c r="G7" s="15">
        <f t="shared" si="0"/>
        <v>5.9637315386053436E-2</v>
      </c>
      <c r="H7" s="15">
        <f t="shared" si="0"/>
        <v>1.6143260409315463E-2</v>
      </c>
      <c r="I7" s="15">
        <f t="shared" si="0"/>
        <v>2.5609861967184733E-2</v>
      </c>
      <c r="J7" s="15">
        <f t="shared" si="0"/>
        <v>2.0230235314034228E-2</v>
      </c>
      <c r="K7" s="15">
        <f t="shared" si="0"/>
        <v>7.9648220360075683E-3</v>
      </c>
      <c r="L7" s="15">
        <f t="shared" si="0"/>
        <v>2.3458720882377104E-2</v>
      </c>
      <c r="M7" s="15">
        <f t="shared" si="0"/>
        <v>3.0078816149268217E-2</v>
      </c>
      <c r="N7" s="15">
        <f t="shared" si="0"/>
        <v>2.8966271080574701E-2</v>
      </c>
      <c r="O7" s="15">
        <f t="shared" si="0"/>
        <v>5.3038925563396289E-2</v>
      </c>
      <c r="P7" s="15">
        <f t="shared" si="0"/>
        <v>7.0831531921025981E-2</v>
      </c>
      <c r="Q7" s="15">
        <f t="shared" si="0"/>
        <v>5.6389206648274071E-2</v>
      </c>
      <c r="R7" s="15">
        <f t="shared" si="0"/>
        <v>1.8536212497611393E-2</v>
      </c>
      <c r="S7" s="15">
        <f t="shared" si="0"/>
        <v>2.7204502814258902E-2</v>
      </c>
      <c r="T7" s="15">
        <f t="shared" si="0"/>
        <v>6.7153729071537382E-2</v>
      </c>
      <c r="U7" s="15">
        <f t="shared" si="0"/>
        <v>3.4630305796439886E-2</v>
      </c>
      <c r="V7" s="15">
        <f t="shared" si="0"/>
        <v>2.5089605734766929E-2</v>
      </c>
      <c r="W7" s="15">
        <f t="shared" si="0"/>
        <v>-4.0290478752017189E-2</v>
      </c>
      <c r="X7" s="15">
        <f t="shared" si="0"/>
        <v>4.2206154363544579E-2</v>
      </c>
      <c r="Y7" s="15">
        <f t="shared" si="0"/>
        <v>3.8076798967408898E-2</v>
      </c>
      <c r="Z7" s="15">
        <f t="shared" si="0"/>
        <v>1.7614754947673728E-2</v>
      </c>
      <c r="AA7" s="15">
        <f t="shared" si="0"/>
        <v>2.168821912228891E-2</v>
      </c>
      <c r="AB7" s="15">
        <f t="shared" si="0"/>
        <v>2.925054813633654E-2</v>
      </c>
      <c r="AC7" s="15">
        <f t="shared" si="0"/>
        <v>8.1142580488985816E-2</v>
      </c>
      <c r="AD7" s="15">
        <f t="shared" si="0"/>
        <v>1.1911692266356244E-2</v>
      </c>
      <c r="AE7" s="15">
        <f t="shared" si="0"/>
        <v>3.8367924945789333E-2</v>
      </c>
      <c r="AF7" s="15">
        <f t="shared" si="0"/>
        <v>5.2079781793385571E-2</v>
      </c>
      <c r="AG7" s="15">
        <f t="shared" si="0"/>
        <v>8.1584703880742016E-2</v>
      </c>
      <c r="AH7" s="15">
        <f t="shared" si="0"/>
        <v>-3.5205992509362849E-3</v>
      </c>
      <c r="AI7" s="15">
        <f t="shared" si="0"/>
        <v>-1.1651507178831788E-2</v>
      </c>
      <c r="AJ7" s="15">
        <f t="shared" si="0"/>
        <v>1.4298752662001757E-2</v>
      </c>
      <c r="AK7" s="15">
        <f t="shared" si="0"/>
        <v>6.6511697660467828E-2</v>
      </c>
      <c r="AL7" s="15">
        <f t="shared" si="0"/>
        <v>1.8631793573788968E-3</v>
      </c>
      <c r="AM7" s="15">
        <f t="shared" si="0"/>
        <v>-1.5509316116354976E-2</v>
      </c>
      <c r="AN7" s="15">
        <f t="shared" si="0"/>
        <v>2.8691592116049547E-2</v>
      </c>
      <c r="AO7" s="15">
        <f t="shared" si="0"/>
        <v>3.561776730649302E-2</v>
      </c>
      <c r="AP7" s="15">
        <f t="shared" si="0"/>
        <v>1.1910337905653989E-2</v>
      </c>
      <c r="AQ7" s="15">
        <f t="shared" si="0"/>
        <v>3.4054089796997644E-3</v>
      </c>
      <c r="AR7" s="15">
        <f t="shared" si="0"/>
        <v>5.2489373620218105E-2</v>
      </c>
      <c r="AS7" s="15">
        <f t="shared" si="0"/>
        <v>6.0422014902009824E-2</v>
      </c>
      <c r="AT7" s="15">
        <f t="shared" si="0"/>
        <v>3.2179971658006234E-3</v>
      </c>
    </row>
    <row r="8" spans="1:46" ht="14.4">
      <c r="A8" s="1" t="s">
        <v>265</v>
      </c>
      <c r="B8" s="1" t="s">
        <v>46</v>
      </c>
      <c r="C8" s="1"/>
      <c r="D8" s="1"/>
      <c r="E8" s="1"/>
      <c r="F8" s="1"/>
      <c r="G8" s="15">
        <f t="shared" ref="G8:AT8" si="1">IFERROR(G6/C6-1,"")</f>
        <v>0.15945586580750737</v>
      </c>
      <c r="H8" s="15">
        <f t="shared" si="1"/>
        <v>0.14083391106269194</v>
      </c>
      <c r="I8" s="15">
        <f t="shared" si="1"/>
        <v>0.14244270380040613</v>
      </c>
      <c r="J8" s="15">
        <f t="shared" si="1"/>
        <v>0.12665918863338943</v>
      </c>
      <c r="K8" s="15">
        <f t="shared" si="1"/>
        <v>7.1718419195483385E-2</v>
      </c>
      <c r="L8" s="15">
        <f t="shared" si="1"/>
        <v>7.9433978643979497E-2</v>
      </c>
      <c r="M8" s="15">
        <f t="shared" si="1"/>
        <v>8.4137464025732189E-2</v>
      </c>
      <c r="N8" s="15">
        <f t="shared" si="1"/>
        <v>9.3420725130672899E-2</v>
      </c>
      <c r="O8" s="15">
        <f t="shared" si="1"/>
        <v>0.14231624001975463</v>
      </c>
      <c r="P8" s="15">
        <f t="shared" si="1"/>
        <v>0.19519060640180141</v>
      </c>
      <c r="Q8" s="15">
        <f t="shared" si="1"/>
        <v>0.22571830106183643</v>
      </c>
      <c r="R8" s="15">
        <f t="shared" si="1"/>
        <v>0.21329387662189858</v>
      </c>
      <c r="S8" s="15">
        <f t="shared" si="1"/>
        <v>0.18352788586251623</v>
      </c>
      <c r="T8" s="15">
        <f t="shared" si="1"/>
        <v>0.17946302402260961</v>
      </c>
      <c r="U8" s="15">
        <f t="shared" si="1"/>
        <v>0.1551691190521689</v>
      </c>
      <c r="V8" s="15">
        <f t="shared" si="1"/>
        <v>0.16260162601626016</v>
      </c>
      <c r="W8" s="15">
        <f t="shared" si="1"/>
        <v>8.6210045662100443E-2</v>
      </c>
      <c r="X8" s="15">
        <f t="shared" si="1"/>
        <v>6.0816978548607903E-2</v>
      </c>
      <c r="Y8" s="15">
        <f t="shared" si="1"/>
        <v>6.4350703060380487E-2</v>
      </c>
      <c r="Z8" s="15">
        <f t="shared" si="1"/>
        <v>5.6589564281871896E-2</v>
      </c>
      <c r="AA8" s="15">
        <f t="shared" si="1"/>
        <v>0.12482484165685781</v>
      </c>
      <c r="AB8" s="15">
        <f t="shared" si="1"/>
        <v>0.11084220716360127</v>
      </c>
      <c r="AC8" s="15">
        <f t="shared" si="1"/>
        <v>0.15692674334265888</v>
      </c>
      <c r="AD8" s="15">
        <f t="shared" si="1"/>
        <v>0.15044292841869455</v>
      </c>
      <c r="AE8" s="15">
        <f t="shared" si="1"/>
        <v>0.16922463623679485</v>
      </c>
      <c r="AF8" s="15">
        <f t="shared" si="1"/>
        <v>0.19515855725006048</v>
      </c>
      <c r="AG8" s="15">
        <f t="shared" si="1"/>
        <v>0.19564730643500061</v>
      </c>
      <c r="AH8" s="15">
        <f t="shared" si="1"/>
        <v>0.17741293092003363</v>
      </c>
      <c r="AI8" s="15">
        <f t="shared" si="1"/>
        <v>0.12069553358336171</v>
      </c>
      <c r="AJ8" s="15">
        <f t="shared" si="1"/>
        <v>8.0450457749331683E-2</v>
      </c>
      <c r="AK8" s="15">
        <f t="shared" si="1"/>
        <v>6.5393258426966305E-2</v>
      </c>
      <c r="AL8" s="15">
        <f t="shared" si="1"/>
        <v>7.1149364804931281E-2</v>
      </c>
      <c r="AM8" s="15">
        <f t="shared" si="1"/>
        <v>6.6968360206875577E-2</v>
      </c>
      <c r="AN8" s="15">
        <f t="shared" si="1"/>
        <v>8.2108578284343148E-2</v>
      </c>
      <c r="AO8" s="15">
        <f t="shared" si="1"/>
        <v>5.0762848906700464E-2</v>
      </c>
      <c r="AP8" s="15">
        <f t="shared" si="1"/>
        <v>6.1300396505140631E-2</v>
      </c>
      <c r="AQ8" s="15">
        <f t="shared" si="1"/>
        <v>8.1690843639733446E-2</v>
      </c>
      <c r="AR8" s="15">
        <f t="shared" si="1"/>
        <v>0.10671471138521249</v>
      </c>
      <c r="AS8" s="15">
        <f t="shared" si="1"/>
        <v>0.1332218133154901</v>
      </c>
      <c r="AT8" s="15">
        <f t="shared" si="1"/>
        <v>0.12348740329299734</v>
      </c>
    </row>
    <row r="9" spans="1:46" ht="14.4">
      <c r="A9" s="1" t="s">
        <v>173</v>
      </c>
      <c r="B9" s="1" t="s">
        <v>44</v>
      </c>
      <c r="C9" s="14">
        <f>'Raw Financials'!C57</f>
        <v>6430</v>
      </c>
      <c r="D9" s="14">
        <f>'Raw Financials'!D57</f>
        <v>6742</v>
      </c>
      <c r="E9" s="14">
        <f>'Raw Financials'!E57</f>
        <v>6768</v>
      </c>
      <c r="F9" s="14">
        <f>'Raw Financials'!F57</f>
        <v>6961</v>
      </c>
      <c r="G9" s="14">
        <f>'Raw Financials'!G57</f>
        <v>7440</v>
      </c>
      <c r="H9" s="14">
        <f>'Raw Financials'!H57</f>
        <v>7653</v>
      </c>
      <c r="I9" s="14">
        <f>'Raw Financials'!I57</f>
        <v>7809</v>
      </c>
      <c r="J9" s="14">
        <f>'Raw Financials'!J57</f>
        <v>7987</v>
      </c>
      <c r="K9" s="14">
        <f>'Raw Financials'!K57</f>
        <v>8057</v>
      </c>
      <c r="L9" s="14">
        <f>'Raw Financials'!L57</f>
        <v>8208</v>
      </c>
      <c r="M9" s="14">
        <f>'Raw Financials'!M57</f>
        <v>8412</v>
      </c>
      <c r="N9" s="14">
        <f>'Raw Financials'!N57</f>
        <v>8560</v>
      </c>
      <c r="O9" s="14">
        <f>'Raw Financials'!O57</f>
        <v>9106</v>
      </c>
      <c r="P9" s="14">
        <f>'Raw Financials'!P57</f>
        <v>9589</v>
      </c>
      <c r="Q9" s="14">
        <f>'Raw Financials'!Q57</f>
        <v>10152</v>
      </c>
      <c r="R9" s="14">
        <f>'Raw Financials'!R57</f>
        <v>10421</v>
      </c>
      <c r="S9" s="14">
        <f>'Raw Financials'!S57</f>
        <v>10631</v>
      </c>
      <c r="T9" s="14">
        <f>'Raw Financials'!T57</f>
        <v>11061</v>
      </c>
      <c r="U9" s="14">
        <f>'Raw Financials'!U57</f>
        <v>11176</v>
      </c>
      <c r="V9" s="14">
        <f>'Raw Financials'!V57</f>
        <v>11151</v>
      </c>
      <c r="W9" s="14">
        <f>'Raw Financials'!W57</f>
        <v>10728</v>
      </c>
      <c r="X9" s="14">
        <f>'Raw Financials'!X57</f>
        <v>10929</v>
      </c>
      <c r="Y9" s="14">
        <f>'Raw Financials'!Y57</f>
        <v>11195</v>
      </c>
      <c r="Z9" s="14">
        <f>'Raw Financials'!Z57</f>
        <v>11740</v>
      </c>
      <c r="AA9" s="14">
        <f>'Raw Financials'!AA57</f>
        <v>12197</v>
      </c>
      <c r="AB9" s="14">
        <f>'Raw Financials'!AB57</f>
        <v>12758</v>
      </c>
      <c r="AC9" s="14">
        <f>'Raw Financials'!AC57</f>
        <v>13798</v>
      </c>
      <c r="AD9" s="14">
        <f>'Raw Financials'!AD57</f>
        <v>14292</v>
      </c>
      <c r="AE9" s="14">
        <f>'Raw Financials'!AE57</f>
        <v>15066</v>
      </c>
      <c r="AF9" s="14">
        <f>'Raw Financials'!AF57</f>
        <v>15848</v>
      </c>
      <c r="AG9" s="14">
        <f>'Raw Financials'!AG57</f>
        <v>16720</v>
      </c>
      <c r="AH9" s="14">
        <f>'Raw Financials'!AH57</f>
        <v>16889</v>
      </c>
      <c r="AI9" s="14">
        <f>'Raw Financials'!AI57</f>
        <v>16936</v>
      </c>
      <c r="AJ9" s="14">
        <f>'Raw Financials'!AJ57</f>
        <v>17013</v>
      </c>
      <c r="AK9" s="14">
        <f>'Raw Financials'!AK57</f>
        <v>17998</v>
      </c>
      <c r="AL9" s="14">
        <f>'Raw Financials'!AL57</f>
        <v>18527</v>
      </c>
      <c r="AM9" s="14">
        <f>'Raw Financials'!AM57</f>
        <v>18364</v>
      </c>
      <c r="AN9" s="14">
        <f>'Raw Financials'!AN57</f>
        <v>18789</v>
      </c>
      <c r="AO9" s="14">
        <f>'Raw Financials'!AO57</f>
        <v>19262</v>
      </c>
      <c r="AP9" s="14">
        <f>'Raw Financials'!AP57</f>
        <v>19742</v>
      </c>
      <c r="AQ9" s="14">
        <f>'Raw Financials'!AQ57</f>
        <v>20128</v>
      </c>
      <c r="AR9" s="14">
        <f>'Raw Financials'!AR57</f>
        <v>21044</v>
      </c>
      <c r="AS9" s="14">
        <f>'Raw Financials'!AS57</f>
        <v>22102</v>
      </c>
      <c r="AT9" s="14">
        <f>'Raw Financials'!AT57</f>
        <v>22537</v>
      </c>
    </row>
    <row r="10" spans="1:46" ht="14.4">
      <c r="A10" s="18" t="s">
        <v>261</v>
      </c>
      <c r="B10" s="16" t="s">
        <v>44</v>
      </c>
      <c r="C10" s="17">
        <f t="shared" ref="C10:AT10" si="2">IF(OR(C6="",C9=""),"",C6-C9)</f>
        <v>3347</v>
      </c>
      <c r="D10" s="17">
        <f t="shared" si="2"/>
        <v>3355</v>
      </c>
      <c r="E10" s="17">
        <f t="shared" si="2"/>
        <v>3573</v>
      </c>
      <c r="F10" s="17">
        <f t="shared" si="2"/>
        <v>3737</v>
      </c>
      <c r="G10" s="17">
        <f t="shared" si="2"/>
        <v>3896</v>
      </c>
      <c r="H10" s="17">
        <f t="shared" si="2"/>
        <v>3866</v>
      </c>
      <c r="I10" s="17">
        <f t="shared" si="2"/>
        <v>4005</v>
      </c>
      <c r="J10" s="17">
        <f t="shared" si="2"/>
        <v>4066</v>
      </c>
      <c r="K10" s="17">
        <f t="shared" si="2"/>
        <v>4092</v>
      </c>
      <c r="L10" s="17">
        <f t="shared" si="2"/>
        <v>4226</v>
      </c>
      <c r="M10" s="17">
        <f t="shared" si="2"/>
        <v>4396</v>
      </c>
      <c r="N10" s="17">
        <f t="shared" si="2"/>
        <v>4619</v>
      </c>
      <c r="O10" s="17">
        <f t="shared" si="2"/>
        <v>4772</v>
      </c>
      <c r="P10" s="17">
        <f t="shared" si="2"/>
        <v>5272</v>
      </c>
      <c r="Q10" s="17">
        <f t="shared" si="2"/>
        <v>5547</v>
      </c>
      <c r="R10" s="17">
        <f t="shared" si="2"/>
        <v>5569</v>
      </c>
      <c r="S10" s="17">
        <f t="shared" si="2"/>
        <v>5794</v>
      </c>
      <c r="T10" s="17">
        <f t="shared" si="2"/>
        <v>6467</v>
      </c>
      <c r="U10" s="17">
        <f t="shared" si="2"/>
        <v>6959</v>
      </c>
      <c r="V10" s="17">
        <f t="shared" si="2"/>
        <v>7439</v>
      </c>
      <c r="W10" s="17">
        <f t="shared" si="2"/>
        <v>7113</v>
      </c>
      <c r="X10" s="17">
        <f t="shared" si="2"/>
        <v>7665</v>
      </c>
      <c r="Y10" s="17">
        <f t="shared" si="2"/>
        <v>8107</v>
      </c>
      <c r="Z10" s="17">
        <f t="shared" si="2"/>
        <v>7902</v>
      </c>
      <c r="AA10" s="17">
        <f t="shared" si="2"/>
        <v>7871</v>
      </c>
      <c r="AB10" s="17">
        <f t="shared" si="2"/>
        <v>7897</v>
      </c>
      <c r="AC10" s="17">
        <f t="shared" si="2"/>
        <v>8533</v>
      </c>
      <c r="AD10" s="17">
        <f t="shared" si="2"/>
        <v>8305</v>
      </c>
      <c r="AE10" s="17">
        <f t="shared" si="2"/>
        <v>8398</v>
      </c>
      <c r="AF10" s="17">
        <f t="shared" si="2"/>
        <v>8838</v>
      </c>
      <c r="AG10" s="17">
        <f t="shared" si="2"/>
        <v>9980</v>
      </c>
      <c r="AH10" s="17">
        <f t="shared" si="2"/>
        <v>9717</v>
      </c>
      <c r="AI10" s="17">
        <f t="shared" si="2"/>
        <v>9360</v>
      </c>
      <c r="AJ10" s="17">
        <f t="shared" si="2"/>
        <v>9659</v>
      </c>
      <c r="AK10" s="17">
        <f t="shared" si="2"/>
        <v>10448</v>
      </c>
      <c r="AL10" s="17">
        <f t="shared" si="2"/>
        <v>9972</v>
      </c>
      <c r="AM10" s="17">
        <f t="shared" si="2"/>
        <v>9693</v>
      </c>
      <c r="AN10" s="17">
        <f t="shared" si="2"/>
        <v>10073</v>
      </c>
      <c r="AO10" s="17">
        <f t="shared" si="2"/>
        <v>10628</v>
      </c>
      <c r="AP10" s="17">
        <f t="shared" si="2"/>
        <v>10504</v>
      </c>
      <c r="AQ10" s="17">
        <f t="shared" si="2"/>
        <v>10221</v>
      </c>
      <c r="AR10" s="17">
        <f t="shared" si="2"/>
        <v>10898</v>
      </c>
      <c r="AS10" s="17">
        <f t="shared" si="2"/>
        <v>11770</v>
      </c>
      <c r="AT10" s="17">
        <f t="shared" si="2"/>
        <v>11444</v>
      </c>
    </row>
    <row r="11" spans="1:46" ht="14.4">
      <c r="A11" s="1" t="s">
        <v>144</v>
      </c>
      <c r="B11" s="1" t="s">
        <v>46</v>
      </c>
      <c r="C11" s="15">
        <f t="shared" ref="C11:AT11" si="3">IFERROR(C10/C6,"")</f>
        <v>0.34233404929937611</v>
      </c>
      <c r="D11" s="15">
        <f t="shared" si="3"/>
        <v>0.33227691393483211</v>
      </c>
      <c r="E11" s="15">
        <f t="shared" si="3"/>
        <v>0.34551784160139254</v>
      </c>
      <c r="F11" s="15">
        <f t="shared" si="3"/>
        <v>0.34931762946345113</v>
      </c>
      <c r="G11" s="15">
        <f t="shared" si="3"/>
        <v>0.34368383909668315</v>
      </c>
      <c r="H11" s="15">
        <f t="shared" si="3"/>
        <v>0.33561941140724022</v>
      </c>
      <c r="I11" s="15">
        <f t="shared" si="3"/>
        <v>0.33900457084814628</v>
      </c>
      <c r="J11" s="15">
        <f t="shared" si="3"/>
        <v>0.33734339998340662</v>
      </c>
      <c r="K11" s="15">
        <f t="shared" si="3"/>
        <v>0.33681784509013085</v>
      </c>
      <c r="L11" s="15">
        <f t="shared" si="3"/>
        <v>0.33987453755830788</v>
      </c>
      <c r="M11" s="15">
        <f t="shared" si="3"/>
        <v>0.34322298563397874</v>
      </c>
      <c r="N11" s="15">
        <f t="shared" si="3"/>
        <v>0.35048182714925258</v>
      </c>
      <c r="O11" s="15">
        <f t="shared" si="3"/>
        <v>0.34385358120766679</v>
      </c>
      <c r="P11" s="15">
        <f t="shared" si="3"/>
        <v>0.35475405423591955</v>
      </c>
      <c r="Q11" s="15">
        <f t="shared" si="3"/>
        <v>0.35333460729982802</v>
      </c>
      <c r="R11" s="15">
        <f t="shared" si="3"/>
        <v>0.34828017510944342</v>
      </c>
      <c r="S11" s="15">
        <f t="shared" si="3"/>
        <v>0.35275494672754948</v>
      </c>
      <c r="T11" s="15">
        <f t="shared" si="3"/>
        <v>0.36895253308991327</v>
      </c>
      <c r="U11" s="15">
        <f t="shared" si="3"/>
        <v>0.38373311276537081</v>
      </c>
      <c r="V11" s="15">
        <f t="shared" si="3"/>
        <v>0.40016137708445398</v>
      </c>
      <c r="W11" s="15">
        <f t="shared" si="3"/>
        <v>0.39868841432655122</v>
      </c>
      <c r="X11" s="15">
        <f t="shared" si="3"/>
        <v>0.41222975153275249</v>
      </c>
      <c r="Y11" s="15">
        <f t="shared" si="3"/>
        <v>0.42000828929644596</v>
      </c>
      <c r="Z11" s="15">
        <f t="shared" si="3"/>
        <v>0.40230119132471237</v>
      </c>
      <c r="AA11" s="15">
        <f t="shared" si="3"/>
        <v>0.39221646402232407</v>
      </c>
      <c r="AB11" s="15">
        <f t="shared" si="3"/>
        <v>0.38232873396272088</v>
      </c>
      <c r="AC11" s="15">
        <f t="shared" si="3"/>
        <v>0.3821145492812682</v>
      </c>
      <c r="AD11" s="15">
        <f t="shared" si="3"/>
        <v>0.36752666283134927</v>
      </c>
      <c r="AE11" s="15">
        <f t="shared" si="3"/>
        <v>0.35790998977156496</v>
      </c>
      <c r="AF11" s="15">
        <f t="shared" si="3"/>
        <v>0.3580166896216479</v>
      </c>
      <c r="AG11" s="15">
        <f t="shared" si="3"/>
        <v>0.37378277153558054</v>
      </c>
      <c r="AH11" s="15">
        <f t="shared" si="3"/>
        <v>0.36521837179583555</v>
      </c>
      <c r="AI11" s="15">
        <f t="shared" si="3"/>
        <v>0.35594767264983268</v>
      </c>
      <c r="AJ11" s="15">
        <f t="shared" si="3"/>
        <v>0.36214007198560288</v>
      </c>
      <c r="AK11" s="15">
        <f t="shared" si="3"/>
        <v>0.36729241369612597</v>
      </c>
      <c r="AL11" s="15">
        <f t="shared" si="3"/>
        <v>0.34990701428120285</v>
      </c>
      <c r="AM11" s="15">
        <f t="shared" si="3"/>
        <v>0.34547528246070497</v>
      </c>
      <c r="AN11" s="15">
        <f t="shared" si="3"/>
        <v>0.34900561291663779</v>
      </c>
      <c r="AO11" s="15">
        <f t="shared" si="3"/>
        <v>0.355570424891268</v>
      </c>
      <c r="AP11" s="15">
        <f t="shared" si="3"/>
        <v>0.34728559148317134</v>
      </c>
      <c r="AQ11" s="15">
        <f t="shared" si="3"/>
        <v>0.33678210155194571</v>
      </c>
      <c r="AR11" s="15">
        <f t="shared" si="3"/>
        <v>0.34118089036378435</v>
      </c>
      <c r="AS11" s="15">
        <f t="shared" si="3"/>
        <v>0.34748464808691543</v>
      </c>
      <c r="AT11" s="15">
        <f t="shared" si="3"/>
        <v>0.33677643388952649</v>
      </c>
    </row>
    <row r="12" spans="1:46" ht="14.4">
      <c r="A12" s="1" t="s">
        <v>175</v>
      </c>
      <c r="B12" s="1" t="s">
        <v>44</v>
      </c>
      <c r="C12" s="14">
        <f>'Raw Financials'!C59</f>
        <v>0</v>
      </c>
      <c r="D12" s="14">
        <f>'Raw Financials'!D59</f>
        <v>0</v>
      </c>
      <c r="E12" s="14">
        <f>'Raw Financials'!E59</f>
        <v>0</v>
      </c>
      <c r="F12" s="14">
        <f>'Raw Financials'!F59</f>
        <v>0</v>
      </c>
      <c r="G12" s="14">
        <f>'Raw Financials'!G59</f>
        <v>0</v>
      </c>
      <c r="H12" s="14">
        <f>'Raw Financials'!H59</f>
        <v>0</v>
      </c>
      <c r="I12" s="14">
        <f>'Raw Financials'!I59</f>
        <v>0</v>
      </c>
      <c r="J12" s="14">
        <f>'Raw Financials'!J59</f>
        <v>0</v>
      </c>
      <c r="K12" s="14">
        <f>'Raw Financials'!K59</f>
        <v>0</v>
      </c>
      <c r="L12" s="14">
        <f>'Raw Financials'!L59</f>
        <v>0</v>
      </c>
      <c r="M12" s="14">
        <f>'Raw Financials'!M59</f>
        <v>0</v>
      </c>
      <c r="N12" s="14">
        <f>'Raw Financials'!N59</f>
        <v>0</v>
      </c>
      <c r="O12" s="14">
        <f>'Raw Financials'!O59</f>
        <v>0</v>
      </c>
      <c r="P12" s="14">
        <f>'Raw Financials'!P59</f>
        <v>0</v>
      </c>
      <c r="Q12" s="14">
        <f>'Raw Financials'!Q59</f>
        <v>0</v>
      </c>
      <c r="R12" s="14">
        <f>'Raw Financials'!R59</f>
        <v>0</v>
      </c>
      <c r="S12" s="14">
        <f>'Raw Financials'!S59</f>
        <v>289</v>
      </c>
      <c r="T12" s="14">
        <f>'Raw Financials'!T59</f>
        <v>325</v>
      </c>
      <c r="U12" s="14">
        <f>'Raw Financials'!U59</f>
        <v>334</v>
      </c>
      <c r="V12" s="14">
        <f>'Raw Financials'!V59</f>
        <v>328</v>
      </c>
      <c r="W12" s="14">
        <f>'Raw Financials'!W59</f>
        <v>342</v>
      </c>
      <c r="X12" s="14">
        <f>'Raw Financials'!X59</f>
        <v>350</v>
      </c>
      <c r="Y12" s="14">
        <f>'Raw Financials'!Y59</f>
        <v>356</v>
      </c>
      <c r="Z12" s="14">
        <f>'Raw Financials'!Z59</f>
        <v>335</v>
      </c>
      <c r="AA12" s="14">
        <f>'Raw Financials'!AA59</f>
        <v>396</v>
      </c>
      <c r="AB12" s="14">
        <f>'Raw Financials'!AB59</f>
        <v>369</v>
      </c>
      <c r="AC12" s="14">
        <f>'Raw Financials'!AC59</f>
        <v>381</v>
      </c>
      <c r="AD12" s="14">
        <f>'Raw Financials'!AD59</f>
        <v>380</v>
      </c>
      <c r="AE12" s="14">
        <f>'Raw Financials'!AE59</f>
        <v>391</v>
      </c>
      <c r="AF12" s="14">
        <f>'Raw Financials'!AF59</f>
        <v>388</v>
      </c>
      <c r="AG12" s="14">
        <f>'Raw Financials'!AG59</f>
        <v>415</v>
      </c>
      <c r="AH12" s="14">
        <f>'Raw Financials'!AH59</f>
        <v>438</v>
      </c>
      <c r="AI12" s="14">
        <f>'Raw Financials'!AI59</f>
        <v>394</v>
      </c>
      <c r="AJ12" s="14">
        <f>'Raw Financials'!AJ59</f>
        <v>404</v>
      </c>
      <c r="AK12" s="14">
        <f>'Raw Financials'!AK59</f>
        <v>418</v>
      </c>
      <c r="AL12" s="14">
        <f>'Raw Financials'!AL59</f>
        <v>435</v>
      </c>
      <c r="AM12" s="14">
        <f>'Raw Financials'!AM59</f>
        <v>407</v>
      </c>
      <c r="AN12" s="14">
        <f>'Raw Financials'!AN59</f>
        <v>395</v>
      </c>
      <c r="AO12" s="14">
        <f>'Raw Financials'!AO59</f>
        <v>399</v>
      </c>
      <c r="AP12" s="14">
        <f>'Raw Financials'!AP59</f>
        <v>457</v>
      </c>
      <c r="AQ12" s="14">
        <f>'Raw Financials'!AQ59</f>
        <v>455</v>
      </c>
      <c r="AR12" s="14">
        <f>'Raw Financials'!AR59</f>
        <v>494</v>
      </c>
      <c r="AS12" s="14">
        <f>'Raw Financials'!AS59</f>
        <v>521</v>
      </c>
      <c r="AT12" s="14">
        <f>'Raw Financials'!AT59</f>
        <v>530</v>
      </c>
    </row>
    <row r="13" spans="1:46" ht="14.4">
      <c r="A13" s="1" t="s">
        <v>176</v>
      </c>
      <c r="B13" s="1" t="s">
        <v>44</v>
      </c>
      <c r="C13" s="14">
        <f>'Raw Financials'!C60</f>
        <v>1248</v>
      </c>
      <c r="D13" s="14">
        <f>'Raw Financials'!D60</f>
        <v>1263</v>
      </c>
      <c r="E13" s="14">
        <f>'Raw Financials'!E60</f>
        <v>1348</v>
      </c>
      <c r="F13" s="14">
        <f>'Raw Financials'!F60</f>
        <v>1358</v>
      </c>
      <c r="G13" s="14">
        <f>'Raw Financials'!G60</f>
        <v>1375</v>
      </c>
      <c r="H13" s="14">
        <f>'Raw Financials'!H60</f>
        <v>1355</v>
      </c>
      <c r="I13" s="14">
        <f>'Raw Financials'!I60</f>
        <v>1377</v>
      </c>
      <c r="J13" s="14">
        <f>'Raw Financials'!J60</f>
        <v>1417</v>
      </c>
      <c r="K13" s="14">
        <f>'Raw Financials'!K60</f>
        <v>1411</v>
      </c>
      <c r="L13" s="14">
        <f>'Raw Financials'!L60</f>
        <v>1467</v>
      </c>
      <c r="M13" s="14">
        <f>'Raw Financials'!M60</f>
        <v>1432</v>
      </c>
      <c r="N13" s="14">
        <f>'Raw Financials'!N60</f>
        <v>1583</v>
      </c>
      <c r="O13" s="14">
        <f>'Raw Financials'!O60</f>
        <v>1546</v>
      </c>
      <c r="P13" s="14">
        <f>'Raw Financials'!P60</f>
        <v>1773</v>
      </c>
      <c r="Q13" s="14">
        <f>'Raw Financials'!Q60</f>
        <v>1900</v>
      </c>
      <c r="R13" s="14">
        <f>'Raw Financials'!R60</f>
        <v>1972</v>
      </c>
      <c r="S13" s="14">
        <f>'Raw Financials'!S60</f>
        <v>2105</v>
      </c>
      <c r="T13" s="14">
        <f>'Raw Financials'!T60</f>
        <v>2039</v>
      </c>
      <c r="U13" s="14">
        <f>'Raw Financials'!U60</f>
        <v>2155</v>
      </c>
      <c r="V13" s="14">
        <f>'Raw Financials'!V60</f>
        <v>2391</v>
      </c>
      <c r="W13" s="14">
        <f>'Raw Financials'!W60</f>
        <v>2205</v>
      </c>
      <c r="X13" s="14">
        <f>'Raw Financials'!X60</f>
        <v>2364</v>
      </c>
      <c r="Y13" s="14">
        <f>'Raw Financials'!Y60</f>
        <v>2309</v>
      </c>
      <c r="Z13" s="14">
        <f>'Raw Financials'!Z60</f>
        <v>2470</v>
      </c>
      <c r="AA13" s="14">
        <f>'Raw Financials'!AA60</f>
        <v>2567</v>
      </c>
      <c r="AB13" s="14">
        <f>'Raw Financials'!AB60</f>
        <v>2690</v>
      </c>
      <c r="AC13" s="14">
        <f>'Raw Financials'!AC60</f>
        <v>2759</v>
      </c>
      <c r="AD13" s="14">
        <f>'Raw Financials'!AD60</f>
        <v>2872</v>
      </c>
      <c r="AE13" s="14">
        <f>'Raw Financials'!AE60</f>
        <v>3032</v>
      </c>
      <c r="AF13" s="14">
        <f>'Raw Financials'!AF60</f>
        <v>3024</v>
      </c>
      <c r="AG13" s="14">
        <f>'Raw Financials'!AG60</f>
        <v>3200</v>
      </c>
      <c r="AH13" s="14">
        <f>'Raw Financials'!AH60</f>
        <v>3416</v>
      </c>
      <c r="AI13" s="14">
        <f>'Raw Financials'!AI60</f>
        <v>3579</v>
      </c>
      <c r="AJ13" s="14">
        <f>'Raw Financials'!AJ60</f>
        <v>3311</v>
      </c>
      <c r="AK13" s="14">
        <f>'Raw Financials'!AK60</f>
        <v>3272</v>
      </c>
      <c r="AL13" s="14">
        <f>'Raw Financials'!AL60</f>
        <v>3426</v>
      </c>
      <c r="AM13" s="14">
        <f>'Raw Financials'!AM60</f>
        <v>3492</v>
      </c>
      <c r="AN13" s="14">
        <f>'Raw Financials'!AN60</f>
        <v>3309</v>
      </c>
      <c r="AO13" s="14">
        <f>'Raw Financials'!AO60</f>
        <v>3369</v>
      </c>
      <c r="AP13" s="14">
        <f>'Raw Financials'!AP60</f>
        <v>3565</v>
      </c>
      <c r="AQ13" s="14">
        <f>'Raw Financials'!AQ60</f>
        <v>3731</v>
      </c>
      <c r="AR13" s="14">
        <f>'Raw Financials'!AR60</f>
        <v>3811</v>
      </c>
      <c r="AS13" s="14">
        <f>'Raw Financials'!AS60</f>
        <v>3837</v>
      </c>
      <c r="AT13" s="14">
        <f>'Raw Financials'!AT60</f>
        <v>4202</v>
      </c>
    </row>
    <row r="14" spans="1:46" ht="14.4">
      <c r="A14" s="1" t="s">
        <v>266</v>
      </c>
      <c r="B14" s="1" t="s">
        <v>44</v>
      </c>
      <c r="C14" s="14">
        <f t="shared" ref="C14:AT14" si="4">IF(OR(C10="",C12="",C13="",C16=""),"",C10-C12-C13-C16)</f>
        <v>13</v>
      </c>
      <c r="D14" s="14">
        <f t="shared" si="4"/>
        <v>13</v>
      </c>
      <c r="E14" s="14">
        <f t="shared" si="4"/>
        <v>19</v>
      </c>
      <c r="F14" s="14">
        <f t="shared" si="4"/>
        <v>18</v>
      </c>
      <c r="G14" s="14">
        <f t="shared" si="4"/>
        <v>19</v>
      </c>
      <c r="H14" s="14">
        <f t="shared" si="4"/>
        <v>21</v>
      </c>
      <c r="I14" s="14">
        <f t="shared" si="4"/>
        <v>0</v>
      </c>
      <c r="J14" s="14">
        <f t="shared" si="4"/>
        <v>0</v>
      </c>
      <c r="K14" s="14">
        <f t="shared" si="4"/>
        <v>1</v>
      </c>
      <c r="L14" s="14">
        <f t="shared" si="4"/>
        <v>0</v>
      </c>
      <c r="M14" s="14">
        <f t="shared" si="4"/>
        <v>-1</v>
      </c>
      <c r="N14" s="14">
        <f t="shared" si="4"/>
        <v>0</v>
      </c>
      <c r="O14" s="14">
        <f t="shared" si="4"/>
        <v>1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-1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14">
        <f t="shared" si="4"/>
        <v>0</v>
      </c>
      <c r="X14" s="14">
        <f t="shared" si="4"/>
        <v>0</v>
      </c>
      <c r="Y14" s="14">
        <f t="shared" si="4"/>
        <v>-1</v>
      </c>
      <c r="Z14" s="14">
        <f t="shared" si="4"/>
        <v>728</v>
      </c>
      <c r="AA14" s="14">
        <f t="shared" si="4"/>
        <v>0</v>
      </c>
      <c r="AB14" s="14">
        <f t="shared" si="4"/>
        <v>0</v>
      </c>
      <c r="AC14" s="14">
        <f t="shared" si="4"/>
        <v>0</v>
      </c>
      <c r="AD14" s="14">
        <f t="shared" si="4"/>
        <v>0</v>
      </c>
      <c r="AE14" s="14">
        <f t="shared" si="4"/>
        <v>0</v>
      </c>
      <c r="AF14" s="14">
        <f t="shared" si="4"/>
        <v>1</v>
      </c>
      <c r="AG14" s="14">
        <f t="shared" si="4"/>
        <v>1</v>
      </c>
      <c r="AH14" s="14">
        <f t="shared" si="4"/>
        <v>-26</v>
      </c>
      <c r="AI14" s="14">
        <f t="shared" si="4"/>
        <v>0</v>
      </c>
      <c r="AJ14" s="14">
        <f t="shared" si="4"/>
        <v>0</v>
      </c>
      <c r="AK14" s="14">
        <f t="shared" si="4"/>
        <v>0</v>
      </c>
      <c r="AL14" s="14">
        <f t="shared" si="4"/>
        <v>0</v>
      </c>
      <c r="AM14" s="14">
        <f t="shared" si="4"/>
        <v>1</v>
      </c>
      <c r="AN14" s="14">
        <f t="shared" si="4"/>
        <v>0</v>
      </c>
      <c r="AO14" s="14">
        <f t="shared" si="4"/>
        <v>0</v>
      </c>
      <c r="AP14" s="14">
        <f t="shared" si="4"/>
        <v>0</v>
      </c>
      <c r="AQ14" s="14">
        <f t="shared" si="4"/>
        <v>0</v>
      </c>
      <c r="AR14" s="14">
        <f t="shared" si="4"/>
        <v>0</v>
      </c>
      <c r="AS14" s="14">
        <f t="shared" si="4"/>
        <v>0</v>
      </c>
      <c r="AT14" s="14">
        <f t="shared" si="4"/>
        <v>0</v>
      </c>
    </row>
    <row r="15" spans="1:46" ht="14.4">
      <c r="A15" s="1" t="s">
        <v>47</v>
      </c>
      <c r="B15" s="1" t="s">
        <v>44</v>
      </c>
      <c r="C15" s="15">
        <f t="shared" ref="C15:AT15" si="5">IFERROR(C16/C6,"")</f>
        <v>0.21335788074051346</v>
      </c>
      <c r="D15" s="15">
        <f t="shared" si="5"/>
        <v>0.20590274338912548</v>
      </c>
      <c r="E15" s="15">
        <f t="shared" si="5"/>
        <v>0.21332559713760757</v>
      </c>
      <c r="F15" s="15">
        <f t="shared" si="5"/>
        <v>0.22069545709478408</v>
      </c>
      <c r="G15" s="15">
        <f t="shared" si="5"/>
        <v>0.22071277346506704</v>
      </c>
      <c r="H15" s="15">
        <f t="shared" si="5"/>
        <v>0.21616459762132129</v>
      </c>
      <c r="I15" s="15">
        <f t="shared" si="5"/>
        <v>0.22244794311833418</v>
      </c>
      <c r="J15" s="15">
        <f t="shared" si="5"/>
        <v>0.21977930805608561</v>
      </c>
      <c r="K15" s="15">
        <f t="shared" si="5"/>
        <v>0.22059428759568689</v>
      </c>
      <c r="L15" s="15">
        <f t="shared" si="5"/>
        <v>0.22189158758243527</v>
      </c>
      <c r="M15" s="15">
        <f t="shared" si="5"/>
        <v>0.23149594003747659</v>
      </c>
      <c r="N15" s="15">
        <f t="shared" si="5"/>
        <v>0.23036649214659685</v>
      </c>
      <c r="O15" s="15">
        <f t="shared" si="5"/>
        <v>0.23238218763510593</v>
      </c>
      <c r="P15" s="15">
        <f t="shared" si="5"/>
        <v>0.23544848933449969</v>
      </c>
      <c r="Q15" s="15">
        <f t="shared" si="5"/>
        <v>0.23230779030511498</v>
      </c>
      <c r="R15" s="15">
        <f t="shared" si="5"/>
        <v>0.22495309568480301</v>
      </c>
      <c r="S15" s="15">
        <f t="shared" si="5"/>
        <v>0.20706240487062405</v>
      </c>
      <c r="T15" s="15">
        <f t="shared" si="5"/>
        <v>0.23408261068005476</v>
      </c>
      <c r="U15" s="15">
        <f t="shared" si="5"/>
        <v>0.24648469809760132</v>
      </c>
      <c r="V15" s="15">
        <f t="shared" si="5"/>
        <v>0.2538999462076385</v>
      </c>
      <c r="W15" s="15">
        <f t="shared" si="5"/>
        <v>0.25592735833193209</v>
      </c>
      <c r="X15" s="15">
        <f t="shared" si="5"/>
        <v>0.26626868882435195</v>
      </c>
      <c r="Y15" s="15">
        <f t="shared" si="5"/>
        <v>0.28199150347114288</v>
      </c>
      <c r="Z15" s="15">
        <f t="shared" si="5"/>
        <v>0.22243152428469606</v>
      </c>
      <c r="AA15" s="15">
        <f t="shared" si="5"/>
        <v>0.24456846721148096</v>
      </c>
      <c r="AB15" s="15">
        <f t="shared" si="5"/>
        <v>0.23422900024207213</v>
      </c>
      <c r="AC15" s="15">
        <f t="shared" si="5"/>
        <v>0.24150284358067262</v>
      </c>
      <c r="AD15" s="15">
        <f t="shared" si="5"/>
        <v>0.22361375403814665</v>
      </c>
      <c r="AE15" s="15">
        <f t="shared" si="5"/>
        <v>0.21202693487896351</v>
      </c>
      <c r="AF15" s="15">
        <f t="shared" si="5"/>
        <v>0.2197601879607875</v>
      </c>
      <c r="AG15" s="15">
        <f t="shared" si="5"/>
        <v>0.23835205992509365</v>
      </c>
      <c r="AH15" s="15">
        <f t="shared" si="5"/>
        <v>0.22134105089077652</v>
      </c>
      <c r="AI15" s="15">
        <f t="shared" si="5"/>
        <v>0.20486005476118041</v>
      </c>
      <c r="AJ15" s="15">
        <f t="shared" si="5"/>
        <v>0.22285542891421717</v>
      </c>
      <c r="AK15" s="15">
        <f t="shared" si="5"/>
        <v>0.23757294522955777</v>
      </c>
      <c r="AL15" s="15">
        <f t="shared" si="5"/>
        <v>0.21442857644127863</v>
      </c>
      <c r="AM15" s="15">
        <f t="shared" si="5"/>
        <v>0.20647253804754606</v>
      </c>
      <c r="AN15" s="15">
        <f t="shared" si="5"/>
        <v>0.2206707781858499</v>
      </c>
      <c r="AO15" s="15">
        <f t="shared" si="5"/>
        <v>0.22950819672131148</v>
      </c>
      <c r="AP15" s="15">
        <f t="shared" si="5"/>
        <v>0.21430933015935991</v>
      </c>
      <c r="AQ15" s="15">
        <f t="shared" si="5"/>
        <v>0.19885333948400277</v>
      </c>
      <c r="AR15" s="15">
        <f t="shared" si="5"/>
        <v>0.20640535971448251</v>
      </c>
      <c r="AS15" s="15">
        <f t="shared" si="5"/>
        <v>0.21882380727444498</v>
      </c>
      <c r="AT15" s="15">
        <f t="shared" si="5"/>
        <v>0.19752214472793619</v>
      </c>
    </row>
    <row r="16" spans="1:46" ht="14.4">
      <c r="A16" s="18" t="s">
        <v>48</v>
      </c>
      <c r="B16" s="16" t="s">
        <v>46</v>
      </c>
      <c r="C16" s="17">
        <f t="shared" ref="C16:AT16" si="6">IF(OR(C18="",C17=""),"",C18+C17)</f>
        <v>2086</v>
      </c>
      <c r="D16" s="17">
        <f t="shared" si="6"/>
        <v>2079</v>
      </c>
      <c r="E16" s="17">
        <f t="shared" si="6"/>
        <v>2206</v>
      </c>
      <c r="F16" s="17">
        <f t="shared" si="6"/>
        <v>2361</v>
      </c>
      <c r="G16" s="17">
        <f t="shared" si="6"/>
        <v>2502</v>
      </c>
      <c r="H16" s="17">
        <f t="shared" si="6"/>
        <v>2490</v>
      </c>
      <c r="I16" s="17">
        <f t="shared" si="6"/>
        <v>2628</v>
      </c>
      <c r="J16" s="17">
        <f t="shared" si="6"/>
        <v>2649</v>
      </c>
      <c r="K16" s="17">
        <f t="shared" si="6"/>
        <v>2680</v>
      </c>
      <c r="L16" s="17">
        <f t="shared" si="6"/>
        <v>2759</v>
      </c>
      <c r="M16" s="17">
        <f t="shared" si="6"/>
        <v>2965</v>
      </c>
      <c r="N16" s="17">
        <f t="shared" si="6"/>
        <v>3036</v>
      </c>
      <c r="O16" s="17">
        <f t="shared" si="6"/>
        <v>3225</v>
      </c>
      <c r="P16" s="17">
        <f t="shared" si="6"/>
        <v>3499</v>
      </c>
      <c r="Q16" s="17">
        <f t="shared" si="6"/>
        <v>3647</v>
      </c>
      <c r="R16" s="17">
        <f t="shared" si="6"/>
        <v>3597</v>
      </c>
      <c r="S16" s="17">
        <f t="shared" si="6"/>
        <v>3401</v>
      </c>
      <c r="T16" s="17">
        <f t="shared" si="6"/>
        <v>4103</v>
      </c>
      <c r="U16" s="17">
        <f t="shared" si="6"/>
        <v>4470</v>
      </c>
      <c r="V16" s="17">
        <f t="shared" si="6"/>
        <v>4720</v>
      </c>
      <c r="W16" s="17">
        <f t="shared" si="6"/>
        <v>4566</v>
      </c>
      <c r="X16" s="17">
        <f t="shared" si="6"/>
        <v>4951</v>
      </c>
      <c r="Y16" s="17">
        <f t="shared" si="6"/>
        <v>5443</v>
      </c>
      <c r="Z16" s="17">
        <f t="shared" si="6"/>
        <v>4369</v>
      </c>
      <c r="AA16" s="17">
        <f t="shared" si="6"/>
        <v>4908</v>
      </c>
      <c r="AB16" s="17">
        <f t="shared" si="6"/>
        <v>4838</v>
      </c>
      <c r="AC16" s="17">
        <f t="shared" si="6"/>
        <v>5393</v>
      </c>
      <c r="AD16" s="17">
        <f t="shared" si="6"/>
        <v>5053</v>
      </c>
      <c r="AE16" s="17">
        <f t="shared" si="6"/>
        <v>4975</v>
      </c>
      <c r="AF16" s="17">
        <f t="shared" si="6"/>
        <v>5425</v>
      </c>
      <c r="AG16" s="17">
        <f t="shared" si="6"/>
        <v>6364</v>
      </c>
      <c r="AH16" s="17">
        <f t="shared" si="6"/>
        <v>5889</v>
      </c>
      <c r="AI16" s="17">
        <f t="shared" si="6"/>
        <v>5387</v>
      </c>
      <c r="AJ16" s="17">
        <f t="shared" si="6"/>
        <v>5944</v>
      </c>
      <c r="AK16" s="17">
        <f t="shared" si="6"/>
        <v>6758</v>
      </c>
      <c r="AL16" s="17">
        <f t="shared" si="6"/>
        <v>6111</v>
      </c>
      <c r="AM16" s="17">
        <f t="shared" si="6"/>
        <v>5793</v>
      </c>
      <c r="AN16" s="17">
        <f t="shared" si="6"/>
        <v>6369</v>
      </c>
      <c r="AO16" s="17">
        <f t="shared" si="6"/>
        <v>6860</v>
      </c>
      <c r="AP16" s="17">
        <f t="shared" si="6"/>
        <v>6482</v>
      </c>
      <c r="AQ16" s="17">
        <f t="shared" si="6"/>
        <v>6035</v>
      </c>
      <c r="AR16" s="17">
        <f t="shared" si="6"/>
        <v>6593</v>
      </c>
      <c r="AS16" s="17">
        <f t="shared" si="6"/>
        <v>7412</v>
      </c>
      <c r="AT16" s="17">
        <f t="shared" si="6"/>
        <v>6712</v>
      </c>
    </row>
    <row r="17" spans="1:46" ht="14.4">
      <c r="A17" s="1" t="s">
        <v>178</v>
      </c>
      <c r="B17" s="1" t="s">
        <v>44</v>
      </c>
      <c r="C17" s="14">
        <f>'Raw Financials'!C62</f>
        <v>111</v>
      </c>
      <c r="D17" s="14">
        <f>'Raw Financials'!D62</f>
        <v>122</v>
      </c>
      <c r="E17" s="14">
        <f>'Raw Financials'!E62</f>
        <v>134</v>
      </c>
      <c r="F17" s="14">
        <f>'Raw Financials'!F62</f>
        <v>139</v>
      </c>
      <c r="G17" s="14">
        <f>'Raw Financials'!G62</f>
        <v>169</v>
      </c>
      <c r="H17" s="14">
        <f>'Raw Financials'!H62</f>
        <v>172</v>
      </c>
      <c r="I17" s="14">
        <f>'Raw Financials'!I62</f>
        <v>220</v>
      </c>
      <c r="J17" s="14">
        <f>'Raw Financials'!J62</f>
        <v>233</v>
      </c>
      <c r="K17" s="14">
        <f>'Raw Financials'!K62</f>
        <v>236</v>
      </c>
      <c r="L17" s="14">
        <f>'Raw Financials'!L62</f>
        <v>308</v>
      </c>
      <c r="M17" s="14">
        <f>'Raw Financials'!M62</f>
        <v>455</v>
      </c>
      <c r="N17" s="14">
        <f>'Raw Financials'!N62</f>
        <v>453</v>
      </c>
      <c r="O17" s="14">
        <f>'Raw Financials'!O62</f>
        <v>496</v>
      </c>
      <c r="P17" s="14">
        <f>'Raw Financials'!P62</f>
        <v>533</v>
      </c>
      <c r="Q17" s="14">
        <f>'Raw Financials'!Q62</f>
        <v>561</v>
      </c>
      <c r="R17" s="14">
        <f>'Raw Financials'!R62</f>
        <v>558</v>
      </c>
      <c r="S17" s="14">
        <f>'Raw Financials'!S62</f>
        <v>595</v>
      </c>
      <c r="T17" s="14">
        <f>'Raw Financials'!T62</f>
        <v>606</v>
      </c>
      <c r="U17" s="14">
        <f>'Raw Financials'!U62</f>
        <v>800</v>
      </c>
      <c r="V17" s="14">
        <f>'Raw Financials'!V62</f>
        <v>839</v>
      </c>
      <c r="W17" s="14">
        <f>'Raw Financials'!W62</f>
        <v>906</v>
      </c>
      <c r="X17" s="14">
        <f>'Raw Financials'!X62</f>
        <v>935</v>
      </c>
      <c r="Y17" s="14">
        <f>'Raw Financials'!Y62</f>
        <v>1027</v>
      </c>
      <c r="Z17" s="14">
        <f>'Raw Financials'!Z62</f>
        <v>1117</v>
      </c>
      <c r="AA17" s="14">
        <f>'Raw Financials'!AA62</f>
        <v>977</v>
      </c>
      <c r="AB17" s="14">
        <f>'Raw Financials'!AB62</f>
        <v>922</v>
      </c>
      <c r="AC17" s="14">
        <f>'Raw Financials'!AC62</f>
        <v>1136</v>
      </c>
      <c r="AD17" s="14">
        <f>'Raw Financials'!AD62</f>
        <v>984</v>
      </c>
      <c r="AE17" s="14">
        <f>'Raw Financials'!AE62</f>
        <v>983</v>
      </c>
      <c r="AF17" s="14">
        <f>'Raw Financials'!AF62</f>
        <v>998</v>
      </c>
      <c r="AG17" s="14">
        <f>'Raw Financials'!AG62</f>
        <v>1136</v>
      </c>
      <c r="AH17" s="14">
        <f>'Raw Financials'!AH62</f>
        <v>1027</v>
      </c>
      <c r="AI17" s="14">
        <f>'Raw Financials'!AI62</f>
        <v>927</v>
      </c>
      <c r="AJ17" s="14">
        <f>'Raw Financials'!AJ62</f>
        <v>1010</v>
      </c>
      <c r="AK17" s="14">
        <f>'Raw Financials'!AK62</f>
        <v>1143</v>
      </c>
      <c r="AL17" s="14">
        <f>'Raw Financials'!AL62</f>
        <v>1093</v>
      </c>
      <c r="AM17" s="14">
        <f>'Raw Financials'!AM62</f>
        <v>998</v>
      </c>
      <c r="AN17" s="14">
        <f>'Raw Financials'!AN62</f>
        <v>1007</v>
      </c>
      <c r="AO17" s="14">
        <f>'Raw Financials'!AO62</f>
        <v>1039</v>
      </c>
      <c r="AP17" s="14">
        <f>'Raw Financials'!AP62</f>
        <v>1040</v>
      </c>
      <c r="AQ17" s="14">
        <f>'Raw Financials'!AQ62</f>
        <v>1093</v>
      </c>
      <c r="AR17" s="14">
        <f>'Raw Financials'!AR62</f>
        <v>1043</v>
      </c>
      <c r="AS17" s="14">
        <f>'Raw Financials'!AS62</f>
        <v>1127</v>
      </c>
      <c r="AT17" s="14">
        <f>'Raw Financials'!AT62</f>
        <v>1092</v>
      </c>
    </row>
    <row r="18" spans="1:46" ht="14.4">
      <c r="A18" s="18" t="s">
        <v>49</v>
      </c>
      <c r="B18" s="16" t="s">
        <v>44</v>
      </c>
      <c r="C18" s="17">
        <f>'Raw Financials'!C63</f>
        <v>1975</v>
      </c>
      <c r="D18" s="17">
        <f>'Raw Financials'!D63</f>
        <v>1957</v>
      </c>
      <c r="E18" s="17">
        <f>'Raw Financials'!E63</f>
        <v>2072</v>
      </c>
      <c r="F18" s="17">
        <f>'Raw Financials'!F63</f>
        <v>2222</v>
      </c>
      <c r="G18" s="17">
        <f>'Raw Financials'!G63</f>
        <v>2333</v>
      </c>
      <c r="H18" s="17">
        <f>'Raw Financials'!H63</f>
        <v>2318</v>
      </c>
      <c r="I18" s="17">
        <f>'Raw Financials'!I63</f>
        <v>2408</v>
      </c>
      <c r="J18" s="17">
        <f>'Raw Financials'!J63</f>
        <v>2416</v>
      </c>
      <c r="K18" s="17">
        <f>'Raw Financials'!K63</f>
        <v>2444</v>
      </c>
      <c r="L18" s="17">
        <f>'Raw Financials'!L63</f>
        <v>2451</v>
      </c>
      <c r="M18" s="17">
        <f>'Raw Financials'!M63</f>
        <v>2510</v>
      </c>
      <c r="N18" s="17">
        <f>'Raw Financials'!N63</f>
        <v>2583</v>
      </c>
      <c r="O18" s="17">
        <f>'Raw Financials'!O63</f>
        <v>2729</v>
      </c>
      <c r="P18" s="17">
        <f>'Raw Financials'!P63</f>
        <v>2966</v>
      </c>
      <c r="Q18" s="17">
        <f>'Raw Financials'!Q63</f>
        <v>3086</v>
      </c>
      <c r="R18" s="17">
        <f>'Raw Financials'!R63</f>
        <v>3039</v>
      </c>
      <c r="S18" s="17">
        <f>'Raw Financials'!S63</f>
        <v>2806</v>
      </c>
      <c r="T18" s="17">
        <f>'Raw Financials'!T63</f>
        <v>3497</v>
      </c>
      <c r="U18" s="17">
        <f>'Raw Financials'!U63</f>
        <v>3670</v>
      </c>
      <c r="V18" s="17">
        <f>'Raw Financials'!V63</f>
        <v>3881</v>
      </c>
      <c r="W18" s="17">
        <f>'Raw Financials'!W63</f>
        <v>3660</v>
      </c>
      <c r="X18" s="17">
        <f>'Raw Financials'!X63</f>
        <v>4016</v>
      </c>
      <c r="Y18" s="17">
        <f>'Raw Financials'!Y63</f>
        <v>4416</v>
      </c>
      <c r="Z18" s="17">
        <f>'Raw Financials'!Z63</f>
        <v>3252</v>
      </c>
      <c r="AA18" s="17">
        <f>'Raw Financials'!AA63</f>
        <v>3931</v>
      </c>
      <c r="AB18" s="17">
        <f>'Raw Financials'!AB63</f>
        <v>3916</v>
      </c>
      <c r="AC18" s="17">
        <f>'Raw Financials'!AC63</f>
        <v>4257</v>
      </c>
      <c r="AD18" s="17">
        <f>'Raw Financials'!AD63</f>
        <v>4069</v>
      </c>
      <c r="AE18" s="17">
        <f>'Raw Financials'!AE63</f>
        <v>3992</v>
      </c>
      <c r="AF18" s="17">
        <f>'Raw Financials'!AF63</f>
        <v>4427</v>
      </c>
      <c r="AG18" s="17">
        <f>'Raw Financials'!AG63</f>
        <v>5228</v>
      </c>
      <c r="AH18" s="17">
        <f>'Raw Financials'!AH63</f>
        <v>4862</v>
      </c>
      <c r="AI18" s="17">
        <f>'Raw Financials'!AI63</f>
        <v>4460</v>
      </c>
      <c r="AJ18" s="17">
        <f>'Raw Financials'!AJ63</f>
        <v>4934</v>
      </c>
      <c r="AK18" s="17">
        <f>'Raw Financials'!AK63</f>
        <v>5615</v>
      </c>
      <c r="AL18" s="17">
        <f>'Raw Financials'!AL63</f>
        <v>5018</v>
      </c>
      <c r="AM18" s="17">
        <f>'Raw Financials'!AM63</f>
        <v>4795</v>
      </c>
      <c r="AN18" s="17">
        <f>'Raw Financials'!AN63</f>
        <v>5362</v>
      </c>
      <c r="AO18" s="17">
        <f>'Raw Financials'!AO63</f>
        <v>5821</v>
      </c>
      <c r="AP18" s="17">
        <f>'Raw Financials'!AP63</f>
        <v>5442</v>
      </c>
      <c r="AQ18" s="17">
        <f>'Raw Financials'!AQ63</f>
        <v>4942</v>
      </c>
      <c r="AR18" s="17">
        <f>'Raw Financials'!AR63</f>
        <v>5550</v>
      </c>
      <c r="AS18" s="17">
        <f>'Raw Financials'!AS63</f>
        <v>6285</v>
      </c>
      <c r="AT18" s="17">
        <f>'Raw Financials'!AT63</f>
        <v>5620</v>
      </c>
    </row>
    <row r="19" spans="1:46" ht="14.4">
      <c r="A19" s="1" t="s">
        <v>50</v>
      </c>
      <c r="B19" s="1" t="s">
        <v>46</v>
      </c>
      <c r="C19" s="15">
        <f t="shared" ref="C19:AT19" si="7">IFERROR(C18/C6,"")</f>
        <v>0.20200470491970951</v>
      </c>
      <c r="D19" s="15">
        <f t="shared" si="7"/>
        <v>0.19381994651876794</v>
      </c>
      <c r="E19" s="15">
        <f t="shared" si="7"/>
        <v>0.20036746929697322</v>
      </c>
      <c r="F19" s="15">
        <f t="shared" si="7"/>
        <v>0.20770237427556554</v>
      </c>
      <c r="G19" s="15">
        <f t="shared" si="7"/>
        <v>0.2058045165843331</v>
      </c>
      <c r="H19" s="15">
        <f t="shared" si="7"/>
        <v>0.20123274589808143</v>
      </c>
      <c r="I19" s="15">
        <f t="shared" si="7"/>
        <v>0.20382596918909768</v>
      </c>
      <c r="J19" s="15">
        <f t="shared" si="7"/>
        <v>0.20044802123952543</v>
      </c>
      <c r="K19" s="15">
        <f t="shared" si="7"/>
        <v>0.20116882047905177</v>
      </c>
      <c r="L19" s="15">
        <f t="shared" si="7"/>
        <v>0.19712079781244973</v>
      </c>
      <c r="M19" s="15">
        <f t="shared" si="7"/>
        <v>0.19597126795752653</v>
      </c>
      <c r="N19" s="15">
        <f t="shared" si="7"/>
        <v>0.19599362622353744</v>
      </c>
      <c r="O19" s="15">
        <f t="shared" si="7"/>
        <v>0.19664216745928809</v>
      </c>
      <c r="P19" s="15">
        <f t="shared" si="7"/>
        <v>0.19958280061907005</v>
      </c>
      <c r="Q19" s="15">
        <f t="shared" si="7"/>
        <v>0.1965730301293076</v>
      </c>
      <c r="R19" s="15">
        <f t="shared" si="7"/>
        <v>0.19005628517823639</v>
      </c>
      <c r="S19" s="15">
        <f t="shared" si="7"/>
        <v>0.17083713850837137</v>
      </c>
      <c r="T19" s="15">
        <f t="shared" si="7"/>
        <v>0.19950935645823825</v>
      </c>
      <c r="U19" s="15">
        <f t="shared" si="7"/>
        <v>0.20237110559691204</v>
      </c>
      <c r="V19" s="15">
        <f t="shared" si="7"/>
        <v>0.20876815492200107</v>
      </c>
      <c r="W19" s="15">
        <f t="shared" si="7"/>
        <v>0.20514545148814528</v>
      </c>
      <c r="X19" s="15">
        <f t="shared" si="7"/>
        <v>0.21598365063999139</v>
      </c>
      <c r="Y19" s="15">
        <f t="shared" si="7"/>
        <v>0.22878458190861051</v>
      </c>
      <c r="Z19" s="15">
        <f t="shared" si="7"/>
        <v>0.16556358822930456</v>
      </c>
      <c r="AA19" s="15">
        <f t="shared" si="7"/>
        <v>0.19588399441897547</v>
      </c>
      <c r="AB19" s="15">
        <f t="shared" si="7"/>
        <v>0.18959089808763011</v>
      </c>
      <c r="AC19" s="15">
        <f t="shared" si="7"/>
        <v>0.19063185705969279</v>
      </c>
      <c r="AD19" s="15">
        <f t="shared" si="7"/>
        <v>0.18006815063946541</v>
      </c>
      <c r="AE19" s="15">
        <f t="shared" si="7"/>
        <v>0.17013296965564267</v>
      </c>
      <c r="AF19" s="15">
        <f t="shared" si="7"/>
        <v>0.1793324151340841</v>
      </c>
      <c r="AG19" s="15">
        <f t="shared" si="7"/>
        <v>0.19580524344569289</v>
      </c>
      <c r="AH19" s="15">
        <f t="shared" si="7"/>
        <v>0.18274073517251749</v>
      </c>
      <c r="AI19" s="15">
        <f t="shared" si="7"/>
        <v>0.16960754487374505</v>
      </c>
      <c r="AJ19" s="15">
        <f t="shared" si="7"/>
        <v>0.1849880023995201</v>
      </c>
      <c r="AK19" s="15">
        <f t="shared" si="7"/>
        <v>0.19739154889966956</v>
      </c>
      <c r="AL19" s="15">
        <f t="shared" si="7"/>
        <v>0.17607635355626514</v>
      </c>
      <c r="AM19" s="15">
        <f t="shared" si="7"/>
        <v>0.17090209216951208</v>
      </c>
      <c r="AN19" s="15">
        <f t="shared" si="7"/>
        <v>0.18578061118425612</v>
      </c>
      <c r="AO19" s="15">
        <f t="shared" si="7"/>
        <v>0.19474740715958513</v>
      </c>
      <c r="AP19" s="15">
        <f t="shared" si="7"/>
        <v>0.17992461813132316</v>
      </c>
      <c r="AQ19" s="15">
        <f t="shared" si="7"/>
        <v>0.16283897327753796</v>
      </c>
      <c r="AR19" s="15">
        <f t="shared" si="7"/>
        <v>0.17375242627261911</v>
      </c>
      <c r="AS19" s="15">
        <f t="shared" si="7"/>
        <v>0.18555148795465282</v>
      </c>
      <c r="AT19" s="15">
        <f t="shared" si="7"/>
        <v>0.16538653953679996</v>
      </c>
    </row>
    <row r="20" spans="1:46" ht="14.4">
      <c r="A20" s="1" t="s">
        <v>179</v>
      </c>
      <c r="B20" s="1" t="s">
        <v>44</v>
      </c>
      <c r="C20" s="14">
        <f>'Raw Financials'!C64</f>
        <v>36</v>
      </c>
      <c r="D20" s="14">
        <f>'Raw Financials'!D64</f>
        <v>22</v>
      </c>
      <c r="E20" s="14">
        <f>'Raw Financials'!E64</f>
        <v>11</v>
      </c>
      <c r="F20" s="14">
        <f>'Raw Financials'!F64</f>
        <v>3</v>
      </c>
      <c r="G20" s="14">
        <f>'Raw Financials'!G64</f>
        <v>66</v>
      </c>
      <c r="H20" s="14">
        <f>'Raw Financials'!H64</f>
        <v>31</v>
      </c>
      <c r="I20" s="14">
        <f>'Raw Financials'!I64</f>
        <v>43</v>
      </c>
      <c r="J20" s="14">
        <f>'Raw Financials'!J64</f>
        <v>48</v>
      </c>
      <c r="K20" s="14">
        <f>'Raw Financials'!K64</f>
        <v>107</v>
      </c>
      <c r="L20" s="14">
        <f>'Raw Financials'!L64</f>
        <v>144</v>
      </c>
      <c r="M20" s="14">
        <f>'Raw Financials'!M64</f>
        <v>129</v>
      </c>
      <c r="N20" s="14">
        <f>'Raw Financials'!N64</f>
        <v>161</v>
      </c>
      <c r="O20" s="14">
        <f>'Raw Financials'!O64</f>
        <v>143</v>
      </c>
      <c r="P20" s="14">
        <f>'Raw Financials'!P64</f>
        <v>69</v>
      </c>
      <c r="Q20" s="14">
        <f>'Raw Financials'!Q64</f>
        <v>-54</v>
      </c>
      <c r="R20" s="14">
        <f>'Raw Financials'!R64</f>
        <v>23</v>
      </c>
      <c r="S20" s="14">
        <f>'Raw Financials'!S64</f>
        <v>19</v>
      </c>
      <c r="T20" s="14">
        <f>'Raw Financials'!T64</f>
        <v>-10</v>
      </c>
      <c r="U20" s="14">
        <f>'Raw Financials'!U64</f>
        <v>13</v>
      </c>
      <c r="V20" s="14">
        <f>'Raw Financials'!V64</f>
        <v>-36</v>
      </c>
      <c r="W20" s="14">
        <f>'Raw Financials'!W64</f>
        <v>0</v>
      </c>
      <c r="X20" s="14">
        <f>'Raw Financials'!X64</f>
        <v>-3</v>
      </c>
      <c r="Y20" s="14">
        <f>'Raw Financials'!Y64</f>
        <v>2</v>
      </c>
      <c r="Z20" s="14">
        <f>'Raw Financials'!Z64</f>
        <v>47</v>
      </c>
      <c r="AA20" s="14">
        <f>'Raw Financials'!AA64</f>
        <v>41</v>
      </c>
      <c r="AB20" s="14">
        <f>'Raw Financials'!AB64</f>
        <v>79</v>
      </c>
      <c r="AC20" s="14">
        <f>'Raw Financials'!AC64</f>
        <v>73</v>
      </c>
      <c r="AD20" s="14">
        <f>'Raw Financials'!AD64</f>
        <v>135</v>
      </c>
      <c r="AE20" s="14">
        <f>'Raw Financials'!AE64</f>
        <v>82</v>
      </c>
      <c r="AF20" s="14">
        <f>'Raw Financials'!AF64</f>
        <v>46</v>
      </c>
      <c r="AG20" s="14">
        <f>'Raw Financials'!AG64</f>
        <v>3</v>
      </c>
      <c r="AH20" s="14">
        <f>'Raw Financials'!AH64</f>
        <v>-40</v>
      </c>
      <c r="AI20" s="14">
        <f>'Raw Financials'!AI64</f>
        <v>-22</v>
      </c>
      <c r="AJ20" s="14">
        <f>'Raw Financials'!AJ64</f>
        <v>-15</v>
      </c>
      <c r="AK20" s="14">
        <f>'Raw Financials'!AK64</f>
        <v>29</v>
      </c>
      <c r="AL20" s="14">
        <f>'Raw Financials'!AL64</f>
        <v>6</v>
      </c>
      <c r="AM20" s="14">
        <f>'Raw Financials'!AM64</f>
        <v>81</v>
      </c>
      <c r="AN20" s="14">
        <f>'Raw Financials'!AN64</f>
        <v>3</v>
      </c>
      <c r="AO20" s="14">
        <f>'Raw Financials'!AO64</f>
        <v>7</v>
      </c>
      <c r="AP20" s="14">
        <f>'Raw Financials'!AP64</f>
        <v>-5</v>
      </c>
      <c r="AQ20" s="14">
        <f>'Raw Financials'!AQ64</f>
        <v>5</v>
      </c>
      <c r="AR20" s="14">
        <f>'Raw Financials'!AR64</f>
        <v>-53</v>
      </c>
      <c r="AS20" s="14">
        <f>'Raw Financials'!AS64</f>
        <v>-65</v>
      </c>
      <c r="AT20" s="14">
        <f>'Raw Financials'!AT64</f>
        <v>-128</v>
      </c>
    </row>
    <row r="21" spans="1:46" ht="14.4">
      <c r="A21" s="1" t="s">
        <v>180</v>
      </c>
      <c r="B21" s="1" t="s">
        <v>44</v>
      </c>
      <c r="C21" s="14">
        <f>'Raw Financials'!C65</f>
        <v>177</v>
      </c>
      <c r="D21" s="14">
        <f>'Raw Financials'!D65</f>
        <v>219</v>
      </c>
      <c r="E21" s="14">
        <f>'Raw Financials'!E65</f>
        <v>344</v>
      </c>
      <c r="F21" s="14">
        <f>'Raw Financials'!F65</f>
        <v>197</v>
      </c>
      <c r="G21" s="14">
        <f>'Raw Financials'!G65</f>
        <v>187</v>
      </c>
      <c r="H21" s="14">
        <f>'Raw Financials'!H65</f>
        <v>204</v>
      </c>
      <c r="I21" s="14">
        <f>'Raw Financials'!I65</f>
        <v>188</v>
      </c>
      <c r="J21" s="14">
        <f>'Raw Financials'!J65</f>
        <v>167</v>
      </c>
      <c r="K21" s="14">
        <f>'Raw Financials'!K65</f>
        <v>162</v>
      </c>
      <c r="L21" s="14">
        <f>'Raw Financials'!L65</f>
        <v>154</v>
      </c>
      <c r="M21" s="14">
        <f>'Raw Financials'!M65</f>
        <v>135</v>
      </c>
      <c r="N21" s="14">
        <f>'Raw Financials'!N65</f>
        <v>119</v>
      </c>
      <c r="O21" s="14">
        <f>'Raw Financials'!O65</f>
        <v>153</v>
      </c>
      <c r="P21" s="14">
        <f>'Raw Financials'!P65</f>
        <v>183</v>
      </c>
      <c r="Q21" s="14">
        <f>'Raw Financials'!Q65</f>
        <v>159</v>
      </c>
      <c r="R21" s="14">
        <f>'Raw Financials'!R65</f>
        <v>129</v>
      </c>
      <c r="S21" s="14">
        <f>'Raw Financials'!S65</f>
        <v>109</v>
      </c>
      <c r="T21" s="14">
        <f>'Raw Financials'!T65</f>
        <v>7</v>
      </c>
      <c r="U21" s="14">
        <f>'Raw Financials'!U65</f>
        <v>54</v>
      </c>
      <c r="V21" s="14">
        <f>'Raw Financials'!V65</f>
        <v>23</v>
      </c>
      <c r="W21" s="14">
        <f>'Raw Financials'!W65</f>
        <v>205</v>
      </c>
      <c r="X21" s="14">
        <f>'Raw Financials'!X65</f>
        <v>139</v>
      </c>
      <c r="Y21" s="14">
        <f>'Raw Financials'!Y65</f>
        <v>124</v>
      </c>
      <c r="Z21" s="14">
        <f>'Raw Financials'!Z65</f>
        <v>143</v>
      </c>
      <c r="AA21" s="14">
        <f>'Raw Financials'!AA65</f>
        <v>153</v>
      </c>
      <c r="AB21" s="14">
        <f>'Raw Financials'!AB65</f>
        <v>128</v>
      </c>
      <c r="AC21" s="14">
        <f>'Raw Financials'!AC65</f>
        <v>100</v>
      </c>
      <c r="AD21" s="14">
        <f>'Raw Financials'!AD65</f>
        <v>117</v>
      </c>
      <c r="AE21" s="14">
        <f>'Raw Financials'!AE65</f>
        <v>263</v>
      </c>
      <c r="AF21" s="14">
        <f>'Raw Financials'!AF65</f>
        <v>111</v>
      </c>
      <c r="AG21" s="14">
        <f>'Raw Financials'!AG65</f>
        <v>141</v>
      </c>
      <c r="AH21" s="14">
        <f>'Raw Financials'!AH65</f>
        <v>397</v>
      </c>
      <c r="AI21" s="14">
        <f>'Raw Financials'!AI65</f>
        <v>258</v>
      </c>
      <c r="AJ21" s="14">
        <f>'Raw Financials'!AJ65</f>
        <v>209</v>
      </c>
      <c r="AK21" s="14">
        <f>'Raw Financials'!AK65</f>
        <v>230</v>
      </c>
      <c r="AL21" s="14">
        <f>'Raw Financials'!AL65</f>
        <v>245</v>
      </c>
      <c r="AM21" s="14">
        <f>'Raw Financials'!AM65</f>
        <v>831</v>
      </c>
      <c r="AN21" s="14">
        <f>'Raw Financials'!AN65</f>
        <v>322</v>
      </c>
      <c r="AO21" s="14">
        <f>'Raw Financials'!AO65</f>
        <v>304</v>
      </c>
      <c r="AP21" s="14">
        <f>'Raw Financials'!AP65</f>
        <v>298</v>
      </c>
      <c r="AQ21" s="14">
        <f>'Raw Financials'!AQ65</f>
        <v>242</v>
      </c>
      <c r="AR21" s="14">
        <f>'Raw Financials'!AR65</f>
        <v>205</v>
      </c>
      <c r="AS21" s="14">
        <f>'Raw Financials'!AS65</f>
        <v>245</v>
      </c>
      <c r="AT21" s="14">
        <f>'Raw Financials'!AT65</f>
        <v>210</v>
      </c>
    </row>
    <row r="22" spans="1:46" ht="14.4">
      <c r="A22" s="18" t="s">
        <v>267</v>
      </c>
      <c r="B22" s="16" t="s">
        <v>44</v>
      </c>
      <c r="C22" s="17">
        <f t="shared" ref="C22:AT22" si="8">IF(OR(C18="",C20="",C21=""),"",SUM(C18,C20,C21))</f>
        <v>2188</v>
      </c>
      <c r="D22" s="17">
        <f t="shared" si="8"/>
        <v>2198</v>
      </c>
      <c r="E22" s="17">
        <f t="shared" si="8"/>
        <v>2427</v>
      </c>
      <c r="F22" s="17">
        <f t="shared" si="8"/>
        <v>2422</v>
      </c>
      <c r="G22" s="17">
        <f t="shared" si="8"/>
        <v>2586</v>
      </c>
      <c r="H22" s="17">
        <f t="shared" si="8"/>
        <v>2553</v>
      </c>
      <c r="I22" s="17">
        <f t="shared" si="8"/>
        <v>2639</v>
      </c>
      <c r="J22" s="17">
        <f t="shared" si="8"/>
        <v>2631</v>
      </c>
      <c r="K22" s="17">
        <f t="shared" si="8"/>
        <v>2713</v>
      </c>
      <c r="L22" s="17">
        <f t="shared" si="8"/>
        <v>2749</v>
      </c>
      <c r="M22" s="17">
        <f t="shared" si="8"/>
        <v>2774</v>
      </c>
      <c r="N22" s="17">
        <f t="shared" si="8"/>
        <v>2863</v>
      </c>
      <c r="O22" s="17">
        <f t="shared" si="8"/>
        <v>3025</v>
      </c>
      <c r="P22" s="17">
        <f t="shared" si="8"/>
        <v>3218</v>
      </c>
      <c r="Q22" s="17">
        <f t="shared" si="8"/>
        <v>3191</v>
      </c>
      <c r="R22" s="17">
        <f t="shared" si="8"/>
        <v>3191</v>
      </c>
      <c r="S22" s="17">
        <f t="shared" si="8"/>
        <v>2934</v>
      </c>
      <c r="T22" s="17">
        <f t="shared" si="8"/>
        <v>3494</v>
      </c>
      <c r="U22" s="17">
        <f t="shared" si="8"/>
        <v>3737</v>
      </c>
      <c r="V22" s="17">
        <f t="shared" si="8"/>
        <v>3868</v>
      </c>
      <c r="W22" s="17">
        <f t="shared" si="8"/>
        <v>3865</v>
      </c>
      <c r="X22" s="17">
        <f t="shared" si="8"/>
        <v>4152</v>
      </c>
      <c r="Y22" s="17">
        <f t="shared" si="8"/>
        <v>4542</v>
      </c>
      <c r="Z22" s="17">
        <f t="shared" si="8"/>
        <v>3442</v>
      </c>
      <c r="AA22" s="17">
        <f t="shared" si="8"/>
        <v>4125</v>
      </c>
      <c r="AB22" s="17">
        <f t="shared" si="8"/>
        <v>4123</v>
      </c>
      <c r="AC22" s="17">
        <f t="shared" si="8"/>
        <v>4430</v>
      </c>
      <c r="AD22" s="17">
        <f t="shared" si="8"/>
        <v>4321</v>
      </c>
      <c r="AE22" s="17">
        <f t="shared" si="8"/>
        <v>4337</v>
      </c>
      <c r="AF22" s="17">
        <f t="shared" si="8"/>
        <v>4584</v>
      </c>
      <c r="AG22" s="17">
        <f t="shared" si="8"/>
        <v>5372</v>
      </c>
      <c r="AH22" s="17">
        <f t="shared" si="8"/>
        <v>5219</v>
      </c>
      <c r="AI22" s="17">
        <f t="shared" si="8"/>
        <v>4696</v>
      </c>
      <c r="AJ22" s="17">
        <f t="shared" si="8"/>
        <v>5128</v>
      </c>
      <c r="AK22" s="17">
        <f t="shared" si="8"/>
        <v>5874</v>
      </c>
      <c r="AL22" s="17">
        <f t="shared" si="8"/>
        <v>5269</v>
      </c>
      <c r="AM22" s="17">
        <f t="shared" si="8"/>
        <v>5707</v>
      </c>
      <c r="AN22" s="17">
        <f t="shared" si="8"/>
        <v>5687</v>
      </c>
      <c r="AO22" s="17">
        <f t="shared" si="8"/>
        <v>6132</v>
      </c>
      <c r="AP22" s="17">
        <f t="shared" si="8"/>
        <v>5735</v>
      </c>
      <c r="AQ22" s="17">
        <f t="shared" si="8"/>
        <v>5189</v>
      </c>
      <c r="AR22" s="17">
        <f t="shared" si="8"/>
        <v>5702</v>
      </c>
      <c r="AS22" s="17">
        <f t="shared" si="8"/>
        <v>6465</v>
      </c>
      <c r="AT22" s="17">
        <f t="shared" si="8"/>
        <v>5702</v>
      </c>
    </row>
    <row r="23" spans="1:46" ht="14.4">
      <c r="A23" s="1" t="s">
        <v>181</v>
      </c>
      <c r="B23" s="1" t="s">
        <v>44</v>
      </c>
      <c r="C23" s="14">
        <f>'Raw Financials'!C66</f>
        <v>406</v>
      </c>
      <c r="D23" s="14">
        <f>'Raw Financials'!D66</f>
        <v>472</v>
      </c>
      <c r="E23" s="14">
        <f>'Raw Financials'!E66</f>
        <v>508</v>
      </c>
      <c r="F23" s="14">
        <f>'Raw Financials'!F66</f>
        <v>497</v>
      </c>
      <c r="G23" s="14">
        <f>'Raw Financials'!G66</f>
        <v>543</v>
      </c>
      <c r="H23" s="14">
        <f>'Raw Financials'!H66</f>
        <v>538</v>
      </c>
      <c r="I23" s="14">
        <f>'Raw Financials'!I66</f>
        <v>568</v>
      </c>
      <c r="J23" s="14">
        <f>'Raw Financials'!J66</f>
        <v>303</v>
      </c>
      <c r="K23" s="14">
        <f>'Raw Financials'!K66</f>
        <v>543</v>
      </c>
      <c r="L23" s="14">
        <f>'Raw Financials'!L66</f>
        <v>561</v>
      </c>
      <c r="M23" s="14">
        <f>'Raw Financials'!M66</f>
        <v>579</v>
      </c>
      <c r="N23" s="14">
        <f>'Raw Financials'!N66</f>
        <v>634</v>
      </c>
      <c r="O23" s="14">
        <f>'Raw Financials'!O66</f>
        <v>622</v>
      </c>
      <c r="P23" s="14">
        <f>'Raw Financials'!P66</f>
        <v>678</v>
      </c>
      <c r="Q23" s="14">
        <f>'Raw Financials'!Q66</f>
        <v>566</v>
      </c>
      <c r="R23" s="14">
        <f>'Raw Financials'!R66</f>
        <v>615</v>
      </c>
      <c r="S23" s="14">
        <f>'Raw Financials'!S66</f>
        <v>705</v>
      </c>
      <c r="T23" s="14">
        <f>'Raw Financials'!T66</f>
        <v>835</v>
      </c>
      <c r="U23" s="14">
        <f>'Raw Financials'!U66</f>
        <v>691</v>
      </c>
      <c r="V23" s="14">
        <f>'Raw Financials'!V66</f>
        <v>707</v>
      </c>
      <c r="W23" s="14">
        <f>'Raw Financials'!W66</f>
        <v>929</v>
      </c>
      <c r="X23" s="14">
        <f>'Raw Financials'!X66</f>
        <v>999</v>
      </c>
      <c r="Y23" s="14">
        <f>'Raw Financials'!Y66</f>
        <v>544</v>
      </c>
      <c r="Z23" s="14">
        <f>'Raw Financials'!Z66</f>
        <v>1191</v>
      </c>
      <c r="AA23" s="14">
        <f>'Raw Financials'!AA66</f>
        <v>894</v>
      </c>
      <c r="AB23" s="14">
        <f>'Raw Financials'!AB66</f>
        <v>846</v>
      </c>
      <c r="AC23" s="14">
        <f>'Raw Financials'!AC66</f>
        <v>982</v>
      </c>
      <c r="AD23" s="14">
        <f>'Raw Financials'!AD66</f>
        <v>721</v>
      </c>
      <c r="AE23" s="14">
        <f>'Raw Financials'!AE66</f>
        <v>1056</v>
      </c>
      <c r="AF23" s="14">
        <f>'Raw Financials'!AF66</f>
        <v>1096</v>
      </c>
      <c r="AG23" s="14">
        <f>'Raw Financials'!AG66</f>
        <v>1276</v>
      </c>
      <c r="AH23" s="14">
        <f>'Raw Financials'!AH66</f>
        <v>1214</v>
      </c>
      <c r="AI23" s="14">
        <f>'Raw Financials'!AI66</f>
        <v>1165</v>
      </c>
      <c r="AJ23" s="14">
        <f>'Raw Financials'!AJ66</f>
        <v>1295</v>
      </c>
      <c r="AK23" s="14">
        <f>'Raw Financials'!AK66</f>
        <v>1523</v>
      </c>
      <c r="AL23" s="14">
        <f>'Raw Financials'!AL66</f>
        <v>1274</v>
      </c>
      <c r="AM23" s="14">
        <f>'Raw Financials'!AM66</f>
        <v>1448</v>
      </c>
      <c r="AN23" s="14">
        <f>'Raw Financials'!AN66</f>
        <v>1450</v>
      </c>
      <c r="AO23" s="14">
        <f>'Raw Financials'!AO66</f>
        <v>1538</v>
      </c>
      <c r="AP23" s="14">
        <f>'Raw Financials'!AP66</f>
        <v>1426</v>
      </c>
      <c r="AQ23" s="14">
        <f>'Raw Financials'!AQ66</f>
        <v>1345</v>
      </c>
      <c r="AR23" s="14">
        <f>'Raw Financials'!AR66</f>
        <v>1466</v>
      </c>
      <c r="AS23" s="14">
        <f>'Raw Financials'!AS66</f>
        <v>1664</v>
      </c>
      <c r="AT23" s="14">
        <f>'Raw Financials'!AT66</f>
        <v>1212</v>
      </c>
    </row>
    <row r="24" spans="1:46" ht="14.4">
      <c r="A24" s="1" t="s">
        <v>182</v>
      </c>
      <c r="B24" s="1" t="s">
        <v>44</v>
      </c>
      <c r="C24" s="14">
        <f>'Raw Financials'!C67</f>
        <v>0</v>
      </c>
      <c r="D24" s="14">
        <f>'Raw Financials'!D67</f>
        <v>0</v>
      </c>
      <c r="E24" s="14">
        <f>'Raw Financials'!E67</f>
        <v>0</v>
      </c>
      <c r="F24" s="14">
        <f>'Raw Financials'!F67</f>
        <v>0</v>
      </c>
      <c r="G24" s="14">
        <f>'Raw Financials'!G67</f>
        <v>0</v>
      </c>
      <c r="H24" s="14">
        <f>'Raw Financials'!H67</f>
        <v>0</v>
      </c>
      <c r="I24" s="14">
        <f>'Raw Financials'!I67</f>
        <v>0</v>
      </c>
      <c r="J24" s="14">
        <f>'Raw Financials'!J67</f>
        <v>0</v>
      </c>
      <c r="K24" s="14">
        <f>'Raw Financials'!K67</f>
        <v>0</v>
      </c>
      <c r="L24" s="14">
        <f>'Raw Financials'!L67</f>
        <v>0</v>
      </c>
      <c r="M24" s="14">
        <f>'Raw Financials'!M67</f>
        <v>0</v>
      </c>
      <c r="N24" s="14">
        <f>'Raw Financials'!N67</f>
        <v>0</v>
      </c>
      <c r="O24" s="14">
        <f>'Raw Financials'!O67</f>
        <v>0</v>
      </c>
      <c r="P24" s="14">
        <f>'Raw Financials'!P67</f>
        <v>0</v>
      </c>
      <c r="Q24" s="14">
        <f>'Raw Financials'!Q67</f>
        <v>0</v>
      </c>
      <c r="R24" s="14">
        <f>'Raw Financials'!R67</f>
        <v>0</v>
      </c>
      <c r="S24" s="14">
        <f>'Raw Financials'!S67</f>
        <v>8</v>
      </c>
      <c r="T24" s="14">
        <f>'Raw Financials'!T67</f>
        <v>2540</v>
      </c>
      <c r="U24" s="14">
        <f>'Raw Financials'!U67</f>
        <v>8</v>
      </c>
      <c r="V24" s="14">
        <f>'Raw Financials'!V67</f>
        <v>8</v>
      </c>
      <c r="W24" s="14">
        <f>'Raw Financials'!W67</f>
        <v>13</v>
      </c>
      <c r="X24" s="14">
        <f>'Raw Financials'!X67</f>
        <v>11</v>
      </c>
      <c r="Y24" s="14">
        <f>'Raw Financials'!Y67</f>
        <v>16</v>
      </c>
      <c r="Z24" s="14">
        <f>'Raw Financials'!Z67</f>
        <v>17</v>
      </c>
      <c r="AA24" s="14">
        <f>'Raw Financials'!AA67</f>
        <v>16</v>
      </c>
      <c r="AB24" s="14">
        <f>'Raw Financials'!AB67</f>
        <v>13</v>
      </c>
      <c r="AC24" s="14">
        <f>'Raw Financials'!AC67</f>
        <v>6</v>
      </c>
      <c r="AD24" s="14">
        <f>'Raw Financials'!AD67</f>
        <v>6</v>
      </c>
      <c r="AE24" s="14">
        <f>'Raw Financials'!AE67</f>
        <v>-2</v>
      </c>
      <c r="AF24" s="14">
        <f>'Raw Financials'!AF67</f>
        <v>-1</v>
      </c>
      <c r="AG24" s="14">
        <f>'Raw Financials'!AG67</f>
        <v>0</v>
      </c>
      <c r="AH24" s="14">
        <f>'Raw Financials'!AH67</f>
        <v>-2</v>
      </c>
      <c r="AI24" s="14">
        <f>'Raw Financials'!AI67</f>
        <v>-3</v>
      </c>
      <c r="AJ24" s="14">
        <f>'Raw Financials'!AJ67</f>
        <v>1</v>
      </c>
      <c r="AK24" s="14">
        <f>'Raw Financials'!AK67</f>
        <v>1</v>
      </c>
      <c r="AL24" s="14">
        <f>'Raw Financials'!AL67</f>
        <v>9</v>
      </c>
      <c r="AM24" s="14">
        <f>'Raw Financials'!AM67</f>
        <v>2</v>
      </c>
      <c r="AN24" s="14">
        <f>'Raw Financials'!AN67</f>
        <v>2</v>
      </c>
      <c r="AO24" s="14">
        <f>'Raw Financials'!AO67</f>
        <v>3</v>
      </c>
      <c r="AP24" s="14">
        <f>'Raw Financials'!AP67</f>
        <v>2</v>
      </c>
      <c r="AQ24" s="14">
        <f>'Raw Financials'!AQ67</f>
        <v>1</v>
      </c>
      <c r="AR24" s="14">
        <f>'Raw Financials'!AR67</f>
        <v>1</v>
      </c>
      <c r="AS24" s="14">
        <f>'Raw Financials'!AS67</f>
        <v>6</v>
      </c>
      <c r="AT24" s="14">
        <f>'Raw Financials'!AT67</f>
        <v>2</v>
      </c>
    </row>
    <row r="25" spans="1:46" ht="14.4">
      <c r="A25" s="18" t="s">
        <v>183</v>
      </c>
      <c r="B25" s="16" t="s">
        <v>44</v>
      </c>
      <c r="C25" s="17">
        <f>'Raw Financials'!C68</f>
        <v>1782</v>
      </c>
      <c r="D25" s="17">
        <f>'Raw Financials'!D68</f>
        <v>1726</v>
      </c>
      <c r="E25" s="17">
        <f>'Raw Financials'!E68</f>
        <v>1920</v>
      </c>
      <c r="F25" s="17">
        <f>'Raw Financials'!F68</f>
        <v>1926</v>
      </c>
      <c r="G25" s="17">
        <f>'Raw Financials'!G68</f>
        <v>2047</v>
      </c>
      <c r="H25" s="17">
        <f>'Raw Financials'!H68</f>
        <v>2014</v>
      </c>
      <c r="I25" s="17">
        <f>'Raw Financials'!I68</f>
        <v>2070</v>
      </c>
      <c r="J25" s="17">
        <f>'Raw Financials'!J68</f>
        <v>2325</v>
      </c>
      <c r="K25" s="17">
        <f>'Raw Financials'!K68</f>
        <v>2171</v>
      </c>
      <c r="L25" s="17">
        <f>'Raw Financials'!L68</f>
        <v>2188</v>
      </c>
      <c r="M25" s="17">
        <f>'Raw Financials'!M68</f>
        <v>2194</v>
      </c>
      <c r="N25" s="17">
        <f>'Raw Financials'!N68</f>
        <v>2227</v>
      </c>
      <c r="O25" s="17">
        <f>'Raw Financials'!O68</f>
        <v>2403</v>
      </c>
      <c r="P25" s="17">
        <f>'Raw Financials'!P68</f>
        <v>2540</v>
      </c>
      <c r="Q25" s="17">
        <f>'Raw Financials'!Q68</f>
        <v>2611</v>
      </c>
      <c r="R25" s="17">
        <f>'Raw Financials'!R68</f>
        <v>2568</v>
      </c>
      <c r="S25" s="17">
        <f>'Raw Financials'!S68</f>
        <v>2220</v>
      </c>
      <c r="T25" s="17">
        <f>'Raw Financials'!T68</f>
        <v>2651</v>
      </c>
      <c r="U25" s="17">
        <f>'Raw Financials'!U68</f>
        <v>3037</v>
      </c>
      <c r="V25" s="17">
        <f>'Raw Financials'!V68</f>
        <v>3154</v>
      </c>
      <c r="W25" s="17">
        <f>'Raw Financials'!W68</f>
        <v>2925</v>
      </c>
      <c r="X25" s="17">
        <f>'Raw Financials'!X68</f>
        <v>3142</v>
      </c>
      <c r="Y25" s="17">
        <f>'Raw Financials'!Y68</f>
        <v>3982</v>
      </c>
      <c r="Z25" s="17">
        <f>'Raw Financials'!Z68</f>
        <v>1096</v>
      </c>
      <c r="AA25" s="17">
        <f>'Raw Financials'!AA68</f>
        <v>3214</v>
      </c>
      <c r="AB25" s="17">
        <f>'Raw Financials'!AB68</f>
        <v>3265</v>
      </c>
      <c r="AC25" s="17">
        <f>'Raw Financials'!AC68</f>
        <v>3442</v>
      </c>
      <c r="AD25" s="17">
        <f>'Raw Financials'!AD68</f>
        <v>3593</v>
      </c>
      <c r="AE25" s="17">
        <f>'Raw Financials'!AE68</f>
        <v>3283</v>
      </c>
      <c r="AF25" s="17">
        <f>'Raw Financials'!AF68</f>
        <v>3489</v>
      </c>
      <c r="AG25" s="17">
        <f>'Raw Financials'!AG68</f>
        <v>4096</v>
      </c>
      <c r="AH25" s="17">
        <f>'Raw Financials'!AH68</f>
        <v>3983</v>
      </c>
      <c r="AI25" s="17">
        <f>'Raw Financials'!AI68</f>
        <v>3534</v>
      </c>
      <c r="AJ25" s="17">
        <f>'Raw Financials'!AJ68</f>
        <v>3832</v>
      </c>
      <c r="AK25" s="17">
        <f>'Raw Financials'!AK68</f>
        <v>4350</v>
      </c>
      <c r="AL25" s="17">
        <f>'Raw Financials'!AL68</f>
        <v>3986</v>
      </c>
      <c r="AM25" s="17">
        <f>'Raw Financials'!AM68</f>
        <v>4257</v>
      </c>
      <c r="AN25" s="17">
        <f>'Raw Financials'!AN68</f>
        <v>4235</v>
      </c>
      <c r="AO25" s="17">
        <f>'Raw Financials'!AO68</f>
        <v>4591</v>
      </c>
      <c r="AP25" s="17">
        <f>'Raw Financials'!AP68</f>
        <v>4307</v>
      </c>
      <c r="AQ25" s="17">
        <f>'Raw Financials'!AQ68</f>
        <v>3843</v>
      </c>
      <c r="AR25" s="17">
        <f>'Raw Financials'!AR68</f>
        <v>4235</v>
      </c>
      <c r="AS25" s="17">
        <f>'Raw Financials'!AS68</f>
        <v>4795</v>
      </c>
      <c r="AT25" s="17">
        <f>'Raw Financials'!AT68</f>
        <v>4488</v>
      </c>
    </row>
    <row r="26" spans="1:46" ht="14.4">
      <c r="A26" s="1" t="s">
        <v>52</v>
      </c>
      <c r="B26" s="1" t="s">
        <v>46</v>
      </c>
      <c r="C26" s="15">
        <f t="shared" ref="C26:AT26" si="9">IFERROR(C25/C6,"")</f>
        <v>0.18226449831236577</v>
      </c>
      <c r="D26" s="15">
        <f t="shared" si="9"/>
        <v>0.17094186391997623</v>
      </c>
      <c r="E26" s="15">
        <f t="shared" si="9"/>
        <v>0.18566869741804468</v>
      </c>
      <c r="F26" s="15">
        <f t="shared" si="9"/>
        <v>0.18003365114974762</v>
      </c>
      <c r="G26" s="15">
        <f t="shared" si="9"/>
        <v>0.18057515878616795</v>
      </c>
      <c r="H26" s="15">
        <f t="shared" si="9"/>
        <v>0.17484156610816912</v>
      </c>
      <c r="I26" s="15">
        <f t="shared" si="9"/>
        <v>0.17521584560690706</v>
      </c>
      <c r="J26" s="15">
        <f t="shared" si="9"/>
        <v>0.19289803368455985</v>
      </c>
      <c r="K26" s="15">
        <f t="shared" si="9"/>
        <v>0.17869783521277471</v>
      </c>
      <c r="L26" s="15">
        <f t="shared" si="9"/>
        <v>0.17596911693742961</v>
      </c>
      <c r="M26" s="15">
        <f t="shared" si="9"/>
        <v>0.17129918800749533</v>
      </c>
      <c r="N26" s="15">
        <f t="shared" si="9"/>
        <v>0.16898095454890355</v>
      </c>
      <c r="O26" s="15">
        <f t="shared" si="9"/>
        <v>0.17315175097276264</v>
      </c>
      <c r="P26" s="15">
        <f t="shared" si="9"/>
        <v>0.17091716573581858</v>
      </c>
      <c r="Q26" s="15">
        <f t="shared" si="9"/>
        <v>0.16631632588062933</v>
      </c>
      <c r="R26" s="15">
        <f t="shared" si="9"/>
        <v>0.16060037523452159</v>
      </c>
      <c r="S26" s="15">
        <f t="shared" si="9"/>
        <v>0.13515981735159818</v>
      </c>
      <c r="T26" s="15">
        <f t="shared" si="9"/>
        <v>0.15124372432679142</v>
      </c>
      <c r="U26" s="15">
        <f t="shared" si="9"/>
        <v>0.16746622553074167</v>
      </c>
      <c r="V26" s="15">
        <f t="shared" si="9"/>
        <v>0.16966110812264659</v>
      </c>
      <c r="W26" s="15">
        <f t="shared" si="9"/>
        <v>0.1639482091810997</v>
      </c>
      <c r="X26" s="15">
        <f t="shared" si="9"/>
        <v>0.16897924061525224</v>
      </c>
      <c r="Y26" s="15">
        <f t="shared" si="9"/>
        <v>0.20629986529893277</v>
      </c>
      <c r="Z26" s="15">
        <f t="shared" si="9"/>
        <v>5.5798798493025152E-2</v>
      </c>
      <c r="AA26" s="15">
        <f t="shared" si="9"/>
        <v>0.16015547139724937</v>
      </c>
      <c r="AB26" s="15">
        <f t="shared" si="9"/>
        <v>0.15807310578552408</v>
      </c>
      <c r="AC26" s="15">
        <f t="shared" si="9"/>
        <v>0.15413550669472931</v>
      </c>
      <c r="AD26" s="15">
        <f t="shared" si="9"/>
        <v>0.15900340753197328</v>
      </c>
      <c r="AE26" s="15">
        <f t="shared" si="9"/>
        <v>0.1399164677804296</v>
      </c>
      <c r="AF26" s="15">
        <f t="shared" si="9"/>
        <v>0.1413351697318318</v>
      </c>
      <c r="AG26" s="15">
        <f t="shared" si="9"/>
        <v>0.15340823970037454</v>
      </c>
      <c r="AH26" s="15">
        <f t="shared" si="9"/>
        <v>0.14970307449447492</v>
      </c>
      <c r="AI26" s="15">
        <f t="shared" si="9"/>
        <v>0.13439306358381503</v>
      </c>
      <c r="AJ26" s="15">
        <f t="shared" si="9"/>
        <v>0.14367126574685063</v>
      </c>
      <c r="AK26" s="15">
        <f t="shared" si="9"/>
        <v>0.15292132461506011</v>
      </c>
      <c r="AL26" s="15">
        <f t="shared" si="9"/>
        <v>0.13986455665111056</v>
      </c>
      <c r="AM26" s="15">
        <f t="shared" si="9"/>
        <v>0.15172684178636348</v>
      </c>
      <c r="AN26" s="15">
        <f t="shared" si="9"/>
        <v>0.14673272815466704</v>
      </c>
      <c r="AO26" s="15">
        <f t="shared" si="9"/>
        <v>0.15359652057544329</v>
      </c>
      <c r="AP26" s="15">
        <f t="shared" si="9"/>
        <v>0.14239899490841765</v>
      </c>
      <c r="AQ26" s="15">
        <f t="shared" si="9"/>
        <v>0.12662690698210813</v>
      </c>
      <c r="AR26" s="15">
        <f t="shared" si="9"/>
        <v>0.13258405860622377</v>
      </c>
      <c r="AS26" s="15">
        <f t="shared" si="9"/>
        <v>0.14156235238545112</v>
      </c>
      <c r="AT26" s="15">
        <f t="shared" si="9"/>
        <v>0.13207380595038404</v>
      </c>
    </row>
    <row r="27" spans="1:4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AT1"/>
    <mergeCell ref="A2:AT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300"/>
  <sheetViews>
    <sheetView showGridLines="0" workbookViewId="0"/>
  </sheetViews>
  <sheetFormatPr defaultRowHeight="13.8"/>
  <cols>
    <col min="1" max="1" width="34" customWidth="1"/>
    <col min="2" max="17" width="11" customWidth="1"/>
  </cols>
  <sheetData>
    <row r="1" spans="1:46" ht="25.95" customHeight="1">
      <c r="A1" s="43" t="s">
        <v>268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4" t="s">
        <v>269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19" t="s">
        <v>39</v>
      </c>
      <c r="O5" s="19" t="s">
        <v>40</v>
      </c>
      <c r="P5" s="19" t="s">
        <v>41</v>
      </c>
      <c r="Q5" s="19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3"/>
      <c r="O6" s="33"/>
      <c r="P6" s="33"/>
      <c r="Q6" s="3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43</v>
      </c>
      <c r="B7" s="1" t="s">
        <v>44</v>
      </c>
      <c r="C7" s="14">
        <f>'Raw Financials'!C6</f>
        <v>40913</v>
      </c>
      <c r="D7" s="14">
        <f>'Raw Financials'!D6</f>
        <v>46723</v>
      </c>
      <c r="E7" s="14">
        <f>'Raw Financials'!E6</f>
        <v>50570</v>
      </c>
      <c r="F7" s="14">
        <f>'Raw Financials'!F6</f>
        <v>60427</v>
      </c>
      <c r="G7" s="14">
        <f>'Raw Financials'!G6</f>
        <v>70678</v>
      </c>
      <c r="H7" s="14">
        <f>'Raw Financials'!H6</f>
        <v>75379</v>
      </c>
      <c r="I7" s="14">
        <f>'Raw Financials'!I6</f>
        <v>85651</v>
      </c>
      <c r="J7" s="14">
        <f>'Raw Financials'!J6</f>
        <v>101456</v>
      </c>
      <c r="K7" s="14">
        <f>'Raw Financials'!K6</f>
        <v>109913</v>
      </c>
      <c r="L7" s="14">
        <f>'Raw Financials'!L6</f>
        <v>117055</v>
      </c>
      <c r="M7" s="14">
        <f>'Raw Financials'!M6</f>
        <v>130144</v>
      </c>
      <c r="N7" s="28">
        <f>'Revenue Drivers'!N26</f>
        <v>138192.40421510153</v>
      </c>
      <c r="O7" s="28">
        <f>'Revenue Drivers'!O26</f>
        <v>149041.66425269016</v>
      </c>
      <c r="P7" s="28">
        <f>'Revenue Drivers'!P26</f>
        <v>162065.57235964728</v>
      </c>
      <c r="Q7" s="28">
        <f>'Revenue Drivers'!Q26</f>
        <v>175279.01959009824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265</v>
      </c>
      <c r="B8" s="1" t="s">
        <v>46</v>
      </c>
      <c r="C8" s="1"/>
      <c r="D8" s="15">
        <f t="shared" ref="D8:Q8" si="0">IFERROR(D7/C7-1,"")</f>
        <v>0.14200865250653827</v>
      </c>
      <c r="E8" s="15">
        <f t="shared" si="0"/>
        <v>8.2336322582025945E-2</v>
      </c>
      <c r="F8" s="15">
        <f t="shared" si="0"/>
        <v>0.19491793553490222</v>
      </c>
      <c r="G8" s="15">
        <f t="shared" si="0"/>
        <v>0.16964270938487758</v>
      </c>
      <c r="H8" s="15">
        <f t="shared" si="0"/>
        <v>6.6512917739607769E-2</v>
      </c>
      <c r="I8" s="15">
        <f t="shared" si="0"/>
        <v>0.13627137531673283</v>
      </c>
      <c r="J8" s="15">
        <f t="shared" si="0"/>
        <v>0.18452790977338274</v>
      </c>
      <c r="K8" s="15">
        <f t="shared" si="0"/>
        <v>8.3356331808863038E-2</v>
      </c>
      <c r="L8" s="15">
        <f t="shared" si="0"/>
        <v>6.4978664944092213E-2</v>
      </c>
      <c r="M8" s="15">
        <f t="shared" si="0"/>
        <v>0.11181923027636587</v>
      </c>
      <c r="N8" s="25">
        <f t="shared" si="0"/>
        <v>6.1842299415274748E-2</v>
      </c>
      <c r="O8" s="25">
        <f t="shared" si="0"/>
        <v>7.8508367368016474E-2</v>
      </c>
      <c r="P8" s="25">
        <f t="shared" si="0"/>
        <v>8.7384344319155982E-2</v>
      </c>
      <c r="Q8" s="25">
        <f t="shared" si="0"/>
        <v>8.1531487767978028E-2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173</v>
      </c>
      <c r="B9" s="1" t="s">
        <v>44</v>
      </c>
      <c r="C9" s="14">
        <f>'Raw Financials'!C7</f>
        <v>26901</v>
      </c>
      <c r="D9" s="14">
        <f>'Raw Financials'!D7</f>
        <v>30890</v>
      </c>
      <c r="E9" s="14">
        <f>'Raw Financials'!E7</f>
        <v>33237</v>
      </c>
      <c r="F9" s="14">
        <f>'Raw Financials'!F7</f>
        <v>39268</v>
      </c>
      <c r="G9" s="14">
        <f>'Raw Financials'!G7</f>
        <v>44018</v>
      </c>
      <c r="H9" s="14">
        <f>'Raw Financials'!H7</f>
        <v>44591</v>
      </c>
      <c r="I9" s="14">
        <f>'Raw Financials'!I7</f>
        <v>52760</v>
      </c>
      <c r="J9" s="14">
        <f>'Raw Financials'!J7</f>
        <v>64523</v>
      </c>
      <c r="K9" s="14">
        <f>'Raw Financials'!K7</f>
        <v>70474</v>
      </c>
      <c r="L9" s="14">
        <f>'Raw Financials'!L7</f>
        <v>76157</v>
      </c>
      <c r="M9" s="14">
        <f>'Raw Financials'!M7</f>
        <v>85811</v>
      </c>
      <c r="N9" s="28">
        <f>N7*(1-Assumptions!C15)</f>
        <v>90930.601973536803</v>
      </c>
      <c r="O9" s="28">
        <f>O7*(1-Assumptions!D15)</f>
        <v>97771.331749764751</v>
      </c>
      <c r="P9" s="28">
        <f>P7*(1-Assumptions!E15)</f>
        <v>105990.88432320932</v>
      </c>
      <c r="Q9" s="28">
        <f>Q7*(1-Assumptions!F15)</f>
        <v>114457.19979233416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8" t="s">
        <v>261</v>
      </c>
      <c r="B10" s="16" t="s">
        <v>44</v>
      </c>
      <c r="C10" s="17">
        <f t="shared" ref="C10:Q10" si="1">C7-C9</f>
        <v>14012</v>
      </c>
      <c r="D10" s="17">
        <f t="shared" si="1"/>
        <v>15833</v>
      </c>
      <c r="E10" s="17">
        <f t="shared" si="1"/>
        <v>17333</v>
      </c>
      <c r="F10" s="17">
        <f t="shared" si="1"/>
        <v>21159</v>
      </c>
      <c r="G10" s="17">
        <f t="shared" si="1"/>
        <v>26660</v>
      </c>
      <c r="H10" s="17">
        <f t="shared" si="1"/>
        <v>30788</v>
      </c>
      <c r="I10" s="17">
        <f t="shared" si="1"/>
        <v>32891</v>
      </c>
      <c r="J10" s="17">
        <f t="shared" si="1"/>
        <v>36933</v>
      </c>
      <c r="K10" s="17">
        <f t="shared" si="1"/>
        <v>39439</v>
      </c>
      <c r="L10" s="17">
        <f t="shared" si="1"/>
        <v>40898</v>
      </c>
      <c r="M10" s="17">
        <f t="shared" si="1"/>
        <v>44333</v>
      </c>
      <c r="N10" s="29">
        <f t="shared" si="1"/>
        <v>47261.802241564728</v>
      </c>
      <c r="O10" s="29">
        <f t="shared" si="1"/>
        <v>51270.332502925405</v>
      </c>
      <c r="P10" s="29">
        <f t="shared" si="1"/>
        <v>56074.688036437961</v>
      </c>
      <c r="Q10" s="29">
        <f t="shared" si="1"/>
        <v>60821.819797764081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144</v>
      </c>
      <c r="B11" s="1" t="s">
        <v>46</v>
      </c>
      <c r="C11" s="15">
        <f t="shared" ref="C11:Q11" si="2">IFERROR(C10/C7,"")</f>
        <v>0.34248282941852221</v>
      </c>
      <c r="D11" s="15">
        <f t="shared" si="2"/>
        <v>0.33886950752306144</v>
      </c>
      <c r="E11" s="15">
        <f t="shared" si="2"/>
        <v>0.34275262013051216</v>
      </c>
      <c r="F11" s="15">
        <f t="shared" si="2"/>
        <v>0.35015804193489664</v>
      </c>
      <c r="G11" s="15">
        <f t="shared" si="2"/>
        <v>0.37720365601743117</v>
      </c>
      <c r="H11" s="15">
        <f t="shared" si="2"/>
        <v>0.40844266970907017</v>
      </c>
      <c r="I11" s="15">
        <f t="shared" si="2"/>
        <v>0.38401186209151089</v>
      </c>
      <c r="J11" s="15">
        <f t="shared" si="2"/>
        <v>0.36402972717237031</v>
      </c>
      <c r="K11" s="15">
        <f t="shared" si="2"/>
        <v>0.35882015776113835</v>
      </c>
      <c r="L11" s="15">
        <f t="shared" si="2"/>
        <v>0.34939131177651533</v>
      </c>
      <c r="M11" s="15">
        <f t="shared" si="2"/>
        <v>0.34064574625030736</v>
      </c>
      <c r="N11" s="25">
        <f t="shared" si="2"/>
        <v>0.34200000000000003</v>
      </c>
      <c r="O11" s="25">
        <f t="shared" si="2"/>
        <v>0.34399999999999992</v>
      </c>
      <c r="P11" s="25">
        <f t="shared" si="2"/>
        <v>0.34600000000000003</v>
      </c>
      <c r="Q11" s="25">
        <f t="shared" si="2"/>
        <v>0.34699999999999998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270</v>
      </c>
      <c r="B12" s="1" t="s">
        <v>44</v>
      </c>
      <c r="C12" s="14">
        <f>'Raw Financials'!C8</f>
        <v>14012</v>
      </c>
      <c r="D12" s="14">
        <f>'Raw Financials'!D8</f>
        <v>15833</v>
      </c>
      <c r="E12" s="14">
        <f>'Raw Financials'!E8</f>
        <v>17333</v>
      </c>
      <c r="F12" s="14">
        <f>'Raw Financials'!F8</f>
        <v>21159</v>
      </c>
      <c r="G12" s="14">
        <f>'Raw Financials'!G8</f>
        <v>26659</v>
      </c>
      <c r="H12" s="14">
        <f>'Raw Financials'!H8</f>
        <v>30788</v>
      </c>
      <c r="I12" s="14">
        <f>'Raw Financials'!I8</f>
        <v>32891</v>
      </c>
      <c r="J12" s="14">
        <f>'Raw Financials'!J8</f>
        <v>36933</v>
      </c>
      <c r="K12" s="14">
        <f>'Raw Financials'!K8</f>
        <v>39439</v>
      </c>
      <c r="L12" s="14">
        <f>'Raw Financials'!L8</f>
        <v>40898</v>
      </c>
      <c r="M12" s="14">
        <f>'Raw Financials'!M8</f>
        <v>44333</v>
      </c>
      <c r="N12" s="28">
        <f>N10</f>
        <v>47261.802241564728</v>
      </c>
      <c r="O12" s="28">
        <f>O10</f>
        <v>51270.332502925405</v>
      </c>
      <c r="P12" s="28">
        <f>P10</f>
        <v>56074.688036437961</v>
      </c>
      <c r="Q12" s="28">
        <f>Q10</f>
        <v>60821.819797764081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271</v>
      </c>
      <c r="B13" s="1" t="s">
        <v>44</v>
      </c>
      <c r="C13" s="14">
        <f t="shared" ref="C13:Q13" si="3">C10-C12</f>
        <v>0</v>
      </c>
      <c r="D13" s="14">
        <f t="shared" si="3"/>
        <v>0</v>
      </c>
      <c r="E13" s="14">
        <f t="shared" si="3"/>
        <v>0</v>
      </c>
      <c r="F13" s="14">
        <f t="shared" si="3"/>
        <v>0</v>
      </c>
      <c r="G13" s="14">
        <f t="shared" si="3"/>
        <v>1</v>
      </c>
      <c r="H13" s="14">
        <f t="shared" si="3"/>
        <v>0</v>
      </c>
      <c r="I13" s="14">
        <f t="shared" si="3"/>
        <v>0</v>
      </c>
      <c r="J13" s="14">
        <f t="shared" si="3"/>
        <v>0</v>
      </c>
      <c r="K13" s="14">
        <f t="shared" si="3"/>
        <v>0</v>
      </c>
      <c r="L13" s="14">
        <f t="shared" si="3"/>
        <v>0</v>
      </c>
      <c r="M13" s="14">
        <f t="shared" si="3"/>
        <v>0</v>
      </c>
      <c r="N13" s="28">
        <f t="shared" si="3"/>
        <v>0</v>
      </c>
      <c r="O13" s="28">
        <f t="shared" si="3"/>
        <v>0</v>
      </c>
      <c r="P13" s="28">
        <f t="shared" si="3"/>
        <v>0</v>
      </c>
      <c r="Q13" s="28">
        <f t="shared" si="3"/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175</v>
      </c>
      <c r="B14" s="1" t="s">
        <v>44</v>
      </c>
      <c r="C14" s="14">
        <f>'Raw Financials'!C9</f>
        <v>0</v>
      </c>
      <c r="D14" s="14">
        <f>'Raw Financials'!D9</f>
        <v>0</v>
      </c>
      <c r="E14" s="14">
        <f>'Raw Financials'!E9</f>
        <v>0</v>
      </c>
      <c r="F14" s="14">
        <f>'Raw Financials'!F9</f>
        <v>0</v>
      </c>
      <c r="G14" s="14">
        <f>'Raw Financials'!G9</f>
        <v>1276</v>
      </c>
      <c r="H14" s="14">
        <f>'Raw Financials'!H9</f>
        <v>1383</v>
      </c>
      <c r="I14" s="14">
        <f>'Raw Financials'!I9</f>
        <v>1526</v>
      </c>
      <c r="J14" s="14">
        <f>'Raw Financials'!J9</f>
        <v>1632</v>
      </c>
      <c r="K14" s="14">
        <f>'Raw Financials'!K9</f>
        <v>1651</v>
      </c>
      <c r="L14" s="14">
        <f>'Raw Financials'!L9</f>
        <v>1658</v>
      </c>
      <c r="M14" s="14">
        <f>'Raw Financials'!M9</f>
        <v>2000</v>
      </c>
      <c r="N14" s="28">
        <f>N7*Assumptions!C16</f>
        <v>2072.8860632265228</v>
      </c>
      <c r="O14" s="28">
        <f>O7*Assumptions!D16</f>
        <v>2235.6249637903525</v>
      </c>
      <c r="P14" s="28">
        <f>P7*Assumptions!E16</f>
        <v>2430.9835853947093</v>
      </c>
      <c r="Q14" s="28">
        <f>Q7*Assumptions!F16</f>
        <v>2629.1852938514735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272</v>
      </c>
      <c r="B15" s="1" t="s">
        <v>44</v>
      </c>
      <c r="C15" s="14">
        <f t="shared" ref="C15:M15" si="4">IF(OR(C10="",C14="",C17=""),"",C10-C14-C17)</f>
        <v>5280</v>
      </c>
      <c r="D15" s="14">
        <f t="shared" si="4"/>
        <v>5524</v>
      </c>
      <c r="E15" s="14">
        <f t="shared" si="4"/>
        <v>5893</v>
      </c>
      <c r="F15" s="14">
        <f t="shared" si="4"/>
        <v>7192</v>
      </c>
      <c r="G15" s="14">
        <f t="shared" si="4"/>
        <v>8690</v>
      </c>
      <c r="H15" s="14">
        <f t="shared" si="4"/>
        <v>9450</v>
      </c>
      <c r="I15" s="14">
        <f t="shared" si="4"/>
        <v>10835</v>
      </c>
      <c r="J15" s="14">
        <f t="shared" si="4"/>
        <v>12673</v>
      </c>
      <c r="K15" s="14">
        <f t="shared" si="4"/>
        <v>13588</v>
      </c>
      <c r="L15" s="14">
        <f t="shared" si="4"/>
        <v>13736</v>
      </c>
      <c r="M15" s="14">
        <f t="shared" si="4"/>
        <v>15581</v>
      </c>
      <c r="N15" s="28">
        <f>N10-N14-N17</f>
        <v>15753.934080521583</v>
      </c>
      <c r="O15" s="28">
        <f>O10-O14-O17</f>
        <v>17139.791389059355</v>
      </c>
      <c r="P15" s="28">
        <f>P10-P14-P17</f>
        <v>18799.606393719085</v>
      </c>
      <c r="Q15" s="28">
        <f>Q10-Q14-Q17</f>
        <v>20507.645292041489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273</v>
      </c>
      <c r="B16" s="1" t="s">
        <v>44</v>
      </c>
      <c r="C16" s="14">
        <f>'Raw Financials'!C11</f>
        <v>8795</v>
      </c>
      <c r="D16" s="14">
        <f>'Raw Financials'!D11</f>
        <v>10309</v>
      </c>
      <c r="E16" s="14">
        <f>'Raw Financials'!E11</f>
        <v>11440</v>
      </c>
      <c r="F16" s="14">
        <f>'Raw Financials'!F11</f>
        <v>13967</v>
      </c>
      <c r="G16" s="14">
        <f>'Raw Financials'!G11</f>
        <v>16694</v>
      </c>
      <c r="H16" s="14">
        <f>'Raw Financials'!H11</f>
        <v>20057</v>
      </c>
      <c r="I16" s="14">
        <f>'Raw Financials'!I11</f>
        <v>20530</v>
      </c>
      <c r="J16" s="14">
        <f>'Raw Financials'!J11</f>
        <v>22628</v>
      </c>
      <c r="K16" s="14">
        <f>'Raw Financials'!K11</f>
        <v>24200</v>
      </c>
      <c r="L16" s="14">
        <f>'Raw Financials'!L11</f>
        <v>25504</v>
      </c>
      <c r="M16" s="14">
        <f>'Raw Financials'!M11</f>
        <v>26752</v>
      </c>
      <c r="N16" s="28">
        <f>N17</f>
        <v>29434.982097816624</v>
      </c>
      <c r="O16" s="28">
        <f>O17</f>
        <v>31894.916150075696</v>
      </c>
      <c r="P16" s="28">
        <f>P17</f>
        <v>34844.098057324169</v>
      </c>
      <c r="Q16" s="28">
        <f>Q17</f>
        <v>37684.989211871121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8" t="s">
        <v>47</v>
      </c>
      <c r="B17" s="16" t="s">
        <v>44</v>
      </c>
      <c r="C17" s="17">
        <f t="shared" ref="C17:Q17" si="5">C20+C19</f>
        <v>8732</v>
      </c>
      <c r="D17" s="17">
        <f t="shared" si="5"/>
        <v>10309</v>
      </c>
      <c r="E17" s="17">
        <f t="shared" si="5"/>
        <v>11440</v>
      </c>
      <c r="F17" s="17">
        <f t="shared" si="5"/>
        <v>13967</v>
      </c>
      <c r="G17" s="17">
        <f t="shared" si="5"/>
        <v>16694</v>
      </c>
      <c r="H17" s="17">
        <f t="shared" si="5"/>
        <v>19955</v>
      </c>
      <c r="I17" s="17">
        <f t="shared" si="5"/>
        <v>20530</v>
      </c>
      <c r="J17" s="17">
        <f t="shared" si="5"/>
        <v>22628</v>
      </c>
      <c r="K17" s="17">
        <f t="shared" si="5"/>
        <v>24200</v>
      </c>
      <c r="L17" s="17">
        <f t="shared" si="5"/>
        <v>25504</v>
      </c>
      <c r="M17" s="17">
        <f t="shared" si="5"/>
        <v>26752</v>
      </c>
      <c r="N17" s="29">
        <f t="shared" si="5"/>
        <v>29434.982097816624</v>
      </c>
      <c r="O17" s="29">
        <f t="shared" si="5"/>
        <v>31894.916150075696</v>
      </c>
      <c r="P17" s="29">
        <f t="shared" si="5"/>
        <v>34844.098057324169</v>
      </c>
      <c r="Q17" s="29">
        <f t="shared" si="5"/>
        <v>37684.989211871121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48</v>
      </c>
      <c r="B18" s="1" t="s">
        <v>46</v>
      </c>
      <c r="C18" s="15">
        <f t="shared" ref="C18:Q18" si="6">IFERROR(C17/C7,"")</f>
        <v>0.213428494610515</v>
      </c>
      <c r="D18" s="15">
        <f t="shared" si="6"/>
        <v>0.22064079789397084</v>
      </c>
      <c r="E18" s="15">
        <f t="shared" si="6"/>
        <v>0.2262210796915167</v>
      </c>
      <c r="F18" s="15">
        <f t="shared" si="6"/>
        <v>0.2311383983980671</v>
      </c>
      <c r="G18" s="15">
        <f t="shared" si="6"/>
        <v>0.23619796825037495</v>
      </c>
      <c r="H18" s="15">
        <f t="shared" si="6"/>
        <v>0.26472890327544807</v>
      </c>
      <c r="I18" s="15">
        <f t="shared" si="6"/>
        <v>0.23969364047121458</v>
      </c>
      <c r="J18" s="15">
        <f t="shared" si="6"/>
        <v>0.22303264469326606</v>
      </c>
      <c r="K18" s="15">
        <f t="shared" si="6"/>
        <v>0.22017413772711145</v>
      </c>
      <c r="L18" s="15">
        <f t="shared" si="6"/>
        <v>0.21788048353338174</v>
      </c>
      <c r="M18" s="15">
        <f t="shared" si="6"/>
        <v>0.20555692156380626</v>
      </c>
      <c r="N18" s="25">
        <f t="shared" si="6"/>
        <v>0.21299999999999999</v>
      </c>
      <c r="O18" s="25">
        <f t="shared" si="6"/>
        <v>0.21400000000000002</v>
      </c>
      <c r="P18" s="25">
        <f t="shared" si="6"/>
        <v>0.21500000000000002</v>
      </c>
      <c r="Q18" s="25">
        <f t="shared" si="6"/>
        <v>0.215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178</v>
      </c>
      <c r="B19" s="1" t="s">
        <v>44</v>
      </c>
      <c r="C19" s="14">
        <f>'Raw Financials'!C12</f>
        <v>506</v>
      </c>
      <c r="D19" s="14">
        <f>'Raw Financials'!D12</f>
        <v>835</v>
      </c>
      <c r="E19" s="14">
        <f>'Raw Financials'!E12</f>
        <v>1453</v>
      </c>
      <c r="F19" s="14">
        <f>'Raw Financials'!F12</f>
        <v>2147</v>
      </c>
      <c r="G19" s="14">
        <f>'Raw Financials'!G12</f>
        <v>2841</v>
      </c>
      <c r="H19" s="14">
        <f>'Raw Financials'!H12</f>
        <v>4611</v>
      </c>
      <c r="I19" s="14">
        <f>'Raw Financials'!I12</f>
        <v>4326</v>
      </c>
      <c r="J19" s="14">
        <f>'Raw Financials'!J12</f>
        <v>4145</v>
      </c>
      <c r="K19" s="14">
        <f>'Raw Financials'!K12</f>
        <v>4173</v>
      </c>
      <c r="L19" s="14">
        <f>'Raw Financials'!L12</f>
        <v>4084</v>
      </c>
      <c r="M19" s="14">
        <f>'Raw Financials'!M12</f>
        <v>4355</v>
      </c>
      <c r="N19" s="28">
        <f>N7*Assumptions!C17</f>
        <v>4560.3493390983504</v>
      </c>
      <c r="O19" s="28">
        <f>O7*Assumptions!D17</f>
        <v>4769.3332560860854</v>
      </c>
      <c r="P19" s="28">
        <f>P7*Assumptions!E17</f>
        <v>5024.0327431490659</v>
      </c>
      <c r="Q19" s="28">
        <f>Q7*Assumptions!F17</f>
        <v>5258.370587702947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8" t="s">
        <v>49</v>
      </c>
      <c r="B20" s="16" t="s">
        <v>44</v>
      </c>
      <c r="C20" s="17">
        <f>'Raw Financials'!C13</f>
        <v>8226</v>
      </c>
      <c r="D20" s="17">
        <f>'Raw Financials'!D13</f>
        <v>9474</v>
      </c>
      <c r="E20" s="17">
        <f>'Raw Financials'!E13</f>
        <v>9987</v>
      </c>
      <c r="F20" s="17">
        <f>'Raw Financials'!F13</f>
        <v>11820</v>
      </c>
      <c r="G20" s="17">
        <f>'Raw Financials'!G13</f>
        <v>13853</v>
      </c>
      <c r="H20" s="17">
        <f>'Raw Financials'!H13</f>
        <v>15344</v>
      </c>
      <c r="I20" s="17">
        <f>'Raw Financials'!I13</f>
        <v>16204</v>
      </c>
      <c r="J20" s="17">
        <f>'Raw Financials'!J13</f>
        <v>18483</v>
      </c>
      <c r="K20" s="17">
        <f>'Raw Financials'!K13</f>
        <v>20027</v>
      </c>
      <c r="L20" s="17">
        <f>'Raw Financials'!L13</f>
        <v>21420</v>
      </c>
      <c r="M20" s="17">
        <f>'Raw Financials'!M13</f>
        <v>22397</v>
      </c>
      <c r="N20" s="29">
        <f>N7*Assumptions!C18</f>
        <v>24874.632758718275</v>
      </c>
      <c r="O20" s="29">
        <f>O7*Assumptions!D18</f>
        <v>27125.582893989609</v>
      </c>
      <c r="P20" s="29">
        <f>P7*Assumptions!E18</f>
        <v>29820.065314175099</v>
      </c>
      <c r="Q20" s="29">
        <f>Q7*Assumptions!F18</f>
        <v>32426.618624168172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50</v>
      </c>
      <c r="B21" s="1" t="s">
        <v>46</v>
      </c>
      <c r="C21" s="15">
        <f t="shared" ref="C21:Q21" si="7">IFERROR(C20/C7,"")</f>
        <v>0.20106078752474763</v>
      </c>
      <c r="D21" s="15">
        <f t="shared" si="7"/>
        <v>0.20276951394388204</v>
      </c>
      <c r="E21" s="15">
        <f t="shared" si="7"/>
        <v>0.19748862962230571</v>
      </c>
      <c r="F21" s="15">
        <f t="shared" si="7"/>
        <v>0.19560792361030666</v>
      </c>
      <c r="G21" s="15">
        <f t="shared" si="7"/>
        <v>0.19600158465151815</v>
      </c>
      <c r="H21" s="15">
        <f t="shared" si="7"/>
        <v>0.20355802013823479</v>
      </c>
      <c r="I21" s="15">
        <f t="shared" si="7"/>
        <v>0.18918634925453293</v>
      </c>
      <c r="J21" s="15">
        <f t="shared" si="7"/>
        <v>0.18217749566314462</v>
      </c>
      <c r="K21" s="15">
        <f t="shared" si="7"/>
        <v>0.18220774612648186</v>
      </c>
      <c r="L21" s="15">
        <f t="shared" si="7"/>
        <v>0.18299090171287002</v>
      </c>
      <c r="M21" s="15">
        <f t="shared" si="7"/>
        <v>0.1720939881976887</v>
      </c>
      <c r="N21" s="25">
        <f t="shared" si="7"/>
        <v>0.18</v>
      </c>
      <c r="O21" s="25">
        <f t="shared" si="7"/>
        <v>0.182</v>
      </c>
      <c r="P21" s="25">
        <f t="shared" si="7"/>
        <v>0.184</v>
      </c>
      <c r="Q21" s="25">
        <f t="shared" si="7"/>
        <v>0.185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179</v>
      </c>
      <c r="B22" s="1" t="s">
        <v>44</v>
      </c>
      <c r="C22" s="14">
        <f>'Raw Financials'!C14</f>
        <v>72</v>
      </c>
      <c r="D22" s="14">
        <f>'Raw Financials'!D14</f>
        <v>188</v>
      </c>
      <c r="E22" s="14">
        <f>'Raw Financials'!E14</f>
        <v>541</v>
      </c>
      <c r="F22" s="14">
        <f>'Raw Financials'!F14</f>
        <v>182</v>
      </c>
      <c r="G22" s="14">
        <f>'Raw Financials'!G14</f>
        <v>-15</v>
      </c>
      <c r="H22" s="14">
        <f>'Raw Financials'!H14</f>
        <v>46</v>
      </c>
      <c r="I22" s="14">
        <f>'Raw Financials'!I14</f>
        <v>328</v>
      </c>
      <c r="J22" s="14">
        <f>'Raw Financials'!J14</f>
        <v>91</v>
      </c>
      <c r="K22" s="14">
        <f>'Raw Financials'!K14</f>
        <v>-2</v>
      </c>
      <c r="L22" s="14">
        <f>'Raw Financials'!L14</f>
        <v>86</v>
      </c>
      <c r="M22" s="14">
        <f>'Raw Financials'!M14</f>
        <v>-241</v>
      </c>
      <c r="N22" s="28">
        <f>0</f>
        <v>0</v>
      </c>
      <c r="O22" s="28">
        <f>0</f>
        <v>0</v>
      </c>
      <c r="P22" s="28">
        <f>0</f>
        <v>0</v>
      </c>
      <c r="Q22" s="28">
        <f>0</f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180</v>
      </c>
      <c r="B23" s="1" t="s">
        <v>44</v>
      </c>
      <c r="C23" s="14">
        <f>'Raw Financials'!C15</f>
        <v>937</v>
      </c>
      <c r="D23" s="14">
        <f>'Raw Financials'!D15</f>
        <v>746</v>
      </c>
      <c r="E23" s="14">
        <f>'Raw Financials'!E15</f>
        <v>570</v>
      </c>
      <c r="F23" s="14">
        <f>'Raw Financials'!F15</f>
        <v>623</v>
      </c>
      <c r="G23" s="14">
        <f>'Raw Financials'!G15</f>
        <v>193</v>
      </c>
      <c r="H23" s="14">
        <f>'Raw Financials'!H15</f>
        <v>463</v>
      </c>
      <c r="I23" s="14">
        <f>'Raw Financials'!I15</f>
        <v>419</v>
      </c>
      <c r="J23" s="14">
        <f>'Raw Financials'!J15</f>
        <v>914</v>
      </c>
      <c r="K23" s="14">
        <f>'Raw Financials'!K15</f>
        <v>942</v>
      </c>
      <c r="L23" s="14">
        <f>'Raw Financials'!L15</f>
        <v>1755</v>
      </c>
      <c r="M23" s="14">
        <f>'Raw Financials'!M15</f>
        <v>902</v>
      </c>
      <c r="N23" s="28">
        <f>SUM('Annual Balance Sheet'!M7,'Annual Balance Sheet'!M10)*Assumptions!C20</f>
        <v>942.03</v>
      </c>
      <c r="O23" s="28">
        <f>SUM('Annual Balance Sheet'!N7,'Annual Balance Sheet'!N10)*Assumptions!D20</f>
        <v>1122.9521589981318</v>
      </c>
      <c r="P23" s="28">
        <f>SUM('Annual Balance Sheet'!O7,'Annual Balance Sheet'!O10)*Assumptions!E20</f>
        <v>1207.9029687394282</v>
      </c>
      <c r="Q23" s="28">
        <f>SUM('Annual Balance Sheet'!P7,'Annual Balance Sheet'!P10)*Assumptions!F20</f>
        <v>1307.53647581365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8" t="s">
        <v>267</v>
      </c>
      <c r="B24" s="16" t="s">
        <v>44</v>
      </c>
      <c r="C24" s="17">
        <f t="shared" ref="C24:Q24" si="8">SUM(C20,C22,C23)</f>
        <v>9235</v>
      </c>
      <c r="D24" s="17">
        <f t="shared" si="8"/>
        <v>10408</v>
      </c>
      <c r="E24" s="17">
        <f t="shared" si="8"/>
        <v>11098</v>
      </c>
      <c r="F24" s="17">
        <f t="shared" si="8"/>
        <v>12625</v>
      </c>
      <c r="G24" s="17">
        <f t="shared" si="8"/>
        <v>14031</v>
      </c>
      <c r="H24" s="17">
        <f t="shared" si="8"/>
        <v>15853</v>
      </c>
      <c r="I24" s="17">
        <f t="shared" si="8"/>
        <v>16951</v>
      </c>
      <c r="J24" s="17">
        <f t="shared" si="8"/>
        <v>19488</v>
      </c>
      <c r="K24" s="17">
        <f t="shared" si="8"/>
        <v>20967</v>
      </c>
      <c r="L24" s="17">
        <f t="shared" si="8"/>
        <v>23261</v>
      </c>
      <c r="M24" s="17">
        <f t="shared" si="8"/>
        <v>23058</v>
      </c>
      <c r="N24" s="29">
        <f t="shared" si="8"/>
        <v>25816.662758718274</v>
      </c>
      <c r="O24" s="29">
        <f t="shared" si="8"/>
        <v>28248.53505298774</v>
      </c>
      <c r="P24" s="29">
        <f t="shared" si="8"/>
        <v>31027.968282914528</v>
      </c>
      <c r="Q24" s="29">
        <f t="shared" si="8"/>
        <v>33734.155099981821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274</v>
      </c>
      <c r="B25" s="1" t="s">
        <v>46</v>
      </c>
      <c r="C25" s="15">
        <f t="shared" ref="C25:Q25" si="9">IFERROR(C24/C7,"")</f>
        <v>0.22572287536968691</v>
      </c>
      <c r="D25" s="15">
        <f t="shared" si="9"/>
        <v>0.22275966868565802</v>
      </c>
      <c r="E25" s="15">
        <f t="shared" si="9"/>
        <v>0.21945817678465493</v>
      </c>
      <c r="F25" s="15">
        <f t="shared" si="9"/>
        <v>0.2089297830440035</v>
      </c>
      <c r="G25" s="15">
        <f t="shared" si="9"/>
        <v>0.19852004867143949</v>
      </c>
      <c r="H25" s="15">
        <f t="shared" si="9"/>
        <v>0.21031056395017181</v>
      </c>
      <c r="I25" s="15">
        <f t="shared" si="9"/>
        <v>0.19790778858390445</v>
      </c>
      <c r="J25" s="15">
        <f t="shared" si="9"/>
        <v>0.19208326762340325</v>
      </c>
      <c r="K25" s="15">
        <f t="shared" si="9"/>
        <v>0.19075996469935314</v>
      </c>
      <c r="L25" s="15">
        <f t="shared" si="9"/>
        <v>0.1987185511084533</v>
      </c>
      <c r="M25" s="15">
        <f t="shared" si="9"/>
        <v>0.17717297762478484</v>
      </c>
      <c r="N25" s="25">
        <f t="shared" si="9"/>
        <v>0.18681680013710228</v>
      </c>
      <c r="O25" s="25">
        <f t="shared" si="9"/>
        <v>0.18953448483434968</v>
      </c>
      <c r="P25" s="25">
        <f t="shared" si="9"/>
        <v>0.19145317436117101</v>
      </c>
      <c r="Q25" s="25">
        <f t="shared" si="9"/>
        <v>0.19245974320755221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181</v>
      </c>
      <c r="B26" s="1" t="s">
        <v>44</v>
      </c>
      <c r="C26" s="14">
        <f>'Raw Financials'!C16</f>
        <v>1883</v>
      </c>
      <c r="D26" s="14">
        <f>'Raw Financials'!D16</f>
        <v>1952</v>
      </c>
      <c r="E26" s="14">
        <f>'Raw Financials'!E16</f>
        <v>2316</v>
      </c>
      <c r="F26" s="14">
        <f>'Raw Financials'!F16</f>
        <v>2481</v>
      </c>
      <c r="G26" s="14">
        <f>'Raw Financials'!G16</f>
        <v>2938</v>
      </c>
      <c r="H26" s="14">
        <f>'Raw Financials'!H16</f>
        <v>4684</v>
      </c>
      <c r="I26" s="14">
        <f>'Raw Financials'!I16</f>
        <v>3428</v>
      </c>
      <c r="J26" s="14">
        <f>'Raw Financials'!J16</f>
        <v>4643</v>
      </c>
      <c r="K26" s="14">
        <f>'Raw Financials'!K16</f>
        <v>5257</v>
      </c>
      <c r="L26" s="14">
        <f>'Raw Financials'!L16</f>
        <v>5862</v>
      </c>
      <c r="M26" s="14">
        <f>'Raw Financials'!M16</f>
        <v>5687</v>
      </c>
      <c r="N26" s="28">
        <f>N24*Assumptions!C19</f>
        <v>6454.1656896795685</v>
      </c>
      <c r="O26" s="28">
        <f>O24*Assumptions!D19</f>
        <v>7062.1337632469349</v>
      </c>
      <c r="P26" s="28">
        <f>P24*Assumptions!E19</f>
        <v>7756.9920707286319</v>
      </c>
      <c r="Q26" s="28">
        <f>Q24*Assumptions!F19</f>
        <v>8433.5387749954552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147</v>
      </c>
      <c r="B27" s="1" t="s">
        <v>46</v>
      </c>
      <c r="C27" s="15">
        <f t="shared" ref="C27:Q27" si="10">IFERROR(C26/C24,"")</f>
        <v>0.20389821331889552</v>
      </c>
      <c r="D27" s="15">
        <f t="shared" si="10"/>
        <v>0.18754803996925443</v>
      </c>
      <c r="E27" s="15">
        <f t="shared" si="10"/>
        <v>0.20868624977473418</v>
      </c>
      <c r="F27" s="15">
        <f t="shared" si="10"/>
        <v>0.19651485148514852</v>
      </c>
      <c r="G27" s="15">
        <f t="shared" si="10"/>
        <v>0.20939348585275461</v>
      </c>
      <c r="H27" s="15">
        <f t="shared" si="10"/>
        <v>0.29546458083643473</v>
      </c>
      <c r="I27" s="15">
        <f t="shared" si="10"/>
        <v>0.20222995693469412</v>
      </c>
      <c r="J27" s="15">
        <f t="shared" si="10"/>
        <v>0.23824917898193759</v>
      </c>
      <c r="K27" s="15">
        <f t="shared" si="10"/>
        <v>0.25072733342872133</v>
      </c>
      <c r="L27" s="15">
        <f t="shared" si="10"/>
        <v>0.25200980181419541</v>
      </c>
      <c r="M27" s="15">
        <f t="shared" si="10"/>
        <v>0.24663891057333681</v>
      </c>
      <c r="N27" s="25">
        <f t="shared" si="10"/>
        <v>0.25</v>
      </c>
      <c r="O27" s="25">
        <f t="shared" si="10"/>
        <v>0.25</v>
      </c>
      <c r="P27" s="25">
        <f t="shared" si="10"/>
        <v>0.25</v>
      </c>
      <c r="Q27" s="25">
        <f t="shared" si="10"/>
        <v>0.25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182</v>
      </c>
      <c r="B28" s="1" t="s">
        <v>44</v>
      </c>
      <c r="C28" s="14">
        <f>'Raw Financials'!C17</f>
        <v>0</v>
      </c>
      <c r="D28" s="14">
        <f>'Raw Financials'!D17</f>
        <v>0</v>
      </c>
      <c r="E28" s="14">
        <f>'Raw Financials'!E17</f>
        <v>0</v>
      </c>
      <c r="F28" s="14">
        <f>'Raw Financials'!F17</f>
        <v>0</v>
      </c>
      <c r="G28" s="14">
        <f>'Raw Financials'!G17</f>
        <v>31</v>
      </c>
      <c r="H28" s="14">
        <f>'Raw Financials'!H17</f>
        <v>24</v>
      </c>
      <c r="I28" s="14">
        <f>'Raw Financials'!I17</f>
        <v>24</v>
      </c>
      <c r="J28" s="14">
        <f>'Raw Financials'!J17</f>
        <v>-6</v>
      </c>
      <c r="K28" s="14">
        <f>'Raw Financials'!K17</f>
        <v>8</v>
      </c>
      <c r="L28" s="14">
        <f>'Raw Financials'!L17</f>
        <v>9</v>
      </c>
      <c r="M28" s="14">
        <f>'Raw Financials'!M17</f>
        <v>0</v>
      </c>
      <c r="N28" s="28">
        <f>0</f>
        <v>0</v>
      </c>
      <c r="O28" s="28">
        <f>0</f>
        <v>0</v>
      </c>
      <c r="P28" s="28">
        <f>0</f>
        <v>0</v>
      </c>
      <c r="Q28" s="28">
        <f>0</f>
        <v>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8" t="s">
        <v>183</v>
      </c>
      <c r="B29" s="16" t="s">
        <v>44</v>
      </c>
      <c r="C29" s="17">
        <f>'Raw Financials'!C18</f>
        <v>7354</v>
      </c>
      <c r="D29" s="17">
        <f>'Raw Financials'!D18</f>
        <v>8457</v>
      </c>
      <c r="E29" s="17">
        <f>'Raw Financials'!E18</f>
        <v>8780</v>
      </c>
      <c r="F29" s="17">
        <f>'Raw Financials'!F18</f>
        <v>10123</v>
      </c>
      <c r="G29" s="17">
        <f>'Raw Financials'!G18</f>
        <v>11062</v>
      </c>
      <c r="H29" s="17">
        <f>'Raw Financials'!H18</f>
        <v>11145</v>
      </c>
      <c r="I29" s="17">
        <f>'Raw Financials'!I18</f>
        <v>13499</v>
      </c>
      <c r="J29" s="17">
        <f>'Raw Financials'!J18</f>
        <v>14851</v>
      </c>
      <c r="K29" s="17">
        <f>'Raw Financials'!K18</f>
        <v>15702</v>
      </c>
      <c r="L29" s="17">
        <f>'Raw Financials'!L18</f>
        <v>17390</v>
      </c>
      <c r="M29" s="17">
        <f>'Raw Financials'!M18</f>
        <v>17361</v>
      </c>
      <c r="N29" s="29">
        <f>N24-N26-N28</f>
        <v>19362.497069038705</v>
      </c>
      <c r="O29" s="29">
        <f>O24-O26-O28</f>
        <v>21186.401289740803</v>
      </c>
      <c r="P29" s="29">
        <f>P24-P26-P28</f>
        <v>23270.976212185895</v>
      </c>
      <c r="Q29" s="29">
        <f>Q24-Q26-Q28</f>
        <v>25300.616324986368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52</v>
      </c>
      <c r="B30" s="1" t="s">
        <v>46</v>
      </c>
      <c r="C30" s="15">
        <f t="shared" ref="C30:Q30" si="11">IFERROR(C29/C7,"")</f>
        <v>0.17974726859433432</v>
      </c>
      <c r="D30" s="15">
        <f t="shared" si="11"/>
        <v>0.18100293217473193</v>
      </c>
      <c r="E30" s="15">
        <f t="shared" si="11"/>
        <v>0.17362072374925847</v>
      </c>
      <c r="F30" s="15">
        <f t="shared" si="11"/>
        <v>0.1675244509904513</v>
      </c>
      <c r="G30" s="15">
        <f t="shared" si="11"/>
        <v>0.15651263476612243</v>
      </c>
      <c r="H30" s="15">
        <f t="shared" si="11"/>
        <v>0.14785285026333594</v>
      </c>
      <c r="I30" s="15">
        <f t="shared" si="11"/>
        <v>0.15760469813545669</v>
      </c>
      <c r="J30" s="15">
        <f t="shared" si="11"/>
        <v>0.14637872575303579</v>
      </c>
      <c r="K30" s="15">
        <f t="shared" si="11"/>
        <v>0.14285844258640926</v>
      </c>
      <c r="L30" s="15">
        <f t="shared" si="11"/>
        <v>0.14856264149331511</v>
      </c>
      <c r="M30" s="15">
        <f t="shared" si="11"/>
        <v>0.13339838947627244</v>
      </c>
      <c r="N30" s="25">
        <f t="shared" si="11"/>
        <v>0.14011260010282672</v>
      </c>
      <c r="O30" s="25">
        <f t="shared" si="11"/>
        <v>0.14215086362576226</v>
      </c>
      <c r="P30" s="25">
        <f t="shared" si="11"/>
        <v>0.14358988077087825</v>
      </c>
      <c r="Q30" s="25">
        <f t="shared" si="11"/>
        <v>0.14434480740566416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275</v>
      </c>
      <c r="B31" s="1" t="s">
        <v>276</v>
      </c>
      <c r="C31" s="21">
        <f t="shared" ref="C31:M31" si="12">2713.7</f>
        <v>2713.7</v>
      </c>
      <c r="D31" s="21">
        <f t="shared" si="12"/>
        <v>2713.7</v>
      </c>
      <c r="E31" s="21">
        <f t="shared" si="12"/>
        <v>2713.7</v>
      </c>
      <c r="F31" s="21">
        <f t="shared" si="12"/>
        <v>2713.7</v>
      </c>
      <c r="G31" s="21">
        <f t="shared" si="12"/>
        <v>2713.7</v>
      </c>
      <c r="H31" s="21">
        <f t="shared" si="12"/>
        <v>2713.7</v>
      </c>
      <c r="I31" s="21">
        <f t="shared" si="12"/>
        <v>2713.7</v>
      </c>
      <c r="J31" s="21">
        <f t="shared" si="12"/>
        <v>2713.7</v>
      </c>
      <c r="K31" s="21">
        <f t="shared" si="12"/>
        <v>2713.7</v>
      </c>
      <c r="L31" s="21">
        <f t="shared" si="12"/>
        <v>2713.7</v>
      </c>
      <c r="M31" s="21">
        <f t="shared" si="12"/>
        <v>2713.7</v>
      </c>
      <c r="N31" s="27">
        <f>M31*(1+Assumptions!C37)</f>
        <v>2713.7</v>
      </c>
      <c r="O31" s="27">
        <f>N31*(1+Assumptions!D37)</f>
        <v>2713.7</v>
      </c>
      <c r="P31" s="27">
        <f>O31*(1+Assumptions!E37)</f>
        <v>2713.7</v>
      </c>
      <c r="Q31" s="27">
        <f>P31*(1+Assumptions!F37)</f>
        <v>2713.7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277</v>
      </c>
      <c r="B32" s="1" t="s">
        <v>276</v>
      </c>
      <c r="C32" s="21">
        <f t="shared" ref="C32:M32" si="13">C31+1.5</f>
        <v>2715.2</v>
      </c>
      <c r="D32" s="21">
        <f t="shared" si="13"/>
        <v>2715.2</v>
      </c>
      <c r="E32" s="21">
        <f t="shared" si="13"/>
        <v>2715.2</v>
      </c>
      <c r="F32" s="21">
        <f t="shared" si="13"/>
        <v>2715.2</v>
      </c>
      <c r="G32" s="21">
        <f t="shared" si="13"/>
        <v>2715.2</v>
      </c>
      <c r="H32" s="21">
        <f t="shared" si="13"/>
        <v>2715.2</v>
      </c>
      <c r="I32" s="21">
        <f t="shared" si="13"/>
        <v>2715.2</v>
      </c>
      <c r="J32" s="21">
        <f t="shared" si="13"/>
        <v>2715.2</v>
      </c>
      <c r="K32" s="21">
        <f t="shared" si="13"/>
        <v>2715.2</v>
      </c>
      <c r="L32" s="21">
        <f t="shared" si="13"/>
        <v>2715.2</v>
      </c>
      <c r="M32" s="21">
        <f t="shared" si="13"/>
        <v>2715.2</v>
      </c>
      <c r="N32" s="27">
        <f>M32*(1+Assumptions!C37)</f>
        <v>2715.2</v>
      </c>
      <c r="O32" s="27">
        <f>N32*(1+Assumptions!D37)</f>
        <v>2715.2</v>
      </c>
      <c r="P32" s="27">
        <f>O32*(1+Assumptions!E37)</f>
        <v>2715.2</v>
      </c>
      <c r="Q32" s="27">
        <f>P32*(1+Assumptions!F37)</f>
        <v>2715.2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278</v>
      </c>
      <c r="B33" s="1" t="s">
        <v>54</v>
      </c>
      <c r="C33" s="32">
        <f t="shared" ref="C33:Q33" si="14">IFERROR(C29*10/C31,"")</f>
        <v>27.099532004274607</v>
      </c>
      <c r="D33" s="32">
        <f t="shared" si="14"/>
        <v>31.164093304344625</v>
      </c>
      <c r="E33" s="32">
        <f t="shared" si="14"/>
        <v>32.354350149242734</v>
      </c>
      <c r="F33" s="32">
        <f t="shared" si="14"/>
        <v>37.30331282013487</v>
      </c>
      <c r="G33" s="32">
        <f t="shared" si="14"/>
        <v>40.76353318347644</v>
      </c>
      <c r="H33" s="32">
        <f t="shared" si="14"/>
        <v>41.069388657552423</v>
      </c>
      <c r="I33" s="32">
        <f t="shared" si="14"/>
        <v>49.743892103032763</v>
      </c>
      <c r="J33" s="32">
        <f t="shared" si="14"/>
        <v>54.726019825330731</v>
      </c>
      <c r="K33" s="32">
        <f t="shared" si="14"/>
        <v>57.861959686037515</v>
      </c>
      <c r="L33" s="32">
        <f t="shared" si="14"/>
        <v>64.082249327486466</v>
      </c>
      <c r="M33" s="32">
        <f t="shared" si="14"/>
        <v>63.975384161845454</v>
      </c>
      <c r="N33" s="34">
        <f t="shared" si="14"/>
        <v>71.350912293321699</v>
      </c>
      <c r="O33" s="34">
        <f t="shared" si="14"/>
        <v>78.07200976431001</v>
      </c>
      <c r="P33" s="34">
        <f t="shared" si="14"/>
        <v>85.753680260109434</v>
      </c>
      <c r="Q33" s="34">
        <f t="shared" si="14"/>
        <v>93.232915668594046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53</v>
      </c>
      <c r="B34" s="1" t="s">
        <v>54</v>
      </c>
      <c r="C34" s="32">
        <f t="shared" ref="C34:Q34" si="15">IFERROR(C29*10/C32,"")</f>
        <v>27.084560989982325</v>
      </c>
      <c r="D34" s="32">
        <f t="shared" si="15"/>
        <v>31.146876841484975</v>
      </c>
      <c r="E34" s="32">
        <f t="shared" si="15"/>
        <v>32.336476134354747</v>
      </c>
      <c r="F34" s="32">
        <f t="shared" si="15"/>
        <v>37.282704773129055</v>
      </c>
      <c r="G34" s="32">
        <f t="shared" si="15"/>
        <v>40.74101355332941</v>
      </c>
      <c r="H34" s="32">
        <f t="shared" si="15"/>
        <v>41.04670005892752</v>
      </c>
      <c r="I34" s="32">
        <f t="shared" si="15"/>
        <v>49.716411314083679</v>
      </c>
      <c r="J34" s="32">
        <f t="shared" si="15"/>
        <v>54.695786682380678</v>
      </c>
      <c r="K34" s="32">
        <f t="shared" si="15"/>
        <v>57.829994107248091</v>
      </c>
      <c r="L34" s="32">
        <f t="shared" si="15"/>
        <v>64.046847377725399</v>
      </c>
      <c r="M34" s="32">
        <f t="shared" si="15"/>
        <v>63.940041249263409</v>
      </c>
      <c r="N34" s="34">
        <f t="shared" si="15"/>
        <v>71.311494803471959</v>
      </c>
      <c r="O34" s="34">
        <f t="shared" si="15"/>
        <v>78.028879234460831</v>
      </c>
      <c r="P34" s="34">
        <f t="shared" si="15"/>
        <v>85.706306026023483</v>
      </c>
      <c r="Q34" s="34">
        <f t="shared" si="15"/>
        <v>93.18140956462274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279</v>
      </c>
      <c r="B35" s="1" t="s">
        <v>54</v>
      </c>
      <c r="C35" s="32">
        <f>IFERROR(-'Annual Cash Flow'!C28*10/C31,"")</f>
        <v>9.9384604046136271</v>
      </c>
      <c r="D35" s="32">
        <f>IFERROR(-'Annual Cash Flow'!D28*10/D31,"")</f>
        <v>14.990603235435016</v>
      </c>
      <c r="E35" s="32">
        <f>IFERROR(-'Annual Cash Flow'!E28*10/E31,"")</f>
        <v>7.4842466005822317</v>
      </c>
      <c r="F35" s="32">
        <f>IFERROR(-'Annual Cash Flow'!F28*10/F31,"")</f>
        <v>4.8678925452334454</v>
      </c>
      <c r="G35" s="32">
        <f>IFERROR(-'Annual Cash Flow'!G28*10/G31,"")</f>
        <v>5.9881342816081373</v>
      </c>
      <c r="H35" s="32">
        <f>IFERROR(-'Annual Cash Flow'!H28*10/H31,"")</f>
        <v>11.998378597486827</v>
      </c>
      <c r="I35" s="32">
        <f>IFERROR(-'Annual Cash Flow'!I28*10/I31,"")</f>
        <v>41.968530051221585</v>
      </c>
      <c r="J35" s="32">
        <f>IFERROR(-'Annual Cash Flow'!J28*10/J31,"")</f>
        <v>47.886649224306304</v>
      </c>
      <c r="K35" s="32">
        <f>IFERROR(-'Annual Cash Flow'!K28*10/K31,"")</f>
        <v>51.859085381582346</v>
      </c>
      <c r="L35" s="32">
        <f>IFERROR(-'Annual Cash Flow'!L28*10/L31,"")</f>
        <v>59.881342816081371</v>
      </c>
      <c r="M35" s="32">
        <f>IFERROR(-'Annual Cash Flow'!M28*10/M31,"")</f>
        <v>53.867413494490918</v>
      </c>
      <c r="N35" s="34">
        <f>N33*Assumptions!C35</f>
        <v>64.215821063989537</v>
      </c>
      <c r="O35" s="34">
        <f>O33*Assumptions!D35</f>
        <v>70.264808787879005</v>
      </c>
      <c r="P35" s="34">
        <f>P33*Assumptions!E35</f>
        <v>77.178312234098499</v>
      </c>
      <c r="Q35" s="34">
        <f>Q33*Assumptions!F35</f>
        <v>83.90962410173465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164</v>
      </c>
      <c r="B36" s="1" t="s">
        <v>46</v>
      </c>
      <c r="C36" s="15">
        <f t="shared" ref="C36:Q36" si="16">IFERROR(C35/C33,"")</f>
        <v>0.36673918955670382</v>
      </c>
      <c r="D36" s="15">
        <f t="shared" si="16"/>
        <v>0.4810216388790351</v>
      </c>
      <c r="E36" s="15">
        <f t="shared" si="16"/>
        <v>0.23132118451025058</v>
      </c>
      <c r="F36" s="15">
        <f t="shared" si="16"/>
        <v>0.13049491257532353</v>
      </c>
      <c r="G36" s="15">
        <f t="shared" si="16"/>
        <v>0.14689929488338455</v>
      </c>
      <c r="H36" s="15">
        <f t="shared" si="16"/>
        <v>0.29214894571556749</v>
      </c>
      <c r="I36" s="15">
        <f t="shared" si="16"/>
        <v>0.84369212534261806</v>
      </c>
      <c r="J36" s="15">
        <f t="shared" si="16"/>
        <v>0.87502525082486038</v>
      </c>
      <c r="K36" s="15">
        <f t="shared" si="16"/>
        <v>0.89625525410775708</v>
      </c>
      <c r="L36" s="15">
        <f t="shared" si="16"/>
        <v>0.93444508338125354</v>
      </c>
      <c r="M36" s="15">
        <f t="shared" si="16"/>
        <v>0.84200218881400835</v>
      </c>
      <c r="N36" s="25">
        <f t="shared" si="16"/>
        <v>0.90000000000000013</v>
      </c>
      <c r="O36" s="25">
        <f t="shared" si="16"/>
        <v>0.89999999999999991</v>
      </c>
      <c r="P36" s="25">
        <f t="shared" si="16"/>
        <v>0.90000000000000013</v>
      </c>
      <c r="Q36" s="25">
        <f t="shared" si="16"/>
        <v>0.90000000000000013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3"/>
      <c r="O37" s="33"/>
      <c r="P37" s="33"/>
      <c r="Q37" s="3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3"/>
      <c r="O38" s="33"/>
      <c r="P38" s="33"/>
      <c r="Q38" s="33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3"/>
      <c r="O39" s="33"/>
      <c r="P39" s="33"/>
      <c r="Q39" s="33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3"/>
      <c r="O40" s="33"/>
      <c r="P40" s="33"/>
      <c r="Q40" s="33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3"/>
      <c r="O41" s="33"/>
      <c r="P41" s="33"/>
      <c r="Q41" s="33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3"/>
      <c r="O42" s="33"/>
      <c r="P42" s="33"/>
      <c r="Q42" s="33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3"/>
      <c r="O43" s="33"/>
      <c r="P43" s="33"/>
      <c r="Q43" s="33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3"/>
      <c r="O44" s="33"/>
      <c r="P44" s="33"/>
      <c r="Q44" s="33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3"/>
      <c r="O45" s="33"/>
      <c r="P45" s="33"/>
      <c r="Q45" s="33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3"/>
      <c r="O46" s="33"/>
      <c r="P46" s="33"/>
      <c r="Q46" s="33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3"/>
      <c r="O47" s="33"/>
      <c r="P47" s="33"/>
      <c r="Q47" s="3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3"/>
      <c r="O48" s="33"/>
      <c r="P48" s="33"/>
      <c r="Q48" s="3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3"/>
      <c r="O49" s="33"/>
      <c r="P49" s="33"/>
      <c r="Q49" s="3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3"/>
      <c r="O50" s="33"/>
      <c r="P50" s="33"/>
      <c r="Q50" s="3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3"/>
      <c r="O51" s="33"/>
      <c r="P51" s="33"/>
      <c r="Q51" s="3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3"/>
      <c r="O52" s="33"/>
      <c r="P52" s="33"/>
      <c r="Q52" s="33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3"/>
      <c r="O53" s="33"/>
      <c r="P53" s="33"/>
      <c r="Q53" s="33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3"/>
      <c r="O54" s="33"/>
      <c r="P54" s="33"/>
      <c r="Q54" s="33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3"/>
      <c r="O55" s="33"/>
      <c r="P55" s="33"/>
      <c r="Q55" s="33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3"/>
      <c r="O56" s="33"/>
      <c r="P56" s="33"/>
      <c r="Q56" s="33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3"/>
      <c r="O57" s="33"/>
      <c r="P57" s="33"/>
      <c r="Q57" s="33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3"/>
      <c r="O58" s="33"/>
      <c r="P58" s="33"/>
      <c r="Q58" s="33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3"/>
      <c r="O59" s="33"/>
      <c r="P59" s="33"/>
      <c r="Q59" s="33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3"/>
      <c r="O60" s="33"/>
      <c r="P60" s="33"/>
      <c r="Q60" s="33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3"/>
      <c r="O61" s="33"/>
      <c r="P61" s="33"/>
      <c r="Q61" s="33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3"/>
      <c r="O62" s="33"/>
      <c r="P62" s="33"/>
      <c r="Q62" s="33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3"/>
      <c r="O63" s="33"/>
      <c r="P63" s="33"/>
      <c r="Q63" s="33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3"/>
      <c r="O64" s="33"/>
      <c r="P64" s="33"/>
      <c r="Q64" s="3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3"/>
      <c r="O65" s="33"/>
      <c r="P65" s="33"/>
      <c r="Q65" s="33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3"/>
      <c r="O66" s="33"/>
      <c r="P66" s="33"/>
      <c r="Q66" s="33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3"/>
      <c r="O67" s="33"/>
      <c r="P67" s="33"/>
      <c r="Q67" s="33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3"/>
      <c r="O68" s="33"/>
      <c r="P68" s="33"/>
      <c r="Q68" s="33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3"/>
      <c r="O69" s="33"/>
      <c r="P69" s="33"/>
      <c r="Q69" s="33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3"/>
      <c r="O70" s="33"/>
      <c r="P70" s="33"/>
      <c r="Q70" s="33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3"/>
      <c r="O71" s="33"/>
      <c r="P71" s="33"/>
      <c r="Q71" s="33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3"/>
      <c r="O72" s="33"/>
      <c r="P72" s="33"/>
      <c r="Q72" s="33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3"/>
      <c r="O73" s="33"/>
      <c r="P73" s="33"/>
      <c r="Q73" s="33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3"/>
      <c r="O74" s="33"/>
      <c r="P74" s="33"/>
      <c r="Q74" s="3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3"/>
      <c r="O75" s="33"/>
      <c r="P75" s="33"/>
      <c r="Q75" s="3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3"/>
      <c r="O76" s="33"/>
      <c r="P76" s="33"/>
      <c r="Q76" s="3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3"/>
      <c r="O77" s="33"/>
      <c r="P77" s="33"/>
      <c r="Q77" s="33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3"/>
      <c r="O78" s="33"/>
      <c r="P78" s="33"/>
      <c r="Q78" s="33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3"/>
      <c r="O79" s="33"/>
      <c r="P79" s="33"/>
      <c r="Q79" s="33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3"/>
      <c r="O80" s="33"/>
      <c r="P80" s="33"/>
      <c r="Q80" s="33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3"/>
      <c r="O81" s="33"/>
      <c r="P81" s="33"/>
      <c r="Q81" s="33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3"/>
      <c r="O82" s="33"/>
      <c r="P82" s="33"/>
      <c r="Q82" s="33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3"/>
      <c r="O83" s="33"/>
      <c r="P83" s="33"/>
      <c r="Q83" s="33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3"/>
      <c r="O84" s="33"/>
      <c r="P84" s="33"/>
      <c r="Q84" s="33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3"/>
      <c r="O85" s="33"/>
      <c r="P85" s="33"/>
      <c r="Q85" s="33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3"/>
      <c r="O86" s="33"/>
      <c r="P86" s="33"/>
      <c r="Q86" s="3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3"/>
      <c r="O87" s="33"/>
      <c r="P87" s="33"/>
      <c r="Q87" s="3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3"/>
      <c r="O88" s="33"/>
      <c r="P88" s="33"/>
      <c r="Q88" s="33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3"/>
      <c r="O89" s="33"/>
      <c r="P89" s="33"/>
      <c r="Q89" s="33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3"/>
      <c r="O90" s="33"/>
      <c r="P90" s="33"/>
      <c r="Q90" s="33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3"/>
      <c r="O91" s="33"/>
      <c r="P91" s="33"/>
      <c r="Q91" s="33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3"/>
      <c r="O92" s="33"/>
      <c r="P92" s="33"/>
      <c r="Q92" s="33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3"/>
      <c r="O93" s="33"/>
      <c r="P93" s="33"/>
      <c r="Q93" s="33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3"/>
      <c r="O94" s="33"/>
      <c r="P94" s="33"/>
      <c r="Q94" s="33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3"/>
      <c r="O95" s="33"/>
      <c r="P95" s="33"/>
      <c r="Q95" s="33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3"/>
      <c r="O96" s="33"/>
      <c r="P96" s="33"/>
      <c r="Q96" s="33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3"/>
      <c r="O97" s="33"/>
      <c r="P97" s="33"/>
      <c r="Q97" s="33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3"/>
      <c r="O98" s="33"/>
      <c r="P98" s="33"/>
      <c r="Q98" s="33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3"/>
      <c r="O99" s="33"/>
      <c r="P99" s="33"/>
      <c r="Q99" s="33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3"/>
      <c r="O100" s="33"/>
      <c r="P100" s="33"/>
      <c r="Q100" s="3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3"/>
      <c r="O101" s="33"/>
      <c r="P101" s="33"/>
      <c r="Q101" s="3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3"/>
      <c r="O102" s="33"/>
      <c r="P102" s="33"/>
      <c r="Q102" s="3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3"/>
      <c r="O103" s="33"/>
      <c r="P103" s="33"/>
      <c r="Q103" s="3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3"/>
      <c r="O104" s="33"/>
      <c r="P104" s="33"/>
      <c r="Q104" s="3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3"/>
      <c r="O105" s="33"/>
      <c r="P105" s="33"/>
      <c r="Q105" s="3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3"/>
      <c r="O106" s="33"/>
      <c r="P106" s="33"/>
      <c r="Q106" s="3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3"/>
      <c r="O107" s="33"/>
      <c r="P107" s="33"/>
      <c r="Q107" s="3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3"/>
      <c r="O108" s="33"/>
      <c r="P108" s="33"/>
      <c r="Q108" s="3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3"/>
      <c r="O109" s="33"/>
      <c r="P109" s="33"/>
      <c r="Q109" s="3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3"/>
      <c r="O110" s="33"/>
      <c r="P110" s="33"/>
      <c r="Q110" s="3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3"/>
      <c r="O111" s="33"/>
      <c r="P111" s="33"/>
      <c r="Q111" s="3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3"/>
      <c r="O112" s="33"/>
      <c r="P112" s="33"/>
      <c r="Q112" s="3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3"/>
      <c r="O113" s="33"/>
      <c r="P113" s="33"/>
      <c r="Q113" s="3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3"/>
      <c r="O114" s="33"/>
      <c r="P114" s="33"/>
      <c r="Q114" s="3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3"/>
      <c r="O115" s="33"/>
      <c r="P115" s="33"/>
      <c r="Q115" s="3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3"/>
      <c r="O116" s="33"/>
      <c r="P116" s="33"/>
      <c r="Q116" s="3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3"/>
      <c r="O117" s="33"/>
      <c r="P117" s="33"/>
      <c r="Q117" s="3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3"/>
      <c r="O118" s="33"/>
      <c r="P118" s="33"/>
      <c r="Q118" s="3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3"/>
      <c r="O119" s="33"/>
      <c r="P119" s="33"/>
      <c r="Q119" s="3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3"/>
      <c r="O120" s="33"/>
      <c r="P120" s="33"/>
      <c r="Q120" s="3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3"/>
      <c r="O121" s="33"/>
      <c r="P121" s="33"/>
      <c r="Q121" s="3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3"/>
      <c r="O122" s="33"/>
      <c r="P122" s="33"/>
      <c r="Q122" s="3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3"/>
      <c r="O123" s="33"/>
      <c r="P123" s="33"/>
      <c r="Q123" s="3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3"/>
      <c r="O124" s="33"/>
      <c r="P124" s="33"/>
      <c r="Q124" s="3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3"/>
      <c r="O125" s="33"/>
      <c r="P125" s="33"/>
      <c r="Q125" s="3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3"/>
      <c r="O126" s="33"/>
      <c r="P126" s="33"/>
      <c r="Q126" s="3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3"/>
      <c r="O127" s="33"/>
      <c r="P127" s="33"/>
      <c r="Q127" s="3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3"/>
      <c r="O128" s="33"/>
      <c r="P128" s="33"/>
      <c r="Q128" s="3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3"/>
      <c r="O129" s="33"/>
      <c r="P129" s="33"/>
      <c r="Q129" s="3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3"/>
      <c r="O130" s="33"/>
      <c r="P130" s="33"/>
      <c r="Q130" s="3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3"/>
      <c r="O131" s="33"/>
      <c r="P131" s="33"/>
      <c r="Q131" s="3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3"/>
      <c r="O132" s="33"/>
      <c r="P132" s="33"/>
      <c r="Q132" s="3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3"/>
      <c r="O133" s="33"/>
      <c r="P133" s="33"/>
      <c r="Q133" s="3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3"/>
      <c r="O134" s="33"/>
      <c r="P134" s="33"/>
      <c r="Q134" s="3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3"/>
      <c r="O135" s="33"/>
      <c r="P135" s="33"/>
      <c r="Q135" s="3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3"/>
      <c r="O136" s="33"/>
      <c r="P136" s="33"/>
      <c r="Q136" s="3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3"/>
      <c r="O137" s="33"/>
      <c r="P137" s="33"/>
      <c r="Q137" s="3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3"/>
      <c r="O138" s="33"/>
      <c r="P138" s="33"/>
      <c r="Q138" s="3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3"/>
      <c r="O139" s="33"/>
      <c r="P139" s="33"/>
      <c r="Q139" s="3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3"/>
      <c r="O140" s="33"/>
      <c r="P140" s="33"/>
      <c r="Q140" s="3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3"/>
      <c r="O141" s="33"/>
      <c r="P141" s="33"/>
      <c r="Q141" s="3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3"/>
      <c r="O142" s="33"/>
      <c r="P142" s="33"/>
      <c r="Q142" s="3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3"/>
      <c r="O143" s="33"/>
      <c r="P143" s="33"/>
      <c r="Q143" s="3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3"/>
      <c r="O144" s="33"/>
      <c r="P144" s="33"/>
      <c r="Q144" s="3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3"/>
      <c r="O145" s="33"/>
      <c r="P145" s="33"/>
      <c r="Q145" s="3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3"/>
      <c r="O146" s="33"/>
      <c r="P146" s="33"/>
      <c r="Q146" s="3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3"/>
      <c r="O147" s="33"/>
      <c r="P147" s="33"/>
      <c r="Q147" s="3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3"/>
      <c r="O148" s="33"/>
      <c r="P148" s="33"/>
      <c r="Q148" s="3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3"/>
      <c r="O149" s="33"/>
      <c r="P149" s="33"/>
      <c r="Q149" s="3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3"/>
      <c r="O150" s="33"/>
      <c r="P150" s="33"/>
      <c r="Q150" s="3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3"/>
      <c r="O151" s="33"/>
      <c r="P151" s="33"/>
      <c r="Q151" s="3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3"/>
      <c r="O152" s="33"/>
      <c r="P152" s="33"/>
      <c r="Q152" s="3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3"/>
      <c r="O153" s="33"/>
      <c r="P153" s="33"/>
      <c r="Q153" s="3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3"/>
      <c r="O154" s="33"/>
      <c r="P154" s="33"/>
      <c r="Q154" s="3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3"/>
      <c r="O155" s="33"/>
      <c r="P155" s="33"/>
      <c r="Q155" s="3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3"/>
      <c r="O156" s="33"/>
      <c r="P156" s="33"/>
      <c r="Q156" s="3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3"/>
      <c r="O157" s="33"/>
      <c r="P157" s="33"/>
      <c r="Q157" s="3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3"/>
      <c r="O158" s="33"/>
      <c r="P158" s="33"/>
      <c r="Q158" s="3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3"/>
      <c r="O159" s="33"/>
      <c r="P159" s="33"/>
      <c r="Q159" s="3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3"/>
      <c r="O160" s="33"/>
      <c r="P160" s="33"/>
      <c r="Q160" s="3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3"/>
      <c r="O161" s="33"/>
      <c r="P161" s="33"/>
      <c r="Q161" s="3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3"/>
      <c r="O162" s="33"/>
      <c r="P162" s="33"/>
      <c r="Q162" s="3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3"/>
      <c r="O163" s="33"/>
      <c r="P163" s="33"/>
      <c r="Q163" s="3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3"/>
      <c r="O164" s="33"/>
      <c r="P164" s="33"/>
      <c r="Q164" s="3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3"/>
      <c r="O165" s="33"/>
      <c r="P165" s="33"/>
      <c r="Q165" s="3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3"/>
      <c r="O166" s="33"/>
      <c r="P166" s="33"/>
      <c r="Q166" s="3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3"/>
      <c r="O167" s="33"/>
      <c r="P167" s="33"/>
      <c r="Q167" s="3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3"/>
      <c r="O168" s="33"/>
      <c r="P168" s="33"/>
      <c r="Q168" s="3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3"/>
      <c r="O169" s="33"/>
      <c r="P169" s="33"/>
      <c r="Q169" s="3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3"/>
      <c r="O170" s="33"/>
      <c r="P170" s="33"/>
      <c r="Q170" s="3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3"/>
      <c r="O171" s="33"/>
      <c r="P171" s="33"/>
      <c r="Q171" s="3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3"/>
      <c r="O172" s="33"/>
      <c r="P172" s="33"/>
      <c r="Q172" s="3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3"/>
      <c r="O173" s="33"/>
      <c r="P173" s="33"/>
      <c r="Q173" s="3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3"/>
      <c r="O174" s="33"/>
      <c r="P174" s="33"/>
      <c r="Q174" s="3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3"/>
      <c r="O175" s="33"/>
      <c r="P175" s="33"/>
      <c r="Q175" s="3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3"/>
      <c r="O176" s="33"/>
      <c r="P176" s="33"/>
      <c r="Q176" s="3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3"/>
      <c r="O177" s="33"/>
      <c r="P177" s="33"/>
      <c r="Q177" s="3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3"/>
      <c r="O178" s="33"/>
      <c r="P178" s="33"/>
      <c r="Q178" s="3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3"/>
      <c r="O179" s="33"/>
      <c r="P179" s="33"/>
      <c r="Q179" s="3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3"/>
      <c r="O180" s="33"/>
      <c r="P180" s="33"/>
      <c r="Q180" s="3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3"/>
      <c r="O181" s="33"/>
      <c r="P181" s="33"/>
      <c r="Q181" s="3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3"/>
      <c r="O182" s="33"/>
      <c r="P182" s="33"/>
      <c r="Q182" s="3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3"/>
      <c r="O183" s="33"/>
      <c r="P183" s="33"/>
      <c r="Q183" s="3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3"/>
      <c r="O184" s="33"/>
      <c r="P184" s="33"/>
      <c r="Q184" s="3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3"/>
      <c r="O185" s="33"/>
      <c r="P185" s="33"/>
      <c r="Q185" s="3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3"/>
      <c r="O186" s="33"/>
      <c r="P186" s="33"/>
      <c r="Q186" s="3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3"/>
      <c r="O187" s="33"/>
      <c r="P187" s="33"/>
      <c r="Q187" s="3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3"/>
      <c r="O188" s="33"/>
      <c r="P188" s="33"/>
      <c r="Q188" s="3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3"/>
      <c r="O189" s="33"/>
      <c r="P189" s="33"/>
      <c r="Q189" s="3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3"/>
      <c r="O190" s="33"/>
      <c r="P190" s="33"/>
      <c r="Q190" s="3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3"/>
      <c r="O191" s="33"/>
      <c r="P191" s="33"/>
      <c r="Q191" s="3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3"/>
      <c r="O192" s="33"/>
      <c r="P192" s="33"/>
      <c r="Q192" s="3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3"/>
      <c r="O193" s="33"/>
      <c r="P193" s="33"/>
      <c r="Q193" s="3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3"/>
      <c r="O194" s="33"/>
      <c r="P194" s="33"/>
      <c r="Q194" s="3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3"/>
      <c r="O195" s="33"/>
      <c r="P195" s="33"/>
      <c r="Q195" s="3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3"/>
      <c r="O196" s="33"/>
      <c r="P196" s="33"/>
      <c r="Q196" s="3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3"/>
      <c r="O197" s="33"/>
      <c r="P197" s="33"/>
      <c r="Q197" s="3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3"/>
      <c r="O198" s="33"/>
      <c r="P198" s="33"/>
      <c r="Q198" s="3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3"/>
      <c r="O199" s="33"/>
      <c r="P199" s="33"/>
      <c r="Q199" s="3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3"/>
      <c r="O200" s="33"/>
      <c r="P200" s="33"/>
      <c r="Q200" s="3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300"/>
  <sheetViews>
    <sheetView showGridLines="0" workbookViewId="0">
      <selection sqref="A1:Q1"/>
    </sheetView>
  </sheetViews>
  <sheetFormatPr defaultRowHeight="13.8"/>
  <cols>
    <col min="1" max="1" width="34" customWidth="1"/>
    <col min="2" max="17" width="11" customWidth="1"/>
  </cols>
  <sheetData>
    <row r="1" spans="1:46" ht="25.95" customHeight="1">
      <c r="A1" s="43" t="s">
        <v>280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4" t="s">
        <v>281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19" t="s">
        <v>39</v>
      </c>
      <c r="O5" s="19" t="s">
        <v>40</v>
      </c>
      <c r="P5" s="19" t="s">
        <v>41</v>
      </c>
      <c r="Q5" s="19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3"/>
      <c r="O6" s="33"/>
      <c r="P6" s="33"/>
      <c r="Q6" s="3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193</v>
      </c>
      <c r="B7" s="1" t="s">
        <v>44</v>
      </c>
      <c r="C7" s="14">
        <f>'Raw Financials'!C29</f>
        <v>729.3</v>
      </c>
      <c r="D7" s="14">
        <f>'Raw Financials'!D29</f>
        <v>1316.5</v>
      </c>
      <c r="E7" s="14">
        <f>'Raw Financials'!E29</f>
        <v>1693.9</v>
      </c>
      <c r="F7" s="14">
        <f>'Raw Financials'!F29</f>
        <v>5929</v>
      </c>
      <c r="G7" s="14">
        <f>'Raw Financials'!G29</f>
        <v>4843</v>
      </c>
      <c r="H7" s="14">
        <f>'Raw Financials'!H29</f>
        <v>6515</v>
      </c>
      <c r="I7" s="14">
        <f>'Raw Financials'!I29</f>
        <v>10510</v>
      </c>
      <c r="J7" s="14">
        <f>'Raw Financials'!J29</f>
        <v>9065</v>
      </c>
      <c r="K7" s="14">
        <f>'Raw Financials'!K29</f>
        <v>9456</v>
      </c>
      <c r="L7" s="14">
        <f>'Raw Financials'!L29</f>
        <v>8245</v>
      </c>
      <c r="M7" s="14">
        <f>'Raw Financials'!M29</f>
        <v>8265</v>
      </c>
      <c r="N7" s="28">
        <f>'Annual Cash Flow'!N35</f>
        <v>11175.181832401769</v>
      </c>
      <c r="O7" s="28">
        <f>'Annual Cash Flow'!O35</f>
        <v>12690.724404566598</v>
      </c>
      <c r="P7" s="28">
        <f>'Annual Cash Flow'!P35</f>
        <v>14412.746169051828</v>
      </c>
      <c r="Q7" s="28">
        <f>'Annual Cash Flow'!Q35</f>
        <v>16169.033020464423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282</v>
      </c>
      <c r="B8" s="1" t="s">
        <v>44</v>
      </c>
      <c r="C8" s="14">
        <f>'Raw Financials'!C30</f>
        <v>7721.3</v>
      </c>
      <c r="D8" s="14">
        <f>'Raw Financials'!D30</f>
        <v>8301.4</v>
      </c>
      <c r="E8" s="14">
        <f>'Raw Financials'!E30</f>
        <v>9639.4</v>
      </c>
      <c r="F8" s="14">
        <f>'Raw Financials'!F30</f>
        <v>11706</v>
      </c>
      <c r="G8" s="14">
        <f>'Raw Financials'!G30</f>
        <v>14134</v>
      </c>
      <c r="H8" s="14">
        <f>'Raw Financials'!H30</f>
        <v>13663</v>
      </c>
      <c r="I8" s="14">
        <f>'Raw Financials'!I30</f>
        <v>15476</v>
      </c>
      <c r="J8" s="14">
        <f>'Raw Financials'!J30</f>
        <v>19572</v>
      </c>
      <c r="K8" s="14">
        <f>'Raw Financials'!K30</f>
        <v>19483</v>
      </c>
      <c r="L8" s="14">
        <f>'Raw Financials'!L30</f>
        <v>19523</v>
      </c>
      <c r="M8" s="14">
        <f>'Raw Financials'!M30</f>
        <v>23585</v>
      </c>
      <c r="N8" s="28">
        <f>'Annual P&amp;L'!N7/365*Assumptions!C21</f>
        <v>24230.996903469859</v>
      </c>
      <c r="O8" s="28">
        <f>'Annual P&amp;L'!O7/365*Assumptions!D21</f>
        <v>25724.999583341043</v>
      </c>
      <c r="P8" s="28">
        <f>'Annual P&amp;L'!P7/365*Assumptions!E21</f>
        <v>27528.946537803102</v>
      </c>
      <c r="Q8" s="28">
        <f>'Annual P&amp;L'!Q7/365*Assumptions!F21</f>
        <v>29293.20601368765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195</v>
      </c>
      <c r="B9" s="1" t="s">
        <v>44</v>
      </c>
      <c r="C9" s="14">
        <f>'Raw Financials'!C31</f>
        <v>3001.5</v>
      </c>
      <c r="D9" s="14">
        <f>'Raw Financials'!D31</f>
        <v>2501.1999999999998</v>
      </c>
      <c r="E9" s="14">
        <f>'Raw Financials'!E31</f>
        <v>2618.1</v>
      </c>
      <c r="F9" s="14">
        <f>'Raw Financials'!F31</f>
        <v>0</v>
      </c>
      <c r="G9" s="14">
        <f>'Raw Financials'!G31</f>
        <v>3638</v>
      </c>
      <c r="H9" s="14">
        <f>'Raw Financials'!H31</f>
        <v>3862</v>
      </c>
      <c r="I9" s="14">
        <f>'Raw Financials'!I31</f>
        <v>5195</v>
      </c>
      <c r="J9" s="14">
        <f>'Raw Financials'!J31</f>
        <v>5934</v>
      </c>
      <c r="K9" s="14">
        <f>'Raw Financials'!K31</f>
        <v>6038</v>
      </c>
      <c r="L9" s="14">
        <f>'Raw Financials'!L31</f>
        <v>6319</v>
      </c>
      <c r="M9" s="14">
        <f>'Raw Financials'!M31</f>
        <v>7956</v>
      </c>
      <c r="N9" s="28">
        <f>'Annual P&amp;L'!N7/365*Assumptions!C22</f>
        <v>8329.4051855677644</v>
      </c>
      <c r="O9" s="28">
        <f>'Annual P&amp;L'!O7/365*Assumptions!D22</f>
        <v>8983.3331878333793</v>
      </c>
      <c r="P9" s="28">
        <f>'Annual P&amp;L'!P7/365*Assumptions!E22</f>
        <v>9324.3206015139531</v>
      </c>
      <c r="Q9" s="28">
        <f>'Annual P&amp;L'!Q7/365*Assumptions!F22</f>
        <v>10084.546332580994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283</v>
      </c>
      <c r="B10" s="1" t="s">
        <v>44</v>
      </c>
      <c r="C10" s="14">
        <f>'Raw Financials'!C32</f>
        <v>11123.6</v>
      </c>
      <c r="D10" s="14">
        <f>'Raw Financials'!D32</f>
        <v>11365.3</v>
      </c>
      <c r="E10" s="14">
        <f>'Raw Financials'!E32</f>
        <v>8083.8</v>
      </c>
      <c r="F10" s="14">
        <f>'Raw Financials'!F32</f>
        <v>5462</v>
      </c>
      <c r="G10" s="14">
        <f>'Raw Financials'!G32</f>
        <v>10530</v>
      </c>
      <c r="H10" s="14">
        <f>'Raw Financials'!H32</f>
        <v>13975</v>
      </c>
      <c r="I10" s="14">
        <f>'Raw Financials'!I32</f>
        <v>11373</v>
      </c>
      <c r="J10" s="14">
        <f>'Raw Financials'!J32</f>
        <v>13647</v>
      </c>
      <c r="K10" s="14">
        <f>'Raw Financials'!K32</f>
        <v>18532</v>
      </c>
      <c r="L10" s="14">
        <f>'Raw Financials'!L32</f>
        <v>21493</v>
      </c>
      <c r="M10" s="14">
        <f>'Raw Financials'!M32</f>
        <v>23136</v>
      </c>
      <c r="N10" s="28">
        <f>'Annual P&amp;L'!N7*Assumptions!C26</f>
        <v>26256.55680086929</v>
      </c>
      <c r="O10" s="28">
        <f>'Annual P&amp;L'!O7*Assumptions!D26</f>
        <v>27572.707886747678</v>
      </c>
      <c r="P10" s="28">
        <f>'Annual P&amp;L'!P7*Assumptions!E26</f>
        <v>29171.80302473651</v>
      </c>
      <c r="Q10" s="28">
        <f>'Annual P&amp;L'!Q7*Assumptions!F26</f>
        <v>30673.828428267188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197</v>
      </c>
      <c r="B11" s="1" t="s">
        <v>44</v>
      </c>
      <c r="C11" s="14">
        <f t="shared" ref="C11:M11" si="0">C12-SUM(C7:C10)</f>
        <v>2410.2000000000007</v>
      </c>
      <c r="D11" s="14">
        <f t="shared" si="0"/>
        <v>2983.2000000000007</v>
      </c>
      <c r="E11" s="14">
        <f t="shared" si="0"/>
        <v>2519.7999999999993</v>
      </c>
      <c r="F11" s="14">
        <f t="shared" si="0"/>
        <v>6620</v>
      </c>
      <c r="G11" s="14">
        <f t="shared" si="0"/>
        <v>5280</v>
      </c>
      <c r="H11" s="14">
        <f t="shared" si="0"/>
        <v>5037</v>
      </c>
      <c r="I11" s="14">
        <f t="shared" si="0"/>
        <v>5487</v>
      </c>
      <c r="J11" s="14">
        <f t="shared" si="0"/>
        <v>5359</v>
      </c>
      <c r="K11" s="14">
        <f t="shared" si="0"/>
        <v>5822</v>
      </c>
      <c r="L11" s="14">
        <f t="shared" si="0"/>
        <v>6529</v>
      </c>
      <c r="M11" s="14">
        <f t="shared" si="0"/>
        <v>7600</v>
      </c>
      <c r="N11" s="28">
        <f>'Annual P&amp;L'!N7*Assumptions!C23</f>
        <v>8015.1594444758894</v>
      </c>
      <c r="O11" s="28">
        <f>'Annual P&amp;L'!O7*Assumptions!D23</f>
        <v>8495.3748624033396</v>
      </c>
      <c r="P11" s="28">
        <f>'Annual P&amp;L'!P7*Assumptions!E23</f>
        <v>9075.6720521402476</v>
      </c>
      <c r="Q11" s="28">
        <f>'Annual P&amp;L'!Q7*Assumptions!F23</f>
        <v>9640.3460774554023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8" t="s">
        <v>198</v>
      </c>
      <c r="B12" s="16" t="s">
        <v>44</v>
      </c>
      <c r="C12" s="17">
        <f>'Raw Financials'!C34</f>
        <v>24985.9</v>
      </c>
      <c r="D12" s="17">
        <f>'Raw Financials'!D34</f>
        <v>26467.599999999999</v>
      </c>
      <c r="E12" s="17">
        <f>'Raw Financials'!E34</f>
        <v>24555</v>
      </c>
      <c r="F12" s="17">
        <f>'Raw Financials'!F34</f>
        <v>29717</v>
      </c>
      <c r="G12" s="17">
        <f>'Raw Financials'!G34</f>
        <v>38425</v>
      </c>
      <c r="H12" s="17">
        <f>'Raw Financials'!H34</f>
        <v>43052</v>
      </c>
      <c r="I12" s="17">
        <f>'Raw Financials'!I34</f>
        <v>48041</v>
      </c>
      <c r="J12" s="17">
        <f>'Raw Financials'!J34</f>
        <v>53577</v>
      </c>
      <c r="K12" s="17">
        <f>'Raw Financials'!K34</f>
        <v>59331</v>
      </c>
      <c r="L12" s="17">
        <f>'Raw Financials'!L34</f>
        <v>62109</v>
      </c>
      <c r="M12" s="17">
        <f>'Raw Financials'!M34</f>
        <v>70542</v>
      </c>
      <c r="N12" s="29">
        <f>SUM(N7:N11)</f>
        <v>78007.300166784582</v>
      </c>
      <c r="O12" s="29">
        <f>SUM(O7:O11)</f>
        <v>83467.139924892021</v>
      </c>
      <c r="P12" s="29">
        <f>SUM(P7:P11)</f>
        <v>89513.488385245626</v>
      </c>
      <c r="Q12" s="29">
        <f>SUM(Q7:Q11)</f>
        <v>95860.959872455642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199</v>
      </c>
      <c r="B13" s="1" t="s">
        <v>44</v>
      </c>
      <c r="C13" s="14">
        <f>'Raw Financials'!C35</f>
        <v>4323.1000000000004</v>
      </c>
      <c r="D13" s="14">
        <f>'Raw Financials'!D35</f>
        <v>4680.6000000000004</v>
      </c>
      <c r="E13" s="14">
        <f>'Raw Financials'!E35</f>
        <v>5184.7</v>
      </c>
      <c r="F13" s="14">
        <f>'Raw Financials'!F35</f>
        <v>5801</v>
      </c>
      <c r="G13" s="14">
        <f>'Raw Financials'!G35</f>
        <v>6244</v>
      </c>
      <c r="H13" s="14">
        <f>'Raw Financials'!H35</f>
        <v>6245</v>
      </c>
      <c r="I13" s="14">
        <f>'Raw Financials'!I35</f>
        <v>5741</v>
      </c>
      <c r="J13" s="14">
        <f>'Raw Financials'!J35</f>
        <v>5411</v>
      </c>
      <c r="K13" s="14">
        <f>'Raw Financials'!K35</f>
        <v>4999</v>
      </c>
      <c r="L13" s="14">
        <f>'Raw Financials'!L35</f>
        <v>4560</v>
      </c>
      <c r="M13" s="14">
        <f>'Raw Financials'!M35</f>
        <v>4717</v>
      </c>
      <c r="N13" s="28">
        <f>M13-'Annual Cash Flow'!N17-'Annual P&amp;L'!N19*Assumptions!C28</f>
        <v>3915.484055552412</v>
      </c>
      <c r="O13" s="28">
        <f>N13-'Annual Cash Flow'!O17-'Annual P&amp;L'!O19*Assumptions!D28</f>
        <v>3140.4674014384227</v>
      </c>
      <c r="P13" s="28">
        <f>O13-'Annual Cash Flow'!P17-'Annual P&amp;L'!P19*Assumptions!E28</f>
        <v>2394.9657685840457</v>
      </c>
      <c r="Q13" s="28">
        <f>P13-'Annual Cash Flow'!Q17-'Annual P&amp;L'!Q19*Assumptions!F28</f>
        <v>1693.8496902236534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200</v>
      </c>
      <c r="B14" s="1" t="s">
        <v>44</v>
      </c>
      <c r="C14" s="14">
        <f>'Raw Financials'!C36</f>
        <v>0</v>
      </c>
      <c r="D14" s="14">
        <f>'Raw Financials'!D36</f>
        <v>0</v>
      </c>
      <c r="E14" s="14">
        <f>'Raw Financials'!E36</f>
        <v>0</v>
      </c>
      <c r="F14" s="14">
        <f>'Raw Financials'!F36</f>
        <v>0</v>
      </c>
      <c r="G14" s="14">
        <f>'Raw Financials'!G36</f>
        <v>0</v>
      </c>
      <c r="H14" s="14">
        <f>'Raw Financials'!H36</f>
        <v>0</v>
      </c>
      <c r="I14" s="14">
        <f>'Raw Financials'!I36</f>
        <v>2305</v>
      </c>
      <c r="J14" s="14">
        <f>'Raw Financials'!J36</f>
        <v>2337</v>
      </c>
      <c r="K14" s="14">
        <f>'Raw Financials'!K36</f>
        <v>2910</v>
      </c>
      <c r="L14" s="14">
        <f>'Raw Financials'!L36</f>
        <v>3016</v>
      </c>
      <c r="M14" s="14">
        <f>'Raw Financials'!M36</f>
        <v>3592</v>
      </c>
      <c r="N14" s="28">
        <f>M14+'Annual Cash Flow'!N25-'Annual P&amp;L'!N19*Assumptions!C30</f>
        <v>4338.238982761548</v>
      </c>
      <c r="O14" s="28">
        <f>N14+'Annual Cash Flow'!O25-'Annual P&amp;L'!O19*Assumptions!D30</f>
        <v>5172.8723025766121</v>
      </c>
      <c r="P14" s="28">
        <f>O14+'Annual Cash Flow'!P25-'Annual P&amp;L'!P19*Assumptions!E30</f>
        <v>6112.852622262566</v>
      </c>
      <c r="Q14" s="28">
        <f>P14+'Annual Cash Flow'!Q25-'Annual P&amp;L'!Q19*Assumptions!F30</f>
        <v>7164.5267398031556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201</v>
      </c>
      <c r="B15" s="1" t="s">
        <v>44</v>
      </c>
      <c r="C15" s="14">
        <f>'Raw Financials'!C37</f>
        <v>6419.4</v>
      </c>
      <c r="D15" s="14">
        <f>'Raw Financials'!D37</f>
        <v>7358.3</v>
      </c>
      <c r="E15" s="14">
        <f>'Raw Financials'!E37</f>
        <v>14405.7</v>
      </c>
      <c r="F15" s="14">
        <f>'Raw Financials'!F37</f>
        <v>17695</v>
      </c>
      <c r="G15" s="14">
        <f>'Raw Financials'!G37</f>
        <v>29421</v>
      </c>
      <c r="H15" s="14">
        <f>'Raw Financials'!H37</f>
        <v>29150</v>
      </c>
      <c r="I15" s="14">
        <f>'Raw Financials'!I37</f>
        <v>27160</v>
      </c>
      <c r="J15" s="14">
        <f>'Raw Financials'!J37</f>
        <v>26911</v>
      </c>
      <c r="K15" s="14">
        <f>'Raw Financials'!K37</f>
        <v>27262</v>
      </c>
      <c r="L15" s="14">
        <f>'Raw Financials'!L37</f>
        <v>28655</v>
      </c>
      <c r="M15" s="14">
        <f>'Raw Financials'!M37</f>
        <v>29130</v>
      </c>
      <c r="N15" s="28">
        <f>M15-'Annual Cash Flow'!N19-'Annual P&amp;L'!N19*(1-Assumptions!C28-Assumptions!C30)</f>
        <v>28217.930132180329</v>
      </c>
      <c r="O15" s="28">
        <f>N15-'Annual Cash Flow'!O19-'Annual P&amp;L'!O19*(1-Assumptions!D28-Assumptions!D30)</f>
        <v>27264.063480963112</v>
      </c>
      <c r="P15" s="28">
        <f>O15-'Annual Cash Flow'!P19-'Annual P&amp;L'!P19*(1-Assumptions!E28-Assumptions!E30)</f>
        <v>26259.256932333297</v>
      </c>
      <c r="Q15" s="28">
        <f>P15-'Annual Cash Flow'!Q19-'Annual P&amp;L'!Q19*(1-Assumptions!F28-Assumptions!F30)</f>
        <v>25207.58281479271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284</v>
      </c>
      <c r="B16" s="1" t="s">
        <v>44</v>
      </c>
      <c r="C16" s="14">
        <f>IF(OR('Raw Financials'!C39="",C12=""),"",'Raw Financials'!C39-SUM(C12:C15))</f>
        <v>4038.9000000000015</v>
      </c>
      <c r="D16" s="14">
        <f>IF(OR('Raw Financials'!D39="",D12=""),"",'Raw Financials'!D39-SUM(D12:D15))</f>
        <v>7925.8000000000029</v>
      </c>
      <c r="E16" s="14">
        <f>IF(OR('Raw Financials'!E39="",E12=""),"",'Raw Financials'!E39-SUM(E12:E15))</f>
        <v>4289.6999999999971</v>
      </c>
      <c r="F16" s="14">
        <f>IF(OR('Raw Financials'!F39="",F12=""),"",'Raw Financials'!F39-SUM(F12:F15))</f>
        <v>5684</v>
      </c>
      <c r="G16" s="14">
        <f>IF(OR('Raw Financials'!G39="",G12=""),"",'Raw Financials'!G39-SUM(G12:G15))</f>
        <v>9126</v>
      </c>
      <c r="H16" s="14">
        <f>IF(OR('Raw Financials'!H39="",H12=""),"",'Raw Financials'!H39-SUM(H12:H15))</f>
        <v>9255</v>
      </c>
      <c r="I16" s="14">
        <f>IF(OR('Raw Financials'!I39="",I12=""),"",'Raw Financials'!I39-SUM(I12:I15))</f>
        <v>5786</v>
      </c>
      <c r="J16" s="14">
        <f>IF(OR('Raw Financials'!J39="",J12=""),"",'Raw Financials'!J39-SUM(J12:J15))</f>
        <v>5175</v>
      </c>
      <c r="K16" s="14">
        <f>IF(OR('Raw Financials'!K39="",K12=""),"",'Raw Financials'!K39-SUM(K12:K15))</f>
        <v>5275</v>
      </c>
      <c r="L16" s="14">
        <f>IF(OR('Raw Financials'!L39="",L12=""),"",'Raw Financials'!L39-SUM(L12:L15))</f>
        <v>7204</v>
      </c>
      <c r="M16" s="14">
        <f>IF(OR('Raw Financials'!M39="",M12=""),"",'Raw Financials'!M39-SUM(M12:M15))</f>
        <v>8277</v>
      </c>
      <c r="N16" s="28">
        <f>'Annual P&amp;L'!N7*Assumptions!C25</f>
        <v>5527.6961686040613</v>
      </c>
      <c r="O16" s="28">
        <f>'Annual P&amp;L'!O7*Assumptions!D25</f>
        <v>5812.6249058549165</v>
      </c>
      <c r="P16" s="28">
        <f>'Annual P&amp;L'!P7*Assumptions!E25</f>
        <v>6158.4917496665967</v>
      </c>
      <c r="Q16" s="28">
        <f>'Annual P&amp;L'!Q7*Assumptions!F25</f>
        <v>6485.3237248336345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8" t="s">
        <v>203</v>
      </c>
      <c r="B17" s="16" t="s">
        <v>44</v>
      </c>
      <c r="C17" s="17">
        <f>'Raw Financials'!C39</f>
        <v>39767.300000000003</v>
      </c>
      <c r="D17" s="17">
        <f>'Raw Financials'!D39</f>
        <v>46432.3</v>
      </c>
      <c r="E17" s="17">
        <f>'Raw Financials'!E39</f>
        <v>48435.1</v>
      </c>
      <c r="F17" s="17">
        <f>'Raw Financials'!F39</f>
        <v>58897</v>
      </c>
      <c r="G17" s="17">
        <f>'Raw Financials'!G39</f>
        <v>83216</v>
      </c>
      <c r="H17" s="17">
        <f>'Raw Financials'!H39</f>
        <v>87702</v>
      </c>
      <c r="I17" s="17">
        <f>'Raw Financials'!I39</f>
        <v>89033</v>
      </c>
      <c r="J17" s="17">
        <f>'Raw Financials'!J39</f>
        <v>93411</v>
      </c>
      <c r="K17" s="17">
        <f>'Raw Financials'!K39</f>
        <v>99777</v>
      </c>
      <c r="L17" s="17">
        <f>'Raw Financials'!L39</f>
        <v>105544</v>
      </c>
      <c r="M17" s="17">
        <f>'Raw Financials'!M39</f>
        <v>116258</v>
      </c>
      <c r="N17" s="29">
        <f>SUM(N12:N16)</f>
        <v>120006.64950588295</v>
      </c>
      <c r="O17" s="29">
        <f>SUM(O12:O16)</f>
        <v>124857.16801572508</v>
      </c>
      <c r="P17" s="29">
        <f>SUM(P12:P16)</f>
        <v>130439.05545809215</v>
      </c>
      <c r="Q17" s="29">
        <f>SUM(Q12:Q16)</f>
        <v>136412.2428421088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204</v>
      </c>
      <c r="B18" s="1" t="s">
        <v>44</v>
      </c>
      <c r="C18" s="14">
        <f>'Raw Financials'!C40</f>
        <v>9508.5</v>
      </c>
      <c r="D18" s="14">
        <f>'Raw Financials'!D40</f>
        <v>11147.7</v>
      </c>
      <c r="E18" s="14">
        <f>'Raw Financials'!E40</f>
        <v>9914.2999999999993</v>
      </c>
      <c r="F18" s="14">
        <f>'Raw Financials'!F40</f>
        <v>11148</v>
      </c>
      <c r="G18" s="14">
        <f>'Raw Financials'!G40</f>
        <v>20889</v>
      </c>
      <c r="H18" s="14">
        <f>'Raw Financials'!H40</f>
        <v>16755</v>
      </c>
      <c r="I18" s="14">
        <f>'Raw Financials'!I40</f>
        <v>18014</v>
      </c>
      <c r="J18" s="14">
        <f>'Raw Financials'!J40</f>
        <v>20420</v>
      </c>
      <c r="K18" s="14">
        <f>'Raw Financials'!K40</f>
        <v>21532</v>
      </c>
      <c r="L18" s="14">
        <f>'Raw Financials'!L40</f>
        <v>24471</v>
      </c>
      <c r="M18" s="14">
        <f>'Raw Financials'!M40</f>
        <v>29828</v>
      </c>
      <c r="N18" s="28">
        <f>'Annual P&amp;L'!N7*Assumptions!C24</f>
        <v>31093.290948397844</v>
      </c>
      <c r="O18" s="28">
        <f>'Annual P&amp;L'!O7*Assumptions!D24</f>
        <v>33236.291128349905</v>
      </c>
      <c r="P18" s="28">
        <f>'Annual P&amp;L'!P7*Assumptions!E24</f>
        <v>35816.491491482047</v>
      </c>
      <c r="Q18" s="28">
        <f>'Annual P&amp;L'!Q7*Assumptions!F24</f>
        <v>38561.384309821609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205</v>
      </c>
      <c r="B19" s="1" t="s">
        <v>44</v>
      </c>
      <c r="C19" s="14">
        <f>'Raw Financials'!C41</f>
        <v>0</v>
      </c>
      <c r="D19" s="14">
        <f>'Raw Financials'!D41</f>
        <v>0</v>
      </c>
      <c r="E19" s="14">
        <f>'Raw Financials'!E41</f>
        <v>0</v>
      </c>
      <c r="F19" s="14">
        <f>'Raw Financials'!F41</f>
        <v>0</v>
      </c>
      <c r="G19" s="14">
        <f>'Raw Financials'!G41</f>
        <v>0</v>
      </c>
      <c r="H19" s="14">
        <f>'Raw Financials'!H41</f>
        <v>0</v>
      </c>
      <c r="I19" s="14">
        <f>'Raw Financials'!I41</f>
        <v>0</v>
      </c>
      <c r="J19" s="14">
        <f>'Raw Financials'!J41</f>
        <v>0</v>
      </c>
      <c r="K19" s="14">
        <f>'Raw Financials'!K41</f>
        <v>0</v>
      </c>
      <c r="L19" s="14">
        <f>'Raw Financials'!L41</f>
        <v>0</v>
      </c>
      <c r="M19" s="14">
        <f>'Raw Financials'!M41</f>
        <v>0</v>
      </c>
      <c r="N19" s="28">
        <f>N22*Assumptions!C34</f>
        <v>11.8</v>
      </c>
      <c r="O19" s="28">
        <f>O22*Assumptions!D34</f>
        <v>0</v>
      </c>
      <c r="P19" s="28">
        <f>P22*Assumptions!E34</f>
        <v>0</v>
      </c>
      <c r="Q19" s="28">
        <f>Q22*Assumptions!F34</f>
        <v>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206</v>
      </c>
      <c r="B20" s="1" t="s">
        <v>44</v>
      </c>
      <c r="C20" s="14">
        <f>'Raw Financials'!C42</f>
        <v>0</v>
      </c>
      <c r="D20" s="14">
        <f>'Raw Financials'!D42</f>
        <v>0</v>
      </c>
      <c r="E20" s="14">
        <f>'Raw Financials'!E42</f>
        <v>0</v>
      </c>
      <c r="F20" s="14">
        <f>'Raw Financials'!F42</f>
        <v>0</v>
      </c>
      <c r="G20" s="14">
        <f>'Raw Financials'!G42</f>
        <v>0</v>
      </c>
      <c r="H20" s="14">
        <f>'Raw Financials'!H42</f>
        <v>0</v>
      </c>
      <c r="I20" s="14">
        <f>'Raw Financials'!I42</f>
        <v>0</v>
      </c>
      <c r="J20" s="14">
        <f>'Raw Financials'!J42</f>
        <v>0</v>
      </c>
      <c r="K20" s="14">
        <f>'Raw Financials'!K42</f>
        <v>0</v>
      </c>
      <c r="L20" s="14">
        <f>'Raw Financials'!L42</f>
        <v>0</v>
      </c>
      <c r="M20" s="14">
        <f>'Raw Financials'!M42</f>
        <v>0</v>
      </c>
      <c r="N20" s="28">
        <f>N22-N19</f>
        <v>47.2</v>
      </c>
      <c r="O20" s="28">
        <f>O22-O19</f>
        <v>0</v>
      </c>
      <c r="P20" s="28">
        <f>P22-P19</f>
        <v>0</v>
      </c>
      <c r="Q20" s="28">
        <f>Q22-Q19</f>
        <v>0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285</v>
      </c>
      <c r="B21" s="1" t="s">
        <v>44</v>
      </c>
      <c r="C21" s="14">
        <f>'Raw Financials'!C43</f>
        <v>973.2</v>
      </c>
      <c r="D21" s="14">
        <f>'Raw Financials'!D43</f>
        <v>541.70000000000005</v>
      </c>
      <c r="E21" s="14">
        <f>'Raw Financials'!E43</f>
        <v>437.1</v>
      </c>
      <c r="F21" s="14">
        <f>'Raw Financials'!F43</f>
        <v>3986</v>
      </c>
      <c r="G21" s="14">
        <f>'Raw Financials'!G43</f>
        <v>5092</v>
      </c>
      <c r="H21" s="14">
        <f>'Raw Financials'!H43</f>
        <v>3907</v>
      </c>
      <c r="I21" s="14">
        <f>'Raw Financials'!I43</f>
        <v>3985</v>
      </c>
      <c r="J21" s="14">
        <f>'Raw Financials'!J43</f>
        <v>2251</v>
      </c>
      <c r="K21" s="14">
        <f>'Raw Financials'!K43</f>
        <v>2327</v>
      </c>
      <c r="L21" s="14">
        <f>'Raw Financials'!L43</f>
        <v>2291</v>
      </c>
      <c r="M21" s="14">
        <f>'Raw Financials'!M43</f>
        <v>159</v>
      </c>
      <c r="N21" s="28">
        <f>0</f>
        <v>0</v>
      </c>
      <c r="O21" s="28">
        <f>0</f>
        <v>0</v>
      </c>
      <c r="P21" s="28">
        <f>0</f>
        <v>0</v>
      </c>
      <c r="Q21" s="28">
        <f>0</f>
        <v>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8" t="s">
        <v>286</v>
      </c>
      <c r="B22" s="16" t="s">
        <v>44</v>
      </c>
      <c r="C22" s="17">
        <f t="shared" ref="C22:M22" si="1">SUM(C19:C21)</f>
        <v>973.2</v>
      </c>
      <c r="D22" s="17">
        <f t="shared" si="1"/>
        <v>541.70000000000005</v>
      </c>
      <c r="E22" s="17">
        <f t="shared" si="1"/>
        <v>437.1</v>
      </c>
      <c r="F22" s="17">
        <f t="shared" si="1"/>
        <v>3986</v>
      </c>
      <c r="G22" s="17">
        <f t="shared" si="1"/>
        <v>5092</v>
      </c>
      <c r="H22" s="17">
        <f t="shared" si="1"/>
        <v>3907</v>
      </c>
      <c r="I22" s="17">
        <f t="shared" si="1"/>
        <v>3985</v>
      </c>
      <c r="J22" s="17">
        <f t="shared" si="1"/>
        <v>2251</v>
      </c>
      <c r="K22" s="17">
        <f t="shared" si="1"/>
        <v>2327</v>
      </c>
      <c r="L22" s="17">
        <f t="shared" si="1"/>
        <v>2291</v>
      </c>
      <c r="M22" s="17">
        <f t="shared" si="1"/>
        <v>159</v>
      </c>
      <c r="N22" s="29">
        <f>MAX(0,M22+Assumptions!C33)</f>
        <v>59</v>
      </c>
      <c r="O22" s="29">
        <f>MAX(0,N22+Assumptions!D33)</f>
        <v>0</v>
      </c>
      <c r="P22" s="29">
        <f>MAX(0,O22+Assumptions!E33)</f>
        <v>0</v>
      </c>
      <c r="Q22" s="29">
        <f>MAX(0,P22+Assumptions!F33)</f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208</v>
      </c>
      <c r="B23" s="1" t="s">
        <v>44</v>
      </c>
      <c r="C23" s="14">
        <f>'Raw Financials'!C44</f>
        <v>0</v>
      </c>
      <c r="D23" s="14">
        <f>'Raw Financials'!D44</f>
        <v>0</v>
      </c>
      <c r="E23" s="14">
        <f>'Raw Financials'!E44</f>
        <v>0</v>
      </c>
      <c r="F23" s="14">
        <f>'Raw Financials'!F44</f>
        <v>0</v>
      </c>
      <c r="G23" s="14">
        <f>'Raw Financials'!G44</f>
        <v>0</v>
      </c>
      <c r="H23" s="14">
        <f>'Raw Financials'!H44</f>
        <v>0</v>
      </c>
      <c r="I23" s="14">
        <f>'Raw Financials'!I44</f>
        <v>2358</v>
      </c>
      <c r="J23" s="14">
        <f>'Raw Financials'!J44</f>
        <v>2535</v>
      </c>
      <c r="K23" s="14">
        <f>'Raw Financials'!K44</f>
        <v>3429</v>
      </c>
      <c r="L23" s="14">
        <f>'Raw Financials'!L44</f>
        <v>3985</v>
      </c>
      <c r="M23" s="14">
        <f>'Raw Financials'!M44</f>
        <v>5056</v>
      </c>
      <c r="N23" s="28">
        <f>M23+'Annual Cash Flow'!N25+'Annual Cash Flow'!N26</f>
        <v>5703.1088505812186</v>
      </c>
      <c r="O23" s="28">
        <f>N23+'Annual Cash Flow'!O25+'Annual Cash Flow'!O26</f>
        <v>6350.9870514972563</v>
      </c>
      <c r="P23" s="28">
        <f>O23+'Annual Cash Flow'!P25+'Annual Cash Flow'!P26</f>
        <v>7025.5765095135721</v>
      </c>
      <c r="Q23" s="28">
        <f>P23+'Annual Cash Flow'!Q25+'Annual Cash Flow'!Q26</f>
        <v>7723.809442692037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209</v>
      </c>
      <c r="B24" s="1" t="s">
        <v>44</v>
      </c>
      <c r="C24" s="14">
        <f>'Raw Financials'!C45</f>
        <v>1263.5</v>
      </c>
      <c r="D24" s="14">
        <f>'Raw Financials'!D45</f>
        <v>1252.5</v>
      </c>
      <c r="E24" s="14">
        <f>'Raw Financials'!E45</f>
        <v>1266.9000000000001</v>
      </c>
      <c r="F24" s="14">
        <f>'Raw Financials'!F45</f>
        <v>1538</v>
      </c>
      <c r="G24" s="14">
        <f>'Raw Financials'!G45</f>
        <v>2548</v>
      </c>
      <c r="H24" s="14">
        <f>'Raw Financials'!H45</f>
        <v>2683</v>
      </c>
      <c r="I24" s="14">
        <f>'Raw Financials'!I45</f>
        <v>2670</v>
      </c>
      <c r="J24" s="14">
        <f>'Raw Financials'!J45</f>
        <v>2807</v>
      </c>
      <c r="K24" s="14">
        <f>'Raw Financials'!K45</f>
        <v>4218</v>
      </c>
      <c r="L24" s="14">
        <f>'Raw Financials'!L45</f>
        <v>5124</v>
      </c>
      <c r="M24" s="14">
        <f>'Raw Financials'!M45</f>
        <v>6018</v>
      </c>
      <c r="N24" s="28">
        <f>M24</f>
        <v>6018</v>
      </c>
      <c r="O24" s="28">
        <f>N24</f>
        <v>6018</v>
      </c>
      <c r="P24" s="28">
        <f>O24</f>
        <v>6018</v>
      </c>
      <c r="Q24" s="28">
        <f>P24</f>
        <v>6018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8" t="s">
        <v>210</v>
      </c>
      <c r="B25" s="16" t="s">
        <v>44</v>
      </c>
      <c r="C25" s="17">
        <f>IF('Raw Financials'!C46="",C17-'Raw Financials'!C48,'Raw Financials'!C46)</f>
        <v>11745.2</v>
      </c>
      <c r="D25" s="17">
        <f>IF('Raw Financials'!D46="",D17-'Raw Financials'!D48,'Raw Financials'!D46)</f>
        <v>12941.9</v>
      </c>
      <c r="E25" s="17">
        <f>IF('Raw Financials'!E46="",E17-'Raw Financials'!E48,'Raw Financials'!E46)</f>
        <v>11618.3</v>
      </c>
      <c r="F25" s="17">
        <f>IF('Raw Financials'!F46="",F17-'Raw Financials'!F48,'Raw Financials'!F46)</f>
        <v>16672</v>
      </c>
      <c r="G25" s="17">
        <f>IF('Raw Financials'!G46="",G17-'Raw Financials'!G48,'Raw Financials'!G46)</f>
        <v>31002</v>
      </c>
      <c r="H25" s="17">
        <f>IF('Raw Financials'!H46="",H17-'Raw Financials'!H48,'Raw Financials'!H46)</f>
        <v>25612</v>
      </c>
      <c r="I25" s="17">
        <f>IF('Raw Financials'!I46="",I17-'Raw Financials'!I48,'Raw Financials'!I46)</f>
        <v>27027</v>
      </c>
      <c r="J25" s="17">
        <f>IF('Raw Financials'!J46="",J17-'Raw Financials'!J48,'Raw Financials'!J46)</f>
        <v>28013</v>
      </c>
      <c r="K25" s="17">
        <f>IF('Raw Financials'!K46="",K17-'Raw Financials'!K48,'Raw Financials'!K46)</f>
        <v>31506</v>
      </c>
      <c r="L25" s="17">
        <f>IF('Raw Financials'!L46="",L17-'Raw Financials'!L48,'Raw Financials'!L46)</f>
        <v>35871</v>
      </c>
      <c r="M25" s="17">
        <f>IF('Raw Financials'!M46="",M17-'Raw Financials'!M48,'Raw Financials'!M46)</f>
        <v>41061</v>
      </c>
      <c r="N25" s="29">
        <f>SUM(N18,N22:N24)</f>
        <v>42873.399798979066</v>
      </c>
      <c r="O25" s="29">
        <f>SUM(O18,O22:O24)</f>
        <v>45605.278179847162</v>
      </c>
      <c r="P25" s="29">
        <f>SUM(P18,P22:P24)</f>
        <v>48860.06800099562</v>
      </c>
      <c r="Q25" s="29">
        <f>SUM(Q18,Q22:Q24)</f>
        <v>52303.193752513645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211</v>
      </c>
      <c r="B26" s="1" t="s">
        <v>44</v>
      </c>
      <c r="C26" s="14">
        <f>'Raw Financials'!C47</f>
        <v>0</v>
      </c>
      <c r="D26" s="14">
        <f>'Raw Financials'!D47</f>
        <v>0</v>
      </c>
      <c r="E26" s="14">
        <f>'Raw Financials'!E47</f>
        <v>0</v>
      </c>
      <c r="F26" s="14">
        <f>'Raw Financials'!F47</f>
        <v>0</v>
      </c>
      <c r="G26" s="14">
        <f>'Raw Financials'!G47</f>
        <v>0</v>
      </c>
      <c r="H26" s="14">
        <f>'Raw Financials'!H47</f>
        <v>0</v>
      </c>
      <c r="I26" s="14">
        <f>'Raw Financials'!I47</f>
        <v>0</v>
      </c>
      <c r="J26" s="14">
        <f>'Raw Financials'!J47</f>
        <v>0</v>
      </c>
      <c r="K26" s="14">
        <f>'Raw Financials'!K47</f>
        <v>0</v>
      </c>
      <c r="L26" s="14">
        <f>'Raw Financials'!L47</f>
        <v>0</v>
      </c>
      <c r="M26" s="14">
        <f>'Raw Financials'!M47</f>
        <v>0</v>
      </c>
      <c r="N26" s="28">
        <f>M26</f>
        <v>0</v>
      </c>
      <c r="O26" s="28">
        <f>N26</f>
        <v>0</v>
      </c>
      <c r="P26" s="28">
        <f>O26</f>
        <v>0</v>
      </c>
      <c r="Q26" s="28">
        <f>P26</f>
        <v>0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287</v>
      </c>
      <c r="B27" s="1" t="s">
        <v>44</v>
      </c>
      <c r="C27" s="14">
        <f>SUM('Annual P&amp;L'!$C$29:C29)+SUM('Annual Cash Flow'!$C$28:C28)</f>
        <v>4657</v>
      </c>
      <c r="D27" s="14">
        <f>SUM('Annual P&amp;L'!$C$29:D29)+SUM('Annual Cash Flow'!$C$28:D28)</f>
        <v>9046</v>
      </c>
      <c r="E27" s="14">
        <f>SUM('Annual P&amp;L'!$C$29:E29)+SUM('Annual Cash Flow'!$C$28:E28)</f>
        <v>15795</v>
      </c>
      <c r="F27" s="14">
        <f>SUM('Annual P&amp;L'!$C$29:F29)+SUM('Annual Cash Flow'!$C$28:F28)</f>
        <v>24597</v>
      </c>
      <c r="G27" s="14">
        <f>SUM('Annual P&amp;L'!$C$29:G29)+SUM('Annual Cash Flow'!$C$28:G28)</f>
        <v>34034</v>
      </c>
      <c r="H27" s="14">
        <f>SUM('Annual P&amp;L'!$C$29:H29)+SUM('Annual Cash Flow'!$C$28:H28)</f>
        <v>41923</v>
      </c>
      <c r="I27" s="14">
        <f>SUM('Annual P&amp;L'!$C$29:I29)+SUM('Annual Cash Flow'!$C$28:I28)</f>
        <v>44033</v>
      </c>
      <c r="J27" s="14">
        <f>SUM('Annual P&amp;L'!$C$29:J29)+SUM('Annual Cash Flow'!$C$28:J28)</f>
        <v>45889</v>
      </c>
      <c r="K27" s="14">
        <f>SUM('Annual P&amp;L'!$C$29:K29)+SUM('Annual Cash Flow'!$C$28:K28)</f>
        <v>47518</v>
      </c>
      <c r="L27" s="14">
        <f>SUM('Annual P&amp;L'!$C$29:L29)+SUM('Annual Cash Flow'!$C$28:L28)</f>
        <v>48658</v>
      </c>
      <c r="M27" s="14">
        <f>SUM('Annual P&amp;L'!$C$29:M29)+SUM('Annual Cash Flow'!$C$28:M28)</f>
        <v>51401</v>
      </c>
      <c r="N27" s="28">
        <f>M27+'Annual P&amp;L'!N29+'Annual Cash Flow'!N28</f>
        <v>53337.249706903873</v>
      </c>
      <c r="O27" s="28">
        <f>N27+'Annual P&amp;L'!O29+'Annual Cash Flow'!O28</f>
        <v>55455.889835877955</v>
      </c>
      <c r="P27" s="28">
        <f>O27+'Annual P&amp;L'!P29+'Annual Cash Flow'!P28</f>
        <v>57782.98745709654</v>
      </c>
      <c r="Q27" s="28">
        <f>P27+'Annual P&amp;L'!Q29+'Annual Cash Flow'!Q28</f>
        <v>60313.049089595181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288</v>
      </c>
      <c r="B28" s="1" t="s">
        <v>44</v>
      </c>
      <c r="C28" s="14">
        <f t="shared" ref="C28:M28" si="2">C29-C26-C27</f>
        <v>23365.1</v>
      </c>
      <c r="D28" s="14">
        <f t="shared" si="2"/>
        <v>24444.400000000001</v>
      </c>
      <c r="E28" s="14">
        <f t="shared" si="2"/>
        <v>21021.800000000003</v>
      </c>
      <c r="F28" s="14">
        <f t="shared" si="2"/>
        <v>17173</v>
      </c>
      <c r="G28" s="14">
        <f t="shared" si="2"/>
        <v>17652</v>
      </c>
      <c r="H28" s="14">
        <f t="shared" si="2"/>
        <v>19583</v>
      </c>
      <c r="I28" s="14">
        <f t="shared" si="2"/>
        <v>17881</v>
      </c>
      <c r="J28" s="14">
        <f t="shared" si="2"/>
        <v>19516</v>
      </c>
      <c r="K28" s="14">
        <f t="shared" si="2"/>
        <v>20745</v>
      </c>
      <c r="L28" s="14">
        <f t="shared" si="2"/>
        <v>20997</v>
      </c>
      <c r="M28" s="14">
        <f t="shared" si="2"/>
        <v>23764</v>
      </c>
      <c r="N28" s="28">
        <f>M28+Assumptions!C36</f>
        <v>23764</v>
      </c>
      <c r="O28" s="28">
        <f>N28+Assumptions!D36</f>
        <v>23764</v>
      </c>
      <c r="P28" s="28">
        <f>O28+Assumptions!E36</f>
        <v>23764</v>
      </c>
      <c r="Q28" s="28">
        <f>P28+Assumptions!F36</f>
        <v>23764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8" t="s">
        <v>212</v>
      </c>
      <c r="B29" s="16" t="s">
        <v>44</v>
      </c>
      <c r="C29" s="17">
        <f>'Raw Financials'!C48</f>
        <v>28022.1</v>
      </c>
      <c r="D29" s="17">
        <f>'Raw Financials'!D48</f>
        <v>33490.400000000001</v>
      </c>
      <c r="E29" s="17">
        <f>'Raw Financials'!E48</f>
        <v>36816.800000000003</v>
      </c>
      <c r="F29" s="17">
        <f>'Raw Financials'!F48</f>
        <v>41770</v>
      </c>
      <c r="G29" s="17">
        <f>'Raw Financials'!G48</f>
        <v>51686</v>
      </c>
      <c r="H29" s="17">
        <f>'Raw Financials'!H48</f>
        <v>61506</v>
      </c>
      <c r="I29" s="17">
        <f>'Raw Financials'!I48</f>
        <v>61914</v>
      </c>
      <c r="J29" s="17">
        <f>'Raw Financials'!J48</f>
        <v>65405</v>
      </c>
      <c r="K29" s="17">
        <f>'Raw Financials'!K48</f>
        <v>68263</v>
      </c>
      <c r="L29" s="17">
        <f>'Raw Financials'!L48</f>
        <v>69655</v>
      </c>
      <c r="M29" s="17">
        <f>'Raw Financials'!M48</f>
        <v>75165</v>
      </c>
      <c r="N29" s="29">
        <f>SUM(N26:N28)</f>
        <v>77101.24970690388</v>
      </c>
      <c r="O29" s="29">
        <f>SUM(O26:O28)</f>
        <v>79219.889835877955</v>
      </c>
      <c r="P29" s="29">
        <f>SUM(P26:P28)</f>
        <v>81546.987457096548</v>
      </c>
      <c r="Q29" s="29">
        <f>SUM(Q26:Q28)</f>
        <v>84077.049089595181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289</v>
      </c>
      <c r="B30" s="1" t="s">
        <v>44</v>
      </c>
      <c r="C30" s="14">
        <f t="shared" ref="C30:M30" si="3">C17-C25-C29</f>
        <v>0</v>
      </c>
      <c r="D30" s="14">
        <f t="shared" si="3"/>
        <v>0</v>
      </c>
      <c r="E30" s="14">
        <f t="shared" si="3"/>
        <v>0</v>
      </c>
      <c r="F30" s="14">
        <f t="shared" si="3"/>
        <v>455</v>
      </c>
      <c r="G30" s="14">
        <f t="shared" si="3"/>
        <v>528</v>
      </c>
      <c r="H30" s="14">
        <f t="shared" si="3"/>
        <v>584</v>
      </c>
      <c r="I30" s="14">
        <f t="shared" si="3"/>
        <v>92</v>
      </c>
      <c r="J30" s="14">
        <f t="shared" si="3"/>
        <v>-7</v>
      </c>
      <c r="K30" s="14">
        <f t="shared" si="3"/>
        <v>8</v>
      </c>
      <c r="L30" s="14">
        <f t="shared" si="3"/>
        <v>18</v>
      </c>
      <c r="M30" s="14">
        <f t="shared" si="3"/>
        <v>32</v>
      </c>
      <c r="N30" s="28">
        <f>M30</f>
        <v>32</v>
      </c>
      <c r="O30" s="28">
        <f>N30</f>
        <v>32</v>
      </c>
      <c r="P30" s="28">
        <f>O30</f>
        <v>32</v>
      </c>
      <c r="Q30" s="28">
        <f>P30</f>
        <v>32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8" t="s">
        <v>290</v>
      </c>
      <c r="B31" s="16" t="s">
        <v>44</v>
      </c>
      <c r="C31" s="17">
        <f t="shared" ref="C31:Q31" si="4">SUM(C29:C30)</f>
        <v>28022.1</v>
      </c>
      <c r="D31" s="17">
        <f t="shared" si="4"/>
        <v>33490.400000000001</v>
      </c>
      <c r="E31" s="17">
        <f t="shared" si="4"/>
        <v>36816.800000000003</v>
      </c>
      <c r="F31" s="17">
        <f t="shared" si="4"/>
        <v>42225</v>
      </c>
      <c r="G31" s="17">
        <f t="shared" si="4"/>
        <v>52214</v>
      </c>
      <c r="H31" s="17">
        <f t="shared" si="4"/>
        <v>62090</v>
      </c>
      <c r="I31" s="17">
        <f t="shared" si="4"/>
        <v>62006</v>
      </c>
      <c r="J31" s="17">
        <f t="shared" si="4"/>
        <v>65398</v>
      </c>
      <c r="K31" s="17">
        <f t="shared" si="4"/>
        <v>68271</v>
      </c>
      <c r="L31" s="17">
        <f t="shared" si="4"/>
        <v>69673</v>
      </c>
      <c r="M31" s="17">
        <f t="shared" si="4"/>
        <v>75197</v>
      </c>
      <c r="N31" s="29">
        <f t="shared" si="4"/>
        <v>77133.24970690388</v>
      </c>
      <c r="O31" s="29">
        <f t="shared" si="4"/>
        <v>79251.889835877955</v>
      </c>
      <c r="P31" s="29">
        <f t="shared" si="4"/>
        <v>81578.987457096548</v>
      </c>
      <c r="Q31" s="29">
        <f t="shared" si="4"/>
        <v>84109.049089595181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8" t="s">
        <v>213</v>
      </c>
      <c r="B32" s="16" t="s">
        <v>44</v>
      </c>
      <c r="C32" s="17">
        <f t="shared" ref="C32:M32" si="5">C25+C31</f>
        <v>39767.300000000003</v>
      </c>
      <c r="D32" s="17">
        <f t="shared" si="5"/>
        <v>46432.3</v>
      </c>
      <c r="E32" s="17">
        <f t="shared" si="5"/>
        <v>48435.100000000006</v>
      </c>
      <c r="F32" s="17">
        <f t="shared" si="5"/>
        <v>58897</v>
      </c>
      <c r="G32" s="17">
        <f t="shared" si="5"/>
        <v>83216</v>
      </c>
      <c r="H32" s="17">
        <f t="shared" si="5"/>
        <v>87702</v>
      </c>
      <c r="I32" s="17">
        <f t="shared" si="5"/>
        <v>89033</v>
      </c>
      <c r="J32" s="17">
        <f t="shared" si="5"/>
        <v>93411</v>
      </c>
      <c r="K32" s="17">
        <f t="shared" si="5"/>
        <v>99777</v>
      </c>
      <c r="L32" s="17">
        <f t="shared" si="5"/>
        <v>105544</v>
      </c>
      <c r="M32" s="17">
        <f t="shared" si="5"/>
        <v>116258</v>
      </c>
      <c r="N32" s="29">
        <f>SUM(N25,N31)</f>
        <v>120006.64950588295</v>
      </c>
      <c r="O32" s="29">
        <f>SUM(O25,O31)</f>
        <v>124857.16801572512</v>
      </c>
      <c r="P32" s="29">
        <f>SUM(P25,P31)</f>
        <v>130439.05545809216</v>
      </c>
      <c r="Q32" s="29">
        <f>SUM(Q25,Q31)</f>
        <v>136412.24284210883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291</v>
      </c>
      <c r="B33" s="1" t="s">
        <v>44</v>
      </c>
      <c r="C33" s="14">
        <f t="shared" ref="C33:Q33" si="6">ROUND(C17-C32,1)</f>
        <v>0</v>
      </c>
      <c r="D33" s="14">
        <f t="shared" si="6"/>
        <v>0</v>
      </c>
      <c r="E33" s="14">
        <f t="shared" si="6"/>
        <v>0</v>
      </c>
      <c r="F33" s="14">
        <f t="shared" si="6"/>
        <v>0</v>
      </c>
      <c r="G33" s="14">
        <f t="shared" si="6"/>
        <v>0</v>
      </c>
      <c r="H33" s="14">
        <f t="shared" si="6"/>
        <v>0</v>
      </c>
      <c r="I33" s="14">
        <f t="shared" si="6"/>
        <v>0</v>
      </c>
      <c r="J33" s="14">
        <f t="shared" si="6"/>
        <v>0</v>
      </c>
      <c r="K33" s="14">
        <f t="shared" si="6"/>
        <v>0</v>
      </c>
      <c r="L33" s="14">
        <f t="shared" si="6"/>
        <v>0</v>
      </c>
      <c r="M33" s="14">
        <f t="shared" si="6"/>
        <v>0</v>
      </c>
      <c r="N33" s="28">
        <f t="shared" si="6"/>
        <v>0</v>
      </c>
      <c r="O33" s="28">
        <f t="shared" si="6"/>
        <v>0</v>
      </c>
      <c r="P33" s="28">
        <f t="shared" si="6"/>
        <v>0</v>
      </c>
      <c r="Q33" s="28">
        <f t="shared" si="6"/>
        <v>0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8" t="s">
        <v>58</v>
      </c>
      <c r="B34" s="16" t="s">
        <v>44</v>
      </c>
      <c r="C34" s="17">
        <f t="shared" ref="C34:Q34" si="7">C7-C22</f>
        <v>-243.90000000000009</v>
      </c>
      <c r="D34" s="17">
        <f t="shared" si="7"/>
        <v>774.8</v>
      </c>
      <c r="E34" s="17">
        <f t="shared" si="7"/>
        <v>1256.8000000000002</v>
      </c>
      <c r="F34" s="17">
        <f t="shared" si="7"/>
        <v>1943</v>
      </c>
      <c r="G34" s="17">
        <f t="shared" si="7"/>
        <v>-249</v>
      </c>
      <c r="H34" s="17">
        <f t="shared" si="7"/>
        <v>2608</v>
      </c>
      <c r="I34" s="17">
        <f t="shared" si="7"/>
        <v>6525</v>
      </c>
      <c r="J34" s="17">
        <f t="shared" si="7"/>
        <v>6814</v>
      </c>
      <c r="K34" s="17">
        <f t="shared" si="7"/>
        <v>7129</v>
      </c>
      <c r="L34" s="17">
        <f t="shared" si="7"/>
        <v>5954</v>
      </c>
      <c r="M34" s="17">
        <f t="shared" si="7"/>
        <v>8106</v>
      </c>
      <c r="N34" s="29">
        <f t="shared" si="7"/>
        <v>11116.181832401769</v>
      </c>
      <c r="O34" s="29">
        <f t="shared" si="7"/>
        <v>12690.724404566598</v>
      </c>
      <c r="P34" s="29">
        <f t="shared" si="7"/>
        <v>14412.746169051828</v>
      </c>
      <c r="Q34" s="29">
        <f t="shared" si="7"/>
        <v>16169.033020464423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3"/>
      <c r="O35" s="33"/>
      <c r="P35" s="33"/>
      <c r="Q35" s="33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3"/>
      <c r="O36" s="33"/>
      <c r="P36" s="33"/>
      <c r="Q36" s="3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3"/>
      <c r="O37" s="33"/>
      <c r="P37" s="33"/>
      <c r="Q37" s="3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3"/>
      <c r="O38" s="33"/>
      <c r="P38" s="33"/>
      <c r="Q38" s="33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3"/>
      <c r="O39" s="33"/>
      <c r="P39" s="33"/>
      <c r="Q39" s="33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3"/>
      <c r="O40" s="33"/>
      <c r="P40" s="33"/>
      <c r="Q40" s="33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3"/>
      <c r="O41" s="33"/>
      <c r="P41" s="33"/>
      <c r="Q41" s="33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3"/>
      <c r="O42" s="33"/>
      <c r="P42" s="33"/>
      <c r="Q42" s="33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3"/>
      <c r="O43" s="33"/>
      <c r="P43" s="33"/>
      <c r="Q43" s="33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3"/>
      <c r="O44" s="33"/>
      <c r="P44" s="33"/>
      <c r="Q44" s="33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3"/>
      <c r="O45" s="33"/>
      <c r="P45" s="33"/>
      <c r="Q45" s="33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3"/>
      <c r="O46" s="33"/>
      <c r="P46" s="33"/>
      <c r="Q46" s="33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3"/>
      <c r="O47" s="33"/>
      <c r="P47" s="33"/>
      <c r="Q47" s="3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3"/>
      <c r="O48" s="33"/>
      <c r="P48" s="33"/>
      <c r="Q48" s="3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3"/>
      <c r="O49" s="33"/>
      <c r="P49" s="33"/>
      <c r="Q49" s="3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3"/>
      <c r="O50" s="33"/>
      <c r="P50" s="33"/>
      <c r="Q50" s="3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3"/>
      <c r="O51" s="33"/>
      <c r="P51" s="33"/>
      <c r="Q51" s="3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3"/>
      <c r="O52" s="33"/>
      <c r="P52" s="33"/>
      <c r="Q52" s="33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3"/>
      <c r="O53" s="33"/>
      <c r="P53" s="33"/>
      <c r="Q53" s="33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3"/>
      <c r="O54" s="33"/>
      <c r="P54" s="33"/>
      <c r="Q54" s="33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3"/>
      <c r="O55" s="33"/>
      <c r="P55" s="33"/>
      <c r="Q55" s="33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3"/>
      <c r="O56" s="33"/>
      <c r="P56" s="33"/>
      <c r="Q56" s="33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3"/>
      <c r="O57" s="33"/>
      <c r="P57" s="33"/>
      <c r="Q57" s="33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3"/>
      <c r="O58" s="33"/>
      <c r="P58" s="33"/>
      <c r="Q58" s="33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3"/>
      <c r="O59" s="33"/>
      <c r="P59" s="33"/>
      <c r="Q59" s="33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3"/>
      <c r="O60" s="33"/>
      <c r="P60" s="33"/>
      <c r="Q60" s="33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3"/>
      <c r="O61" s="33"/>
      <c r="P61" s="33"/>
      <c r="Q61" s="33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3"/>
      <c r="O62" s="33"/>
      <c r="P62" s="33"/>
      <c r="Q62" s="33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3"/>
      <c r="O63" s="33"/>
      <c r="P63" s="33"/>
      <c r="Q63" s="33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3"/>
      <c r="O64" s="33"/>
      <c r="P64" s="33"/>
      <c r="Q64" s="3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3"/>
      <c r="O65" s="33"/>
      <c r="P65" s="33"/>
      <c r="Q65" s="33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3"/>
      <c r="O66" s="33"/>
      <c r="P66" s="33"/>
      <c r="Q66" s="33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3"/>
      <c r="O67" s="33"/>
      <c r="P67" s="33"/>
      <c r="Q67" s="33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3"/>
      <c r="O68" s="33"/>
      <c r="P68" s="33"/>
      <c r="Q68" s="33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3"/>
      <c r="O69" s="33"/>
      <c r="P69" s="33"/>
      <c r="Q69" s="33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3"/>
      <c r="O70" s="33"/>
      <c r="P70" s="33"/>
      <c r="Q70" s="33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3"/>
      <c r="O71" s="33"/>
      <c r="P71" s="33"/>
      <c r="Q71" s="33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3"/>
      <c r="O72" s="33"/>
      <c r="P72" s="33"/>
      <c r="Q72" s="33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3"/>
      <c r="O73" s="33"/>
      <c r="P73" s="33"/>
      <c r="Q73" s="33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3"/>
      <c r="O74" s="33"/>
      <c r="P74" s="33"/>
      <c r="Q74" s="3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3"/>
      <c r="O75" s="33"/>
      <c r="P75" s="33"/>
      <c r="Q75" s="3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3"/>
      <c r="O76" s="33"/>
      <c r="P76" s="33"/>
      <c r="Q76" s="3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3"/>
      <c r="O77" s="33"/>
      <c r="P77" s="33"/>
      <c r="Q77" s="33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3"/>
      <c r="O78" s="33"/>
      <c r="P78" s="33"/>
      <c r="Q78" s="33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3"/>
      <c r="O79" s="33"/>
      <c r="P79" s="33"/>
      <c r="Q79" s="33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3"/>
      <c r="O80" s="33"/>
      <c r="P80" s="33"/>
      <c r="Q80" s="33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3"/>
      <c r="O81" s="33"/>
      <c r="P81" s="33"/>
      <c r="Q81" s="33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3"/>
      <c r="O82" s="33"/>
      <c r="P82" s="33"/>
      <c r="Q82" s="33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3"/>
      <c r="O83" s="33"/>
      <c r="P83" s="33"/>
      <c r="Q83" s="33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3"/>
      <c r="O84" s="33"/>
      <c r="P84" s="33"/>
      <c r="Q84" s="33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3"/>
      <c r="O85" s="33"/>
      <c r="P85" s="33"/>
      <c r="Q85" s="33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3"/>
      <c r="O86" s="33"/>
      <c r="P86" s="33"/>
      <c r="Q86" s="3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3"/>
      <c r="O87" s="33"/>
      <c r="P87" s="33"/>
      <c r="Q87" s="3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3"/>
      <c r="O88" s="33"/>
      <c r="P88" s="33"/>
      <c r="Q88" s="33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3"/>
      <c r="O89" s="33"/>
      <c r="P89" s="33"/>
      <c r="Q89" s="33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3"/>
      <c r="O90" s="33"/>
      <c r="P90" s="33"/>
      <c r="Q90" s="33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3"/>
      <c r="O91" s="33"/>
      <c r="P91" s="33"/>
      <c r="Q91" s="33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3"/>
      <c r="O92" s="33"/>
      <c r="P92" s="33"/>
      <c r="Q92" s="33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3"/>
      <c r="O93" s="33"/>
      <c r="P93" s="33"/>
      <c r="Q93" s="33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3"/>
      <c r="O94" s="33"/>
      <c r="P94" s="33"/>
      <c r="Q94" s="33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3"/>
      <c r="O95" s="33"/>
      <c r="P95" s="33"/>
      <c r="Q95" s="33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3"/>
      <c r="O96" s="33"/>
      <c r="P96" s="33"/>
      <c r="Q96" s="33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3"/>
      <c r="O97" s="33"/>
      <c r="P97" s="33"/>
      <c r="Q97" s="33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3"/>
      <c r="O98" s="33"/>
      <c r="P98" s="33"/>
      <c r="Q98" s="33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3"/>
      <c r="O99" s="33"/>
      <c r="P99" s="33"/>
      <c r="Q99" s="33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3"/>
      <c r="O100" s="33"/>
      <c r="P100" s="33"/>
      <c r="Q100" s="3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3"/>
      <c r="O101" s="33"/>
      <c r="P101" s="33"/>
      <c r="Q101" s="3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3"/>
      <c r="O102" s="33"/>
      <c r="P102" s="33"/>
      <c r="Q102" s="3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3"/>
      <c r="O103" s="33"/>
      <c r="P103" s="33"/>
      <c r="Q103" s="3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3"/>
      <c r="O104" s="33"/>
      <c r="P104" s="33"/>
      <c r="Q104" s="3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3"/>
      <c r="O105" s="33"/>
      <c r="P105" s="33"/>
      <c r="Q105" s="3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3"/>
      <c r="O106" s="33"/>
      <c r="P106" s="33"/>
      <c r="Q106" s="3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3"/>
      <c r="O107" s="33"/>
      <c r="P107" s="33"/>
      <c r="Q107" s="3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3"/>
      <c r="O108" s="33"/>
      <c r="P108" s="33"/>
      <c r="Q108" s="3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3"/>
      <c r="O109" s="33"/>
      <c r="P109" s="33"/>
      <c r="Q109" s="3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3"/>
      <c r="O110" s="33"/>
      <c r="P110" s="33"/>
      <c r="Q110" s="3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3"/>
      <c r="O111" s="33"/>
      <c r="P111" s="33"/>
      <c r="Q111" s="3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3"/>
      <c r="O112" s="33"/>
      <c r="P112" s="33"/>
      <c r="Q112" s="3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3"/>
      <c r="O113" s="33"/>
      <c r="P113" s="33"/>
      <c r="Q113" s="3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3"/>
      <c r="O114" s="33"/>
      <c r="P114" s="33"/>
      <c r="Q114" s="3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3"/>
      <c r="O115" s="33"/>
      <c r="P115" s="33"/>
      <c r="Q115" s="3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3"/>
      <c r="O116" s="33"/>
      <c r="P116" s="33"/>
      <c r="Q116" s="3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3"/>
      <c r="O117" s="33"/>
      <c r="P117" s="33"/>
      <c r="Q117" s="3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3"/>
      <c r="O118" s="33"/>
      <c r="P118" s="33"/>
      <c r="Q118" s="3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3"/>
      <c r="O119" s="33"/>
      <c r="P119" s="33"/>
      <c r="Q119" s="3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3"/>
      <c r="O120" s="33"/>
      <c r="P120" s="33"/>
      <c r="Q120" s="3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3"/>
      <c r="O121" s="33"/>
      <c r="P121" s="33"/>
      <c r="Q121" s="3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3"/>
      <c r="O122" s="33"/>
      <c r="P122" s="33"/>
      <c r="Q122" s="3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3"/>
      <c r="O123" s="33"/>
      <c r="P123" s="33"/>
      <c r="Q123" s="3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3"/>
      <c r="O124" s="33"/>
      <c r="P124" s="33"/>
      <c r="Q124" s="3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3"/>
      <c r="O125" s="33"/>
      <c r="P125" s="33"/>
      <c r="Q125" s="3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3"/>
      <c r="O126" s="33"/>
      <c r="P126" s="33"/>
      <c r="Q126" s="3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3"/>
      <c r="O127" s="33"/>
      <c r="P127" s="33"/>
      <c r="Q127" s="3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3"/>
      <c r="O128" s="33"/>
      <c r="P128" s="33"/>
      <c r="Q128" s="3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3"/>
      <c r="O129" s="33"/>
      <c r="P129" s="33"/>
      <c r="Q129" s="3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3"/>
      <c r="O130" s="33"/>
      <c r="P130" s="33"/>
      <c r="Q130" s="3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3"/>
      <c r="O131" s="33"/>
      <c r="P131" s="33"/>
      <c r="Q131" s="3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3"/>
      <c r="O132" s="33"/>
      <c r="P132" s="33"/>
      <c r="Q132" s="3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3"/>
      <c r="O133" s="33"/>
      <c r="P133" s="33"/>
      <c r="Q133" s="3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3"/>
      <c r="O134" s="33"/>
      <c r="P134" s="33"/>
      <c r="Q134" s="3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3"/>
      <c r="O135" s="33"/>
      <c r="P135" s="33"/>
      <c r="Q135" s="3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3"/>
      <c r="O136" s="33"/>
      <c r="P136" s="33"/>
      <c r="Q136" s="3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3"/>
      <c r="O137" s="33"/>
      <c r="P137" s="33"/>
      <c r="Q137" s="3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3"/>
      <c r="O138" s="33"/>
      <c r="P138" s="33"/>
      <c r="Q138" s="3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3"/>
      <c r="O139" s="33"/>
      <c r="P139" s="33"/>
      <c r="Q139" s="3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3"/>
      <c r="O140" s="33"/>
      <c r="P140" s="33"/>
      <c r="Q140" s="3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3"/>
      <c r="O141" s="33"/>
      <c r="P141" s="33"/>
      <c r="Q141" s="3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3"/>
      <c r="O142" s="33"/>
      <c r="P142" s="33"/>
      <c r="Q142" s="3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3"/>
      <c r="O143" s="33"/>
      <c r="P143" s="33"/>
      <c r="Q143" s="3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3"/>
      <c r="O144" s="33"/>
      <c r="P144" s="33"/>
      <c r="Q144" s="3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3"/>
      <c r="O145" s="33"/>
      <c r="P145" s="33"/>
      <c r="Q145" s="3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3"/>
      <c r="O146" s="33"/>
      <c r="P146" s="33"/>
      <c r="Q146" s="3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3"/>
      <c r="O147" s="33"/>
      <c r="P147" s="33"/>
      <c r="Q147" s="3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3"/>
      <c r="O148" s="33"/>
      <c r="P148" s="33"/>
      <c r="Q148" s="3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3"/>
      <c r="O149" s="33"/>
      <c r="P149" s="33"/>
      <c r="Q149" s="3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3"/>
      <c r="O150" s="33"/>
      <c r="P150" s="33"/>
      <c r="Q150" s="3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3"/>
      <c r="O151" s="33"/>
      <c r="P151" s="33"/>
      <c r="Q151" s="3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3"/>
      <c r="O152" s="33"/>
      <c r="P152" s="33"/>
      <c r="Q152" s="3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3"/>
      <c r="O153" s="33"/>
      <c r="P153" s="33"/>
      <c r="Q153" s="3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3"/>
      <c r="O154" s="33"/>
      <c r="P154" s="33"/>
      <c r="Q154" s="3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3"/>
      <c r="O155" s="33"/>
      <c r="P155" s="33"/>
      <c r="Q155" s="3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3"/>
      <c r="O156" s="33"/>
      <c r="P156" s="33"/>
      <c r="Q156" s="3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3"/>
      <c r="O157" s="33"/>
      <c r="P157" s="33"/>
      <c r="Q157" s="3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3"/>
      <c r="O158" s="33"/>
      <c r="P158" s="33"/>
      <c r="Q158" s="3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3"/>
      <c r="O159" s="33"/>
      <c r="P159" s="33"/>
      <c r="Q159" s="3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3"/>
      <c r="O160" s="33"/>
      <c r="P160" s="33"/>
      <c r="Q160" s="3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3"/>
      <c r="O161" s="33"/>
      <c r="P161" s="33"/>
      <c r="Q161" s="3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3"/>
      <c r="O162" s="33"/>
      <c r="P162" s="33"/>
      <c r="Q162" s="3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3"/>
      <c r="O163" s="33"/>
      <c r="P163" s="33"/>
      <c r="Q163" s="3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3"/>
      <c r="O164" s="33"/>
      <c r="P164" s="33"/>
      <c r="Q164" s="3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3"/>
      <c r="O165" s="33"/>
      <c r="P165" s="33"/>
      <c r="Q165" s="3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3"/>
      <c r="O166" s="33"/>
      <c r="P166" s="33"/>
      <c r="Q166" s="3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3"/>
      <c r="O167" s="33"/>
      <c r="P167" s="33"/>
      <c r="Q167" s="3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3"/>
      <c r="O168" s="33"/>
      <c r="P168" s="33"/>
      <c r="Q168" s="3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3"/>
      <c r="O169" s="33"/>
      <c r="P169" s="33"/>
      <c r="Q169" s="3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3"/>
      <c r="O170" s="33"/>
      <c r="P170" s="33"/>
      <c r="Q170" s="3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3"/>
      <c r="O171" s="33"/>
      <c r="P171" s="33"/>
      <c r="Q171" s="3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3"/>
      <c r="O172" s="33"/>
      <c r="P172" s="33"/>
      <c r="Q172" s="3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3"/>
      <c r="O173" s="33"/>
      <c r="P173" s="33"/>
      <c r="Q173" s="3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3"/>
      <c r="O174" s="33"/>
      <c r="P174" s="33"/>
      <c r="Q174" s="3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3"/>
      <c r="O175" s="33"/>
      <c r="P175" s="33"/>
      <c r="Q175" s="3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3"/>
      <c r="O176" s="33"/>
      <c r="P176" s="33"/>
      <c r="Q176" s="3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3"/>
      <c r="O177" s="33"/>
      <c r="P177" s="33"/>
      <c r="Q177" s="3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3"/>
      <c r="O178" s="33"/>
      <c r="P178" s="33"/>
      <c r="Q178" s="3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3"/>
      <c r="O179" s="33"/>
      <c r="P179" s="33"/>
      <c r="Q179" s="3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3"/>
      <c r="O180" s="33"/>
      <c r="P180" s="33"/>
      <c r="Q180" s="3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3"/>
      <c r="O181" s="33"/>
      <c r="P181" s="33"/>
      <c r="Q181" s="3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3"/>
      <c r="O182" s="33"/>
      <c r="P182" s="33"/>
      <c r="Q182" s="3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3"/>
      <c r="O183" s="33"/>
      <c r="P183" s="33"/>
      <c r="Q183" s="3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3"/>
      <c r="O184" s="33"/>
      <c r="P184" s="33"/>
      <c r="Q184" s="3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3"/>
      <c r="O185" s="33"/>
      <c r="P185" s="33"/>
      <c r="Q185" s="3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3"/>
      <c r="O186" s="33"/>
      <c r="P186" s="33"/>
      <c r="Q186" s="3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3"/>
      <c r="O187" s="33"/>
      <c r="P187" s="33"/>
      <c r="Q187" s="3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3"/>
      <c r="O188" s="33"/>
      <c r="P188" s="33"/>
      <c r="Q188" s="3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3"/>
      <c r="O189" s="33"/>
      <c r="P189" s="33"/>
      <c r="Q189" s="3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3"/>
      <c r="O190" s="33"/>
      <c r="P190" s="33"/>
      <c r="Q190" s="3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3"/>
      <c r="O191" s="33"/>
      <c r="P191" s="33"/>
      <c r="Q191" s="3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3"/>
      <c r="O192" s="33"/>
      <c r="P192" s="33"/>
      <c r="Q192" s="3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3"/>
      <c r="O193" s="33"/>
      <c r="P193" s="33"/>
      <c r="Q193" s="3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3"/>
      <c r="O194" s="33"/>
      <c r="P194" s="33"/>
      <c r="Q194" s="3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3"/>
      <c r="O195" s="33"/>
      <c r="P195" s="33"/>
      <c r="Q195" s="3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3"/>
      <c r="O196" s="33"/>
      <c r="P196" s="33"/>
      <c r="Q196" s="3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3"/>
      <c r="O197" s="33"/>
      <c r="P197" s="33"/>
      <c r="Q197" s="3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3"/>
      <c r="O198" s="33"/>
      <c r="P198" s="33"/>
      <c r="Q198" s="3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3"/>
      <c r="O199" s="33"/>
      <c r="P199" s="33"/>
      <c r="Q199" s="3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3"/>
      <c r="O200" s="33"/>
      <c r="P200" s="33"/>
      <c r="Q200" s="3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T300"/>
  <sheetViews>
    <sheetView showGridLines="0" workbookViewId="0">
      <selection sqref="A1:Q1"/>
    </sheetView>
  </sheetViews>
  <sheetFormatPr defaultRowHeight="13.8"/>
  <cols>
    <col min="1" max="1" width="34" customWidth="1"/>
    <col min="2" max="17" width="11" customWidth="1"/>
  </cols>
  <sheetData>
    <row r="1" spans="1:46" ht="25.95" customHeight="1">
      <c r="A1" s="43" t="s">
        <v>292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4" t="s">
        <v>293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19" t="s">
        <v>39</v>
      </c>
      <c r="O5" s="19" t="s">
        <v>40</v>
      </c>
      <c r="P5" s="19" t="s">
        <v>41</v>
      </c>
      <c r="Q5" s="19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3"/>
      <c r="O6" s="33"/>
      <c r="P6" s="33"/>
      <c r="Q6" s="3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183</v>
      </c>
      <c r="B7" s="1" t="s">
        <v>44</v>
      </c>
      <c r="C7" s="14">
        <f>'Annual P&amp;L'!C29</f>
        <v>7354</v>
      </c>
      <c r="D7" s="14">
        <f>'Annual P&amp;L'!D29</f>
        <v>8457</v>
      </c>
      <c r="E7" s="14">
        <f>'Annual P&amp;L'!E29</f>
        <v>8780</v>
      </c>
      <c r="F7" s="14">
        <f>'Annual P&amp;L'!F29</f>
        <v>10123</v>
      </c>
      <c r="G7" s="14">
        <f>'Annual P&amp;L'!G29</f>
        <v>11062</v>
      </c>
      <c r="H7" s="14">
        <f>'Annual P&amp;L'!H29</f>
        <v>11145</v>
      </c>
      <c r="I7" s="14">
        <f>'Annual P&amp;L'!I29</f>
        <v>13499</v>
      </c>
      <c r="J7" s="14">
        <f>'Annual P&amp;L'!J29</f>
        <v>14851</v>
      </c>
      <c r="K7" s="14">
        <f>'Annual P&amp;L'!K29</f>
        <v>15702</v>
      </c>
      <c r="L7" s="14">
        <f>'Annual P&amp;L'!L29</f>
        <v>17390</v>
      </c>
      <c r="M7" s="14">
        <f>'Annual P&amp;L'!M29</f>
        <v>17361</v>
      </c>
      <c r="N7" s="28">
        <f>'Annual P&amp;L'!N29</f>
        <v>19362.497069038705</v>
      </c>
      <c r="O7" s="28">
        <f>'Annual P&amp;L'!O29</f>
        <v>21186.401289740803</v>
      </c>
      <c r="P7" s="28">
        <f>'Annual P&amp;L'!P29</f>
        <v>23270.976212185895</v>
      </c>
      <c r="Q7" s="28">
        <f>'Annual P&amp;L'!Q29</f>
        <v>25300.616324986368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178</v>
      </c>
      <c r="B8" s="1" t="s">
        <v>44</v>
      </c>
      <c r="C8" s="14">
        <f>'Annual P&amp;L'!C19</f>
        <v>506</v>
      </c>
      <c r="D8" s="14">
        <f>'Annual P&amp;L'!D19</f>
        <v>835</v>
      </c>
      <c r="E8" s="14">
        <f>'Annual P&amp;L'!E19</f>
        <v>1453</v>
      </c>
      <c r="F8" s="14">
        <f>'Annual P&amp;L'!F19</f>
        <v>2147</v>
      </c>
      <c r="G8" s="14">
        <f>'Annual P&amp;L'!G19</f>
        <v>2841</v>
      </c>
      <c r="H8" s="14">
        <f>'Annual P&amp;L'!H19</f>
        <v>4611</v>
      </c>
      <c r="I8" s="14">
        <f>'Annual P&amp;L'!I19</f>
        <v>4326</v>
      </c>
      <c r="J8" s="14">
        <f>'Annual P&amp;L'!J19</f>
        <v>4145</v>
      </c>
      <c r="K8" s="14">
        <f>'Annual P&amp;L'!K19</f>
        <v>4173</v>
      </c>
      <c r="L8" s="14">
        <f>'Annual P&amp;L'!L19</f>
        <v>4084</v>
      </c>
      <c r="M8" s="14">
        <f>'Annual P&amp;L'!M19</f>
        <v>4355</v>
      </c>
      <c r="N8" s="28">
        <f>'Annual P&amp;L'!N19</f>
        <v>4560.3493390983504</v>
      </c>
      <c r="O8" s="28">
        <f>'Annual P&amp;L'!O19</f>
        <v>4769.3332560860854</v>
      </c>
      <c r="P8" s="28">
        <f>'Annual P&amp;L'!P19</f>
        <v>5024.0327431490659</v>
      </c>
      <c r="Q8" s="28">
        <f>'Annual P&amp;L'!Q19</f>
        <v>5258.370587702947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294</v>
      </c>
      <c r="B9" s="1" t="s">
        <v>44</v>
      </c>
      <c r="C9" s="14">
        <f t="shared" ref="C9:M9" si="0">C15-SUM(C7:C8,C10:C14)</f>
        <v>-4037</v>
      </c>
      <c r="D9" s="14">
        <f t="shared" si="0"/>
        <v>2614.5</v>
      </c>
      <c r="E9" s="14">
        <f t="shared" si="0"/>
        <v>-3330.6000000000058</v>
      </c>
      <c r="F9" s="14">
        <f t="shared" si="0"/>
        <v>139.20000000000255</v>
      </c>
      <c r="G9" s="14">
        <f t="shared" si="0"/>
        <v>-3127</v>
      </c>
      <c r="H9" s="14">
        <f t="shared" si="0"/>
        <v>7500</v>
      </c>
      <c r="I9" s="14">
        <f t="shared" si="0"/>
        <v>-2044</v>
      </c>
      <c r="J9" s="14">
        <f t="shared" si="0"/>
        <v>566</v>
      </c>
      <c r="K9" s="14">
        <f t="shared" si="0"/>
        <v>628</v>
      </c>
      <c r="L9" s="14">
        <f t="shared" si="0"/>
        <v>-101</v>
      </c>
      <c r="M9" s="14">
        <f t="shared" si="0"/>
        <v>-149</v>
      </c>
      <c r="N9" s="28">
        <f>0</f>
        <v>0</v>
      </c>
      <c r="O9" s="28">
        <f>0</f>
        <v>0</v>
      </c>
      <c r="P9" s="28">
        <f>0</f>
        <v>0</v>
      </c>
      <c r="Q9" s="28">
        <f>0</f>
        <v>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295</v>
      </c>
      <c r="B10" s="1" t="s">
        <v>44</v>
      </c>
      <c r="C10" s="14">
        <f>0</f>
        <v>0</v>
      </c>
      <c r="D10" s="14">
        <f>-('Annual Balance Sheet'!D8-'Annual Balance Sheet'!C8)</f>
        <v>-580.09999999999945</v>
      </c>
      <c r="E10" s="14">
        <f>-('Annual Balance Sheet'!E8-'Annual Balance Sheet'!D8)</f>
        <v>-1338</v>
      </c>
      <c r="F10" s="14">
        <f>-('Annual Balance Sheet'!F8-'Annual Balance Sheet'!E8)</f>
        <v>-2066.6000000000004</v>
      </c>
      <c r="G10" s="14">
        <f>-('Annual Balance Sheet'!G8-'Annual Balance Sheet'!F8)</f>
        <v>-2428</v>
      </c>
      <c r="H10" s="14">
        <f>-('Annual Balance Sheet'!H8-'Annual Balance Sheet'!G8)</f>
        <v>471</v>
      </c>
      <c r="I10" s="14">
        <f>-('Annual Balance Sheet'!I8-'Annual Balance Sheet'!H8)</f>
        <v>-1813</v>
      </c>
      <c r="J10" s="14">
        <f>-('Annual Balance Sheet'!J8-'Annual Balance Sheet'!I8)</f>
        <v>-4096</v>
      </c>
      <c r="K10" s="14">
        <f>-('Annual Balance Sheet'!K8-'Annual Balance Sheet'!J8)</f>
        <v>89</v>
      </c>
      <c r="L10" s="14">
        <f>-('Annual Balance Sheet'!L8-'Annual Balance Sheet'!K8)</f>
        <v>-40</v>
      </c>
      <c r="M10" s="14">
        <f>-('Annual Balance Sheet'!M8-'Annual Balance Sheet'!L8)</f>
        <v>-4062</v>
      </c>
      <c r="N10" s="28">
        <f>-('Annual Balance Sheet'!N8-'Annual Balance Sheet'!M8)</f>
        <v>-645.99690346985881</v>
      </c>
      <c r="O10" s="28">
        <f>-('Annual Balance Sheet'!O8-'Annual Balance Sheet'!N8)</f>
        <v>-1494.0026798711842</v>
      </c>
      <c r="P10" s="28">
        <f>-('Annual Balance Sheet'!P8-'Annual Balance Sheet'!O8)</f>
        <v>-1803.9469544620588</v>
      </c>
      <c r="Q10" s="28">
        <f>-('Annual Balance Sheet'!Q8-'Annual Balance Sheet'!P8)</f>
        <v>-1764.259475884548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296</v>
      </c>
      <c r="B11" s="1" t="s">
        <v>44</v>
      </c>
      <c r="C11" s="14">
        <f>0</f>
        <v>0</v>
      </c>
      <c r="D11" s="14">
        <f>-('Annual Balance Sheet'!D9-'Annual Balance Sheet'!C9)</f>
        <v>500.30000000000018</v>
      </c>
      <c r="E11" s="14">
        <f>-('Annual Balance Sheet'!E9-'Annual Balance Sheet'!D9)</f>
        <v>-116.90000000000009</v>
      </c>
      <c r="F11" s="14">
        <f>-('Annual Balance Sheet'!F9-'Annual Balance Sheet'!E9)</f>
        <v>2618.1</v>
      </c>
      <c r="G11" s="14">
        <f>-('Annual Balance Sheet'!G9-'Annual Balance Sheet'!F9)</f>
        <v>-3638</v>
      </c>
      <c r="H11" s="14">
        <f>-('Annual Balance Sheet'!H9-'Annual Balance Sheet'!G9)</f>
        <v>-224</v>
      </c>
      <c r="I11" s="14">
        <f>-('Annual Balance Sheet'!I9-'Annual Balance Sheet'!H9)</f>
        <v>-1333</v>
      </c>
      <c r="J11" s="14">
        <f>-('Annual Balance Sheet'!J9-'Annual Balance Sheet'!I9)</f>
        <v>-739</v>
      </c>
      <c r="K11" s="14">
        <f>-('Annual Balance Sheet'!K9-'Annual Balance Sheet'!J9)</f>
        <v>-104</v>
      </c>
      <c r="L11" s="14">
        <f>-('Annual Balance Sheet'!L9-'Annual Balance Sheet'!K9)</f>
        <v>-281</v>
      </c>
      <c r="M11" s="14">
        <f>-('Annual Balance Sheet'!M9-'Annual Balance Sheet'!L9)</f>
        <v>-1637</v>
      </c>
      <c r="N11" s="28">
        <f>-('Annual Balance Sheet'!N9-'Annual Balance Sheet'!M9)</f>
        <v>-373.40518556776442</v>
      </c>
      <c r="O11" s="28">
        <f>-('Annual Balance Sheet'!O9-'Annual Balance Sheet'!N9)</f>
        <v>-653.92800226561485</v>
      </c>
      <c r="P11" s="28">
        <f>-('Annual Balance Sheet'!P9-'Annual Balance Sheet'!O9)</f>
        <v>-340.98741368057381</v>
      </c>
      <c r="Q11" s="28">
        <f>-('Annual Balance Sheet'!Q9-'Annual Balance Sheet'!P9)</f>
        <v>-760.22573106704112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297</v>
      </c>
      <c r="B12" s="1" t="s">
        <v>44</v>
      </c>
      <c r="C12" s="14">
        <f>0</f>
        <v>0</v>
      </c>
      <c r="D12" s="14">
        <f>-('Annual Balance Sheet'!D11-'Annual Balance Sheet'!C11)</f>
        <v>-573</v>
      </c>
      <c r="E12" s="14">
        <f>-('Annual Balance Sheet'!E11-'Annual Balance Sheet'!D11)</f>
        <v>463.40000000000146</v>
      </c>
      <c r="F12" s="14">
        <f>-('Annual Balance Sheet'!F11-'Annual Balance Sheet'!E11)</f>
        <v>-4100.2000000000007</v>
      </c>
      <c r="G12" s="14">
        <f>-('Annual Balance Sheet'!G11-'Annual Balance Sheet'!F11)</f>
        <v>1340</v>
      </c>
      <c r="H12" s="14">
        <f>-('Annual Balance Sheet'!H11-'Annual Balance Sheet'!G11)</f>
        <v>243</v>
      </c>
      <c r="I12" s="14">
        <f>-('Annual Balance Sheet'!I11-'Annual Balance Sheet'!H11)</f>
        <v>-450</v>
      </c>
      <c r="J12" s="14">
        <f>-('Annual Balance Sheet'!J11-'Annual Balance Sheet'!I11)</f>
        <v>128</v>
      </c>
      <c r="K12" s="14">
        <f>-('Annual Balance Sheet'!K11-'Annual Balance Sheet'!J11)</f>
        <v>-463</v>
      </c>
      <c r="L12" s="14">
        <f>-('Annual Balance Sheet'!L11-'Annual Balance Sheet'!K11)</f>
        <v>-707</v>
      </c>
      <c r="M12" s="14">
        <f>-('Annual Balance Sheet'!M11-'Annual Balance Sheet'!L11)</f>
        <v>-1071</v>
      </c>
      <c r="N12" s="28">
        <f>-('Annual Balance Sheet'!N11-'Annual Balance Sheet'!M11)</f>
        <v>-415.15944447588936</v>
      </c>
      <c r="O12" s="28">
        <f>-('Annual Balance Sheet'!O11-'Annual Balance Sheet'!N11)</f>
        <v>-480.21541792745029</v>
      </c>
      <c r="P12" s="28">
        <f>-('Annual Balance Sheet'!P11-'Annual Balance Sheet'!O11)</f>
        <v>-580.29718973690797</v>
      </c>
      <c r="Q12" s="28">
        <f>-('Annual Balance Sheet'!Q11-'Annual Balance Sheet'!P11)</f>
        <v>-564.67402531515472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298</v>
      </c>
      <c r="B13" s="1" t="s">
        <v>44</v>
      </c>
      <c r="C13" s="14">
        <f>0</f>
        <v>0</v>
      </c>
      <c r="D13" s="14">
        <f>+('Annual Balance Sheet'!D18-'Annual Balance Sheet'!C18)</f>
        <v>1639.2000000000007</v>
      </c>
      <c r="E13" s="14">
        <f>+('Annual Balance Sheet'!E18-'Annual Balance Sheet'!D18)</f>
        <v>-1233.4000000000015</v>
      </c>
      <c r="F13" s="14">
        <f>+('Annual Balance Sheet'!F18-'Annual Balance Sheet'!E18)</f>
        <v>1233.7000000000007</v>
      </c>
      <c r="G13" s="14">
        <f>+('Annual Balance Sheet'!G18-'Annual Balance Sheet'!F18)</f>
        <v>9741</v>
      </c>
      <c r="H13" s="14">
        <f>+('Annual Balance Sheet'!H18-'Annual Balance Sheet'!G18)</f>
        <v>-4134</v>
      </c>
      <c r="I13" s="14">
        <f>+('Annual Balance Sheet'!I18-'Annual Balance Sheet'!H18)</f>
        <v>1259</v>
      </c>
      <c r="J13" s="14">
        <f>+('Annual Balance Sheet'!J18-'Annual Balance Sheet'!I18)</f>
        <v>2406</v>
      </c>
      <c r="K13" s="14">
        <f>+('Annual Balance Sheet'!K18-'Annual Balance Sheet'!J18)</f>
        <v>1112</v>
      </c>
      <c r="L13" s="14">
        <f>+('Annual Balance Sheet'!L18-'Annual Balance Sheet'!K18)</f>
        <v>2939</v>
      </c>
      <c r="M13" s="14">
        <f>+('Annual Balance Sheet'!M18-'Annual Balance Sheet'!L18)</f>
        <v>5357</v>
      </c>
      <c r="N13" s="28">
        <f>'Annual Balance Sheet'!N18-'Annual Balance Sheet'!M18</f>
        <v>1265.2909483978437</v>
      </c>
      <c r="O13" s="28">
        <f>'Annual Balance Sheet'!O18-'Annual Balance Sheet'!N18</f>
        <v>2143.0001799520614</v>
      </c>
      <c r="P13" s="28">
        <f>'Annual Balance Sheet'!P18-'Annual Balance Sheet'!O18</f>
        <v>2580.2003631321422</v>
      </c>
      <c r="Q13" s="28">
        <f>'Annual Balance Sheet'!Q18-'Annual Balance Sheet'!P18</f>
        <v>2744.8928183395619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299</v>
      </c>
      <c r="B14" s="1" t="s">
        <v>44</v>
      </c>
      <c r="C14" s="14">
        <f>0</f>
        <v>0</v>
      </c>
      <c r="D14" s="14">
        <f>-('Annual Balance Sheet'!D16-'Annual Balance Sheet'!C16)+('Annual Balance Sheet'!D24-'Annual Balance Sheet'!C24)</f>
        <v>-3897.9000000000015</v>
      </c>
      <c r="E14" s="14">
        <f>-('Annual Balance Sheet'!E16-'Annual Balance Sheet'!D16)+('Annual Balance Sheet'!E24-'Annual Balance Sheet'!D24)</f>
        <v>3650.5000000000059</v>
      </c>
      <c r="F14" s="14">
        <f>-('Annual Balance Sheet'!F16-'Annual Balance Sheet'!E16)+('Annual Balance Sheet'!F24-'Annual Balance Sheet'!E24)</f>
        <v>-1123.200000000003</v>
      </c>
      <c r="G14" s="14">
        <f>-('Annual Balance Sheet'!G16-'Annual Balance Sheet'!F16)+('Annual Balance Sheet'!G24-'Annual Balance Sheet'!F24)</f>
        <v>-2432</v>
      </c>
      <c r="H14" s="14">
        <f>-('Annual Balance Sheet'!H16-'Annual Balance Sheet'!G16)+('Annual Balance Sheet'!H24-'Annual Balance Sheet'!G24)</f>
        <v>6</v>
      </c>
      <c r="I14" s="14">
        <f>-('Annual Balance Sheet'!I16-'Annual Balance Sheet'!H16)+('Annual Balance Sheet'!I24-'Annual Balance Sheet'!H24)</f>
        <v>3456</v>
      </c>
      <c r="J14" s="14">
        <f>-('Annual Balance Sheet'!J16-'Annual Balance Sheet'!I16)+('Annual Balance Sheet'!J24-'Annual Balance Sheet'!I24)</f>
        <v>748</v>
      </c>
      <c r="K14" s="14">
        <f>-('Annual Balance Sheet'!K16-'Annual Balance Sheet'!J16)+('Annual Balance Sheet'!K24-'Annual Balance Sheet'!J24)</f>
        <v>1311</v>
      </c>
      <c r="L14" s="14">
        <f>-('Annual Balance Sheet'!L16-'Annual Balance Sheet'!K16)+('Annual Balance Sheet'!L24-'Annual Balance Sheet'!K24)</f>
        <v>-1023</v>
      </c>
      <c r="M14" s="14">
        <f>-('Annual Balance Sheet'!M16-'Annual Balance Sheet'!L16)+('Annual Balance Sheet'!M24-'Annual Balance Sheet'!L24)</f>
        <v>-179</v>
      </c>
      <c r="N14" s="28">
        <f>-('Annual Balance Sheet'!N16-'Annual Balance Sheet'!M16)+('Annual Balance Sheet'!N24-'Annual Balance Sheet'!M24)</f>
        <v>2749.3038313959387</v>
      </c>
      <c r="O14" s="28">
        <f>-('Annual Balance Sheet'!O16-'Annual Balance Sheet'!N16)+('Annual Balance Sheet'!O24-'Annual Balance Sheet'!N24)</f>
        <v>-284.92873725085519</v>
      </c>
      <c r="P14" s="28">
        <f>-('Annual Balance Sheet'!P16-'Annual Balance Sheet'!O16)+('Annual Balance Sheet'!P24-'Annual Balance Sheet'!O24)</f>
        <v>-345.86684381168016</v>
      </c>
      <c r="Q14" s="28">
        <f>-('Annual Balance Sheet'!Q16-'Annual Balance Sheet'!P16)+('Annual Balance Sheet'!Q24-'Annual Balance Sheet'!P24)</f>
        <v>-326.83197516703785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8" t="s">
        <v>187</v>
      </c>
      <c r="B15" s="16" t="s">
        <v>44</v>
      </c>
      <c r="C15" s="17">
        <f>'Raw Financials'!C23</f>
        <v>3823</v>
      </c>
      <c r="D15" s="17">
        <f>'Raw Financials'!D23</f>
        <v>8995</v>
      </c>
      <c r="E15" s="17">
        <f>'Raw Financials'!E23</f>
        <v>8328</v>
      </c>
      <c r="F15" s="17">
        <f>'Raw Financials'!F23</f>
        <v>8971</v>
      </c>
      <c r="G15" s="17">
        <f>'Raw Financials'!G23</f>
        <v>13359</v>
      </c>
      <c r="H15" s="17">
        <f>'Raw Financials'!H23</f>
        <v>19618</v>
      </c>
      <c r="I15" s="17">
        <f>'Raw Financials'!I23</f>
        <v>16900</v>
      </c>
      <c r="J15" s="17">
        <f>'Raw Financials'!J23</f>
        <v>18009</v>
      </c>
      <c r="K15" s="17">
        <f>'Raw Financials'!K23</f>
        <v>22448</v>
      </c>
      <c r="L15" s="17">
        <f>'Raw Financials'!L23</f>
        <v>22261</v>
      </c>
      <c r="M15" s="17">
        <f>'Raw Financials'!M23</f>
        <v>19975</v>
      </c>
      <c r="N15" s="29">
        <f>SUM(N7:N14)</f>
        <v>26502.879654417324</v>
      </c>
      <c r="O15" s="29">
        <f>SUM(O7:O14)</f>
        <v>25185.659888463844</v>
      </c>
      <c r="P15" s="29">
        <f>SUM(P7:P14)</f>
        <v>27804.110916775884</v>
      </c>
      <c r="Q15" s="29">
        <f>SUM(Q7:Q14)</f>
        <v>29887.888523595095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300</v>
      </c>
      <c r="B16" s="1" t="s">
        <v>68</v>
      </c>
      <c r="C16" s="21">
        <f t="shared" ref="C16:M16" si="1">IFERROR(C15/C7,"")</f>
        <v>0.51985314114767478</v>
      </c>
      <c r="D16" s="21">
        <f t="shared" si="1"/>
        <v>1.0636159394584368</v>
      </c>
      <c r="E16" s="21">
        <f t="shared" si="1"/>
        <v>0.94851936218678812</v>
      </c>
      <c r="F16" s="21">
        <f t="shared" si="1"/>
        <v>0.88619974315914252</v>
      </c>
      <c r="G16" s="21">
        <f t="shared" si="1"/>
        <v>1.2076478032905442</v>
      </c>
      <c r="H16" s="21">
        <f t="shared" si="1"/>
        <v>1.7602512337371019</v>
      </c>
      <c r="I16" s="21">
        <f t="shared" si="1"/>
        <v>1.2519445884880362</v>
      </c>
      <c r="J16" s="21">
        <f t="shared" si="1"/>
        <v>1.2126456130900276</v>
      </c>
      <c r="K16" s="21">
        <f t="shared" si="1"/>
        <v>1.4296267991338683</v>
      </c>
      <c r="L16" s="21">
        <f t="shared" si="1"/>
        <v>1.2801035077630822</v>
      </c>
      <c r="M16" s="21">
        <f t="shared" si="1"/>
        <v>1.1505673636311273</v>
      </c>
      <c r="N16" s="27">
        <f>N15/N7</f>
        <v>1.3687738497735571</v>
      </c>
      <c r="O16" s="27">
        <f>O15/O7</f>
        <v>1.188765356797977</v>
      </c>
      <c r="P16" s="27">
        <f>P15/P7</f>
        <v>1.1947977885954009</v>
      </c>
      <c r="Q16" s="27">
        <f>Q15/Q7</f>
        <v>1.1813106898142411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191</v>
      </c>
      <c r="B17" s="1" t="s">
        <v>44</v>
      </c>
      <c r="C17" s="14">
        <f>'Raw Financials'!C27</f>
        <v>-942</v>
      </c>
      <c r="D17" s="14">
        <f>'Raw Financials'!D27</f>
        <v>-3922</v>
      </c>
      <c r="E17" s="14">
        <f>'Raw Financials'!E27</f>
        <v>-5321</v>
      </c>
      <c r="F17" s="14">
        <f>'Raw Financials'!F27</f>
        <v>-3434</v>
      </c>
      <c r="G17" s="14">
        <f>'Raw Financials'!G27</f>
        <v>-1866</v>
      </c>
      <c r="H17" s="14">
        <f>'Raw Financials'!H27</f>
        <v>-1904</v>
      </c>
      <c r="I17" s="14">
        <f>'Raw Financials'!I27</f>
        <v>-1645</v>
      </c>
      <c r="J17" s="14">
        <f>'Raw Financials'!J27</f>
        <v>-1661</v>
      </c>
      <c r="K17" s="14">
        <f>'Raw Financials'!K27</f>
        <v>-1048</v>
      </c>
      <c r="L17" s="14">
        <f>'Raw Financials'!L27</f>
        <v>-1108</v>
      </c>
      <c r="M17" s="14">
        <f>'Raw Financials'!M27</f>
        <v>-1422</v>
      </c>
      <c r="N17" s="28">
        <f>-'Annual P&amp;L'!N7*Assumptions!C27</f>
        <v>-1934.6936590114215</v>
      </c>
      <c r="O17" s="28">
        <f>-'Annual P&amp;L'!O7*Assumptions!D27</f>
        <v>-2086.5832995376622</v>
      </c>
      <c r="P17" s="28">
        <f>-'Annual P&amp;L'!P7*Assumptions!E27</f>
        <v>-2268.9180130350619</v>
      </c>
      <c r="Q17" s="28">
        <f>-'Annual P&amp;L'!Q7*Assumptions!F27</f>
        <v>-2453.9062742613755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301</v>
      </c>
      <c r="B18" s="1" t="s">
        <v>44</v>
      </c>
      <c r="C18" s="14">
        <f t="shared" ref="C18:Q18" si="2">C17</f>
        <v>-942</v>
      </c>
      <c r="D18" s="14">
        <f t="shared" si="2"/>
        <v>-3922</v>
      </c>
      <c r="E18" s="14">
        <f t="shared" si="2"/>
        <v>-5321</v>
      </c>
      <c r="F18" s="14">
        <f t="shared" si="2"/>
        <v>-3434</v>
      </c>
      <c r="G18" s="14">
        <f t="shared" si="2"/>
        <v>-1866</v>
      </c>
      <c r="H18" s="14">
        <f t="shared" si="2"/>
        <v>-1904</v>
      </c>
      <c r="I18" s="14">
        <f t="shared" si="2"/>
        <v>-1645</v>
      </c>
      <c r="J18" s="14">
        <f t="shared" si="2"/>
        <v>-1661</v>
      </c>
      <c r="K18" s="14">
        <f t="shared" si="2"/>
        <v>-1048</v>
      </c>
      <c r="L18" s="14">
        <f t="shared" si="2"/>
        <v>-1108</v>
      </c>
      <c r="M18" s="14">
        <f t="shared" si="2"/>
        <v>-1422</v>
      </c>
      <c r="N18" s="28">
        <f t="shared" si="2"/>
        <v>-1934.6936590114215</v>
      </c>
      <c r="O18" s="28">
        <f t="shared" si="2"/>
        <v>-2086.5832995376622</v>
      </c>
      <c r="P18" s="28">
        <f t="shared" si="2"/>
        <v>-2268.9180130350619</v>
      </c>
      <c r="Q18" s="28">
        <f t="shared" si="2"/>
        <v>-2453.9062742613755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302</v>
      </c>
      <c r="B19" s="1" t="s">
        <v>44</v>
      </c>
      <c r="C19" s="14">
        <f>'Raw Financials'!C28</f>
        <v>-1183</v>
      </c>
      <c r="D19" s="14">
        <f>'Raw Financials'!D28</f>
        <v>-488</v>
      </c>
      <c r="E19" s="14">
        <f>'Raw Financials'!E28</f>
        <v>-107</v>
      </c>
      <c r="F19" s="14">
        <f>'Raw Financials'!F28</f>
        <v>-2828</v>
      </c>
      <c r="G19" s="14">
        <f>'Raw Financials'!G28</f>
        <v>-6091</v>
      </c>
      <c r="H19" s="14">
        <f>'Raw Financials'!H28</f>
        <v>-1211</v>
      </c>
      <c r="I19" s="14">
        <f>'Raw Financials'!I28</f>
        <v>40</v>
      </c>
      <c r="J19" s="14">
        <f>'Raw Financials'!J28</f>
        <v>-738</v>
      </c>
      <c r="K19" s="14">
        <f>'Raw Financials'!K28</f>
        <v>-2048</v>
      </c>
      <c r="L19" s="14">
        <f>'Raw Financials'!L28</f>
        <v>-2032</v>
      </c>
      <c r="M19" s="14">
        <f>'Raw Financials'!M28</f>
        <v>-160</v>
      </c>
      <c r="N19" s="28">
        <f>-Assumptions!C32</f>
        <v>0</v>
      </c>
      <c r="O19" s="28">
        <f>-Assumptions!D32</f>
        <v>0</v>
      </c>
      <c r="P19" s="28">
        <f>-Assumptions!E32</f>
        <v>0</v>
      </c>
      <c r="Q19" s="28">
        <f>-Assumptions!F32</f>
        <v>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303</v>
      </c>
      <c r="B20" s="1" t="s">
        <v>44</v>
      </c>
      <c r="C20" s="14">
        <f>0</f>
        <v>0</v>
      </c>
      <c r="D20" s="14">
        <f>-('Annual Balance Sheet'!D10-'Annual Balance Sheet'!C10)</f>
        <v>-241.69999999999891</v>
      </c>
      <c r="E20" s="14">
        <f>-('Annual Balance Sheet'!E10-'Annual Balance Sheet'!D10)</f>
        <v>3281.4999999999991</v>
      </c>
      <c r="F20" s="14">
        <f>-('Annual Balance Sheet'!F10-'Annual Balance Sheet'!E10)</f>
        <v>2621.8</v>
      </c>
      <c r="G20" s="14">
        <f>-('Annual Balance Sheet'!G10-'Annual Balance Sheet'!F10)</f>
        <v>-5068</v>
      </c>
      <c r="H20" s="14">
        <f>-('Annual Balance Sheet'!H10-'Annual Balance Sheet'!G10)</f>
        <v>-3445</v>
      </c>
      <c r="I20" s="14">
        <f>-('Annual Balance Sheet'!I10-'Annual Balance Sheet'!H10)</f>
        <v>2602</v>
      </c>
      <c r="J20" s="14">
        <f>-('Annual Balance Sheet'!J10-'Annual Balance Sheet'!I10)</f>
        <v>-2274</v>
      </c>
      <c r="K20" s="14">
        <f>-('Annual Balance Sheet'!K10-'Annual Balance Sheet'!J10)</f>
        <v>-4885</v>
      </c>
      <c r="L20" s="14">
        <f>-('Annual Balance Sheet'!L10-'Annual Balance Sheet'!K10)</f>
        <v>-2961</v>
      </c>
      <c r="M20" s="14">
        <f>-('Annual Balance Sheet'!M10-'Annual Balance Sheet'!L10)</f>
        <v>-1643</v>
      </c>
      <c r="N20" s="28">
        <f>-('Annual Balance Sheet'!N10-'Annual Balance Sheet'!M10)</f>
        <v>-3120.5568008692899</v>
      </c>
      <c r="O20" s="28">
        <f>-('Annual Balance Sheet'!O10-'Annual Balance Sheet'!N10)</f>
        <v>-1316.1510858783877</v>
      </c>
      <c r="P20" s="28">
        <f>-('Annual Balance Sheet'!P10-'Annual Balance Sheet'!O10)</f>
        <v>-1599.095137988832</v>
      </c>
      <c r="Q20" s="28">
        <f>-('Annual Balance Sheet'!Q10-'Annual Balance Sheet'!P10)</f>
        <v>-1502.0254035306789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304</v>
      </c>
      <c r="B21" s="1" t="s">
        <v>44</v>
      </c>
      <c r="C21" s="14">
        <f t="shared" ref="C21:M21" si="3">C22-SUM(C17,C19,C20)</f>
        <v>-64</v>
      </c>
      <c r="D21" s="14">
        <f t="shared" si="3"/>
        <v>834.69999999999891</v>
      </c>
      <c r="E21" s="14">
        <f t="shared" si="3"/>
        <v>-136.49999999999909</v>
      </c>
      <c r="F21" s="14">
        <f t="shared" si="3"/>
        <v>567.19999999999982</v>
      </c>
      <c r="G21" s="14">
        <f t="shared" si="3"/>
        <v>651</v>
      </c>
      <c r="H21" s="14">
        <f t="shared" si="3"/>
        <v>830</v>
      </c>
      <c r="I21" s="14">
        <f t="shared" si="3"/>
        <v>480</v>
      </c>
      <c r="J21" s="14">
        <f t="shared" si="3"/>
        <v>742</v>
      </c>
      <c r="K21" s="14">
        <f t="shared" si="3"/>
        <v>1258</v>
      </c>
      <c r="L21" s="14">
        <f t="shared" si="3"/>
        <v>1187</v>
      </c>
      <c r="M21" s="14">
        <f t="shared" si="3"/>
        <v>1752</v>
      </c>
      <c r="N21" s="28">
        <f>0</f>
        <v>0</v>
      </c>
      <c r="O21" s="28">
        <f>0</f>
        <v>0</v>
      </c>
      <c r="P21" s="28">
        <f>0</f>
        <v>0</v>
      </c>
      <c r="Q21" s="28">
        <f>0</f>
        <v>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8" t="s">
        <v>188</v>
      </c>
      <c r="B22" s="16" t="s">
        <v>44</v>
      </c>
      <c r="C22" s="17">
        <f>'Raw Financials'!C24</f>
        <v>-2189</v>
      </c>
      <c r="D22" s="17">
        <f>'Raw Financials'!D24</f>
        <v>-3817</v>
      </c>
      <c r="E22" s="17">
        <f>'Raw Financials'!E24</f>
        <v>-2283</v>
      </c>
      <c r="F22" s="17">
        <f>'Raw Financials'!F24</f>
        <v>-3073</v>
      </c>
      <c r="G22" s="17">
        <f>'Raw Financials'!G24</f>
        <v>-12374</v>
      </c>
      <c r="H22" s="17">
        <f>'Raw Financials'!H24</f>
        <v>-5730</v>
      </c>
      <c r="I22" s="17">
        <f>'Raw Financials'!I24</f>
        <v>1477</v>
      </c>
      <c r="J22" s="17">
        <f>'Raw Financials'!J24</f>
        <v>-3931</v>
      </c>
      <c r="K22" s="17">
        <f>'Raw Financials'!K24</f>
        <v>-6723</v>
      </c>
      <c r="L22" s="17">
        <f>'Raw Financials'!L24</f>
        <v>-4914</v>
      </c>
      <c r="M22" s="17">
        <f>'Raw Financials'!M24</f>
        <v>-1473</v>
      </c>
      <c r="N22" s="29">
        <f>SUM(N17,N19:N21)</f>
        <v>-5055.2504598807118</v>
      </c>
      <c r="O22" s="29">
        <f>SUM(O17,O19:O21)</f>
        <v>-3402.7343854160499</v>
      </c>
      <c r="P22" s="29">
        <f>SUM(P17,P19:P21)</f>
        <v>-3868.0131510238939</v>
      </c>
      <c r="Q22" s="29">
        <f>SUM(Q17,Q19:Q21)</f>
        <v>-3955.9316777920544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305</v>
      </c>
      <c r="B23" s="1" t="s">
        <v>44</v>
      </c>
      <c r="C23" s="14">
        <f>0</f>
        <v>0</v>
      </c>
      <c r="D23" s="14">
        <f>'Annual Balance Sheet'!D19-'Annual Balance Sheet'!C19</f>
        <v>0</v>
      </c>
      <c r="E23" s="14">
        <f>'Annual Balance Sheet'!E19-'Annual Balance Sheet'!D19</f>
        <v>0</v>
      </c>
      <c r="F23" s="14">
        <f>'Annual Balance Sheet'!F19-'Annual Balance Sheet'!E19</f>
        <v>0</v>
      </c>
      <c r="G23" s="14">
        <f>'Annual Balance Sheet'!G19-'Annual Balance Sheet'!F19</f>
        <v>0</v>
      </c>
      <c r="H23" s="14">
        <f>'Annual Balance Sheet'!H19-'Annual Balance Sheet'!G19</f>
        <v>0</v>
      </c>
      <c r="I23" s="14">
        <f>'Annual Balance Sheet'!I19-'Annual Balance Sheet'!H19</f>
        <v>0</v>
      </c>
      <c r="J23" s="14">
        <f>'Annual Balance Sheet'!J19-'Annual Balance Sheet'!I19</f>
        <v>0</v>
      </c>
      <c r="K23" s="14">
        <f>'Annual Balance Sheet'!K19-'Annual Balance Sheet'!J19</f>
        <v>0</v>
      </c>
      <c r="L23" s="14">
        <f>'Annual Balance Sheet'!L19-'Annual Balance Sheet'!K19</f>
        <v>0</v>
      </c>
      <c r="M23" s="14">
        <f>'Annual Balance Sheet'!M19-'Annual Balance Sheet'!L19</f>
        <v>0</v>
      </c>
      <c r="N23" s="28">
        <f>'Annual Balance Sheet'!N19-'Annual Balance Sheet'!M19</f>
        <v>11.8</v>
      </c>
      <c r="O23" s="28">
        <f>'Annual Balance Sheet'!O19-'Annual Balance Sheet'!N19</f>
        <v>-11.8</v>
      </c>
      <c r="P23" s="28">
        <f>'Annual Balance Sheet'!P19-'Annual Balance Sheet'!O19</f>
        <v>0</v>
      </c>
      <c r="Q23" s="28">
        <f>'Annual Balance Sheet'!Q19-'Annual Balance Sheet'!P19</f>
        <v>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306</v>
      </c>
      <c r="B24" s="1" t="s">
        <v>44</v>
      </c>
      <c r="C24" s="14">
        <f>0</f>
        <v>0</v>
      </c>
      <c r="D24" s="14">
        <f>('Annual Balance Sheet'!D20+'Annual Balance Sheet'!D21)-('Annual Balance Sheet'!C20+'Annual Balance Sheet'!C21)</f>
        <v>-431.5</v>
      </c>
      <c r="E24" s="14">
        <f>('Annual Balance Sheet'!E20+'Annual Balance Sheet'!E21)-('Annual Balance Sheet'!D20+'Annual Balance Sheet'!D21)</f>
        <v>-104.60000000000002</v>
      </c>
      <c r="F24" s="14">
        <f>('Annual Balance Sheet'!F20+'Annual Balance Sheet'!F21)-('Annual Balance Sheet'!E20+'Annual Balance Sheet'!E21)</f>
        <v>3548.9</v>
      </c>
      <c r="G24" s="14">
        <f>('Annual Balance Sheet'!G20+'Annual Balance Sheet'!G21)-('Annual Balance Sheet'!F20+'Annual Balance Sheet'!F21)</f>
        <v>1106</v>
      </c>
      <c r="H24" s="14">
        <f>('Annual Balance Sheet'!H20+'Annual Balance Sheet'!H21)-('Annual Balance Sheet'!G20+'Annual Balance Sheet'!G21)</f>
        <v>-1185</v>
      </c>
      <c r="I24" s="14">
        <f>('Annual Balance Sheet'!I20+'Annual Balance Sheet'!I21)-('Annual Balance Sheet'!H20+'Annual Balance Sheet'!H21)</f>
        <v>78</v>
      </c>
      <c r="J24" s="14">
        <f>('Annual Balance Sheet'!J20+'Annual Balance Sheet'!J21)-('Annual Balance Sheet'!I20+'Annual Balance Sheet'!I21)</f>
        <v>-1734</v>
      </c>
      <c r="K24" s="14">
        <f>('Annual Balance Sheet'!K20+'Annual Balance Sheet'!K21)-('Annual Balance Sheet'!J20+'Annual Balance Sheet'!J21)</f>
        <v>76</v>
      </c>
      <c r="L24" s="14">
        <f>('Annual Balance Sheet'!L20+'Annual Balance Sheet'!L21)-('Annual Balance Sheet'!K20+'Annual Balance Sheet'!K21)</f>
        <v>-36</v>
      </c>
      <c r="M24" s="14">
        <f>('Annual Balance Sheet'!M20+'Annual Balance Sheet'!M21)-('Annual Balance Sheet'!L20+'Annual Balance Sheet'!L21)</f>
        <v>-2132</v>
      </c>
      <c r="N24" s="28">
        <f>'Annual Balance Sheet'!N22-'Annual Balance Sheet'!M22-N23</f>
        <v>-111.8</v>
      </c>
      <c r="O24" s="28">
        <f>'Annual Balance Sheet'!O22-'Annual Balance Sheet'!N22-O23</f>
        <v>-47.2</v>
      </c>
      <c r="P24" s="28">
        <f>'Annual Balance Sheet'!P22-'Annual Balance Sheet'!O22-P23</f>
        <v>0</v>
      </c>
      <c r="Q24" s="28">
        <f>'Annual Balance Sheet'!Q22-'Annual Balance Sheet'!P22-Q23</f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307</v>
      </c>
      <c r="B25" s="1" t="s">
        <v>44</v>
      </c>
      <c r="C25" s="14">
        <f>0</f>
        <v>0</v>
      </c>
      <c r="D25" s="14">
        <f>0</f>
        <v>0</v>
      </c>
      <c r="E25" s="14">
        <f>0</f>
        <v>0</v>
      </c>
      <c r="F25" s="14">
        <f>0</f>
        <v>0</v>
      </c>
      <c r="G25" s="14">
        <f>0</f>
        <v>0</v>
      </c>
      <c r="H25" s="14">
        <f>0</f>
        <v>0</v>
      </c>
      <c r="I25" s="14">
        <f>0</f>
        <v>0</v>
      </c>
      <c r="J25" s="14">
        <f>0</f>
        <v>0</v>
      </c>
      <c r="K25" s="14">
        <f>0</f>
        <v>0</v>
      </c>
      <c r="L25" s="14">
        <f>0</f>
        <v>0</v>
      </c>
      <c r="M25" s="14">
        <f>0</f>
        <v>0</v>
      </c>
      <c r="N25" s="28">
        <f>'Annual P&amp;L'!N7*Assumptions!C29</f>
        <v>1658.3088505812184</v>
      </c>
      <c r="O25" s="28">
        <f>'Annual P&amp;L'!O7*Assumptions!D29</f>
        <v>1788.499971032282</v>
      </c>
      <c r="P25" s="28">
        <f>'Annual P&amp;L'!P7*Assumptions!E29</f>
        <v>1944.7868683157674</v>
      </c>
      <c r="Q25" s="28">
        <f>'Annual P&amp;L'!Q7*Assumptions!F29</f>
        <v>2103.3482350811787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308</v>
      </c>
      <c r="B26" s="1" t="s">
        <v>44</v>
      </c>
      <c r="C26" s="14">
        <f>0</f>
        <v>0</v>
      </c>
      <c r="D26" s="14">
        <f>0</f>
        <v>0</v>
      </c>
      <c r="E26" s="14">
        <f>0</f>
        <v>0</v>
      </c>
      <c r="F26" s="14">
        <f>0</f>
        <v>0</v>
      </c>
      <c r="G26" s="14">
        <f>0</f>
        <v>0</v>
      </c>
      <c r="H26" s="14">
        <f>0</f>
        <v>0</v>
      </c>
      <c r="I26" s="14">
        <f>0</f>
        <v>0</v>
      </c>
      <c r="J26" s="14">
        <f>0</f>
        <v>0</v>
      </c>
      <c r="K26" s="14">
        <f>0</f>
        <v>0</v>
      </c>
      <c r="L26" s="14">
        <f>0</f>
        <v>0</v>
      </c>
      <c r="M26" s="14">
        <f>0</f>
        <v>0</v>
      </c>
      <c r="N26" s="28">
        <f>-'Annual Balance Sheet'!M23*Assumptions!C31</f>
        <v>-1011.2</v>
      </c>
      <c r="O26" s="28">
        <f>-'Annual Balance Sheet'!N23*Assumptions!D31</f>
        <v>-1140.6217701162439</v>
      </c>
      <c r="P26" s="28">
        <f>-'Annual Balance Sheet'!O23*Assumptions!E31</f>
        <v>-1270.1974102994513</v>
      </c>
      <c r="Q26" s="28">
        <f>-'Annual Balance Sheet'!P23*Assumptions!F31</f>
        <v>-1405.1153019027145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309</v>
      </c>
      <c r="B27" s="1" t="s">
        <v>44</v>
      </c>
      <c r="C27" s="14">
        <f>0</f>
        <v>0</v>
      </c>
      <c r="D27" s="14">
        <f>0</f>
        <v>0</v>
      </c>
      <c r="E27" s="14">
        <f>0</f>
        <v>0</v>
      </c>
      <c r="F27" s="14">
        <f>0</f>
        <v>0</v>
      </c>
      <c r="G27" s="14">
        <f>0</f>
        <v>0</v>
      </c>
      <c r="H27" s="14">
        <f>0</f>
        <v>0</v>
      </c>
      <c r="I27" s="14">
        <f>0</f>
        <v>0</v>
      </c>
      <c r="J27" s="14">
        <f>0</f>
        <v>0</v>
      </c>
      <c r="K27" s="14">
        <f>0</f>
        <v>0</v>
      </c>
      <c r="L27" s="14">
        <f>0</f>
        <v>0</v>
      </c>
      <c r="M27" s="14">
        <f>0</f>
        <v>0</v>
      </c>
      <c r="N27" s="28">
        <f>0</f>
        <v>0</v>
      </c>
      <c r="O27" s="28">
        <f>0</f>
        <v>0</v>
      </c>
      <c r="P27" s="28">
        <f>0</f>
        <v>0</v>
      </c>
      <c r="Q27" s="28">
        <f>0</f>
        <v>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310</v>
      </c>
      <c r="B28" s="1" t="s">
        <v>44</v>
      </c>
      <c r="C28" s="14">
        <f>'Raw Financials'!C26</f>
        <v>-2697</v>
      </c>
      <c r="D28" s="14">
        <f>'Raw Financials'!D26</f>
        <v>-4068</v>
      </c>
      <c r="E28" s="14">
        <f>'Raw Financials'!E26</f>
        <v>-2031</v>
      </c>
      <c r="F28" s="14">
        <f>'Raw Financials'!F26</f>
        <v>-1321</v>
      </c>
      <c r="G28" s="14">
        <f>'Raw Financials'!G26</f>
        <v>-1625</v>
      </c>
      <c r="H28" s="14">
        <f>'Raw Financials'!H26</f>
        <v>-3256</v>
      </c>
      <c r="I28" s="14">
        <f>'Raw Financials'!I26</f>
        <v>-11389</v>
      </c>
      <c r="J28" s="14">
        <f>'Raw Financials'!J26</f>
        <v>-12995</v>
      </c>
      <c r="K28" s="14">
        <f>'Raw Financials'!K26</f>
        <v>-14073</v>
      </c>
      <c r="L28" s="14">
        <f>'Raw Financials'!L26</f>
        <v>-16250</v>
      </c>
      <c r="M28" s="14">
        <f>'Raw Financials'!M26</f>
        <v>-14618</v>
      </c>
      <c r="N28" s="28">
        <f>-'Annual P&amp;L'!N35*'Annual P&amp;L'!N31/10</f>
        <v>-17426.24736213484</v>
      </c>
      <c r="O28" s="28">
        <f>-'Annual P&amp;L'!O35*'Annual P&amp;L'!O31/10</f>
        <v>-19067.761160766724</v>
      </c>
      <c r="P28" s="28">
        <f>-'Annual P&amp;L'!P35*'Annual P&amp;L'!P31/10</f>
        <v>-20943.87859096731</v>
      </c>
      <c r="Q28" s="28">
        <f>-'Annual P&amp;L'!Q35*'Annual P&amp;L'!Q31/10</f>
        <v>-22770.554692487731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311</v>
      </c>
      <c r="B29" s="1" t="s">
        <v>44</v>
      </c>
      <c r="C29" s="14">
        <f t="shared" ref="C29:M29" si="4">C30-SUM(C23:C28)</f>
        <v>460</v>
      </c>
      <c r="D29" s="14">
        <f t="shared" si="4"/>
        <v>-33.5</v>
      </c>
      <c r="E29" s="14">
        <f t="shared" si="4"/>
        <v>-3578.4</v>
      </c>
      <c r="F29" s="14">
        <f t="shared" si="4"/>
        <v>-3689.9</v>
      </c>
      <c r="G29" s="14">
        <f t="shared" si="4"/>
        <v>-2649</v>
      </c>
      <c r="H29" s="14">
        <f t="shared" si="4"/>
        <v>-6751</v>
      </c>
      <c r="I29" s="14">
        <f t="shared" si="4"/>
        <v>-3197</v>
      </c>
      <c r="J29" s="14">
        <f t="shared" si="4"/>
        <v>-1152</v>
      </c>
      <c r="K29" s="14">
        <f t="shared" si="4"/>
        <v>-1467</v>
      </c>
      <c r="L29" s="14">
        <f t="shared" si="4"/>
        <v>-2275</v>
      </c>
      <c r="M29" s="14">
        <f t="shared" si="4"/>
        <v>-2619</v>
      </c>
      <c r="N29" s="28">
        <f>0</f>
        <v>0</v>
      </c>
      <c r="O29" s="28">
        <f>0</f>
        <v>0</v>
      </c>
      <c r="P29" s="28">
        <f>0</f>
        <v>0</v>
      </c>
      <c r="Q29" s="28">
        <f>0</f>
        <v>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8" t="s">
        <v>189</v>
      </c>
      <c r="B30" s="16" t="s">
        <v>44</v>
      </c>
      <c r="C30" s="17">
        <f>'Raw Financials'!C25</f>
        <v>-2237</v>
      </c>
      <c r="D30" s="17">
        <f>'Raw Financials'!D25</f>
        <v>-4533</v>
      </c>
      <c r="E30" s="17">
        <f>'Raw Financials'!E25</f>
        <v>-5714</v>
      </c>
      <c r="F30" s="17">
        <f>'Raw Financials'!F25</f>
        <v>-1462</v>
      </c>
      <c r="G30" s="17">
        <f>'Raw Financials'!G25</f>
        <v>-3168</v>
      </c>
      <c r="H30" s="17">
        <f>'Raw Financials'!H25</f>
        <v>-11192</v>
      </c>
      <c r="I30" s="17">
        <f>'Raw Financials'!I25</f>
        <v>-14508</v>
      </c>
      <c r="J30" s="17">
        <f>'Raw Financials'!J25</f>
        <v>-15881</v>
      </c>
      <c r="K30" s="17">
        <f>'Raw Financials'!K25</f>
        <v>-15464</v>
      </c>
      <c r="L30" s="17">
        <f>'Raw Financials'!L25</f>
        <v>-18561</v>
      </c>
      <c r="M30" s="17">
        <f>'Raw Financials'!M25</f>
        <v>-19369</v>
      </c>
      <c r="N30" s="29">
        <f>SUM(N23:N24,N26:N29)</f>
        <v>-18537.447362134841</v>
      </c>
      <c r="O30" s="29">
        <f>SUM(O23:O24,O26:O29)</f>
        <v>-20267.382930882966</v>
      </c>
      <c r="P30" s="29">
        <f>SUM(P23:P24,P26:P29)</f>
        <v>-22214.07600126676</v>
      </c>
      <c r="Q30" s="29">
        <f>SUM(Q23:Q24,Q26:Q29)</f>
        <v>-24175.669994390446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8" t="s">
        <v>312</v>
      </c>
      <c r="B31" s="16" t="s">
        <v>44</v>
      </c>
      <c r="C31" s="17">
        <f t="shared" ref="C31:Q31" si="5">SUM(C15,C22,C30)</f>
        <v>-603</v>
      </c>
      <c r="D31" s="17">
        <f t="shared" si="5"/>
        <v>645</v>
      </c>
      <c r="E31" s="17">
        <f t="shared" si="5"/>
        <v>331</v>
      </c>
      <c r="F31" s="17">
        <f t="shared" si="5"/>
        <v>4436</v>
      </c>
      <c r="G31" s="17">
        <f t="shared" si="5"/>
        <v>-2183</v>
      </c>
      <c r="H31" s="17">
        <f t="shared" si="5"/>
        <v>2696</v>
      </c>
      <c r="I31" s="17">
        <f t="shared" si="5"/>
        <v>3869</v>
      </c>
      <c r="J31" s="17">
        <f t="shared" si="5"/>
        <v>-1803</v>
      </c>
      <c r="K31" s="17">
        <f t="shared" si="5"/>
        <v>261</v>
      </c>
      <c r="L31" s="17">
        <f t="shared" si="5"/>
        <v>-1214</v>
      </c>
      <c r="M31" s="17">
        <f t="shared" si="5"/>
        <v>-867</v>
      </c>
      <c r="N31" s="29">
        <f t="shared" si="5"/>
        <v>2910.1818324017695</v>
      </c>
      <c r="O31" s="29">
        <f t="shared" si="5"/>
        <v>1515.542572164828</v>
      </c>
      <c r="P31" s="29">
        <f t="shared" si="5"/>
        <v>1722.021764485231</v>
      </c>
      <c r="Q31" s="29">
        <f t="shared" si="5"/>
        <v>1756.2868514125948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313</v>
      </c>
      <c r="B32" s="1" t="s">
        <v>44</v>
      </c>
      <c r="C32" s="14">
        <f t="shared" ref="C32:M32" ca="1" si="6">C36-C34-C31</f>
        <v>603</v>
      </c>
      <c r="D32" s="14">
        <f t="shared" si="6"/>
        <v>-57.799999999999955</v>
      </c>
      <c r="E32" s="14">
        <f t="shared" si="6"/>
        <v>46.400000000000091</v>
      </c>
      <c r="F32" s="14">
        <f t="shared" si="6"/>
        <v>-200.89999999999964</v>
      </c>
      <c r="G32" s="14">
        <f t="shared" si="6"/>
        <v>1097</v>
      </c>
      <c r="H32" s="14">
        <f t="shared" si="6"/>
        <v>-1024</v>
      </c>
      <c r="I32" s="14">
        <f t="shared" si="6"/>
        <v>126</v>
      </c>
      <c r="J32" s="14">
        <f t="shared" si="6"/>
        <v>358</v>
      </c>
      <c r="K32" s="14">
        <f t="shared" si="6"/>
        <v>130</v>
      </c>
      <c r="L32" s="14">
        <f t="shared" si="6"/>
        <v>3</v>
      </c>
      <c r="M32" s="14">
        <f t="shared" si="6"/>
        <v>887</v>
      </c>
      <c r="N32" s="28">
        <f>0</f>
        <v>0</v>
      </c>
      <c r="O32" s="28">
        <f>0</f>
        <v>0</v>
      </c>
      <c r="P32" s="28">
        <f>0</f>
        <v>0</v>
      </c>
      <c r="Q32" s="28">
        <f>0</f>
        <v>0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8" t="s">
        <v>314</v>
      </c>
      <c r="B33" s="16" t="s">
        <v>44</v>
      </c>
      <c r="C33" s="17">
        <f t="shared" ref="C33:Q33" ca="1" si="7">C31+C32</f>
        <v>0</v>
      </c>
      <c r="D33" s="17">
        <f t="shared" si="7"/>
        <v>587.20000000000005</v>
      </c>
      <c r="E33" s="17">
        <f t="shared" si="7"/>
        <v>377.40000000000009</v>
      </c>
      <c r="F33" s="17">
        <f t="shared" si="7"/>
        <v>4235.1000000000004</v>
      </c>
      <c r="G33" s="17">
        <f t="shared" si="7"/>
        <v>-1086</v>
      </c>
      <c r="H33" s="17">
        <f t="shared" si="7"/>
        <v>1672</v>
      </c>
      <c r="I33" s="17">
        <f t="shared" si="7"/>
        <v>3995</v>
      </c>
      <c r="J33" s="17">
        <f t="shared" si="7"/>
        <v>-1445</v>
      </c>
      <c r="K33" s="17">
        <f t="shared" si="7"/>
        <v>391</v>
      </c>
      <c r="L33" s="17">
        <f t="shared" si="7"/>
        <v>-1211</v>
      </c>
      <c r="M33" s="17">
        <f t="shared" si="7"/>
        <v>20</v>
      </c>
      <c r="N33" s="29">
        <f t="shared" si="7"/>
        <v>2910.1818324017695</v>
      </c>
      <c r="O33" s="29">
        <f t="shared" si="7"/>
        <v>1515.542572164828</v>
      </c>
      <c r="P33" s="29">
        <f t="shared" si="7"/>
        <v>1722.021764485231</v>
      </c>
      <c r="Q33" s="29">
        <f t="shared" si="7"/>
        <v>1756.2868514125948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315</v>
      </c>
      <c r="B34" s="1" t="s">
        <v>44</v>
      </c>
      <c r="C34" s="14">
        <f ca="1">'Annual Balance Sheet'!C7-C33</f>
        <v>729.3</v>
      </c>
      <c r="D34" s="14">
        <f>'Annual Balance Sheet'!C7</f>
        <v>729.3</v>
      </c>
      <c r="E34" s="14">
        <f>'Annual Balance Sheet'!D7</f>
        <v>1316.5</v>
      </c>
      <c r="F34" s="14">
        <f>'Annual Balance Sheet'!E7</f>
        <v>1693.9</v>
      </c>
      <c r="G34" s="14">
        <f>'Annual Balance Sheet'!F7</f>
        <v>5929</v>
      </c>
      <c r="H34" s="14">
        <f>'Annual Balance Sheet'!G7</f>
        <v>4843</v>
      </c>
      <c r="I34" s="14">
        <f>'Annual Balance Sheet'!H7</f>
        <v>6515</v>
      </c>
      <c r="J34" s="14">
        <f>'Annual Balance Sheet'!I7</f>
        <v>10510</v>
      </c>
      <c r="K34" s="14">
        <f>'Annual Balance Sheet'!J7</f>
        <v>9065</v>
      </c>
      <c r="L34" s="14">
        <f>'Annual Balance Sheet'!K7</f>
        <v>9456</v>
      </c>
      <c r="M34" s="14">
        <f>'Annual Balance Sheet'!L7</f>
        <v>8245</v>
      </c>
      <c r="N34" s="28">
        <f>M35</f>
        <v>8265</v>
      </c>
      <c r="O34" s="28">
        <f>N35</f>
        <v>11175.181832401769</v>
      </c>
      <c r="P34" s="28">
        <f>O35</f>
        <v>12690.724404566598</v>
      </c>
      <c r="Q34" s="28">
        <f>P35</f>
        <v>14412.746169051828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8" t="s">
        <v>316</v>
      </c>
      <c r="B35" s="16" t="s">
        <v>44</v>
      </c>
      <c r="C35" s="17">
        <f t="shared" ref="C35:Q35" ca="1" si="8">C34+C33</f>
        <v>729.3</v>
      </c>
      <c r="D35" s="17">
        <f t="shared" si="8"/>
        <v>1316.5</v>
      </c>
      <c r="E35" s="17">
        <f t="shared" si="8"/>
        <v>1693.9</v>
      </c>
      <c r="F35" s="17">
        <f t="shared" si="8"/>
        <v>5929</v>
      </c>
      <c r="G35" s="17">
        <f t="shared" si="8"/>
        <v>4843</v>
      </c>
      <c r="H35" s="17">
        <f t="shared" si="8"/>
        <v>6515</v>
      </c>
      <c r="I35" s="17">
        <f t="shared" si="8"/>
        <v>10510</v>
      </c>
      <c r="J35" s="17">
        <f t="shared" si="8"/>
        <v>9065</v>
      </c>
      <c r="K35" s="17">
        <f t="shared" si="8"/>
        <v>9456</v>
      </c>
      <c r="L35" s="17">
        <f t="shared" si="8"/>
        <v>8245</v>
      </c>
      <c r="M35" s="17">
        <f t="shared" si="8"/>
        <v>8265</v>
      </c>
      <c r="N35" s="29">
        <f t="shared" si="8"/>
        <v>11175.181832401769</v>
      </c>
      <c r="O35" s="29">
        <f t="shared" si="8"/>
        <v>12690.724404566598</v>
      </c>
      <c r="P35" s="29">
        <f t="shared" si="8"/>
        <v>14412.746169051828</v>
      </c>
      <c r="Q35" s="29">
        <f t="shared" si="8"/>
        <v>16169.033020464423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317</v>
      </c>
      <c r="B36" s="1" t="s">
        <v>44</v>
      </c>
      <c r="C36" s="14">
        <f>'Annual Balance Sheet'!C7</f>
        <v>729.3</v>
      </c>
      <c r="D36" s="14">
        <f>'Annual Balance Sheet'!D7</f>
        <v>1316.5</v>
      </c>
      <c r="E36" s="14">
        <f>'Annual Balance Sheet'!E7</f>
        <v>1693.9</v>
      </c>
      <c r="F36" s="14">
        <f>'Annual Balance Sheet'!F7</f>
        <v>5929</v>
      </c>
      <c r="G36" s="14">
        <f>'Annual Balance Sheet'!G7</f>
        <v>4843</v>
      </c>
      <c r="H36" s="14">
        <f>'Annual Balance Sheet'!H7</f>
        <v>6515</v>
      </c>
      <c r="I36" s="14">
        <f>'Annual Balance Sheet'!I7</f>
        <v>10510</v>
      </c>
      <c r="J36" s="14">
        <f>'Annual Balance Sheet'!J7</f>
        <v>9065</v>
      </c>
      <c r="K36" s="14">
        <f>'Annual Balance Sheet'!K7</f>
        <v>9456</v>
      </c>
      <c r="L36" s="14">
        <f>'Annual Balance Sheet'!L7</f>
        <v>8245</v>
      </c>
      <c r="M36" s="14">
        <f>'Annual Balance Sheet'!M7</f>
        <v>8265</v>
      </c>
      <c r="N36" s="28">
        <f>'Annual Balance Sheet'!N7</f>
        <v>11175.181832401769</v>
      </c>
      <c r="O36" s="28">
        <f>'Annual Balance Sheet'!O7</f>
        <v>12690.724404566598</v>
      </c>
      <c r="P36" s="28">
        <f>'Annual Balance Sheet'!P7</f>
        <v>14412.746169051828</v>
      </c>
      <c r="Q36" s="28">
        <f>'Annual Balance Sheet'!Q7</f>
        <v>16169.033020464423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318</v>
      </c>
      <c r="B37" s="1" t="s">
        <v>44</v>
      </c>
      <c r="C37" s="14">
        <f t="shared" ref="C37:Q37" ca="1" si="9">ROUND(C35-C36,1)</f>
        <v>0</v>
      </c>
      <c r="D37" s="14">
        <f t="shared" si="9"/>
        <v>0</v>
      </c>
      <c r="E37" s="14">
        <f t="shared" si="9"/>
        <v>0</v>
      </c>
      <c r="F37" s="14">
        <f t="shared" si="9"/>
        <v>0</v>
      </c>
      <c r="G37" s="14">
        <f t="shared" si="9"/>
        <v>0</v>
      </c>
      <c r="H37" s="14">
        <f t="shared" si="9"/>
        <v>0</v>
      </c>
      <c r="I37" s="14">
        <f t="shared" si="9"/>
        <v>0</v>
      </c>
      <c r="J37" s="14">
        <f t="shared" si="9"/>
        <v>0</v>
      </c>
      <c r="K37" s="14">
        <f t="shared" si="9"/>
        <v>0</v>
      </c>
      <c r="L37" s="14">
        <f t="shared" si="9"/>
        <v>0</v>
      </c>
      <c r="M37" s="14">
        <f t="shared" si="9"/>
        <v>0</v>
      </c>
      <c r="N37" s="28">
        <f t="shared" si="9"/>
        <v>0</v>
      </c>
      <c r="O37" s="28">
        <f t="shared" si="9"/>
        <v>0</v>
      </c>
      <c r="P37" s="28">
        <f t="shared" si="9"/>
        <v>0</v>
      </c>
      <c r="Q37" s="28">
        <f t="shared" si="9"/>
        <v>0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8" t="s">
        <v>319</v>
      </c>
      <c r="B38" s="16" t="s">
        <v>44</v>
      </c>
      <c r="C38" s="17">
        <f t="shared" ref="C38:Q38" si="10">C15+C17</f>
        <v>2881</v>
      </c>
      <c r="D38" s="17">
        <f t="shared" si="10"/>
        <v>5073</v>
      </c>
      <c r="E38" s="17">
        <f t="shared" si="10"/>
        <v>3007</v>
      </c>
      <c r="F38" s="17">
        <f t="shared" si="10"/>
        <v>5537</v>
      </c>
      <c r="G38" s="17">
        <f t="shared" si="10"/>
        <v>11493</v>
      </c>
      <c r="H38" s="17">
        <f t="shared" si="10"/>
        <v>17714</v>
      </c>
      <c r="I38" s="17">
        <f t="shared" si="10"/>
        <v>15255</v>
      </c>
      <c r="J38" s="17">
        <f t="shared" si="10"/>
        <v>16348</v>
      </c>
      <c r="K38" s="17">
        <f t="shared" si="10"/>
        <v>21400</v>
      </c>
      <c r="L38" s="17">
        <f t="shared" si="10"/>
        <v>21153</v>
      </c>
      <c r="M38" s="17">
        <f t="shared" si="10"/>
        <v>18553</v>
      </c>
      <c r="N38" s="29">
        <f t="shared" si="10"/>
        <v>24568.185995405904</v>
      </c>
      <c r="O38" s="29">
        <f t="shared" si="10"/>
        <v>23099.076588926182</v>
      </c>
      <c r="P38" s="29">
        <f t="shared" si="10"/>
        <v>25535.192903740823</v>
      </c>
      <c r="Q38" s="29">
        <f t="shared" si="10"/>
        <v>27433.98224933372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3"/>
      <c r="O39" s="33"/>
      <c r="P39" s="33"/>
      <c r="Q39" s="33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3"/>
      <c r="O40" s="33"/>
      <c r="P40" s="33"/>
      <c r="Q40" s="33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3"/>
      <c r="O41" s="33"/>
      <c r="P41" s="33"/>
      <c r="Q41" s="33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3"/>
      <c r="O42" s="33"/>
      <c r="P42" s="33"/>
      <c r="Q42" s="33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3"/>
      <c r="O43" s="33"/>
      <c r="P43" s="33"/>
      <c r="Q43" s="33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3"/>
      <c r="O44" s="33"/>
      <c r="P44" s="33"/>
      <c r="Q44" s="33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3"/>
      <c r="O45" s="33"/>
      <c r="P45" s="33"/>
      <c r="Q45" s="33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3"/>
      <c r="O46" s="33"/>
      <c r="P46" s="33"/>
      <c r="Q46" s="33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3"/>
      <c r="O47" s="33"/>
      <c r="P47" s="33"/>
      <c r="Q47" s="3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3"/>
      <c r="O48" s="33"/>
      <c r="P48" s="33"/>
      <c r="Q48" s="3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3"/>
      <c r="O49" s="33"/>
      <c r="P49" s="33"/>
      <c r="Q49" s="3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3"/>
      <c r="O50" s="33"/>
      <c r="P50" s="33"/>
      <c r="Q50" s="3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3"/>
      <c r="O51" s="33"/>
      <c r="P51" s="33"/>
      <c r="Q51" s="3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3"/>
      <c r="O52" s="33"/>
      <c r="P52" s="33"/>
      <c r="Q52" s="33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3"/>
      <c r="O53" s="33"/>
      <c r="P53" s="33"/>
      <c r="Q53" s="33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3"/>
      <c r="O54" s="33"/>
      <c r="P54" s="33"/>
      <c r="Q54" s="33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3"/>
      <c r="O55" s="33"/>
      <c r="P55" s="33"/>
      <c r="Q55" s="33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3"/>
      <c r="O56" s="33"/>
      <c r="P56" s="33"/>
      <c r="Q56" s="33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3"/>
      <c r="O57" s="33"/>
      <c r="P57" s="33"/>
      <c r="Q57" s="33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3"/>
      <c r="O58" s="33"/>
      <c r="P58" s="33"/>
      <c r="Q58" s="33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3"/>
      <c r="O59" s="33"/>
      <c r="P59" s="33"/>
      <c r="Q59" s="33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3"/>
      <c r="O60" s="33"/>
      <c r="P60" s="33"/>
      <c r="Q60" s="33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3"/>
      <c r="O61" s="33"/>
      <c r="P61" s="33"/>
      <c r="Q61" s="33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3"/>
      <c r="O62" s="33"/>
      <c r="P62" s="33"/>
      <c r="Q62" s="33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3"/>
      <c r="O63" s="33"/>
      <c r="P63" s="33"/>
      <c r="Q63" s="33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3"/>
      <c r="O64" s="33"/>
      <c r="P64" s="33"/>
      <c r="Q64" s="3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3"/>
      <c r="O65" s="33"/>
      <c r="P65" s="33"/>
      <c r="Q65" s="33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3"/>
      <c r="O66" s="33"/>
      <c r="P66" s="33"/>
      <c r="Q66" s="33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3"/>
      <c r="O67" s="33"/>
      <c r="P67" s="33"/>
      <c r="Q67" s="33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3"/>
      <c r="O68" s="33"/>
      <c r="P68" s="33"/>
      <c r="Q68" s="33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3"/>
      <c r="O69" s="33"/>
      <c r="P69" s="33"/>
      <c r="Q69" s="33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3"/>
      <c r="O70" s="33"/>
      <c r="P70" s="33"/>
      <c r="Q70" s="33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3"/>
      <c r="O71" s="33"/>
      <c r="P71" s="33"/>
      <c r="Q71" s="33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3"/>
      <c r="O72" s="33"/>
      <c r="P72" s="33"/>
      <c r="Q72" s="33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3"/>
      <c r="O73" s="33"/>
      <c r="P73" s="33"/>
      <c r="Q73" s="33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3"/>
      <c r="O74" s="33"/>
      <c r="P74" s="33"/>
      <c r="Q74" s="3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3"/>
      <c r="O75" s="33"/>
      <c r="P75" s="33"/>
      <c r="Q75" s="3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3"/>
      <c r="O76" s="33"/>
      <c r="P76" s="33"/>
      <c r="Q76" s="3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3"/>
      <c r="O77" s="33"/>
      <c r="P77" s="33"/>
      <c r="Q77" s="33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3"/>
      <c r="O78" s="33"/>
      <c r="P78" s="33"/>
      <c r="Q78" s="33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3"/>
      <c r="O79" s="33"/>
      <c r="P79" s="33"/>
      <c r="Q79" s="33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3"/>
      <c r="O80" s="33"/>
      <c r="P80" s="33"/>
      <c r="Q80" s="33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3"/>
      <c r="O81" s="33"/>
      <c r="P81" s="33"/>
      <c r="Q81" s="33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3"/>
      <c r="O82" s="33"/>
      <c r="P82" s="33"/>
      <c r="Q82" s="33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3"/>
      <c r="O83" s="33"/>
      <c r="P83" s="33"/>
      <c r="Q83" s="33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3"/>
      <c r="O84" s="33"/>
      <c r="P84" s="33"/>
      <c r="Q84" s="33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3"/>
      <c r="O85" s="33"/>
      <c r="P85" s="33"/>
      <c r="Q85" s="33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3"/>
      <c r="O86" s="33"/>
      <c r="P86" s="33"/>
      <c r="Q86" s="3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3"/>
      <c r="O87" s="33"/>
      <c r="P87" s="33"/>
      <c r="Q87" s="3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3"/>
      <c r="O88" s="33"/>
      <c r="P88" s="33"/>
      <c r="Q88" s="33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3"/>
      <c r="O89" s="33"/>
      <c r="P89" s="33"/>
      <c r="Q89" s="33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3"/>
      <c r="O90" s="33"/>
      <c r="P90" s="33"/>
      <c r="Q90" s="33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3"/>
      <c r="O91" s="33"/>
      <c r="P91" s="33"/>
      <c r="Q91" s="33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3"/>
      <c r="O92" s="33"/>
      <c r="P92" s="33"/>
      <c r="Q92" s="33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3"/>
      <c r="O93" s="33"/>
      <c r="P93" s="33"/>
      <c r="Q93" s="33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3"/>
      <c r="O94" s="33"/>
      <c r="P94" s="33"/>
      <c r="Q94" s="33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3"/>
      <c r="O95" s="33"/>
      <c r="P95" s="33"/>
      <c r="Q95" s="33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3"/>
      <c r="O96" s="33"/>
      <c r="P96" s="33"/>
      <c r="Q96" s="33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3"/>
      <c r="O97" s="33"/>
      <c r="P97" s="33"/>
      <c r="Q97" s="33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3"/>
      <c r="O98" s="33"/>
      <c r="P98" s="33"/>
      <c r="Q98" s="33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3"/>
      <c r="O99" s="33"/>
      <c r="P99" s="33"/>
      <c r="Q99" s="33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3"/>
      <c r="O100" s="33"/>
      <c r="P100" s="33"/>
      <c r="Q100" s="3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3"/>
      <c r="O101" s="33"/>
      <c r="P101" s="33"/>
      <c r="Q101" s="3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3"/>
      <c r="O102" s="33"/>
      <c r="P102" s="33"/>
      <c r="Q102" s="3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3"/>
      <c r="O103" s="33"/>
      <c r="P103" s="33"/>
      <c r="Q103" s="3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3"/>
      <c r="O104" s="33"/>
      <c r="P104" s="33"/>
      <c r="Q104" s="3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3"/>
      <c r="O105" s="33"/>
      <c r="P105" s="33"/>
      <c r="Q105" s="3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3"/>
      <c r="O106" s="33"/>
      <c r="P106" s="33"/>
      <c r="Q106" s="3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3"/>
      <c r="O107" s="33"/>
      <c r="P107" s="33"/>
      <c r="Q107" s="3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3"/>
      <c r="O108" s="33"/>
      <c r="P108" s="33"/>
      <c r="Q108" s="3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3"/>
      <c r="O109" s="33"/>
      <c r="P109" s="33"/>
      <c r="Q109" s="3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3"/>
      <c r="O110" s="33"/>
      <c r="P110" s="33"/>
      <c r="Q110" s="3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3"/>
      <c r="O111" s="33"/>
      <c r="P111" s="33"/>
      <c r="Q111" s="3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3"/>
      <c r="O112" s="33"/>
      <c r="P112" s="33"/>
      <c r="Q112" s="3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3"/>
      <c r="O113" s="33"/>
      <c r="P113" s="33"/>
      <c r="Q113" s="3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3"/>
      <c r="O114" s="33"/>
      <c r="P114" s="33"/>
      <c r="Q114" s="3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3"/>
      <c r="O115" s="33"/>
      <c r="P115" s="33"/>
      <c r="Q115" s="3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3"/>
      <c r="O116" s="33"/>
      <c r="P116" s="33"/>
      <c r="Q116" s="3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3"/>
      <c r="O117" s="33"/>
      <c r="P117" s="33"/>
      <c r="Q117" s="3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3"/>
      <c r="O118" s="33"/>
      <c r="P118" s="33"/>
      <c r="Q118" s="3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3"/>
      <c r="O119" s="33"/>
      <c r="P119" s="33"/>
      <c r="Q119" s="3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3"/>
      <c r="O120" s="33"/>
      <c r="P120" s="33"/>
      <c r="Q120" s="3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3"/>
      <c r="O121" s="33"/>
      <c r="P121" s="33"/>
      <c r="Q121" s="3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3"/>
      <c r="O122" s="33"/>
      <c r="P122" s="33"/>
      <c r="Q122" s="3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3"/>
      <c r="O123" s="33"/>
      <c r="P123" s="33"/>
      <c r="Q123" s="3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3"/>
      <c r="O124" s="33"/>
      <c r="P124" s="33"/>
      <c r="Q124" s="3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3"/>
      <c r="O125" s="33"/>
      <c r="P125" s="33"/>
      <c r="Q125" s="3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3"/>
      <c r="O126" s="33"/>
      <c r="P126" s="33"/>
      <c r="Q126" s="3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3"/>
      <c r="O127" s="33"/>
      <c r="P127" s="33"/>
      <c r="Q127" s="3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3"/>
      <c r="O128" s="33"/>
      <c r="P128" s="33"/>
      <c r="Q128" s="3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3"/>
      <c r="O129" s="33"/>
      <c r="P129" s="33"/>
      <c r="Q129" s="3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3"/>
      <c r="O130" s="33"/>
      <c r="P130" s="33"/>
      <c r="Q130" s="3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3"/>
      <c r="O131" s="33"/>
      <c r="P131" s="33"/>
      <c r="Q131" s="3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3"/>
      <c r="O132" s="33"/>
      <c r="P132" s="33"/>
      <c r="Q132" s="3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3"/>
      <c r="O133" s="33"/>
      <c r="P133" s="33"/>
      <c r="Q133" s="3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3"/>
      <c r="O134" s="33"/>
      <c r="P134" s="33"/>
      <c r="Q134" s="3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3"/>
      <c r="O135" s="33"/>
      <c r="P135" s="33"/>
      <c r="Q135" s="3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3"/>
      <c r="O136" s="33"/>
      <c r="P136" s="33"/>
      <c r="Q136" s="3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3"/>
      <c r="O137" s="33"/>
      <c r="P137" s="33"/>
      <c r="Q137" s="3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3"/>
      <c r="O138" s="33"/>
      <c r="P138" s="33"/>
      <c r="Q138" s="3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3"/>
      <c r="O139" s="33"/>
      <c r="P139" s="33"/>
      <c r="Q139" s="3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3"/>
      <c r="O140" s="33"/>
      <c r="P140" s="33"/>
      <c r="Q140" s="3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3"/>
      <c r="O141" s="33"/>
      <c r="P141" s="33"/>
      <c r="Q141" s="3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3"/>
      <c r="O142" s="33"/>
      <c r="P142" s="33"/>
      <c r="Q142" s="3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3"/>
      <c r="O143" s="33"/>
      <c r="P143" s="33"/>
      <c r="Q143" s="3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3"/>
      <c r="O144" s="33"/>
      <c r="P144" s="33"/>
      <c r="Q144" s="3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3"/>
      <c r="O145" s="33"/>
      <c r="P145" s="33"/>
      <c r="Q145" s="3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3"/>
      <c r="O146" s="33"/>
      <c r="P146" s="33"/>
      <c r="Q146" s="3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3"/>
      <c r="O147" s="33"/>
      <c r="P147" s="33"/>
      <c r="Q147" s="3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3"/>
      <c r="O148" s="33"/>
      <c r="P148" s="33"/>
      <c r="Q148" s="3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3"/>
      <c r="O149" s="33"/>
      <c r="P149" s="33"/>
      <c r="Q149" s="3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3"/>
      <c r="O150" s="33"/>
      <c r="P150" s="33"/>
      <c r="Q150" s="3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3"/>
      <c r="O151" s="33"/>
      <c r="P151" s="33"/>
      <c r="Q151" s="3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3"/>
      <c r="O152" s="33"/>
      <c r="P152" s="33"/>
      <c r="Q152" s="3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3"/>
      <c r="O153" s="33"/>
      <c r="P153" s="33"/>
      <c r="Q153" s="3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3"/>
      <c r="O154" s="33"/>
      <c r="P154" s="33"/>
      <c r="Q154" s="3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3"/>
      <c r="O155" s="33"/>
      <c r="P155" s="33"/>
      <c r="Q155" s="3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3"/>
      <c r="O156" s="33"/>
      <c r="P156" s="33"/>
      <c r="Q156" s="3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3"/>
      <c r="O157" s="33"/>
      <c r="P157" s="33"/>
      <c r="Q157" s="3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3"/>
      <c r="O158" s="33"/>
      <c r="P158" s="33"/>
      <c r="Q158" s="3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3"/>
      <c r="O159" s="33"/>
      <c r="P159" s="33"/>
      <c r="Q159" s="3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3"/>
      <c r="O160" s="33"/>
      <c r="P160" s="33"/>
      <c r="Q160" s="3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3"/>
      <c r="O161" s="33"/>
      <c r="P161" s="33"/>
      <c r="Q161" s="3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3"/>
      <c r="O162" s="33"/>
      <c r="P162" s="33"/>
      <c r="Q162" s="3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3"/>
      <c r="O163" s="33"/>
      <c r="P163" s="33"/>
      <c r="Q163" s="3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3"/>
      <c r="O164" s="33"/>
      <c r="P164" s="33"/>
      <c r="Q164" s="3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3"/>
      <c r="O165" s="33"/>
      <c r="P165" s="33"/>
      <c r="Q165" s="3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3"/>
      <c r="O166" s="33"/>
      <c r="P166" s="33"/>
      <c r="Q166" s="3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3"/>
      <c r="O167" s="33"/>
      <c r="P167" s="33"/>
      <c r="Q167" s="3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3"/>
      <c r="O168" s="33"/>
      <c r="P168" s="33"/>
      <c r="Q168" s="3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3"/>
      <c r="O169" s="33"/>
      <c r="P169" s="33"/>
      <c r="Q169" s="3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3"/>
      <c r="O170" s="33"/>
      <c r="P170" s="33"/>
      <c r="Q170" s="3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3"/>
      <c r="O171" s="33"/>
      <c r="P171" s="33"/>
      <c r="Q171" s="3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3"/>
      <c r="O172" s="33"/>
      <c r="P172" s="33"/>
      <c r="Q172" s="3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3"/>
      <c r="O173" s="33"/>
      <c r="P173" s="33"/>
      <c r="Q173" s="3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3"/>
      <c r="O174" s="33"/>
      <c r="P174" s="33"/>
      <c r="Q174" s="3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3"/>
      <c r="O175" s="33"/>
      <c r="P175" s="33"/>
      <c r="Q175" s="3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3"/>
      <c r="O176" s="33"/>
      <c r="P176" s="33"/>
      <c r="Q176" s="3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3"/>
      <c r="O177" s="33"/>
      <c r="P177" s="33"/>
      <c r="Q177" s="3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3"/>
      <c r="O178" s="33"/>
      <c r="P178" s="33"/>
      <c r="Q178" s="3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3"/>
      <c r="O179" s="33"/>
      <c r="P179" s="33"/>
      <c r="Q179" s="3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3"/>
      <c r="O180" s="33"/>
      <c r="P180" s="33"/>
      <c r="Q180" s="3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3"/>
      <c r="O181" s="33"/>
      <c r="P181" s="33"/>
      <c r="Q181" s="3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3"/>
      <c r="O182" s="33"/>
      <c r="P182" s="33"/>
      <c r="Q182" s="3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3"/>
      <c r="O183" s="33"/>
      <c r="P183" s="33"/>
      <c r="Q183" s="3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3"/>
      <c r="O184" s="33"/>
      <c r="P184" s="33"/>
      <c r="Q184" s="3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3"/>
      <c r="O185" s="33"/>
      <c r="P185" s="33"/>
      <c r="Q185" s="3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3"/>
      <c r="O186" s="33"/>
      <c r="P186" s="33"/>
      <c r="Q186" s="3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3"/>
      <c r="O187" s="33"/>
      <c r="P187" s="33"/>
      <c r="Q187" s="3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3"/>
      <c r="O188" s="33"/>
      <c r="P188" s="33"/>
      <c r="Q188" s="3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3"/>
      <c r="O189" s="33"/>
      <c r="P189" s="33"/>
      <c r="Q189" s="3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3"/>
      <c r="O190" s="33"/>
      <c r="P190" s="33"/>
      <c r="Q190" s="3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3"/>
      <c r="O191" s="33"/>
      <c r="P191" s="33"/>
      <c r="Q191" s="3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3"/>
      <c r="O192" s="33"/>
      <c r="P192" s="33"/>
      <c r="Q192" s="3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3"/>
      <c r="O193" s="33"/>
      <c r="P193" s="33"/>
      <c r="Q193" s="3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3"/>
      <c r="O194" s="33"/>
      <c r="P194" s="33"/>
      <c r="Q194" s="3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3"/>
      <c r="O195" s="33"/>
      <c r="P195" s="33"/>
      <c r="Q195" s="3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3"/>
      <c r="O196" s="33"/>
      <c r="P196" s="33"/>
      <c r="Q196" s="3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3"/>
      <c r="O197" s="33"/>
      <c r="P197" s="33"/>
      <c r="Q197" s="3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3"/>
      <c r="O198" s="33"/>
      <c r="P198" s="33"/>
      <c r="Q198" s="3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3"/>
      <c r="O199" s="33"/>
      <c r="P199" s="33"/>
      <c r="Q199" s="3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3"/>
      <c r="O200" s="33"/>
      <c r="P200" s="33"/>
      <c r="Q200" s="3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300"/>
  <sheetViews>
    <sheetView showGridLines="0" workbookViewId="0">
      <selection sqref="A1:Q1"/>
    </sheetView>
  </sheetViews>
  <sheetFormatPr defaultRowHeight="13.8"/>
  <cols>
    <col min="1" max="1" width="34" customWidth="1"/>
    <col min="2" max="17" width="11" customWidth="1"/>
  </cols>
  <sheetData>
    <row r="1" spans="1:46" ht="25.95" customHeight="1">
      <c r="A1" s="43" t="s">
        <v>320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4" t="s">
        <v>321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19" t="s">
        <v>39</v>
      </c>
      <c r="O5" s="19" t="s">
        <v>40</v>
      </c>
      <c r="P5" s="19" t="s">
        <v>41</v>
      </c>
      <c r="Q5" s="19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3"/>
      <c r="O6" s="33"/>
      <c r="P6" s="33"/>
      <c r="Q6" s="3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322</v>
      </c>
      <c r="B7" s="1" t="s">
        <v>46</v>
      </c>
      <c r="C7" s="1"/>
      <c r="D7" s="1"/>
      <c r="E7" s="1"/>
      <c r="F7" s="12">
        <v>0.746</v>
      </c>
      <c r="G7" s="12">
        <v>0.71799999999999997</v>
      </c>
      <c r="H7" s="12">
        <v>0.70799999999999996</v>
      </c>
      <c r="I7" s="12">
        <v>0.72099999999999997</v>
      </c>
      <c r="J7" s="12">
        <v>0.73</v>
      </c>
      <c r="K7" s="12">
        <v>0.73799999999999999</v>
      </c>
      <c r="L7" s="12">
        <v>0.73799999999999999</v>
      </c>
      <c r="M7" s="12">
        <v>0.73799999999999999</v>
      </c>
      <c r="N7" s="25">
        <f>IFERROR(('Revenue Drivers'!N20*73.8%/90.8%+'Revenue Drivers'!N23)/'Annual P&amp;L'!N7,"")</f>
        <v>0.74913283280807486</v>
      </c>
      <c r="O7" s="25">
        <f>IFERROR(('Revenue Drivers'!O20*73.8%/90.8%+'Revenue Drivers'!O23)/'Annual P&amp;L'!O7,"")</f>
        <v>0.75187109199145119</v>
      </c>
      <c r="P7" s="25">
        <f>IFERROR(('Revenue Drivers'!P20*73.8%/90.8%+'Revenue Drivers'!P23)/'Annual P&amp;L'!P7,"")</f>
        <v>0.75414376924434645</v>
      </c>
      <c r="Q7" s="25">
        <f>IFERROR(('Revenue Drivers'!Q20*73.8%/90.8%+'Revenue Drivers'!Q23)/'Annual P&amp;L'!Q7,"")</f>
        <v>0.7558674024853419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323</v>
      </c>
      <c r="B8" s="1" t="s">
        <v>44</v>
      </c>
      <c r="C8" s="14" t="str">
        <f>IF(C7="","",C7*'Annual P&amp;L'!C7)</f>
        <v/>
      </c>
      <c r="D8" s="14" t="str">
        <f>IF(D7="","",D7*'Annual P&amp;L'!D7)</f>
        <v/>
      </c>
      <c r="E8" s="14" t="str">
        <f>IF(E7="","",E7*'Annual P&amp;L'!E7)</f>
        <v/>
      </c>
      <c r="F8" s="14">
        <f>IF(F7="","",F7*'Annual P&amp;L'!F7)</f>
        <v>45078.542000000001</v>
      </c>
      <c r="G8" s="14">
        <f>IF(G7="","",G7*'Annual P&amp;L'!G7)</f>
        <v>50746.803999999996</v>
      </c>
      <c r="H8" s="14">
        <f>IF(H7="","",H7*'Annual P&amp;L'!H7)</f>
        <v>53368.331999999995</v>
      </c>
      <c r="I8" s="14">
        <f>IF(I7="","",I7*'Annual P&amp;L'!I7)</f>
        <v>61754.370999999999</v>
      </c>
      <c r="J8" s="14">
        <f>IF(J7="","",J7*'Annual P&amp;L'!J7)</f>
        <v>74062.880000000005</v>
      </c>
      <c r="K8" s="14">
        <f>IF(K7="","",K7*'Annual P&amp;L'!K7)</f>
        <v>81115.793999999994</v>
      </c>
      <c r="L8" s="14">
        <f>IF(L7="","",L7*'Annual P&amp;L'!L7)</f>
        <v>86386.59</v>
      </c>
      <c r="M8" s="14">
        <f>IF(M7="","",M7*'Annual P&amp;L'!M7)</f>
        <v>96046.271999999997</v>
      </c>
      <c r="N8" s="28">
        <f>IF(N7="","",N7*'Annual P&amp;L'!N7)</f>
        <v>103524.46724221755</v>
      </c>
      <c r="O8" s="28">
        <f>IF(O7="","",O7*'Annual P&amp;L'!O7)</f>
        <v>112060.11885389338</v>
      </c>
      <c r="P8" s="28">
        <f>IF(P7="","",P7*'Annual P&amp;L'!P7)</f>
        <v>122220.74160404677</v>
      </c>
      <c r="Q8" s="28">
        <f>IF(Q7="","",Q7*'Annual P&amp;L'!Q7)</f>
        <v>132487.69724774492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324</v>
      </c>
      <c r="B9" s="1" t="s">
        <v>46</v>
      </c>
      <c r="C9" s="1"/>
      <c r="D9" s="1"/>
      <c r="E9" s="1"/>
      <c r="F9" s="12">
        <v>0.17100000000000001</v>
      </c>
      <c r="G9" s="12">
        <v>0.16700000000000001</v>
      </c>
      <c r="H9" s="12">
        <v>0.156</v>
      </c>
      <c r="I9" s="12">
        <v>0.158</v>
      </c>
      <c r="J9" s="12">
        <v>0.16600000000000001</v>
      </c>
      <c r="K9" s="12">
        <v>0.16</v>
      </c>
      <c r="L9" s="12">
        <v>0.16200000000000001</v>
      </c>
      <c r="M9" s="12">
        <v>0.17</v>
      </c>
      <c r="N9" s="25">
        <f>IFERROR('Revenue Drivers'!N20/'Annual P&amp;L'!N7*17%/90.8%,"")</f>
        <v>0.16083036246329827</v>
      </c>
      <c r="O9" s="25">
        <f>IFERROR('Revenue Drivers'!O20/'Annual P&amp;L'!O7*17%/90.8%,"")</f>
        <v>0.16055159718424078</v>
      </c>
      <c r="P9" s="25">
        <f>IFERROR('Revenue Drivers'!P20/'Annual P&amp;L'!P7*17%/90.8%,"")</f>
        <v>0.16056021769029957</v>
      </c>
      <c r="Q9" s="25">
        <f>IFERROR('Revenue Drivers'!Q20/'Annual P&amp;L'!Q7*17%/90.8%,"")</f>
        <v>0.16059459049283695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325</v>
      </c>
      <c r="B10" s="1" t="s">
        <v>44</v>
      </c>
      <c r="C10" s="14" t="str">
        <f>IF(C9="","",C9*'Annual P&amp;L'!C7)</f>
        <v/>
      </c>
      <c r="D10" s="14" t="str">
        <f>IF(D9="","",D9*'Annual P&amp;L'!D7)</f>
        <v/>
      </c>
      <c r="E10" s="14" t="str">
        <f>IF(E9="","",E9*'Annual P&amp;L'!E7)</f>
        <v/>
      </c>
      <c r="F10" s="14">
        <f>IF(F9="","",F9*'Annual P&amp;L'!F7)</f>
        <v>10333.017000000002</v>
      </c>
      <c r="G10" s="14">
        <f>IF(G9="","",G9*'Annual P&amp;L'!G7)</f>
        <v>11803.226000000001</v>
      </c>
      <c r="H10" s="14">
        <f>IF(H9="","",H9*'Annual P&amp;L'!H7)</f>
        <v>11759.124</v>
      </c>
      <c r="I10" s="14">
        <f>IF(I9="","",I9*'Annual P&amp;L'!I7)</f>
        <v>13532.858</v>
      </c>
      <c r="J10" s="14">
        <f>IF(J9="","",J9*'Annual P&amp;L'!J7)</f>
        <v>16841.696</v>
      </c>
      <c r="K10" s="14">
        <f>IF(K9="","",K9*'Annual P&amp;L'!K7)</f>
        <v>17586.080000000002</v>
      </c>
      <c r="L10" s="14">
        <f>IF(L9="","",L9*'Annual P&amp;L'!L7)</f>
        <v>18962.91</v>
      </c>
      <c r="M10" s="14">
        <f>IF(M9="","",M9*'Annual P&amp;L'!M7)</f>
        <v>22124.480000000003</v>
      </c>
      <c r="N10" s="28">
        <f>IF(N9="","",N9*'Annual P&amp;L'!N7)</f>
        <v>22225.534459589406</v>
      </c>
      <c r="O10" s="28">
        <f>IF(O9="","",O9*'Annual P&amp;L'!O7)</f>
        <v>23928.877242766768</v>
      </c>
      <c r="P10" s="28">
        <f>IF(P9="","",P9*'Annual P&amp;L'!P7)</f>
        <v>26021.283578167964</v>
      </c>
      <c r="Q10" s="28">
        <f>IF(Q9="","",Q9*'Annual P&amp;L'!Q7)</f>
        <v>28148.862373057771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326</v>
      </c>
      <c r="B11" s="1" t="s">
        <v>46</v>
      </c>
      <c r="C11" s="1"/>
      <c r="D11" s="1"/>
      <c r="E11" s="1"/>
      <c r="F11" s="12">
        <v>8.3000000000000004E-2</v>
      </c>
      <c r="G11" s="12">
        <v>0.115</v>
      </c>
      <c r="H11" s="12">
        <v>0.13600000000000001</v>
      </c>
      <c r="I11" s="12">
        <v>0.121</v>
      </c>
      <c r="J11" s="12">
        <v>0.109</v>
      </c>
      <c r="K11" s="12">
        <v>0.106</v>
      </c>
      <c r="L11" s="12">
        <v>0.10299999999999999</v>
      </c>
      <c r="M11" s="12">
        <v>9.5000000000000001E-2</v>
      </c>
      <c r="N11" s="25">
        <f>IFERROR('Revenue Drivers'!N24/'Annual P&amp;L'!N7,"")</f>
        <v>9.304583180987068E-2</v>
      </c>
      <c r="O11" s="25">
        <f>IFERROR('Revenue Drivers'!O24/'Annual P&amp;L'!O7,"")</f>
        <v>9.0586337905551872E-2</v>
      </c>
      <c r="P11" s="25">
        <f>IFERROR('Revenue Drivers'!P24/'Annual P&amp;L'!P7,"")</f>
        <v>8.8305040146597791E-2</v>
      </c>
      <c r="Q11" s="25">
        <f>IFERROR('Revenue Drivers'!Q24/'Annual P&amp;L'!Q7,"")</f>
        <v>8.6547034103064843E-2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327</v>
      </c>
      <c r="B12" s="1" t="s">
        <v>44</v>
      </c>
      <c r="C12" s="14" t="str">
        <f>IF(C11="","",C11*'Annual P&amp;L'!C7)</f>
        <v/>
      </c>
      <c r="D12" s="14" t="str">
        <f>IF(D11="","",D11*'Annual P&amp;L'!D7)</f>
        <v/>
      </c>
      <c r="E12" s="14" t="str">
        <f>IF(E11="","",E11*'Annual P&amp;L'!E7)</f>
        <v/>
      </c>
      <c r="F12" s="14">
        <f>IF(F11="","",F11*'Annual P&amp;L'!F7)</f>
        <v>5015.4410000000007</v>
      </c>
      <c r="G12" s="14">
        <f>IF(G11="","",G11*'Annual P&amp;L'!G7)</f>
        <v>8127.97</v>
      </c>
      <c r="H12" s="14">
        <f>IF(H11="","",H11*'Annual P&amp;L'!H7)</f>
        <v>10251.544</v>
      </c>
      <c r="I12" s="14">
        <f>IF(I11="","",I11*'Annual P&amp;L'!I7)</f>
        <v>10363.770999999999</v>
      </c>
      <c r="J12" s="14">
        <f>IF(J11="","",J11*'Annual P&amp;L'!J7)</f>
        <v>11058.704</v>
      </c>
      <c r="K12" s="14">
        <f>IF(K11="","",K11*'Annual P&amp;L'!K7)</f>
        <v>11650.778</v>
      </c>
      <c r="L12" s="14">
        <f>IF(L11="","",L11*'Annual P&amp;L'!L7)</f>
        <v>12056.664999999999</v>
      </c>
      <c r="M12" s="14">
        <f>IF(M11="","",M11*'Annual P&amp;L'!M7)</f>
        <v>12363.68</v>
      </c>
      <c r="N12" s="28">
        <f>IF(N11="","",N11*'Annual P&amp;L'!N7)</f>
        <v>12858.227200000001</v>
      </c>
      <c r="O12" s="28">
        <f>IF(O11="","",O11*'Annual P&amp;L'!O7)</f>
        <v>13501.138560000001</v>
      </c>
      <c r="P12" s="28">
        <f>IF(P11="","",P11*'Annual P&amp;L'!P7)</f>
        <v>14311.206873600002</v>
      </c>
      <c r="Q12" s="28">
        <f>IF(Q11="","",Q11*'Annual P&amp;L'!Q7)</f>
        <v>15169.879286016003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328</v>
      </c>
      <c r="B13" s="1" t="s">
        <v>46</v>
      </c>
      <c r="C13" s="1"/>
      <c r="D13" s="1"/>
      <c r="E13" s="1"/>
      <c r="F13" s="12">
        <v>0</v>
      </c>
      <c r="G13" s="12">
        <v>0</v>
      </c>
      <c r="H13" s="12">
        <v>0</v>
      </c>
      <c r="I13" s="12">
        <v>0</v>
      </c>
      <c r="J13" s="12">
        <v>-5.0000000000000001E-3</v>
      </c>
      <c r="K13" s="12">
        <v>-4.0000000000000001E-3</v>
      </c>
      <c r="L13" s="12">
        <v>-3.0000000000000001E-3</v>
      </c>
      <c r="M13" s="12">
        <v>-3.0000000000000001E-3</v>
      </c>
      <c r="N13" s="25">
        <f>IFERROR('Revenue Drivers'!N25/'Annual P&amp;L'!N7,"")</f>
        <v>-3.0090270812437314E-3</v>
      </c>
      <c r="O13" s="25">
        <f>IFERROR('Revenue Drivers'!O25/'Annual P&amp;L'!O7,"")</f>
        <v>-3.0090270812437314E-3</v>
      </c>
      <c r="P13" s="25">
        <f>IFERROR('Revenue Drivers'!P25/'Annual P&amp;L'!P7,"")</f>
        <v>-3.0090270812437314E-3</v>
      </c>
      <c r="Q13" s="25">
        <f>IFERROR('Revenue Drivers'!Q25/'Annual P&amp;L'!Q7,"")</f>
        <v>-3.0090270812437314E-3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329</v>
      </c>
      <c r="B14" s="1" t="s">
        <v>44</v>
      </c>
      <c r="C14" s="14" t="str">
        <f>IF(C13="","",C13*'Annual P&amp;L'!C7)</f>
        <v/>
      </c>
      <c r="D14" s="14" t="str">
        <f>IF(D13="","",D13*'Annual P&amp;L'!D7)</f>
        <v/>
      </c>
      <c r="E14" s="14" t="str">
        <f>IF(E13="","",E13*'Annual P&amp;L'!E7)</f>
        <v/>
      </c>
      <c r="F14" s="14">
        <f>IF(F13="","",F13*'Annual P&amp;L'!F7)</f>
        <v>0</v>
      </c>
      <c r="G14" s="14">
        <f>IF(G13="","",G13*'Annual P&amp;L'!G7)</f>
        <v>0</v>
      </c>
      <c r="H14" s="14">
        <f>IF(H13="","",H13*'Annual P&amp;L'!H7)</f>
        <v>0</v>
      </c>
      <c r="I14" s="14">
        <f>IF(I13="","",I13*'Annual P&amp;L'!I7)</f>
        <v>0</v>
      </c>
      <c r="J14" s="14">
        <f>IF(J13="","",J13*'Annual P&amp;L'!J7)</f>
        <v>-507.28000000000003</v>
      </c>
      <c r="K14" s="14">
        <f>IF(K13="","",K13*'Annual P&amp;L'!K7)</f>
        <v>-439.65199999999999</v>
      </c>
      <c r="L14" s="14">
        <f>IF(L13="","",L13*'Annual P&amp;L'!L7)</f>
        <v>-351.16500000000002</v>
      </c>
      <c r="M14" s="14">
        <f>IF(M13="","",M13*'Annual P&amp;L'!M7)</f>
        <v>-390.43200000000002</v>
      </c>
      <c r="N14" s="28">
        <f>IF(N13="","",N13*'Annual P&amp;L'!N7)</f>
        <v>-415.8246867054209</v>
      </c>
      <c r="O14" s="28">
        <f>IF(O13="","",O13*'Annual P&amp;L'!O7)</f>
        <v>-448.47040396998045</v>
      </c>
      <c r="P14" s="28">
        <f>IF(P13="","",P13*'Annual P&amp;L'!P7)</f>
        <v>-487.65969616744422</v>
      </c>
      <c r="Q14" s="28">
        <f>IF(Q13="","",Q13*'Annual P&amp;L'!Q7)</f>
        <v>-527.4193167204561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8" t="s">
        <v>330</v>
      </c>
      <c r="B15" s="16" t="s">
        <v>44</v>
      </c>
      <c r="C15" s="17">
        <f t="shared" ref="C15:Q15" si="0">SUM(C8,C10,C12,C14)</f>
        <v>0</v>
      </c>
      <c r="D15" s="17">
        <f t="shared" si="0"/>
        <v>0</v>
      </c>
      <c r="E15" s="17">
        <f t="shared" si="0"/>
        <v>0</v>
      </c>
      <c r="F15" s="17">
        <f t="shared" si="0"/>
        <v>60427</v>
      </c>
      <c r="G15" s="17">
        <f t="shared" si="0"/>
        <v>70678</v>
      </c>
      <c r="H15" s="17">
        <f t="shared" si="0"/>
        <v>75378.999999999985</v>
      </c>
      <c r="I15" s="17">
        <f t="shared" si="0"/>
        <v>85650.999999999985</v>
      </c>
      <c r="J15" s="17">
        <f t="shared" si="0"/>
        <v>101456</v>
      </c>
      <c r="K15" s="17">
        <f t="shared" si="0"/>
        <v>109913</v>
      </c>
      <c r="L15" s="17">
        <f t="shared" si="0"/>
        <v>117055</v>
      </c>
      <c r="M15" s="17">
        <f t="shared" si="0"/>
        <v>130144</v>
      </c>
      <c r="N15" s="29">
        <f t="shared" si="0"/>
        <v>138192.40421510153</v>
      </c>
      <c r="O15" s="29">
        <f t="shared" si="0"/>
        <v>149041.66425269016</v>
      </c>
      <c r="P15" s="29">
        <f t="shared" si="0"/>
        <v>162065.57235964728</v>
      </c>
      <c r="Q15" s="29">
        <f t="shared" si="0"/>
        <v>175279.01959009824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8" t="s">
        <v>331</v>
      </c>
      <c r="B16" s="16" t="s">
        <v>44</v>
      </c>
      <c r="C16" s="17">
        <f>'Annual P&amp;L'!C7</f>
        <v>40913</v>
      </c>
      <c r="D16" s="17">
        <f>'Annual P&amp;L'!D7</f>
        <v>46723</v>
      </c>
      <c r="E16" s="17">
        <f>'Annual P&amp;L'!E7</f>
        <v>50570</v>
      </c>
      <c r="F16" s="17">
        <f>'Annual P&amp;L'!F7</f>
        <v>60427</v>
      </c>
      <c r="G16" s="17">
        <f>'Annual P&amp;L'!G7</f>
        <v>70678</v>
      </c>
      <c r="H16" s="17">
        <f>'Annual P&amp;L'!H7</f>
        <v>75379</v>
      </c>
      <c r="I16" s="17">
        <f>'Annual P&amp;L'!I7</f>
        <v>85651</v>
      </c>
      <c r="J16" s="17">
        <f>'Annual P&amp;L'!J7</f>
        <v>101456</v>
      </c>
      <c r="K16" s="17">
        <f>'Annual P&amp;L'!K7</f>
        <v>109913</v>
      </c>
      <c r="L16" s="17">
        <f>'Annual P&amp;L'!L7</f>
        <v>117055</v>
      </c>
      <c r="M16" s="17">
        <f>'Annual P&amp;L'!M7</f>
        <v>130144</v>
      </c>
      <c r="N16" s="29">
        <f>'Annual P&amp;L'!N7</f>
        <v>138192.40421510153</v>
      </c>
      <c r="O16" s="29">
        <f>'Annual P&amp;L'!O7</f>
        <v>149041.66425269016</v>
      </c>
      <c r="P16" s="29">
        <f>'Annual P&amp;L'!P7</f>
        <v>162065.57235964728</v>
      </c>
      <c r="Q16" s="29">
        <f>'Annual P&amp;L'!Q7</f>
        <v>175279.01959009824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332</v>
      </c>
      <c r="B17" s="1" t="s">
        <v>44</v>
      </c>
      <c r="C17" s="14">
        <f t="shared" ref="C17:Q17" si="1">IF(C15="","",C15-C16)</f>
        <v>-40913</v>
      </c>
      <c r="D17" s="14">
        <f t="shared" si="1"/>
        <v>-46723</v>
      </c>
      <c r="E17" s="14">
        <f t="shared" si="1"/>
        <v>-50570</v>
      </c>
      <c r="F17" s="14">
        <f t="shared" si="1"/>
        <v>0</v>
      </c>
      <c r="G17" s="14">
        <f t="shared" si="1"/>
        <v>0</v>
      </c>
      <c r="H17" s="14">
        <f t="shared" si="1"/>
        <v>-1.4551915228366852E-11</v>
      </c>
      <c r="I17" s="14">
        <f t="shared" si="1"/>
        <v>-1.4551915228366852E-11</v>
      </c>
      <c r="J17" s="14">
        <f t="shared" si="1"/>
        <v>0</v>
      </c>
      <c r="K17" s="14">
        <f t="shared" si="1"/>
        <v>0</v>
      </c>
      <c r="L17" s="14">
        <f t="shared" si="1"/>
        <v>0</v>
      </c>
      <c r="M17" s="14">
        <f t="shared" si="1"/>
        <v>0</v>
      </c>
      <c r="N17" s="28">
        <f t="shared" si="1"/>
        <v>0</v>
      </c>
      <c r="O17" s="28">
        <f t="shared" si="1"/>
        <v>0</v>
      </c>
      <c r="P17" s="28">
        <f t="shared" si="1"/>
        <v>0</v>
      </c>
      <c r="Q17" s="28">
        <f t="shared" si="1"/>
        <v>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33"/>
      <c r="O18" s="33"/>
      <c r="P18" s="33"/>
      <c r="Q18" s="33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3"/>
      <c r="O19" s="33"/>
      <c r="P19" s="33"/>
      <c r="Q19" s="33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33"/>
      <c r="O20" s="33"/>
      <c r="P20" s="33"/>
      <c r="Q20" s="33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33"/>
      <c r="O21" s="33"/>
      <c r="P21" s="33"/>
      <c r="Q21" s="33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33"/>
      <c r="O22" s="33"/>
      <c r="P22" s="33"/>
      <c r="Q22" s="33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3"/>
      <c r="O23" s="33"/>
      <c r="P23" s="33"/>
      <c r="Q23" s="33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3"/>
      <c r="O24" s="33"/>
      <c r="P24" s="33"/>
      <c r="Q24" s="33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3"/>
      <c r="O25" s="33"/>
      <c r="P25" s="33"/>
      <c r="Q25" s="33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33"/>
      <c r="O26" s="33"/>
      <c r="P26" s="33"/>
      <c r="Q26" s="33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3"/>
      <c r="O27" s="33"/>
      <c r="P27" s="33"/>
      <c r="Q27" s="33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3"/>
      <c r="O28" s="33"/>
      <c r="P28" s="33"/>
      <c r="Q28" s="33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3"/>
      <c r="O29" s="33"/>
      <c r="P29" s="33"/>
      <c r="Q29" s="33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3"/>
      <c r="O30" s="33"/>
      <c r="P30" s="33"/>
      <c r="Q30" s="33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33"/>
      <c r="O31" s="33"/>
      <c r="P31" s="33"/>
      <c r="Q31" s="33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3"/>
      <c r="O32" s="33"/>
      <c r="P32" s="33"/>
      <c r="Q32" s="33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33"/>
      <c r="O33" s="33"/>
      <c r="P33" s="33"/>
      <c r="Q33" s="33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3"/>
      <c r="O34" s="33"/>
      <c r="P34" s="33"/>
      <c r="Q34" s="33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3"/>
      <c r="O35" s="33"/>
      <c r="P35" s="33"/>
      <c r="Q35" s="33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3"/>
      <c r="O36" s="33"/>
      <c r="P36" s="33"/>
      <c r="Q36" s="3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3"/>
      <c r="O37" s="33"/>
      <c r="P37" s="33"/>
      <c r="Q37" s="3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3"/>
      <c r="O38" s="33"/>
      <c r="P38" s="33"/>
      <c r="Q38" s="33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3"/>
      <c r="O39" s="33"/>
      <c r="P39" s="33"/>
      <c r="Q39" s="33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3"/>
      <c r="O40" s="33"/>
      <c r="P40" s="33"/>
      <c r="Q40" s="33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3"/>
      <c r="O41" s="33"/>
      <c r="P41" s="33"/>
      <c r="Q41" s="33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3"/>
      <c r="O42" s="33"/>
      <c r="P42" s="33"/>
      <c r="Q42" s="33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3"/>
      <c r="O43" s="33"/>
      <c r="P43" s="33"/>
      <c r="Q43" s="33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3"/>
      <c r="O44" s="33"/>
      <c r="P44" s="33"/>
      <c r="Q44" s="33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3"/>
      <c r="O45" s="33"/>
      <c r="P45" s="33"/>
      <c r="Q45" s="33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3"/>
      <c r="O46" s="33"/>
      <c r="P46" s="33"/>
      <c r="Q46" s="33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3"/>
      <c r="O47" s="33"/>
      <c r="P47" s="33"/>
      <c r="Q47" s="3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3"/>
      <c r="O48" s="33"/>
      <c r="P48" s="33"/>
      <c r="Q48" s="3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3"/>
      <c r="O49" s="33"/>
      <c r="P49" s="33"/>
      <c r="Q49" s="3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3"/>
      <c r="O50" s="33"/>
      <c r="P50" s="33"/>
      <c r="Q50" s="3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3"/>
      <c r="O51" s="33"/>
      <c r="P51" s="33"/>
      <c r="Q51" s="3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3"/>
      <c r="O52" s="33"/>
      <c r="P52" s="33"/>
      <c r="Q52" s="33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3"/>
      <c r="O53" s="33"/>
      <c r="P53" s="33"/>
      <c r="Q53" s="33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3"/>
      <c r="O54" s="33"/>
      <c r="P54" s="33"/>
      <c r="Q54" s="33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3"/>
      <c r="O55" s="33"/>
      <c r="P55" s="33"/>
      <c r="Q55" s="33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3"/>
      <c r="O56" s="33"/>
      <c r="P56" s="33"/>
      <c r="Q56" s="33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3"/>
      <c r="O57" s="33"/>
      <c r="P57" s="33"/>
      <c r="Q57" s="33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3"/>
      <c r="O58" s="33"/>
      <c r="P58" s="33"/>
      <c r="Q58" s="33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3"/>
      <c r="O59" s="33"/>
      <c r="P59" s="33"/>
      <c r="Q59" s="33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3"/>
      <c r="O60" s="33"/>
      <c r="P60" s="33"/>
      <c r="Q60" s="33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3"/>
      <c r="O61" s="33"/>
      <c r="P61" s="33"/>
      <c r="Q61" s="33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3"/>
      <c r="O62" s="33"/>
      <c r="P62" s="33"/>
      <c r="Q62" s="33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3"/>
      <c r="O63" s="33"/>
      <c r="P63" s="33"/>
      <c r="Q63" s="33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3"/>
      <c r="O64" s="33"/>
      <c r="P64" s="33"/>
      <c r="Q64" s="3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3"/>
      <c r="O65" s="33"/>
      <c r="P65" s="33"/>
      <c r="Q65" s="33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3"/>
      <c r="O66" s="33"/>
      <c r="P66" s="33"/>
      <c r="Q66" s="33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3"/>
      <c r="O67" s="33"/>
      <c r="P67" s="33"/>
      <c r="Q67" s="33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3"/>
      <c r="O68" s="33"/>
      <c r="P68" s="33"/>
      <c r="Q68" s="33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3"/>
      <c r="O69" s="33"/>
      <c r="P69" s="33"/>
      <c r="Q69" s="33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3"/>
      <c r="O70" s="33"/>
      <c r="P70" s="33"/>
      <c r="Q70" s="33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3"/>
      <c r="O71" s="33"/>
      <c r="P71" s="33"/>
      <c r="Q71" s="33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3"/>
      <c r="O72" s="33"/>
      <c r="P72" s="33"/>
      <c r="Q72" s="33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3"/>
      <c r="O73" s="33"/>
      <c r="P73" s="33"/>
      <c r="Q73" s="33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3"/>
      <c r="O74" s="33"/>
      <c r="P74" s="33"/>
      <c r="Q74" s="3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3"/>
      <c r="O75" s="33"/>
      <c r="P75" s="33"/>
      <c r="Q75" s="3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3"/>
      <c r="O76" s="33"/>
      <c r="P76" s="33"/>
      <c r="Q76" s="3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3"/>
      <c r="O77" s="33"/>
      <c r="P77" s="33"/>
      <c r="Q77" s="33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3"/>
      <c r="O78" s="33"/>
      <c r="P78" s="33"/>
      <c r="Q78" s="33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3"/>
      <c r="O79" s="33"/>
      <c r="P79" s="33"/>
      <c r="Q79" s="33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3"/>
      <c r="O80" s="33"/>
      <c r="P80" s="33"/>
      <c r="Q80" s="33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3"/>
      <c r="O81" s="33"/>
      <c r="P81" s="33"/>
      <c r="Q81" s="33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3"/>
      <c r="O82" s="33"/>
      <c r="P82" s="33"/>
      <c r="Q82" s="33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3"/>
      <c r="O83" s="33"/>
      <c r="P83" s="33"/>
      <c r="Q83" s="33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3"/>
      <c r="O84" s="33"/>
      <c r="P84" s="33"/>
      <c r="Q84" s="33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3"/>
      <c r="O85" s="33"/>
      <c r="P85" s="33"/>
      <c r="Q85" s="33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3"/>
      <c r="O86" s="33"/>
      <c r="P86" s="33"/>
      <c r="Q86" s="3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3"/>
      <c r="O87" s="33"/>
      <c r="P87" s="33"/>
      <c r="Q87" s="3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3"/>
      <c r="O88" s="33"/>
      <c r="P88" s="33"/>
      <c r="Q88" s="33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3"/>
      <c r="O89" s="33"/>
      <c r="P89" s="33"/>
      <c r="Q89" s="33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3"/>
      <c r="O90" s="33"/>
      <c r="P90" s="33"/>
      <c r="Q90" s="33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3"/>
      <c r="O91" s="33"/>
      <c r="P91" s="33"/>
      <c r="Q91" s="33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3"/>
      <c r="O92" s="33"/>
      <c r="P92" s="33"/>
      <c r="Q92" s="33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3"/>
      <c r="O93" s="33"/>
      <c r="P93" s="33"/>
      <c r="Q93" s="33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3"/>
      <c r="O94" s="33"/>
      <c r="P94" s="33"/>
      <c r="Q94" s="33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3"/>
      <c r="O95" s="33"/>
      <c r="P95" s="33"/>
      <c r="Q95" s="33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3"/>
      <c r="O96" s="33"/>
      <c r="P96" s="33"/>
      <c r="Q96" s="33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3"/>
      <c r="O97" s="33"/>
      <c r="P97" s="33"/>
      <c r="Q97" s="33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3"/>
      <c r="O98" s="33"/>
      <c r="P98" s="33"/>
      <c r="Q98" s="33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3"/>
      <c r="O99" s="33"/>
      <c r="P99" s="33"/>
      <c r="Q99" s="33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3"/>
      <c r="O100" s="33"/>
      <c r="P100" s="33"/>
      <c r="Q100" s="3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3"/>
      <c r="O101" s="33"/>
      <c r="P101" s="33"/>
      <c r="Q101" s="3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3"/>
      <c r="O102" s="33"/>
      <c r="P102" s="33"/>
      <c r="Q102" s="3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3"/>
      <c r="O103" s="33"/>
      <c r="P103" s="33"/>
      <c r="Q103" s="3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3"/>
      <c r="O104" s="33"/>
      <c r="P104" s="33"/>
      <c r="Q104" s="3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3"/>
      <c r="O105" s="33"/>
      <c r="P105" s="33"/>
      <c r="Q105" s="3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3"/>
      <c r="O106" s="33"/>
      <c r="P106" s="33"/>
      <c r="Q106" s="3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3"/>
      <c r="O107" s="33"/>
      <c r="P107" s="33"/>
      <c r="Q107" s="3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3"/>
      <c r="O108" s="33"/>
      <c r="P108" s="33"/>
      <c r="Q108" s="3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3"/>
      <c r="O109" s="33"/>
      <c r="P109" s="33"/>
      <c r="Q109" s="3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3"/>
      <c r="O110" s="33"/>
      <c r="P110" s="33"/>
      <c r="Q110" s="3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3"/>
      <c r="O111" s="33"/>
      <c r="P111" s="33"/>
      <c r="Q111" s="3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3"/>
      <c r="O112" s="33"/>
      <c r="P112" s="33"/>
      <c r="Q112" s="3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3"/>
      <c r="O113" s="33"/>
      <c r="P113" s="33"/>
      <c r="Q113" s="3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3"/>
      <c r="O114" s="33"/>
      <c r="P114" s="33"/>
      <c r="Q114" s="3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3"/>
      <c r="O115" s="33"/>
      <c r="P115" s="33"/>
      <c r="Q115" s="3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3"/>
      <c r="O116" s="33"/>
      <c r="P116" s="33"/>
      <c r="Q116" s="3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3"/>
      <c r="O117" s="33"/>
      <c r="P117" s="33"/>
      <c r="Q117" s="3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3"/>
      <c r="O118" s="33"/>
      <c r="P118" s="33"/>
      <c r="Q118" s="3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3"/>
      <c r="O119" s="33"/>
      <c r="P119" s="33"/>
      <c r="Q119" s="3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3"/>
      <c r="O120" s="33"/>
      <c r="P120" s="33"/>
      <c r="Q120" s="3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3"/>
      <c r="O121" s="33"/>
      <c r="P121" s="33"/>
      <c r="Q121" s="3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3"/>
      <c r="O122" s="33"/>
      <c r="P122" s="33"/>
      <c r="Q122" s="3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3"/>
      <c r="O123" s="33"/>
      <c r="P123" s="33"/>
      <c r="Q123" s="3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3"/>
      <c r="O124" s="33"/>
      <c r="P124" s="33"/>
      <c r="Q124" s="3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3"/>
      <c r="O125" s="33"/>
      <c r="P125" s="33"/>
      <c r="Q125" s="3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3"/>
      <c r="O126" s="33"/>
      <c r="P126" s="33"/>
      <c r="Q126" s="3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3"/>
      <c r="O127" s="33"/>
      <c r="P127" s="33"/>
      <c r="Q127" s="3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3"/>
      <c r="O128" s="33"/>
      <c r="P128" s="33"/>
      <c r="Q128" s="3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3"/>
      <c r="O129" s="33"/>
      <c r="P129" s="33"/>
      <c r="Q129" s="3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3"/>
      <c r="O130" s="33"/>
      <c r="P130" s="33"/>
      <c r="Q130" s="3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3"/>
      <c r="O131" s="33"/>
      <c r="P131" s="33"/>
      <c r="Q131" s="3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3"/>
      <c r="O132" s="33"/>
      <c r="P132" s="33"/>
      <c r="Q132" s="3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3"/>
      <c r="O133" s="33"/>
      <c r="P133" s="33"/>
      <c r="Q133" s="3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3"/>
      <c r="O134" s="33"/>
      <c r="P134" s="33"/>
      <c r="Q134" s="3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3"/>
      <c r="O135" s="33"/>
      <c r="P135" s="33"/>
      <c r="Q135" s="3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3"/>
      <c r="O136" s="33"/>
      <c r="P136" s="33"/>
      <c r="Q136" s="3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3"/>
      <c r="O137" s="33"/>
      <c r="P137" s="33"/>
      <c r="Q137" s="3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3"/>
      <c r="O138" s="33"/>
      <c r="P138" s="33"/>
      <c r="Q138" s="3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3"/>
      <c r="O139" s="33"/>
      <c r="P139" s="33"/>
      <c r="Q139" s="3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3"/>
      <c r="O140" s="33"/>
      <c r="P140" s="33"/>
      <c r="Q140" s="3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3"/>
      <c r="O141" s="33"/>
      <c r="P141" s="33"/>
      <c r="Q141" s="3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3"/>
      <c r="O142" s="33"/>
      <c r="P142" s="33"/>
      <c r="Q142" s="3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3"/>
      <c r="O143" s="33"/>
      <c r="P143" s="33"/>
      <c r="Q143" s="3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3"/>
      <c r="O144" s="33"/>
      <c r="P144" s="33"/>
      <c r="Q144" s="3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3"/>
      <c r="O145" s="33"/>
      <c r="P145" s="33"/>
      <c r="Q145" s="3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3"/>
      <c r="O146" s="33"/>
      <c r="P146" s="33"/>
      <c r="Q146" s="3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3"/>
      <c r="O147" s="33"/>
      <c r="P147" s="33"/>
      <c r="Q147" s="3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3"/>
      <c r="O148" s="33"/>
      <c r="P148" s="33"/>
      <c r="Q148" s="3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3"/>
      <c r="O149" s="33"/>
      <c r="P149" s="33"/>
      <c r="Q149" s="3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3"/>
      <c r="O150" s="33"/>
      <c r="P150" s="33"/>
      <c r="Q150" s="3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3"/>
      <c r="O151" s="33"/>
      <c r="P151" s="33"/>
      <c r="Q151" s="3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3"/>
      <c r="O152" s="33"/>
      <c r="P152" s="33"/>
      <c r="Q152" s="3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3"/>
      <c r="O153" s="33"/>
      <c r="P153" s="33"/>
      <c r="Q153" s="3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3"/>
      <c r="O154" s="33"/>
      <c r="P154" s="33"/>
      <c r="Q154" s="3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3"/>
      <c r="O155" s="33"/>
      <c r="P155" s="33"/>
      <c r="Q155" s="3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3"/>
      <c r="O156" s="33"/>
      <c r="P156" s="33"/>
      <c r="Q156" s="3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3"/>
      <c r="O157" s="33"/>
      <c r="P157" s="33"/>
      <c r="Q157" s="3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3"/>
      <c r="O158" s="33"/>
      <c r="P158" s="33"/>
      <c r="Q158" s="3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3"/>
      <c r="O159" s="33"/>
      <c r="P159" s="33"/>
      <c r="Q159" s="3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3"/>
      <c r="O160" s="33"/>
      <c r="P160" s="33"/>
      <c r="Q160" s="3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3"/>
      <c r="O161" s="33"/>
      <c r="P161" s="33"/>
      <c r="Q161" s="3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3"/>
      <c r="O162" s="33"/>
      <c r="P162" s="33"/>
      <c r="Q162" s="3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3"/>
      <c r="O163" s="33"/>
      <c r="P163" s="33"/>
      <c r="Q163" s="3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3"/>
      <c r="O164" s="33"/>
      <c r="P164" s="33"/>
      <c r="Q164" s="3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3"/>
      <c r="O165" s="33"/>
      <c r="P165" s="33"/>
      <c r="Q165" s="3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3"/>
      <c r="O166" s="33"/>
      <c r="P166" s="33"/>
      <c r="Q166" s="3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3"/>
      <c r="O167" s="33"/>
      <c r="P167" s="33"/>
      <c r="Q167" s="3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3"/>
      <c r="O168" s="33"/>
      <c r="P168" s="33"/>
      <c r="Q168" s="3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3"/>
      <c r="O169" s="33"/>
      <c r="P169" s="33"/>
      <c r="Q169" s="3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3"/>
      <c r="O170" s="33"/>
      <c r="P170" s="33"/>
      <c r="Q170" s="3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3"/>
      <c r="O171" s="33"/>
      <c r="P171" s="33"/>
      <c r="Q171" s="3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3"/>
      <c r="O172" s="33"/>
      <c r="P172" s="33"/>
      <c r="Q172" s="3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3"/>
      <c r="O173" s="33"/>
      <c r="P173" s="33"/>
      <c r="Q173" s="3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3"/>
      <c r="O174" s="33"/>
      <c r="P174" s="33"/>
      <c r="Q174" s="3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3"/>
      <c r="O175" s="33"/>
      <c r="P175" s="33"/>
      <c r="Q175" s="3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3"/>
      <c r="O176" s="33"/>
      <c r="P176" s="33"/>
      <c r="Q176" s="3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3"/>
      <c r="O177" s="33"/>
      <c r="P177" s="33"/>
      <c r="Q177" s="3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3"/>
      <c r="O178" s="33"/>
      <c r="P178" s="33"/>
      <c r="Q178" s="3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3"/>
      <c r="O179" s="33"/>
      <c r="P179" s="33"/>
      <c r="Q179" s="3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3"/>
      <c r="O180" s="33"/>
      <c r="P180" s="33"/>
      <c r="Q180" s="3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3"/>
      <c r="O181" s="33"/>
      <c r="P181" s="33"/>
      <c r="Q181" s="3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3"/>
      <c r="O182" s="33"/>
      <c r="P182" s="33"/>
      <c r="Q182" s="3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3"/>
      <c r="O183" s="33"/>
      <c r="P183" s="33"/>
      <c r="Q183" s="3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3"/>
      <c r="O184" s="33"/>
      <c r="P184" s="33"/>
      <c r="Q184" s="3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3"/>
      <c r="O185" s="33"/>
      <c r="P185" s="33"/>
      <c r="Q185" s="3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3"/>
      <c r="O186" s="33"/>
      <c r="P186" s="33"/>
      <c r="Q186" s="3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3"/>
      <c r="O187" s="33"/>
      <c r="P187" s="33"/>
      <c r="Q187" s="3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3"/>
      <c r="O188" s="33"/>
      <c r="P188" s="33"/>
      <c r="Q188" s="3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3"/>
      <c r="O189" s="33"/>
      <c r="P189" s="33"/>
      <c r="Q189" s="3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3"/>
      <c r="O190" s="33"/>
      <c r="P190" s="33"/>
      <c r="Q190" s="3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3"/>
      <c r="O191" s="33"/>
      <c r="P191" s="33"/>
      <c r="Q191" s="3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3"/>
      <c r="O192" s="33"/>
      <c r="P192" s="33"/>
      <c r="Q192" s="3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3"/>
      <c r="O193" s="33"/>
      <c r="P193" s="33"/>
      <c r="Q193" s="3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3"/>
      <c r="O194" s="33"/>
      <c r="P194" s="33"/>
      <c r="Q194" s="3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3"/>
      <c r="O195" s="33"/>
      <c r="P195" s="33"/>
      <c r="Q195" s="3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3"/>
      <c r="O196" s="33"/>
      <c r="P196" s="33"/>
      <c r="Q196" s="3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3"/>
      <c r="O197" s="33"/>
      <c r="P197" s="33"/>
      <c r="Q197" s="3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3"/>
      <c r="O198" s="33"/>
      <c r="P198" s="33"/>
      <c r="Q198" s="3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3"/>
      <c r="O199" s="33"/>
      <c r="P199" s="33"/>
      <c r="Q199" s="3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3"/>
      <c r="O200" s="33"/>
      <c r="P200" s="33"/>
      <c r="Q200" s="3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T300"/>
  <sheetViews>
    <sheetView showGridLines="0" topLeftCell="A21" workbookViewId="0">
      <selection sqref="A1:Q1"/>
    </sheetView>
  </sheetViews>
  <sheetFormatPr defaultRowHeight="13.8"/>
  <cols>
    <col min="1" max="1" width="34" customWidth="1"/>
    <col min="2" max="17" width="11" customWidth="1"/>
  </cols>
  <sheetData>
    <row r="1" spans="1:46" ht="25.95" customHeight="1">
      <c r="A1" s="43" t="s">
        <v>333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4" t="s">
        <v>334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19" t="s">
        <v>39</v>
      </c>
      <c r="O5" s="19" t="s">
        <v>40</v>
      </c>
      <c r="P5" s="19" t="s">
        <v>41</v>
      </c>
      <c r="Q5" s="19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3"/>
      <c r="O6" s="33"/>
      <c r="P6" s="33"/>
      <c r="Q6" s="3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8" customHeight="1">
      <c r="A7" s="46" t="s">
        <v>335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7"/>
      <c r="Q7" s="47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336</v>
      </c>
      <c r="B8" s="1" t="s">
        <v>46</v>
      </c>
      <c r="C8" s="1"/>
      <c r="D8" s="12">
        <v>0.61599999999999999</v>
      </c>
      <c r="E8" s="12">
        <v>0.625</v>
      </c>
      <c r="F8" s="12">
        <v>0.64400000000000002</v>
      </c>
      <c r="G8" s="1"/>
      <c r="H8" s="12">
        <v>0.628</v>
      </c>
      <c r="I8" s="12">
        <v>0.629</v>
      </c>
      <c r="J8" s="12">
        <v>0.64100000000000001</v>
      </c>
      <c r="K8" s="12">
        <v>0.64700000000000002</v>
      </c>
      <c r="L8" s="12">
        <v>0.65100000000000002</v>
      </c>
      <c r="M8" s="1"/>
      <c r="N8" s="25">
        <f t="shared" ref="N8:Q10" si="0">M8</f>
        <v>0</v>
      </c>
      <c r="O8" s="25">
        <f t="shared" si="0"/>
        <v>0</v>
      </c>
      <c r="P8" s="25">
        <f t="shared" si="0"/>
        <v>0</v>
      </c>
      <c r="Q8" s="25">
        <f t="shared" si="0"/>
        <v>0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337</v>
      </c>
      <c r="B9" s="1" t="s">
        <v>46</v>
      </c>
      <c r="C9" s="1"/>
      <c r="D9" s="12">
        <v>0.29499999999999998</v>
      </c>
      <c r="E9" s="12">
        <v>0.28799999999999998</v>
      </c>
      <c r="F9" s="12">
        <v>0.28199999999999997</v>
      </c>
      <c r="G9" s="1"/>
      <c r="H9" s="12">
        <v>0.28799999999999998</v>
      </c>
      <c r="I9" s="12">
        <v>0.28199999999999997</v>
      </c>
      <c r="J9" s="12">
        <v>0.28399999999999997</v>
      </c>
      <c r="K9" s="12">
        <v>0.28799999999999998</v>
      </c>
      <c r="L9" s="12">
        <v>0.28399999999999997</v>
      </c>
      <c r="M9" s="1"/>
      <c r="N9" s="25">
        <f t="shared" si="0"/>
        <v>0</v>
      </c>
      <c r="O9" s="25">
        <f t="shared" si="0"/>
        <v>0</v>
      </c>
      <c r="P9" s="25">
        <f t="shared" si="0"/>
        <v>0</v>
      </c>
      <c r="Q9" s="25">
        <f t="shared" si="0"/>
        <v>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338</v>
      </c>
      <c r="B10" s="1" t="s">
        <v>46</v>
      </c>
      <c r="C10" s="1"/>
      <c r="D10" s="12">
        <v>8.8999999999999996E-2</v>
      </c>
      <c r="E10" s="12">
        <v>8.5999999999999993E-2</v>
      </c>
      <c r="F10" s="12">
        <v>7.3999999999999996E-2</v>
      </c>
      <c r="G10" s="1"/>
      <c r="H10" s="12">
        <v>8.4000000000000005E-2</v>
      </c>
      <c r="I10" s="12">
        <v>8.8999999999999996E-2</v>
      </c>
      <c r="J10" s="12">
        <v>7.5999999999999998E-2</v>
      </c>
      <c r="K10" s="12">
        <v>6.5000000000000002E-2</v>
      </c>
      <c r="L10" s="12">
        <v>6.5000000000000002E-2</v>
      </c>
      <c r="M10" s="1"/>
      <c r="N10" s="25">
        <f t="shared" si="0"/>
        <v>0</v>
      </c>
      <c r="O10" s="25">
        <f t="shared" si="0"/>
        <v>0</v>
      </c>
      <c r="P10" s="25">
        <f t="shared" si="0"/>
        <v>0</v>
      </c>
      <c r="Q10" s="25">
        <f t="shared" si="0"/>
        <v>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339</v>
      </c>
      <c r="B11" s="1" t="s">
        <v>46</v>
      </c>
      <c r="C11" s="15" t="str">
        <f t="shared" ref="C11:Q11" si="1">IF(COUNT(C8:C10)=0,"",SUM(C8:C10))</f>
        <v/>
      </c>
      <c r="D11" s="15">
        <f t="shared" si="1"/>
        <v>1</v>
      </c>
      <c r="E11" s="15">
        <f t="shared" si="1"/>
        <v>0.999</v>
      </c>
      <c r="F11" s="15">
        <f t="shared" si="1"/>
        <v>0.99999999999999989</v>
      </c>
      <c r="G11" s="15" t="str">
        <f t="shared" si="1"/>
        <v/>
      </c>
      <c r="H11" s="15">
        <f t="shared" si="1"/>
        <v>0.99999999999999989</v>
      </c>
      <c r="I11" s="15">
        <f t="shared" si="1"/>
        <v>1</v>
      </c>
      <c r="J11" s="15">
        <f t="shared" si="1"/>
        <v>1.0010000000000001</v>
      </c>
      <c r="K11" s="15">
        <f t="shared" si="1"/>
        <v>1</v>
      </c>
      <c r="L11" s="15">
        <f t="shared" si="1"/>
        <v>1</v>
      </c>
      <c r="M11" s="15" t="str">
        <f t="shared" si="1"/>
        <v/>
      </c>
      <c r="N11" s="25">
        <f t="shared" si="1"/>
        <v>0</v>
      </c>
      <c r="O11" s="25">
        <f t="shared" si="1"/>
        <v>0</v>
      </c>
      <c r="P11" s="25">
        <f t="shared" si="1"/>
        <v>0</v>
      </c>
      <c r="Q11" s="25">
        <f t="shared" si="1"/>
        <v>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340</v>
      </c>
      <c r="B12" s="1" t="s">
        <v>44</v>
      </c>
      <c r="C12" s="1"/>
      <c r="D12" s="14">
        <f>'Annual P&amp;L'!D7</f>
        <v>46723</v>
      </c>
      <c r="E12" s="14">
        <f>'Annual P&amp;L'!E7</f>
        <v>50570</v>
      </c>
      <c r="F12" s="14">
        <f>'Annual P&amp;L'!F7</f>
        <v>60427</v>
      </c>
      <c r="G12" s="14">
        <f>'Annual P&amp;L'!G7</f>
        <v>70678</v>
      </c>
      <c r="H12" s="14">
        <f>'Annual P&amp;L'!H7</f>
        <v>75379</v>
      </c>
      <c r="I12" s="14">
        <f>'Annual P&amp;L'!I7</f>
        <v>85651</v>
      </c>
      <c r="J12" s="14">
        <f>'Segment Revenue'!J8+'Segment Revenue'!J10</f>
        <v>90904.576000000001</v>
      </c>
      <c r="K12" s="14">
        <f>'Segment Revenue'!K8+'Segment Revenue'!K10</f>
        <v>98701.873999999996</v>
      </c>
      <c r="L12" s="14">
        <f>'Segment Revenue'!L8+'Segment Revenue'!L10</f>
        <v>105349.5</v>
      </c>
      <c r="M12" s="1"/>
      <c r="N12" s="28">
        <f>'Segment Revenue'!N8+'Segment Revenue'!N10</f>
        <v>125750.00170180696</v>
      </c>
      <c r="O12" s="28">
        <f>'Segment Revenue'!O8+'Segment Revenue'!O10</f>
        <v>135988.99609666015</v>
      </c>
      <c r="P12" s="28">
        <f>'Segment Revenue'!P8+'Segment Revenue'!P10</f>
        <v>148242.02518221474</v>
      </c>
      <c r="Q12" s="28">
        <f>'Segment Revenue'!Q8+'Segment Revenue'!Q10</f>
        <v>160636.5596208027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341</v>
      </c>
      <c r="B13" s="1" t="s">
        <v>44</v>
      </c>
      <c r="C13" s="14" t="str">
        <f t="shared" ref="C13:Q13" si="2">IF(C8="","",C8*C12)</f>
        <v/>
      </c>
      <c r="D13" s="14">
        <f t="shared" si="2"/>
        <v>28781.367999999999</v>
      </c>
      <c r="E13" s="14">
        <f t="shared" si="2"/>
        <v>31606.25</v>
      </c>
      <c r="F13" s="14">
        <f t="shared" si="2"/>
        <v>38914.987999999998</v>
      </c>
      <c r="G13" s="14" t="str">
        <f t="shared" si="2"/>
        <v/>
      </c>
      <c r="H13" s="14">
        <f t="shared" si="2"/>
        <v>47338.012000000002</v>
      </c>
      <c r="I13" s="14">
        <f t="shared" si="2"/>
        <v>53874.478999999999</v>
      </c>
      <c r="J13" s="14">
        <f t="shared" si="2"/>
        <v>58269.833215999999</v>
      </c>
      <c r="K13" s="14">
        <f t="shared" si="2"/>
        <v>63860.112478000003</v>
      </c>
      <c r="L13" s="14">
        <f t="shared" si="2"/>
        <v>68582.5245</v>
      </c>
      <c r="M13" s="14" t="str">
        <f t="shared" si="2"/>
        <v/>
      </c>
      <c r="N13" s="28">
        <f t="shared" si="2"/>
        <v>0</v>
      </c>
      <c r="O13" s="28">
        <f t="shared" si="2"/>
        <v>0</v>
      </c>
      <c r="P13" s="28">
        <f t="shared" si="2"/>
        <v>0</v>
      </c>
      <c r="Q13" s="28">
        <f t="shared" si="2"/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342</v>
      </c>
      <c r="B14" s="1" t="s">
        <v>44</v>
      </c>
      <c r="C14" s="14" t="str">
        <f t="shared" ref="C14:Q14" si="3">IF(C9="","",C9*C12)</f>
        <v/>
      </c>
      <c r="D14" s="14">
        <f t="shared" si="3"/>
        <v>13783.285</v>
      </c>
      <c r="E14" s="14">
        <f t="shared" si="3"/>
        <v>14564.159999999998</v>
      </c>
      <c r="F14" s="14">
        <f t="shared" si="3"/>
        <v>17040.413999999997</v>
      </c>
      <c r="G14" s="14" t="str">
        <f t="shared" si="3"/>
        <v/>
      </c>
      <c r="H14" s="14">
        <f t="shared" si="3"/>
        <v>21709.151999999998</v>
      </c>
      <c r="I14" s="14">
        <f t="shared" si="3"/>
        <v>24153.581999999999</v>
      </c>
      <c r="J14" s="14">
        <f t="shared" si="3"/>
        <v>25816.899583999999</v>
      </c>
      <c r="K14" s="14">
        <f t="shared" si="3"/>
        <v>28426.139711999997</v>
      </c>
      <c r="L14" s="14">
        <f t="shared" si="3"/>
        <v>29919.257999999998</v>
      </c>
      <c r="M14" s="14" t="str">
        <f t="shared" si="3"/>
        <v/>
      </c>
      <c r="N14" s="28">
        <f t="shared" si="3"/>
        <v>0</v>
      </c>
      <c r="O14" s="28">
        <f t="shared" si="3"/>
        <v>0</v>
      </c>
      <c r="P14" s="28">
        <f t="shared" si="3"/>
        <v>0</v>
      </c>
      <c r="Q14" s="28">
        <f t="shared" si="3"/>
        <v>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343</v>
      </c>
      <c r="B15" s="1" t="s">
        <v>44</v>
      </c>
      <c r="C15" s="14" t="str">
        <f t="shared" ref="C15:Q15" si="4">IF(C10="","",C10*C12)</f>
        <v/>
      </c>
      <c r="D15" s="14">
        <f t="shared" si="4"/>
        <v>4158.3469999999998</v>
      </c>
      <c r="E15" s="14">
        <f t="shared" si="4"/>
        <v>4349.0199999999995</v>
      </c>
      <c r="F15" s="14">
        <f t="shared" si="4"/>
        <v>4471.598</v>
      </c>
      <c r="G15" s="14" t="str">
        <f t="shared" si="4"/>
        <v/>
      </c>
      <c r="H15" s="14">
        <f t="shared" si="4"/>
        <v>6331.8360000000002</v>
      </c>
      <c r="I15" s="14">
        <f t="shared" si="4"/>
        <v>7622.9389999999994</v>
      </c>
      <c r="J15" s="14">
        <f t="shared" si="4"/>
        <v>6908.7477760000002</v>
      </c>
      <c r="K15" s="14">
        <f t="shared" si="4"/>
        <v>6415.6218099999996</v>
      </c>
      <c r="L15" s="14">
        <f t="shared" si="4"/>
        <v>6847.7175000000007</v>
      </c>
      <c r="M15" s="14" t="str">
        <f t="shared" si="4"/>
        <v/>
      </c>
      <c r="N15" s="28">
        <f t="shared" si="4"/>
        <v>0</v>
      </c>
      <c r="O15" s="28">
        <f t="shared" si="4"/>
        <v>0</v>
      </c>
      <c r="P15" s="28">
        <f t="shared" si="4"/>
        <v>0</v>
      </c>
      <c r="Q15" s="28">
        <f t="shared" si="4"/>
        <v>0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33"/>
      <c r="O16" s="33"/>
      <c r="P16" s="33"/>
      <c r="Q16" s="33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8" customHeight="1">
      <c r="A17" s="46" t="s">
        <v>344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7"/>
      <c r="O17" s="47"/>
      <c r="P17" s="47"/>
      <c r="Q17" s="47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345</v>
      </c>
      <c r="B18" s="1" t="s">
        <v>46</v>
      </c>
      <c r="C18" s="1"/>
      <c r="D18" s="1"/>
      <c r="E18" s="1"/>
      <c r="F18" s="12">
        <v>0.59599999999999997</v>
      </c>
      <c r="G18" s="12">
        <v>0.57799999999999996</v>
      </c>
      <c r="H18" s="1"/>
      <c r="I18" s="1"/>
      <c r="J18" s="1"/>
      <c r="K18" s="12">
        <v>0.58399999999999996</v>
      </c>
      <c r="L18" s="12">
        <v>0.58799999999999997</v>
      </c>
      <c r="M18" s="12">
        <v>0.56299999999999994</v>
      </c>
      <c r="N18" s="25">
        <f t="shared" ref="N18:Q21" si="5">M18</f>
        <v>0.56299999999999994</v>
      </c>
      <c r="O18" s="25">
        <f t="shared" si="5"/>
        <v>0.56299999999999994</v>
      </c>
      <c r="P18" s="25">
        <f t="shared" si="5"/>
        <v>0.56299999999999994</v>
      </c>
      <c r="Q18" s="25">
        <f t="shared" si="5"/>
        <v>0.56299999999999994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337</v>
      </c>
      <c r="B19" s="1" t="s">
        <v>46</v>
      </c>
      <c r="C19" s="1"/>
      <c r="D19" s="1"/>
      <c r="E19" s="1"/>
      <c r="F19" s="12">
        <v>0.26700000000000002</v>
      </c>
      <c r="G19" s="12">
        <v>0.27400000000000002</v>
      </c>
      <c r="H19" s="1"/>
      <c r="I19" s="1"/>
      <c r="J19" s="1"/>
      <c r="K19" s="12">
        <v>0.26500000000000001</v>
      </c>
      <c r="L19" s="12">
        <v>0.26600000000000001</v>
      </c>
      <c r="M19" s="12">
        <v>0.27800000000000002</v>
      </c>
      <c r="N19" s="25">
        <f t="shared" si="5"/>
        <v>0.27800000000000002</v>
      </c>
      <c r="O19" s="25">
        <f t="shared" si="5"/>
        <v>0.27800000000000002</v>
      </c>
      <c r="P19" s="25">
        <f t="shared" si="5"/>
        <v>0.27800000000000002</v>
      </c>
      <c r="Q19" s="25">
        <f t="shared" si="5"/>
        <v>0.27800000000000002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346</v>
      </c>
      <c r="B20" s="1" t="s">
        <v>46</v>
      </c>
      <c r="C20" s="1"/>
      <c r="D20" s="1"/>
      <c r="E20" s="1"/>
      <c r="F20" s="12">
        <v>3.5000000000000003E-2</v>
      </c>
      <c r="G20" s="12">
        <v>3.3000000000000002E-2</v>
      </c>
      <c r="H20" s="1"/>
      <c r="I20" s="1"/>
      <c r="J20" s="1"/>
      <c r="K20" s="12">
        <v>3.6999999999999998E-2</v>
      </c>
      <c r="L20" s="12">
        <v>3.3000000000000002E-2</v>
      </c>
      <c r="M20" s="12">
        <v>3.2000000000000001E-2</v>
      </c>
      <c r="N20" s="25">
        <f t="shared" si="5"/>
        <v>3.2000000000000001E-2</v>
      </c>
      <c r="O20" s="25">
        <f t="shared" si="5"/>
        <v>3.2000000000000001E-2</v>
      </c>
      <c r="P20" s="25">
        <f t="shared" si="5"/>
        <v>3.2000000000000001E-2</v>
      </c>
      <c r="Q20" s="25">
        <f t="shared" si="5"/>
        <v>3.2000000000000001E-2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338</v>
      </c>
      <c r="B21" s="1" t="s">
        <v>46</v>
      </c>
      <c r="C21" s="1"/>
      <c r="D21" s="1"/>
      <c r="E21" s="1"/>
      <c r="F21" s="12">
        <v>0.10199999999999999</v>
      </c>
      <c r="G21" s="12">
        <v>0.115</v>
      </c>
      <c r="H21" s="1"/>
      <c r="I21" s="1"/>
      <c r="J21" s="1"/>
      <c r="K21" s="12">
        <v>0.115</v>
      </c>
      <c r="L21" s="12">
        <v>0.113</v>
      </c>
      <c r="M21" s="12">
        <v>0.127</v>
      </c>
      <c r="N21" s="25">
        <f t="shared" si="5"/>
        <v>0.127</v>
      </c>
      <c r="O21" s="25">
        <f t="shared" si="5"/>
        <v>0.127</v>
      </c>
      <c r="P21" s="25">
        <f t="shared" si="5"/>
        <v>0.127</v>
      </c>
      <c r="Q21" s="25">
        <f t="shared" si="5"/>
        <v>0.127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339</v>
      </c>
      <c r="B22" s="1" t="s">
        <v>46</v>
      </c>
      <c r="C22" s="15" t="str">
        <f t="shared" ref="C22:Q22" si="6">IF(COUNT(C18:C21)=0,"",SUM(C18:C21))</f>
        <v/>
      </c>
      <c r="D22" s="15" t="str">
        <f t="shared" si="6"/>
        <v/>
      </c>
      <c r="E22" s="15" t="str">
        <f t="shared" si="6"/>
        <v/>
      </c>
      <c r="F22" s="15">
        <f t="shared" si="6"/>
        <v>1</v>
      </c>
      <c r="G22" s="15">
        <f t="shared" si="6"/>
        <v>1</v>
      </c>
      <c r="H22" s="15" t="str">
        <f t="shared" si="6"/>
        <v/>
      </c>
      <c r="I22" s="15" t="str">
        <f t="shared" si="6"/>
        <v/>
      </c>
      <c r="J22" s="15" t="str">
        <f t="shared" si="6"/>
        <v/>
      </c>
      <c r="K22" s="15">
        <f t="shared" si="6"/>
        <v>1.0010000000000001</v>
      </c>
      <c r="L22" s="15">
        <f t="shared" si="6"/>
        <v>1</v>
      </c>
      <c r="M22" s="15">
        <f t="shared" si="6"/>
        <v>1</v>
      </c>
      <c r="N22" s="25">
        <f t="shared" si="6"/>
        <v>1</v>
      </c>
      <c r="O22" s="25">
        <f t="shared" si="6"/>
        <v>1</v>
      </c>
      <c r="P22" s="25">
        <f t="shared" si="6"/>
        <v>1</v>
      </c>
      <c r="Q22" s="25">
        <f t="shared" si="6"/>
        <v>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340</v>
      </c>
      <c r="B23" s="1" t="s">
        <v>44</v>
      </c>
      <c r="C23" s="14">
        <f>'Annual P&amp;L'!C7</f>
        <v>40913</v>
      </c>
      <c r="D23" s="14">
        <f>'Annual P&amp;L'!D7</f>
        <v>46723</v>
      </c>
      <c r="E23" s="14">
        <f>'Annual P&amp;L'!E7</f>
        <v>50570</v>
      </c>
      <c r="F23" s="14">
        <f>'Annual P&amp;L'!F7</f>
        <v>60427</v>
      </c>
      <c r="G23" s="14">
        <f>'Annual P&amp;L'!G7</f>
        <v>70678</v>
      </c>
      <c r="H23" s="14">
        <f>'Annual P&amp;L'!H7</f>
        <v>75379</v>
      </c>
      <c r="I23" s="14">
        <f>'Annual P&amp;L'!I7</f>
        <v>85651</v>
      </c>
      <c r="J23" s="14">
        <f>'Annual P&amp;L'!J7</f>
        <v>101456</v>
      </c>
      <c r="K23" s="14">
        <f>'Annual P&amp;L'!K7</f>
        <v>109913</v>
      </c>
      <c r="L23" s="14">
        <f>'Annual P&amp;L'!L7</f>
        <v>117055</v>
      </c>
      <c r="M23" s="14">
        <f>'Annual P&amp;L'!M7</f>
        <v>130144</v>
      </c>
      <c r="N23" s="28">
        <f>'Annual P&amp;L'!N7</f>
        <v>138192.40421510153</v>
      </c>
      <c r="O23" s="28">
        <f>'Annual P&amp;L'!O7</f>
        <v>149041.66425269016</v>
      </c>
      <c r="P23" s="28">
        <f>'Annual P&amp;L'!P7</f>
        <v>162065.57235964728</v>
      </c>
      <c r="Q23" s="28">
        <f>'Annual P&amp;L'!Q7</f>
        <v>175279.01959009824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347</v>
      </c>
      <c r="B24" s="1" t="s">
        <v>44</v>
      </c>
      <c r="C24" s="14" t="str">
        <f t="shared" ref="C24:Q24" si="7">IF(C18="","",C18*C23)</f>
        <v/>
      </c>
      <c r="D24" s="14" t="str">
        <f t="shared" si="7"/>
        <v/>
      </c>
      <c r="E24" s="14" t="str">
        <f t="shared" si="7"/>
        <v/>
      </c>
      <c r="F24" s="14">
        <f t="shared" si="7"/>
        <v>36014.491999999998</v>
      </c>
      <c r="G24" s="14">
        <f t="shared" si="7"/>
        <v>40851.883999999998</v>
      </c>
      <c r="H24" s="14" t="str">
        <f t="shared" si="7"/>
        <v/>
      </c>
      <c r="I24" s="14" t="str">
        <f t="shared" si="7"/>
        <v/>
      </c>
      <c r="J24" s="14" t="str">
        <f t="shared" si="7"/>
        <v/>
      </c>
      <c r="K24" s="14">
        <f t="shared" si="7"/>
        <v>64189.191999999995</v>
      </c>
      <c r="L24" s="14">
        <f t="shared" si="7"/>
        <v>68828.34</v>
      </c>
      <c r="M24" s="14">
        <f t="shared" si="7"/>
        <v>73271.071999999986</v>
      </c>
      <c r="N24" s="28">
        <f t="shared" si="7"/>
        <v>77802.323573102156</v>
      </c>
      <c r="O24" s="28">
        <f t="shared" si="7"/>
        <v>83910.456974264554</v>
      </c>
      <c r="P24" s="28">
        <f t="shared" si="7"/>
        <v>91242.917238481416</v>
      </c>
      <c r="Q24" s="28">
        <f t="shared" si="7"/>
        <v>98682.088029225299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342</v>
      </c>
      <c r="B25" s="1" t="s">
        <v>44</v>
      </c>
      <c r="C25" s="14" t="str">
        <f t="shared" ref="C25:Q25" si="8">IF(C19="","",C19*C23)</f>
        <v/>
      </c>
      <c r="D25" s="14" t="str">
        <f t="shared" si="8"/>
        <v/>
      </c>
      <c r="E25" s="14" t="str">
        <f t="shared" si="8"/>
        <v/>
      </c>
      <c r="F25" s="14">
        <f t="shared" si="8"/>
        <v>16134.009</v>
      </c>
      <c r="G25" s="14">
        <f t="shared" si="8"/>
        <v>19365.772000000001</v>
      </c>
      <c r="H25" s="14" t="str">
        <f t="shared" si="8"/>
        <v/>
      </c>
      <c r="I25" s="14" t="str">
        <f t="shared" si="8"/>
        <v/>
      </c>
      <c r="J25" s="14" t="str">
        <f t="shared" si="8"/>
        <v/>
      </c>
      <c r="K25" s="14">
        <f t="shared" si="8"/>
        <v>29126.945</v>
      </c>
      <c r="L25" s="14">
        <f t="shared" si="8"/>
        <v>31136.63</v>
      </c>
      <c r="M25" s="14">
        <f t="shared" si="8"/>
        <v>36180.032000000007</v>
      </c>
      <c r="N25" s="28">
        <f t="shared" si="8"/>
        <v>38417.48837179823</v>
      </c>
      <c r="O25" s="28">
        <f t="shared" si="8"/>
        <v>41433.582662247863</v>
      </c>
      <c r="P25" s="28">
        <f t="shared" si="8"/>
        <v>45054.229115981951</v>
      </c>
      <c r="Q25" s="28">
        <f t="shared" si="8"/>
        <v>48727.567446047316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348</v>
      </c>
      <c r="B26" s="1" t="s">
        <v>44</v>
      </c>
      <c r="C26" s="14" t="str">
        <f t="shared" ref="C26:Q26" si="9">IF(C20="","",C20*C23)</f>
        <v/>
      </c>
      <c r="D26" s="14" t="str">
        <f t="shared" si="9"/>
        <v/>
      </c>
      <c r="E26" s="14" t="str">
        <f t="shared" si="9"/>
        <v/>
      </c>
      <c r="F26" s="14">
        <f t="shared" si="9"/>
        <v>2114.9450000000002</v>
      </c>
      <c r="G26" s="14">
        <f t="shared" si="9"/>
        <v>2332.3740000000003</v>
      </c>
      <c r="H26" s="14" t="str">
        <f t="shared" si="9"/>
        <v/>
      </c>
      <c r="I26" s="14" t="str">
        <f t="shared" si="9"/>
        <v/>
      </c>
      <c r="J26" s="14" t="str">
        <f t="shared" si="9"/>
        <v/>
      </c>
      <c r="K26" s="14">
        <f t="shared" si="9"/>
        <v>4066.7809999999999</v>
      </c>
      <c r="L26" s="14">
        <f t="shared" si="9"/>
        <v>3862.8150000000001</v>
      </c>
      <c r="M26" s="14">
        <f t="shared" si="9"/>
        <v>4164.6080000000002</v>
      </c>
      <c r="N26" s="28">
        <f t="shared" si="9"/>
        <v>4422.1569348832491</v>
      </c>
      <c r="O26" s="28">
        <f t="shared" si="9"/>
        <v>4769.3332560860854</v>
      </c>
      <c r="P26" s="28">
        <f t="shared" si="9"/>
        <v>5186.0983155087133</v>
      </c>
      <c r="Q26" s="28">
        <f t="shared" si="9"/>
        <v>5608.9286268831438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343</v>
      </c>
      <c r="B27" s="1" t="s">
        <v>44</v>
      </c>
      <c r="C27" s="14" t="str">
        <f t="shared" ref="C27:Q27" si="10">IF(C21="","",C21*C23)</f>
        <v/>
      </c>
      <c r="D27" s="14" t="str">
        <f t="shared" si="10"/>
        <v/>
      </c>
      <c r="E27" s="14" t="str">
        <f t="shared" si="10"/>
        <v/>
      </c>
      <c r="F27" s="14">
        <f t="shared" si="10"/>
        <v>6163.5539999999992</v>
      </c>
      <c r="G27" s="14">
        <f t="shared" si="10"/>
        <v>8127.97</v>
      </c>
      <c r="H27" s="14" t="str">
        <f t="shared" si="10"/>
        <v/>
      </c>
      <c r="I27" s="14" t="str">
        <f t="shared" si="10"/>
        <v/>
      </c>
      <c r="J27" s="14" t="str">
        <f t="shared" si="10"/>
        <v/>
      </c>
      <c r="K27" s="14">
        <f t="shared" si="10"/>
        <v>12639.995000000001</v>
      </c>
      <c r="L27" s="14">
        <f t="shared" si="10"/>
        <v>13227.215</v>
      </c>
      <c r="M27" s="14">
        <f t="shared" si="10"/>
        <v>16528.288</v>
      </c>
      <c r="N27" s="28">
        <f t="shared" si="10"/>
        <v>17550.435335317896</v>
      </c>
      <c r="O27" s="28">
        <f t="shared" si="10"/>
        <v>18928.291360091651</v>
      </c>
      <c r="P27" s="28">
        <f t="shared" si="10"/>
        <v>20582.327689675207</v>
      </c>
      <c r="Q27" s="28">
        <f t="shared" si="10"/>
        <v>22260.435487942475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3"/>
      <c r="O28" s="33"/>
      <c r="P28" s="33"/>
      <c r="Q28" s="33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8" customHeight="1">
      <c r="A29" s="46" t="s">
        <v>349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  <c r="O29" s="47"/>
      <c r="P29" s="47"/>
      <c r="Q29" s="47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350</v>
      </c>
      <c r="B30" s="1" t="s">
        <v>46</v>
      </c>
      <c r="C30" s="1"/>
      <c r="D30" s="12">
        <v>0.24099999999999999</v>
      </c>
      <c r="E30" s="12">
        <v>0.249</v>
      </c>
      <c r="F30" s="12">
        <v>0.223</v>
      </c>
      <c r="G30" s="1"/>
      <c r="H30" s="12">
        <v>0.219</v>
      </c>
      <c r="I30" s="12">
        <v>0.21299999999999999</v>
      </c>
      <c r="J30" s="12">
        <v>0.20699999999999999</v>
      </c>
      <c r="K30" s="12">
        <v>0.221</v>
      </c>
      <c r="L30" s="12">
        <v>0.20699999999999999</v>
      </c>
      <c r="M30" s="12">
        <v>0.215</v>
      </c>
      <c r="N30" s="25">
        <f t="shared" ref="N30:Q36" si="11">M30</f>
        <v>0.215</v>
      </c>
      <c r="O30" s="25">
        <f t="shared" si="11"/>
        <v>0.215</v>
      </c>
      <c r="P30" s="25">
        <f t="shared" si="11"/>
        <v>0.215</v>
      </c>
      <c r="Q30" s="25">
        <f t="shared" si="11"/>
        <v>0.215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351</v>
      </c>
      <c r="B31" s="1" t="s">
        <v>46</v>
      </c>
      <c r="C31" s="1"/>
      <c r="D31" s="12">
        <v>0.33500000000000002</v>
      </c>
      <c r="E31" s="12">
        <v>0.35699999999999998</v>
      </c>
      <c r="F31" s="12">
        <v>0.17899999999999999</v>
      </c>
      <c r="G31" s="1"/>
      <c r="H31" s="12">
        <v>0.17899999999999999</v>
      </c>
      <c r="I31" s="12">
        <v>0.17699999999999999</v>
      </c>
      <c r="J31" s="12">
        <v>0.191</v>
      </c>
      <c r="K31" s="12">
        <v>0.19900000000000001</v>
      </c>
      <c r="L31" s="12">
        <v>0.191</v>
      </c>
      <c r="M31" s="12">
        <v>0.186</v>
      </c>
      <c r="N31" s="25">
        <f t="shared" si="11"/>
        <v>0.186</v>
      </c>
      <c r="O31" s="25">
        <f t="shared" si="11"/>
        <v>0.186</v>
      </c>
      <c r="P31" s="25">
        <f t="shared" si="11"/>
        <v>0.186</v>
      </c>
      <c r="Q31" s="25">
        <f t="shared" si="11"/>
        <v>0.186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352</v>
      </c>
      <c r="B32" s="1" t="s">
        <v>46</v>
      </c>
      <c r="C32" s="1"/>
      <c r="D32" s="12">
        <v>4.0000000000000001E-3</v>
      </c>
      <c r="E32" s="12">
        <v>0</v>
      </c>
      <c r="F32" s="12">
        <v>0.185</v>
      </c>
      <c r="G32" s="1"/>
      <c r="H32" s="12">
        <v>0.17399999999999999</v>
      </c>
      <c r="I32" s="12">
        <v>0.17599999999999999</v>
      </c>
      <c r="J32" s="12">
        <v>0.14899999999999999</v>
      </c>
      <c r="K32" s="12">
        <v>0.129</v>
      </c>
      <c r="L32" s="12">
        <v>0.13200000000000001</v>
      </c>
      <c r="M32" s="12">
        <v>0.14299999999999999</v>
      </c>
      <c r="N32" s="25">
        <f t="shared" si="11"/>
        <v>0.14299999999999999</v>
      </c>
      <c r="O32" s="25">
        <f t="shared" si="11"/>
        <v>0.14299999999999999</v>
      </c>
      <c r="P32" s="25">
        <f t="shared" si="11"/>
        <v>0.14299999999999999</v>
      </c>
      <c r="Q32" s="25">
        <f t="shared" si="11"/>
        <v>0.14299999999999999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353</v>
      </c>
      <c r="B33" s="1" t="s">
        <v>46</v>
      </c>
      <c r="C33" s="1"/>
      <c r="D33" s="12">
        <v>0.12</v>
      </c>
      <c r="E33" s="12">
        <v>0.11600000000000001</v>
      </c>
      <c r="F33" s="12">
        <v>0.129</v>
      </c>
      <c r="G33" s="1"/>
      <c r="H33" s="12">
        <v>0.13900000000000001</v>
      </c>
      <c r="I33" s="12">
        <v>0.14799999999999999</v>
      </c>
      <c r="J33" s="12">
        <v>0.16900000000000001</v>
      </c>
      <c r="K33" s="12">
        <v>0.16900000000000001</v>
      </c>
      <c r="L33" s="12">
        <v>0.155</v>
      </c>
      <c r="M33" s="12">
        <v>0.14399999999999999</v>
      </c>
      <c r="N33" s="25">
        <f t="shared" si="11"/>
        <v>0.14399999999999999</v>
      </c>
      <c r="O33" s="25">
        <f t="shared" si="11"/>
        <v>0.14399999999999999</v>
      </c>
      <c r="P33" s="25">
        <f t="shared" si="11"/>
        <v>0.14399999999999999</v>
      </c>
      <c r="Q33" s="25">
        <f t="shared" si="11"/>
        <v>0.14399999999999999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354</v>
      </c>
      <c r="B34" s="1" t="s">
        <v>46</v>
      </c>
      <c r="C34" s="1"/>
      <c r="D34" s="12">
        <v>8.8999999999999996E-2</v>
      </c>
      <c r="E34" s="12">
        <v>7.6999999999999999E-2</v>
      </c>
      <c r="F34" s="12">
        <v>8.1000000000000003E-2</v>
      </c>
      <c r="G34" s="1"/>
      <c r="H34" s="12">
        <v>7.9000000000000001E-2</v>
      </c>
      <c r="I34" s="12">
        <v>8.1000000000000003E-2</v>
      </c>
      <c r="J34" s="12">
        <v>9.1999999999999998E-2</v>
      </c>
      <c r="K34" s="12">
        <v>9.1999999999999998E-2</v>
      </c>
      <c r="L34" s="12">
        <v>0.126</v>
      </c>
      <c r="M34" s="12">
        <v>0.126</v>
      </c>
      <c r="N34" s="25">
        <f t="shared" si="11"/>
        <v>0.126</v>
      </c>
      <c r="O34" s="25">
        <f t="shared" si="11"/>
        <v>0.126</v>
      </c>
      <c r="P34" s="25">
        <f t="shared" si="11"/>
        <v>0.126</v>
      </c>
      <c r="Q34" s="25">
        <f t="shared" si="11"/>
        <v>0.126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355</v>
      </c>
      <c r="B35" s="1" t="s">
        <v>46</v>
      </c>
      <c r="C35" s="1"/>
      <c r="D35" s="12">
        <v>9.7000000000000003E-2</v>
      </c>
      <c r="E35" s="12">
        <v>9.5000000000000001E-2</v>
      </c>
      <c r="F35" s="12">
        <v>9.9000000000000005E-2</v>
      </c>
      <c r="G35" s="1"/>
      <c r="H35" s="12">
        <v>0.10199999999999999</v>
      </c>
      <c r="I35" s="12">
        <v>9.8000000000000004E-2</v>
      </c>
      <c r="J35" s="12">
        <v>9.0999999999999998E-2</v>
      </c>
      <c r="K35" s="12">
        <v>9.2999999999999999E-2</v>
      </c>
      <c r="L35" s="12">
        <v>9.8000000000000004E-2</v>
      </c>
      <c r="M35" s="12">
        <v>9.7000000000000003E-2</v>
      </c>
      <c r="N35" s="25">
        <f t="shared" si="11"/>
        <v>9.7000000000000003E-2</v>
      </c>
      <c r="O35" s="25">
        <f t="shared" si="11"/>
        <v>9.7000000000000003E-2</v>
      </c>
      <c r="P35" s="25">
        <f t="shared" si="11"/>
        <v>9.7000000000000003E-2</v>
      </c>
      <c r="Q35" s="25">
        <f t="shared" si="11"/>
        <v>9.7000000000000003E-2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356</v>
      </c>
      <c r="B36" s="1" t="s">
        <v>46</v>
      </c>
      <c r="C36" s="1"/>
      <c r="D36" s="12">
        <v>0.114</v>
      </c>
      <c r="E36" s="12">
        <v>0.106</v>
      </c>
      <c r="F36" s="12">
        <v>0.105</v>
      </c>
      <c r="G36" s="1"/>
      <c r="H36" s="12">
        <v>0.108</v>
      </c>
      <c r="I36" s="12">
        <v>0.106</v>
      </c>
      <c r="J36" s="12">
        <v>0.10199999999999999</v>
      </c>
      <c r="K36" s="12">
        <v>9.6000000000000002E-2</v>
      </c>
      <c r="L36" s="12">
        <v>8.8999999999999996E-2</v>
      </c>
      <c r="M36" s="12">
        <v>8.8999999999999996E-2</v>
      </c>
      <c r="N36" s="25">
        <f t="shared" si="11"/>
        <v>8.8999999999999996E-2</v>
      </c>
      <c r="O36" s="25">
        <f t="shared" si="11"/>
        <v>8.8999999999999996E-2</v>
      </c>
      <c r="P36" s="25">
        <f t="shared" si="11"/>
        <v>8.8999999999999996E-2</v>
      </c>
      <c r="Q36" s="25">
        <f t="shared" si="11"/>
        <v>8.8999999999999996E-2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339</v>
      </c>
      <c r="B37" s="1" t="s">
        <v>46</v>
      </c>
      <c r="C37" s="15" t="str">
        <f t="shared" ref="C37:Q37" si="12">IF(COUNT(C30:C36)=0,"",SUM(C30:C36))</f>
        <v/>
      </c>
      <c r="D37" s="15">
        <f t="shared" si="12"/>
        <v>1</v>
      </c>
      <c r="E37" s="15">
        <f t="shared" si="12"/>
        <v>0.99999999999999989</v>
      </c>
      <c r="F37" s="15">
        <f t="shared" si="12"/>
        <v>1.0009999999999999</v>
      </c>
      <c r="G37" s="15" t="str">
        <f t="shared" si="12"/>
        <v/>
      </c>
      <c r="H37" s="15">
        <f t="shared" si="12"/>
        <v>1</v>
      </c>
      <c r="I37" s="15">
        <f t="shared" si="12"/>
        <v>0.999</v>
      </c>
      <c r="J37" s="15">
        <f t="shared" si="12"/>
        <v>1.0010000000000001</v>
      </c>
      <c r="K37" s="15">
        <f t="shared" si="12"/>
        <v>0.999</v>
      </c>
      <c r="L37" s="15">
        <f t="shared" si="12"/>
        <v>0.998</v>
      </c>
      <c r="M37" s="15">
        <f t="shared" si="12"/>
        <v>1</v>
      </c>
      <c r="N37" s="25">
        <f t="shared" si="12"/>
        <v>1</v>
      </c>
      <c r="O37" s="25">
        <f t="shared" si="12"/>
        <v>1</v>
      </c>
      <c r="P37" s="25">
        <f t="shared" si="12"/>
        <v>1</v>
      </c>
      <c r="Q37" s="25">
        <f t="shared" si="12"/>
        <v>1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340</v>
      </c>
      <c r="B38" s="1" t="s">
        <v>44</v>
      </c>
      <c r="C38" s="1"/>
      <c r="D38" s="14">
        <f>'Annual P&amp;L'!D7</f>
        <v>46723</v>
      </c>
      <c r="E38" s="14">
        <f>'Annual P&amp;L'!E7</f>
        <v>50570</v>
      </c>
      <c r="F38" s="14">
        <f>'Annual P&amp;L'!F7</f>
        <v>60427</v>
      </c>
      <c r="G38" s="1"/>
      <c r="H38" s="14">
        <f>'Annual P&amp;L'!H7</f>
        <v>75379</v>
      </c>
      <c r="I38" s="14">
        <f>'Annual P&amp;L'!I7</f>
        <v>85651</v>
      </c>
      <c r="J38" s="14">
        <f>'Segment Revenue'!J8+'Segment Revenue'!J10</f>
        <v>90904.576000000001</v>
      </c>
      <c r="K38" s="14">
        <f>'Segment Revenue'!K8+'Segment Revenue'!K10</f>
        <v>98701.873999999996</v>
      </c>
      <c r="L38" s="14">
        <f>'Segment Revenue'!L8+'Segment Revenue'!L10</f>
        <v>105349.5</v>
      </c>
      <c r="M38" s="14">
        <f>'Segment Revenue'!M8+'Segment Revenue'!M10</f>
        <v>118170.75200000001</v>
      </c>
      <c r="N38" s="28">
        <f>'Segment Revenue'!N8+'Segment Revenue'!N10</f>
        <v>125750.00170180696</v>
      </c>
      <c r="O38" s="28">
        <f>'Segment Revenue'!O8+'Segment Revenue'!O10</f>
        <v>135988.99609666015</v>
      </c>
      <c r="P38" s="28">
        <f>'Segment Revenue'!P8+'Segment Revenue'!P10</f>
        <v>148242.02518221474</v>
      </c>
      <c r="Q38" s="28">
        <f>'Segment Revenue'!Q8+'Segment Revenue'!Q10</f>
        <v>160636.5596208027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357</v>
      </c>
      <c r="B39" s="1" t="s">
        <v>44</v>
      </c>
      <c r="C39" s="14" t="str">
        <f t="shared" ref="C39:Q39" si="13">IF(C30="","",C30*C38)</f>
        <v/>
      </c>
      <c r="D39" s="14">
        <f t="shared" si="13"/>
        <v>11260.243</v>
      </c>
      <c r="E39" s="14">
        <f t="shared" si="13"/>
        <v>12591.93</v>
      </c>
      <c r="F39" s="14">
        <f t="shared" si="13"/>
        <v>13475.221</v>
      </c>
      <c r="G39" s="14" t="str">
        <f t="shared" si="13"/>
        <v/>
      </c>
      <c r="H39" s="14">
        <f t="shared" si="13"/>
        <v>16508.001</v>
      </c>
      <c r="I39" s="14">
        <f t="shared" si="13"/>
        <v>18243.663</v>
      </c>
      <c r="J39" s="14">
        <f t="shared" si="13"/>
        <v>18817.247231999998</v>
      </c>
      <c r="K39" s="14">
        <f t="shared" si="13"/>
        <v>21813.114153999999</v>
      </c>
      <c r="L39" s="14">
        <f t="shared" si="13"/>
        <v>21807.3465</v>
      </c>
      <c r="M39" s="14">
        <f t="shared" si="13"/>
        <v>25406.71168</v>
      </c>
      <c r="N39" s="28">
        <f t="shared" si="13"/>
        <v>27036.250365888496</v>
      </c>
      <c r="O39" s="28">
        <f t="shared" si="13"/>
        <v>29237.63416078193</v>
      </c>
      <c r="P39" s="28">
        <f t="shared" si="13"/>
        <v>31872.035414176167</v>
      </c>
      <c r="Q39" s="28">
        <f t="shared" si="13"/>
        <v>34536.86031847258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358</v>
      </c>
      <c r="B40" s="1" t="s">
        <v>44</v>
      </c>
      <c r="C40" s="14" t="str">
        <f t="shared" ref="C40:Q40" si="14">IF(C31="","",C31*C38)</f>
        <v/>
      </c>
      <c r="D40" s="14">
        <f t="shared" si="14"/>
        <v>15652.205000000002</v>
      </c>
      <c r="E40" s="14">
        <f t="shared" si="14"/>
        <v>18053.489999999998</v>
      </c>
      <c r="F40" s="14">
        <f t="shared" si="14"/>
        <v>10816.432999999999</v>
      </c>
      <c r="G40" s="14" t="str">
        <f t="shared" si="14"/>
        <v/>
      </c>
      <c r="H40" s="14">
        <f t="shared" si="14"/>
        <v>13492.840999999999</v>
      </c>
      <c r="I40" s="14">
        <f t="shared" si="14"/>
        <v>15160.226999999999</v>
      </c>
      <c r="J40" s="14">
        <f t="shared" si="14"/>
        <v>17362.774015999999</v>
      </c>
      <c r="K40" s="14">
        <f t="shared" si="14"/>
        <v>19641.672925999999</v>
      </c>
      <c r="L40" s="14">
        <f t="shared" si="14"/>
        <v>20121.754499999999</v>
      </c>
      <c r="M40" s="14">
        <f t="shared" si="14"/>
        <v>21979.759872000002</v>
      </c>
      <c r="N40" s="28">
        <f t="shared" si="14"/>
        <v>23389.500316536094</v>
      </c>
      <c r="O40" s="28">
        <f t="shared" si="14"/>
        <v>25293.953273978786</v>
      </c>
      <c r="P40" s="28">
        <f t="shared" si="14"/>
        <v>27573.016683891943</v>
      </c>
      <c r="Q40" s="28">
        <f t="shared" si="14"/>
        <v>29878.400089469302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359</v>
      </c>
      <c r="B41" s="1" t="s">
        <v>44</v>
      </c>
      <c r="C41" s="14" t="str">
        <f t="shared" ref="C41:Q41" si="15">IF(C32="","",C32*C38)</f>
        <v/>
      </c>
      <c r="D41" s="14">
        <f t="shared" si="15"/>
        <v>186.892</v>
      </c>
      <c r="E41" s="14">
        <f t="shared" si="15"/>
        <v>0</v>
      </c>
      <c r="F41" s="14">
        <f t="shared" si="15"/>
        <v>11178.994999999999</v>
      </c>
      <c r="G41" s="14" t="str">
        <f t="shared" si="15"/>
        <v/>
      </c>
      <c r="H41" s="14">
        <f t="shared" si="15"/>
        <v>13115.946</v>
      </c>
      <c r="I41" s="14">
        <f t="shared" si="15"/>
        <v>15074.575999999999</v>
      </c>
      <c r="J41" s="14">
        <f t="shared" si="15"/>
        <v>13544.781824</v>
      </c>
      <c r="K41" s="14">
        <f t="shared" si="15"/>
        <v>12732.541745999999</v>
      </c>
      <c r="L41" s="14">
        <f t="shared" si="15"/>
        <v>13906.134</v>
      </c>
      <c r="M41" s="14">
        <f t="shared" si="15"/>
        <v>16898.417536000001</v>
      </c>
      <c r="N41" s="28">
        <f t="shared" si="15"/>
        <v>17982.250243358394</v>
      </c>
      <c r="O41" s="28">
        <f t="shared" si="15"/>
        <v>19446.426441822401</v>
      </c>
      <c r="P41" s="28">
        <f t="shared" si="15"/>
        <v>21198.609601056705</v>
      </c>
      <c r="Q41" s="28">
        <f t="shared" si="15"/>
        <v>22971.028025774784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360</v>
      </c>
      <c r="B42" s="1" t="s">
        <v>44</v>
      </c>
      <c r="C42" s="14" t="str">
        <f t="shared" ref="C42:Q42" si="16">IF(C33="","",C33*C38)</f>
        <v/>
      </c>
      <c r="D42" s="14">
        <f t="shared" si="16"/>
        <v>5606.76</v>
      </c>
      <c r="E42" s="14">
        <f t="shared" si="16"/>
        <v>5866.12</v>
      </c>
      <c r="F42" s="14">
        <f t="shared" si="16"/>
        <v>7795.0830000000005</v>
      </c>
      <c r="G42" s="14" t="str">
        <f t="shared" si="16"/>
        <v/>
      </c>
      <c r="H42" s="14">
        <f t="shared" si="16"/>
        <v>10477.681</v>
      </c>
      <c r="I42" s="14">
        <f t="shared" si="16"/>
        <v>12676.348</v>
      </c>
      <c r="J42" s="14">
        <f t="shared" si="16"/>
        <v>15362.873344000001</v>
      </c>
      <c r="K42" s="14">
        <f t="shared" si="16"/>
        <v>16680.616706000001</v>
      </c>
      <c r="L42" s="14">
        <f t="shared" si="16"/>
        <v>16329.172500000001</v>
      </c>
      <c r="M42" s="14">
        <f t="shared" si="16"/>
        <v>17016.588287999999</v>
      </c>
      <c r="N42" s="28">
        <f t="shared" si="16"/>
        <v>18108.000245060201</v>
      </c>
      <c r="O42" s="28">
        <f t="shared" si="16"/>
        <v>19582.415437919059</v>
      </c>
      <c r="P42" s="28">
        <f t="shared" si="16"/>
        <v>21346.85162623892</v>
      </c>
      <c r="Q42" s="28">
        <f t="shared" si="16"/>
        <v>23131.664585395585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361</v>
      </c>
      <c r="B43" s="1" t="s">
        <v>44</v>
      </c>
      <c r="C43" s="14" t="str">
        <f t="shared" ref="C43:Q43" si="17">IF(C34="","",C34*C38)</f>
        <v/>
      </c>
      <c r="D43" s="14">
        <f t="shared" si="17"/>
        <v>4158.3469999999998</v>
      </c>
      <c r="E43" s="14">
        <f t="shared" si="17"/>
        <v>3893.89</v>
      </c>
      <c r="F43" s="14">
        <f t="shared" si="17"/>
        <v>4894.5870000000004</v>
      </c>
      <c r="G43" s="14" t="str">
        <f t="shared" si="17"/>
        <v/>
      </c>
      <c r="H43" s="14">
        <f t="shared" si="17"/>
        <v>5954.9409999999998</v>
      </c>
      <c r="I43" s="14">
        <f t="shared" si="17"/>
        <v>6937.7309999999998</v>
      </c>
      <c r="J43" s="14">
        <f t="shared" si="17"/>
        <v>8363.2209920000005</v>
      </c>
      <c r="K43" s="14">
        <f t="shared" si="17"/>
        <v>9080.572408</v>
      </c>
      <c r="L43" s="14">
        <f t="shared" si="17"/>
        <v>13274.037</v>
      </c>
      <c r="M43" s="14">
        <f t="shared" si="17"/>
        <v>14889.514752000001</v>
      </c>
      <c r="N43" s="28">
        <f t="shared" si="17"/>
        <v>15844.500214427677</v>
      </c>
      <c r="O43" s="28">
        <f t="shared" si="17"/>
        <v>17134.61350817918</v>
      </c>
      <c r="P43" s="28">
        <f t="shared" si="17"/>
        <v>18678.495172959058</v>
      </c>
      <c r="Q43" s="28">
        <f t="shared" si="17"/>
        <v>20240.206512221139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362</v>
      </c>
      <c r="B44" s="1" t="s">
        <v>44</v>
      </c>
      <c r="C44" s="14" t="str">
        <f t="shared" ref="C44:Q44" si="18">IF(C35="","",C35*C38)</f>
        <v/>
      </c>
      <c r="D44" s="14">
        <f t="shared" si="18"/>
        <v>4532.1310000000003</v>
      </c>
      <c r="E44" s="14">
        <f t="shared" si="18"/>
        <v>4804.1499999999996</v>
      </c>
      <c r="F44" s="14">
        <f t="shared" si="18"/>
        <v>5982.2730000000001</v>
      </c>
      <c r="G44" s="14" t="str">
        <f t="shared" si="18"/>
        <v/>
      </c>
      <c r="H44" s="14">
        <f t="shared" si="18"/>
        <v>7688.6579999999994</v>
      </c>
      <c r="I44" s="14">
        <f t="shared" si="18"/>
        <v>8393.7980000000007</v>
      </c>
      <c r="J44" s="14">
        <f t="shared" si="18"/>
        <v>8272.3164159999997</v>
      </c>
      <c r="K44" s="14">
        <f t="shared" si="18"/>
        <v>9179.2742820000003</v>
      </c>
      <c r="L44" s="14">
        <f t="shared" si="18"/>
        <v>10324.251</v>
      </c>
      <c r="M44" s="14">
        <f t="shared" si="18"/>
        <v>11462.562944000001</v>
      </c>
      <c r="N44" s="28">
        <f t="shared" si="18"/>
        <v>12197.750165075277</v>
      </c>
      <c r="O44" s="28">
        <f t="shared" si="18"/>
        <v>13190.932621376034</v>
      </c>
      <c r="P44" s="28">
        <f t="shared" si="18"/>
        <v>14379.47644267483</v>
      </c>
      <c r="Q44" s="28">
        <f t="shared" si="18"/>
        <v>15581.746283217863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363</v>
      </c>
      <c r="B45" s="1" t="s">
        <v>44</v>
      </c>
      <c r="C45" s="14" t="str">
        <f t="shared" ref="C45:Q45" si="19">IF(C36="","",C36*C38)</f>
        <v/>
      </c>
      <c r="D45" s="14">
        <f t="shared" si="19"/>
        <v>5326.4220000000005</v>
      </c>
      <c r="E45" s="14">
        <f t="shared" si="19"/>
        <v>5360.42</v>
      </c>
      <c r="F45" s="14">
        <f t="shared" si="19"/>
        <v>6344.835</v>
      </c>
      <c r="G45" s="14" t="str">
        <f t="shared" si="19"/>
        <v/>
      </c>
      <c r="H45" s="14">
        <f t="shared" si="19"/>
        <v>8140.9319999999998</v>
      </c>
      <c r="I45" s="14">
        <f t="shared" si="19"/>
        <v>9079.0059999999994</v>
      </c>
      <c r="J45" s="14">
        <f t="shared" si="19"/>
        <v>9272.2667519999995</v>
      </c>
      <c r="K45" s="14">
        <f t="shared" si="19"/>
        <v>9475.3799039999994</v>
      </c>
      <c r="L45" s="14">
        <f t="shared" si="19"/>
        <v>9376.1054999999997</v>
      </c>
      <c r="M45" s="14">
        <f t="shared" si="19"/>
        <v>10517.196927999999</v>
      </c>
      <c r="N45" s="28">
        <f t="shared" si="19"/>
        <v>11191.750151460819</v>
      </c>
      <c r="O45" s="28">
        <f t="shared" si="19"/>
        <v>12103.020652602752</v>
      </c>
      <c r="P45" s="28">
        <f t="shared" si="19"/>
        <v>13193.540241217112</v>
      </c>
      <c r="Q45" s="28">
        <f t="shared" si="19"/>
        <v>14296.653806251439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3"/>
      <c r="O46" s="33"/>
      <c r="P46" s="33"/>
      <c r="Q46" s="33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3"/>
      <c r="O47" s="33"/>
      <c r="P47" s="33"/>
      <c r="Q47" s="3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3"/>
      <c r="O48" s="33"/>
      <c r="P48" s="33"/>
      <c r="Q48" s="3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3"/>
      <c r="O49" s="33"/>
      <c r="P49" s="33"/>
      <c r="Q49" s="3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3"/>
      <c r="O50" s="33"/>
      <c r="P50" s="33"/>
      <c r="Q50" s="3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3"/>
      <c r="O51" s="33"/>
      <c r="P51" s="33"/>
      <c r="Q51" s="3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3"/>
      <c r="O52" s="33"/>
      <c r="P52" s="33"/>
      <c r="Q52" s="33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3"/>
      <c r="O53" s="33"/>
      <c r="P53" s="33"/>
      <c r="Q53" s="33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3"/>
      <c r="O54" s="33"/>
      <c r="P54" s="33"/>
      <c r="Q54" s="33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3"/>
      <c r="O55" s="33"/>
      <c r="P55" s="33"/>
      <c r="Q55" s="33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3"/>
      <c r="O56" s="33"/>
      <c r="P56" s="33"/>
      <c r="Q56" s="33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3"/>
      <c r="O57" s="33"/>
      <c r="P57" s="33"/>
      <c r="Q57" s="33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3"/>
      <c r="O58" s="33"/>
      <c r="P58" s="33"/>
      <c r="Q58" s="33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3"/>
      <c r="O59" s="33"/>
      <c r="P59" s="33"/>
      <c r="Q59" s="33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3"/>
      <c r="O60" s="33"/>
      <c r="P60" s="33"/>
      <c r="Q60" s="33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3"/>
      <c r="O61" s="33"/>
      <c r="P61" s="33"/>
      <c r="Q61" s="33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3"/>
      <c r="O62" s="33"/>
      <c r="P62" s="33"/>
      <c r="Q62" s="33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3"/>
      <c r="O63" s="33"/>
      <c r="P63" s="33"/>
      <c r="Q63" s="33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3"/>
      <c r="O64" s="33"/>
      <c r="P64" s="33"/>
      <c r="Q64" s="3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3"/>
      <c r="O65" s="33"/>
      <c r="P65" s="33"/>
      <c r="Q65" s="33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3"/>
      <c r="O66" s="33"/>
      <c r="P66" s="33"/>
      <c r="Q66" s="33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3"/>
      <c r="O67" s="33"/>
      <c r="P67" s="33"/>
      <c r="Q67" s="33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3"/>
      <c r="O68" s="33"/>
      <c r="P68" s="33"/>
      <c r="Q68" s="33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3"/>
      <c r="O69" s="33"/>
      <c r="P69" s="33"/>
      <c r="Q69" s="33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3"/>
      <c r="O70" s="33"/>
      <c r="P70" s="33"/>
      <c r="Q70" s="33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3"/>
      <c r="O71" s="33"/>
      <c r="P71" s="33"/>
      <c r="Q71" s="33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3"/>
      <c r="O72" s="33"/>
      <c r="P72" s="33"/>
      <c r="Q72" s="33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3"/>
      <c r="O73" s="33"/>
      <c r="P73" s="33"/>
      <c r="Q73" s="33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3"/>
      <c r="O74" s="33"/>
      <c r="P74" s="33"/>
      <c r="Q74" s="3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3"/>
      <c r="O75" s="33"/>
      <c r="P75" s="33"/>
      <c r="Q75" s="3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3"/>
      <c r="O76" s="33"/>
      <c r="P76" s="33"/>
      <c r="Q76" s="3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3"/>
      <c r="O77" s="33"/>
      <c r="P77" s="33"/>
      <c r="Q77" s="33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3"/>
      <c r="O78" s="33"/>
      <c r="P78" s="33"/>
      <c r="Q78" s="33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3"/>
      <c r="O79" s="33"/>
      <c r="P79" s="33"/>
      <c r="Q79" s="33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3"/>
      <c r="O80" s="33"/>
      <c r="P80" s="33"/>
      <c r="Q80" s="33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3"/>
      <c r="O81" s="33"/>
      <c r="P81" s="33"/>
      <c r="Q81" s="33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3"/>
      <c r="O82" s="33"/>
      <c r="P82" s="33"/>
      <c r="Q82" s="33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3"/>
      <c r="O83" s="33"/>
      <c r="P83" s="33"/>
      <c r="Q83" s="33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3"/>
      <c r="O84" s="33"/>
      <c r="P84" s="33"/>
      <c r="Q84" s="33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3"/>
      <c r="O85" s="33"/>
      <c r="P85" s="33"/>
      <c r="Q85" s="33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3"/>
      <c r="O86" s="33"/>
      <c r="P86" s="33"/>
      <c r="Q86" s="3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3"/>
      <c r="O87" s="33"/>
      <c r="P87" s="33"/>
      <c r="Q87" s="3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3"/>
      <c r="O88" s="33"/>
      <c r="P88" s="33"/>
      <c r="Q88" s="33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3"/>
      <c r="O89" s="33"/>
      <c r="P89" s="33"/>
      <c r="Q89" s="33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3"/>
      <c r="O90" s="33"/>
      <c r="P90" s="33"/>
      <c r="Q90" s="33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3"/>
      <c r="O91" s="33"/>
      <c r="P91" s="33"/>
      <c r="Q91" s="33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3"/>
      <c r="O92" s="33"/>
      <c r="P92" s="33"/>
      <c r="Q92" s="33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3"/>
      <c r="O93" s="33"/>
      <c r="P93" s="33"/>
      <c r="Q93" s="33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3"/>
      <c r="O94" s="33"/>
      <c r="P94" s="33"/>
      <c r="Q94" s="33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3"/>
      <c r="O95" s="33"/>
      <c r="P95" s="33"/>
      <c r="Q95" s="33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3"/>
      <c r="O96" s="33"/>
      <c r="P96" s="33"/>
      <c r="Q96" s="33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3"/>
      <c r="O97" s="33"/>
      <c r="P97" s="33"/>
      <c r="Q97" s="33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3"/>
      <c r="O98" s="33"/>
      <c r="P98" s="33"/>
      <c r="Q98" s="33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3"/>
      <c r="O99" s="33"/>
      <c r="P99" s="33"/>
      <c r="Q99" s="33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3"/>
      <c r="O100" s="33"/>
      <c r="P100" s="33"/>
      <c r="Q100" s="3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3"/>
      <c r="O101" s="33"/>
      <c r="P101" s="33"/>
      <c r="Q101" s="3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3"/>
      <c r="O102" s="33"/>
      <c r="P102" s="33"/>
      <c r="Q102" s="3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3"/>
      <c r="O103" s="33"/>
      <c r="P103" s="33"/>
      <c r="Q103" s="3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3"/>
      <c r="O104" s="33"/>
      <c r="P104" s="33"/>
      <c r="Q104" s="3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3"/>
      <c r="O105" s="33"/>
      <c r="P105" s="33"/>
      <c r="Q105" s="3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3"/>
      <c r="O106" s="33"/>
      <c r="P106" s="33"/>
      <c r="Q106" s="3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3"/>
      <c r="O107" s="33"/>
      <c r="P107" s="33"/>
      <c r="Q107" s="3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3"/>
      <c r="O108" s="33"/>
      <c r="P108" s="33"/>
      <c r="Q108" s="3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3"/>
      <c r="O109" s="33"/>
      <c r="P109" s="33"/>
      <c r="Q109" s="3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3"/>
      <c r="O110" s="33"/>
      <c r="P110" s="33"/>
      <c r="Q110" s="3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3"/>
      <c r="O111" s="33"/>
      <c r="P111" s="33"/>
      <c r="Q111" s="3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3"/>
      <c r="O112" s="33"/>
      <c r="P112" s="33"/>
      <c r="Q112" s="3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3"/>
      <c r="O113" s="33"/>
      <c r="P113" s="33"/>
      <c r="Q113" s="3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3"/>
      <c r="O114" s="33"/>
      <c r="P114" s="33"/>
      <c r="Q114" s="3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3"/>
      <c r="O115" s="33"/>
      <c r="P115" s="33"/>
      <c r="Q115" s="3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3"/>
      <c r="O116" s="33"/>
      <c r="P116" s="33"/>
      <c r="Q116" s="3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3"/>
      <c r="O117" s="33"/>
      <c r="P117" s="33"/>
      <c r="Q117" s="3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3"/>
      <c r="O118" s="33"/>
      <c r="P118" s="33"/>
      <c r="Q118" s="3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3"/>
      <c r="O119" s="33"/>
      <c r="P119" s="33"/>
      <c r="Q119" s="3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3"/>
      <c r="O120" s="33"/>
      <c r="P120" s="33"/>
      <c r="Q120" s="3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3"/>
      <c r="O121" s="33"/>
      <c r="P121" s="33"/>
      <c r="Q121" s="3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3"/>
      <c r="O122" s="33"/>
      <c r="P122" s="33"/>
      <c r="Q122" s="3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3"/>
      <c r="O123" s="33"/>
      <c r="P123" s="33"/>
      <c r="Q123" s="3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3"/>
      <c r="O124" s="33"/>
      <c r="P124" s="33"/>
      <c r="Q124" s="3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3"/>
      <c r="O125" s="33"/>
      <c r="P125" s="33"/>
      <c r="Q125" s="3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3"/>
      <c r="O126" s="33"/>
      <c r="P126" s="33"/>
      <c r="Q126" s="3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3"/>
      <c r="O127" s="33"/>
      <c r="P127" s="33"/>
      <c r="Q127" s="3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3"/>
      <c r="O128" s="33"/>
      <c r="P128" s="33"/>
      <c r="Q128" s="3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3"/>
      <c r="O129" s="33"/>
      <c r="P129" s="33"/>
      <c r="Q129" s="3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3"/>
      <c r="O130" s="33"/>
      <c r="P130" s="33"/>
      <c r="Q130" s="3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3"/>
      <c r="O131" s="33"/>
      <c r="P131" s="33"/>
      <c r="Q131" s="3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3"/>
      <c r="O132" s="33"/>
      <c r="P132" s="33"/>
      <c r="Q132" s="3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3"/>
      <c r="O133" s="33"/>
      <c r="P133" s="33"/>
      <c r="Q133" s="3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3"/>
      <c r="O134" s="33"/>
      <c r="P134" s="33"/>
      <c r="Q134" s="3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3"/>
      <c r="O135" s="33"/>
      <c r="P135" s="33"/>
      <c r="Q135" s="3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3"/>
      <c r="O136" s="33"/>
      <c r="P136" s="33"/>
      <c r="Q136" s="3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3"/>
      <c r="O137" s="33"/>
      <c r="P137" s="33"/>
      <c r="Q137" s="3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3"/>
      <c r="O138" s="33"/>
      <c r="P138" s="33"/>
      <c r="Q138" s="3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3"/>
      <c r="O139" s="33"/>
      <c r="P139" s="33"/>
      <c r="Q139" s="3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3"/>
      <c r="O140" s="33"/>
      <c r="P140" s="33"/>
      <c r="Q140" s="3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3"/>
      <c r="O141" s="33"/>
      <c r="P141" s="33"/>
      <c r="Q141" s="3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3"/>
      <c r="O142" s="33"/>
      <c r="P142" s="33"/>
      <c r="Q142" s="3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3"/>
      <c r="O143" s="33"/>
      <c r="P143" s="33"/>
      <c r="Q143" s="3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3"/>
      <c r="O144" s="33"/>
      <c r="P144" s="33"/>
      <c r="Q144" s="3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3"/>
      <c r="O145" s="33"/>
      <c r="P145" s="33"/>
      <c r="Q145" s="3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3"/>
      <c r="O146" s="33"/>
      <c r="P146" s="33"/>
      <c r="Q146" s="3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3"/>
      <c r="O147" s="33"/>
      <c r="P147" s="33"/>
      <c r="Q147" s="3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3"/>
      <c r="O148" s="33"/>
      <c r="P148" s="33"/>
      <c r="Q148" s="3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3"/>
      <c r="O149" s="33"/>
      <c r="P149" s="33"/>
      <c r="Q149" s="3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3"/>
      <c r="O150" s="33"/>
      <c r="P150" s="33"/>
      <c r="Q150" s="3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3"/>
      <c r="O151" s="33"/>
      <c r="P151" s="33"/>
      <c r="Q151" s="3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3"/>
      <c r="O152" s="33"/>
      <c r="P152" s="33"/>
      <c r="Q152" s="3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3"/>
      <c r="O153" s="33"/>
      <c r="P153" s="33"/>
      <c r="Q153" s="3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3"/>
      <c r="O154" s="33"/>
      <c r="P154" s="33"/>
      <c r="Q154" s="3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3"/>
      <c r="O155" s="33"/>
      <c r="P155" s="33"/>
      <c r="Q155" s="3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3"/>
      <c r="O156" s="33"/>
      <c r="P156" s="33"/>
      <c r="Q156" s="3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3"/>
      <c r="O157" s="33"/>
      <c r="P157" s="33"/>
      <c r="Q157" s="3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3"/>
      <c r="O158" s="33"/>
      <c r="P158" s="33"/>
      <c r="Q158" s="3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3"/>
      <c r="O159" s="33"/>
      <c r="P159" s="33"/>
      <c r="Q159" s="3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3"/>
      <c r="O160" s="33"/>
      <c r="P160" s="33"/>
      <c r="Q160" s="3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3"/>
      <c r="O161" s="33"/>
      <c r="P161" s="33"/>
      <c r="Q161" s="3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3"/>
      <c r="O162" s="33"/>
      <c r="P162" s="33"/>
      <c r="Q162" s="3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3"/>
      <c r="O163" s="33"/>
      <c r="P163" s="33"/>
      <c r="Q163" s="3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3"/>
      <c r="O164" s="33"/>
      <c r="P164" s="33"/>
      <c r="Q164" s="3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3"/>
      <c r="O165" s="33"/>
      <c r="P165" s="33"/>
      <c r="Q165" s="3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3"/>
      <c r="O166" s="33"/>
      <c r="P166" s="33"/>
      <c r="Q166" s="3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3"/>
      <c r="O167" s="33"/>
      <c r="P167" s="33"/>
      <c r="Q167" s="3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3"/>
      <c r="O168" s="33"/>
      <c r="P168" s="33"/>
      <c r="Q168" s="3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3"/>
      <c r="O169" s="33"/>
      <c r="P169" s="33"/>
      <c r="Q169" s="3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3"/>
      <c r="O170" s="33"/>
      <c r="P170" s="33"/>
      <c r="Q170" s="3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3"/>
      <c r="O171" s="33"/>
      <c r="P171" s="33"/>
      <c r="Q171" s="3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3"/>
      <c r="O172" s="33"/>
      <c r="P172" s="33"/>
      <c r="Q172" s="3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3"/>
      <c r="O173" s="33"/>
      <c r="P173" s="33"/>
      <c r="Q173" s="3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3"/>
      <c r="O174" s="33"/>
      <c r="P174" s="33"/>
      <c r="Q174" s="3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3"/>
      <c r="O175" s="33"/>
      <c r="P175" s="33"/>
      <c r="Q175" s="3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3"/>
      <c r="O176" s="33"/>
      <c r="P176" s="33"/>
      <c r="Q176" s="3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3"/>
      <c r="O177" s="33"/>
      <c r="P177" s="33"/>
      <c r="Q177" s="3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3"/>
      <c r="O178" s="33"/>
      <c r="P178" s="33"/>
      <c r="Q178" s="3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3"/>
      <c r="O179" s="33"/>
      <c r="P179" s="33"/>
      <c r="Q179" s="3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3"/>
      <c r="O180" s="33"/>
      <c r="P180" s="33"/>
      <c r="Q180" s="3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3"/>
      <c r="O181" s="33"/>
      <c r="P181" s="33"/>
      <c r="Q181" s="3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3"/>
      <c r="O182" s="33"/>
      <c r="P182" s="33"/>
      <c r="Q182" s="3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3"/>
      <c r="O183" s="33"/>
      <c r="P183" s="33"/>
      <c r="Q183" s="3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3"/>
      <c r="O184" s="33"/>
      <c r="P184" s="33"/>
      <c r="Q184" s="3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3"/>
      <c r="O185" s="33"/>
      <c r="P185" s="33"/>
      <c r="Q185" s="3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3"/>
      <c r="O186" s="33"/>
      <c r="P186" s="33"/>
      <c r="Q186" s="3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3"/>
      <c r="O187" s="33"/>
      <c r="P187" s="33"/>
      <c r="Q187" s="3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3"/>
      <c r="O188" s="33"/>
      <c r="P188" s="33"/>
      <c r="Q188" s="3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3"/>
      <c r="O189" s="33"/>
      <c r="P189" s="33"/>
      <c r="Q189" s="3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3"/>
      <c r="O190" s="33"/>
      <c r="P190" s="33"/>
      <c r="Q190" s="3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3"/>
      <c r="O191" s="33"/>
      <c r="P191" s="33"/>
      <c r="Q191" s="3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3"/>
      <c r="O192" s="33"/>
      <c r="P192" s="33"/>
      <c r="Q192" s="3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3"/>
      <c r="O193" s="33"/>
      <c r="P193" s="33"/>
      <c r="Q193" s="3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3"/>
      <c r="O194" s="33"/>
      <c r="P194" s="33"/>
      <c r="Q194" s="3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3"/>
      <c r="O195" s="33"/>
      <c r="P195" s="33"/>
      <c r="Q195" s="3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3"/>
      <c r="O196" s="33"/>
      <c r="P196" s="33"/>
      <c r="Q196" s="3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3"/>
      <c r="O197" s="33"/>
      <c r="P197" s="33"/>
      <c r="Q197" s="3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3"/>
      <c r="O198" s="33"/>
      <c r="P198" s="33"/>
      <c r="Q198" s="3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3"/>
      <c r="O199" s="33"/>
      <c r="P199" s="33"/>
      <c r="Q199" s="3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3"/>
      <c r="O200" s="33"/>
      <c r="P200" s="33"/>
      <c r="Q200" s="3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5">
    <mergeCell ref="A1:Q1"/>
    <mergeCell ref="A2:Q2"/>
    <mergeCell ref="A7:Q7"/>
    <mergeCell ref="A17:Q17"/>
    <mergeCell ref="A29:Q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T300"/>
  <sheetViews>
    <sheetView showGridLines="0" topLeftCell="A5" workbookViewId="0">
      <selection sqref="A1:Q1"/>
    </sheetView>
  </sheetViews>
  <sheetFormatPr defaultRowHeight="13.8"/>
  <cols>
    <col min="1" max="1" width="34" customWidth="1"/>
    <col min="2" max="17" width="11" customWidth="1"/>
  </cols>
  <sheetData>
    <row r="1" spans="1:46" ht="25.95" customHeight="1">
      <c r="A1" s="43" t="s">
        <v>364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4" t="s">
        <v>365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19" t="s">
        <v>39</v>
      </c>
      <c r="O5" s="19" t="s">
        <v>40</v>
      </c>
      <c r="P5" s="19" t="s">
        <v>41</v>
      </c>
      <c r="Q5" s="19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3"/>
      <c r="O6" s="33"/>
      <c r="P6" s="33"/>
      <c r="Q6" s="3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3"/>
      <c r="O7" s="33"/>
      <c r="P7" s="33"/>
      <c r="Q7" s="33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33"/>
      <c r="O8" s="33"/>
      <c r="P8" s="33"/>
      <c r="Q8" s="33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33"/>
      <c r="O9" s="33"/>
      <c r="P9" s="33"/>
      <c r="Q9" s="33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366</v>
      </c>
      <c r="B10" s="1" t="s">
        <v>60</v>
      </c>
      <c r="C10" s="13">
        <v>8</v>
      </c>
      <c r="D10" s="13">
        <v>8</v>
      </c>
      <c r="E10" s="13">
        <v>8</v>
      </c>
      <c r="F10" s="13">
        <v>10</v>
      </c>
      <c r="G10" s="13">
        <v>15</v>
      </c>
      <c r="H10" s="13">
        <v>15</v>
      </c>
      <c r="I10" s="13">
        <v>16</v>
      </c>
      <c r="J10" s="13">
        <v>19</v>
      </c>
      <c r="K10" s="13">
        <v>22</v>
      </c>
      <c r="L10" s="13">
        <v>22</v>
      </c>
      <c r="M10" s="13">
        <v>23</v>
      </c>
      <c r="N10" s="24">
        <f>ROUND(M10*(1+'Annual P&amp;L'!N8),0)</f>
        <v>24</v>
      </c>
      <c r="O10" s="24">
        <f>ROUND(N10*(1+'Annual P&amp;L'!O8),0)</f>
        <v>26</v>
      </c>
      <c r="P10" s="24">
        <f>ROUND(O10*(1+'Annual P&amp;L'!P8),0)</f>
        <v>28</v>
      </c>
      <c r="Q10" s="24">
        <f>ROUND(P10*(1+'Annual P&amp;L'!Q8),0)</f>
        <v>30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367</v>
      </c>
      <c r="B11" s="1" t="s">
        <v>60</v>
      </c>
      <c r="C11" s="13">
        <v>19</v>
      </c>
      <c r="D11" s="13">
        <v>25</v>
      </c>
      <c r="E11" s="13">
        <v>28</v>
      </c>
      <c r="F11" s="13">
        <v>29</v>
      </c>
      <c r="G11" s="13">
        <v>30</v>
      </c>
      <c r="H11" s="13">
        <v>35</v>
      </c>
      <c r="I11" s="13">
        <v>43</v>
      </c>
      <c r="J11" s="13">
        <v>46</v>
      </c>
      <c r="K11" s="13">
        <v>46</v>
      </c>
      <c r="L11" s="13">
        <v>52</v>
      </c>
      <c r="M11" s="13">
        <v>60</v>
      </c>
      <c r="N11" s="24">
        <f>ROUND(M11*(1+'Annual P&amp;L'!N8),0)</f>
        <v>64</v>
      </c>
      <c r="O11" s="24">
        <f>ROUND(N11*(1+'Annual P&amp;L'!O8),0)</f>
        <v>69</v>
      </c>
      <c r="P11" s="24">
        <f>ROUND(O11*(1+'Annual P&amp;L'!P8),0)</f>
        <v>75</v>
      </c>
      <c r="Q11" s="24">
        <f>ROUND(P11*(1+'Annual P&amp;L'!Q8),0)</f>
        <v>81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368</v>
      </c>
      <c r="B12" s="1" t="s">
        <v>60</v>
      </c>
      <c r="C12" s="13">
        <v>75</v>
      </c>
      <c r="D12" s="13">
        <v>85</v>
      </c>
      <c r="E12" s="13">
        <v>87</v>
      </c>
      <c r="F12" s="13">
        <v>95</v>
      </c>
      <c r="G12" s="13">
        <v>96</v>
      </c>
      <c r="H12" s="13">
        <v>96</v>
      </c>
      <c r="I12" s="13">
        <v>118</v>
      </c>
      <c r="J12" s="13">
        <v>131</v>
      </c>
      <c r="K12" s="13">
        <v>137</v>
      </c>
      <c r="L12" s="13">
        <v>138</v>
      </c>
      <c r="M12" s="13">
        <v>149</v>
      </c>
      <c r="N12" s="24">
        <f>ROUND(M12*(1+'Annual P&amp;L'!N8),0)</f>
        <v>158</v>
      </c>
      <c r="O12" s="24">
        <f>ROUND(N12*(1+'Annual P&amp;L'!O8),0)</f>
        <v>170</v>
      </c>
      <c r="P12" s="24">
        <f>ROUND(O12*(1+'Annual P&amp;L'!P8),0)</f>
        <v>185</v>
      </c>
      <c r="Q12" s="24">
        <f>ROUND(P12*(1+'Annual P&amp;L'!Q8),0)</f>
        <v>200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369</v>
      </c>
      <c r="B13" s="1" t="s">
        <v>60</v>
      </c>
      <c r="C13" s="13">
        <v>144</v>
      </c>
      <c r="D13" s="13">
        <v>153</v>
      </c>
      <c r="E13" s="13">
        <v>160</v>
      </c>
      <c r="F13" s="13">
        <v>166</v>
      </c>
      <c r="G13" s="13">
        <v>171</v>
      </c>
      <c r="H13" s="13">
        <v>178</v>
      </c>
      <c r="I13" s="13">
        <v>208</v>
      </c>
      <c r="J13" s="13">
        <v>229</v>
      </c>
      <c r="K13" s="13">
        <v>254</v>
      </c>
      <c r="L13" s="13">
        <v>251</v>
      </c>
      <c r="M13" s="13">
        <v>277</v>
      </c>
      <c r="N13" s="24">
        <f>ROUND(M13*(1+'Annual P&amp;L'!N8),0)</f>
        <v>294</v>
      </c>
      <c r="O13" s="24">
        <f>ROUND(N13*(1+'Annual P&amp;L'!O8),0)</f>
        <v>317</v>
      </c>
      <c r="P13" s="24">
        <f>ROUND(O13*(1+'Annual P&amp;L'!P8),0)</f>
        <v>345</v>
      </c>
      <c r="Q13" s="24">
        <f>ROUND(P13*(1+'Annual P&amp;L'!Q8),0)</f>
        <v>373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370</v>
      </c>
      <c r="B14" s="1" t="s">
        <v>60</v>
      </c>
      <c r="C14" s="13">
        <v>233</v>
      </c>
      <c r="D14" s="13">
        <v>246</v>
      </c>
      <c r="E14" s="13">
        <v>264</v>
      </c>
      <c r="F14" s="13">
        <v>283</v>
      </c>
      <c r="G14" s="13">
        <v>308</v>
      </c>
      <c r="H14" s="13">
        <v>318</v>
      </c>
      <c r="I14" s="13">
        <v>349</v>
      </c>
      <c r="J14" s="13">
        <v>375</v>
      </c>
      <c r="K14" s="13">
        <v>395</v>
      </c>
      <c r="L14" s="13">
        <v>399</v>
      </c>
      <c r="M14" s="13">
        <v>429</v>
      </c>
      <c r="N14" s="24">
        <f>ROUND(M14*(1+'Annual P&amp;L'!N8),0)</f>
        <v>456</v>
      </c>
      <c r="O14" s="24">
        <f>ROUND(N14*(1+'Annual P&amp;L'!O8),0)</f>
        <v>492</v>
      </c>
      <c r="P14" s="24">
        <f>ROUND(O14*(1+'Annual P&amp;L'!P8),0)</f>
        <v>535</v>
      </c>
      <c r="Q14" s="24">
        <f>ROUND(P14*(1+'Annual P&amp;L'!Q8),0)</f>
        <v>579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371</v>
      </c>
      <c r="B15" s="1" t="s">
        <v>60</v>
      </c>
      <c r="C15" s="13">
        <v>482</v>
      </c>
      <c r="D15" s="13">
        <v>506</v>
      </c>
      <c r="E15" s="13">
        <v>561</v>
      </c>
      <c r="F15" s="13">
        <v>623</v>
      </c>
      <c r="G15" s="13">
        <v>791</v>
      </c>
      <c r="H15" s="13">
        <v>809</v>
      </c>
      <c r="I15" s="13">
        <v>882</v>
      </c>
      <c r="J15" s="13">
        <v>939</v>
      </c>
      <c r="K15" s="13">
        <v>951</v>
      </c>
      <c r="L15" s="13">
        <v>948</v>
      </c>
      <c r="M15" s="13">
        <v>976</v>
      </c>
      <c r="N15" s="24">
        <f>ROUND(M15*(1+'Annual P&amp;L'!N8),0)</f>
        <v>1036</v>
      </c>
      <c r="O15" s="24">
        <f>ROUND(N15*(1+'Annual P&amp;L'!O8),0)</f>
        <v>1117</v>
      </c>
      <c r="P15" s="24">
        <f>ROUND(O15*(1+'Annual P&amp;L'!P8),0)</f>
        <v>1215</v>
      </c>
      <c r="Q15" s="24">
        <f>ROUND(P15*(1+'Annual P&amp;L'!Q8),0)</f>
        <v>1314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372</v>
      </c>
      <c r="B16" s="1" t="s">
        <v>46</v>
      </c>
      <c r="C16" s="12">
        <v>0.13600000000000001</v>
      </c>
      <c r="D16" s="12">
        <v>0.14699999999999999</v>
      </c>
      <c r="E16" s="12">
        <v>0.16300000000000001</v>
      </c>
      <c r="F16" s="12">
        <v>0.17</v>
      </c>
      <c r="G16" s="12">
        <v>0.151</v>
      </c>
      <c r="H16" s="12">
        <v>0.13200000000000001</v>
      </c>
      <c r="I16" s="12">
        <v>0.11600000000000001</v>
      </c>
      <c r="J16" s="12">
        <v>0.10100000000000001</v>
      </c>
      <c r="K16" s="12">
        <v>0.104</v>
      </c>
      <c r="L16" s="12">
        <v>0.127</v>
      </c>
      <c r="M16" s="12">
        <v>0.11899999999999999</v>
      </c>
      <c r="N16" s="25">
        <f t="shared" ref="N16:Q18" si="0">M16</f>
        <v>0.11899999999999999</v>
      </c>
      <c r="O16" s="25">
        <f t="shared" si="0"/>
        <v>0.11899999999999999</v>
      </c>
      <c r="P16" s="25">
        <f t="shared" si="0"/>
        <v>0.11899999999999999</v>
      </c>
      <c r="Q16" s="25">
        <f t="shared" si="0"/>
        <v>0.11899999999999999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373</v>
      </c>
      <c r="B17" s="1" t="s">
        <v>46</v>
      </c>
      <c r="C17" s="12">
        <v>0.218</v>
      </c>
      <c r="D17" s="12">
        <v>0.221</v>
      </c>
      <c r="E17" s="12">
        <v>0.23799999999999999</v>
      </c>
      <c r="F17" s="12">
        <v>0.24099999999999999</v>
      </c>
      <c r="G17" s="12">
        <v>0.22</v>
      </c>
      <c r="H17" s="12">
        <v>0.20899999999999999</v>
      </c>
      <c r="I17" s="12">
        <v>0.19800000000000001</v>
      </c>
      <c r="J17" s="12">
        <v>0.17699999999999999</v>
      </c>
      <c r="K17" s="12">
        <v>0.188</v>
      </c>
      <c r="L17" s="12">
        <v>0.20200000000000001</v>
      </c>
      <c r="M17" s="12">
        <v>0.191</v>
      </c>
      <c r="N17" s="25">
        <f t="shared" si="0"/>
        <v>0.191</v>
      </c>
      <c r="O17" s="25">
        <f t="shared" si="0"/>
        <v>0.191</v>
      </c>
      <c r="P17" s="25">
        <f t="shared" si="0"/>
        <v>0.191</v>
      </c>
      <c r="Q17" s="25">
        <f t="shared" si="0"/>
        <v>0.191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374</v>
      </c>
      <c r="B18" s="1" t="s">
        <v>46</v>
      </c>
      <c r="C18" s="12">
        <v>0.32200000000000001</v>
      </c>
      <c r="D18" s="12">
        <v>0.32900000000000001</v>
      </c>
      <c r="E18" s="12">
        <v>0.33700000000000002</v>
      </c>
      <c r="F18" s="12">
        <v>0.33400000000000002</v>
      </c>
      <c r="G18" s="12">
        <v>0.32100000000000001</v>
      </c>
      <c r="H18" s="12">
        <v>0.308</v>
      </c>
      <c r="I18" s="12">
        <v>0.29099999999999998</v>
      </c>
      <c r="J18" s="12">
        <v>0.27800000000000002</v>
      </c>
      <c r="K18" s="12">
        <v>0.28999999999999998</v>
      </c>
      <c r="L18" s="12">
        <v>0.30399999999999999</v>
      </c>
      <c r="M18" s="12">
        <v>0.28499999999999998</v>
      </c>
      <c r="N18" s="25">
        <f t="shared" si="0"/>
        <v>0.28499999999999998</v>
      </c>
      <c r="O18" s="25">
        <f t="shared" si="0"/>
        <v>0.28499999999999998</v>
      </c>
      <c r="P18" s="25">
        <f t="shared" si="0"/>
        <v>0.28499999999999998</v>
      </c>
      <c r="Q18" s="25">
        <f t="shared" si="0"/>
        <v>0.28499999999999998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375</v>
      </c>
      <c r="B19" s="1" t="s">
        <v>63</v>
      </c>
      <c r="C19" s="22">
        <f>IFERROR('Raw Financials'!C19/C15,"")</f>
        <v>12.936514522821575</v>
      </c>
      <c r="D19" s="22">
        <f>IFERROR('Raw Financials'!D19/D15,"")</f>
        <v>13.903162055335969</v>
      </c>
      <c r="E19" s="22">
        <f>IFERROR('Raw Financials'!E19/E15,"")</f>
        <v>13.971479500891265</v>
      </c>
      <c r="F19" s="22">
        <f>IFERROR('Raw Financials'!F19/F15,"")</f>
        <v>13.855537720706261</v>
      </c>
      <c r="G19" s="22">
        <f>IFERROR('Raw Financials'!G19/G15,"")</f>
        <v>12.561314791403287</v>
      </c>
      <c r="H19" s="22">
        <f>IFERROR('Raw Financials'!H19/H15,"")</f>
        <v>12.57725587144623</v>
      </c>
      <c r="I19" s="22">
        <f>IFERROR('Raw Financials'!I19/I15,"")</f>
        <v>13.017006802721088</v>
      </c>
      <c r="J19" s="22">
        <f>IFERROR('Raw Financials'!J19/J15,"")</f>
        <v>13.453674121405751</v>
      </c>
      <c r="K19" s="22">
        <f>IFERROR('Raw Financials'!K19/K15,"")</f>
        <v>13.952681388012618</v>
      </c>
      <c r="L19" s="22">
        <f>IFERROR('Raw Financials'!L19/L15,"")</f>
        <v>14.59915611814346</v>
      </c>
      <c r="M19" s="22">
        <f>IFERROR('Raw Financials'!M19/M15,"")</f>
        <v>15.024590163934427</v>
      </c>
      <c r="N19" s="30">
        <f>IFERROR('Annual P&amp;L'!N7*10/'Revenue Drivers'!N22/N15,"")</f>
        <v>14.04108963778719</v>
      </c>
      <c r="O19" s="30">
        <f>IFERROR('Annual P&amp;L'!O7*10/'Revenue Drivers'!O22/O15,"")</f>
        <v>13.898991369431714</v>
      </c>
      <c r="P19" s="30">
        <f>IFERROR('Annual P&amp;L'!P7*10/'Revenue Drivers'!P22/P15,"")</f>
        <v>13.751268283878264</v>
      </c>
      <c r="Q19" s="30">
        <f>IFERROR('Annual P&amp;L'!Q7*10/'Revenue Drivers'!Q22/Q15,"")</f>
        <v>13.611578572212764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376</v>
      </c>
      <c r="B20" s="1" t="s">
        <v>60</v>
      </c>
      <c r="C20" s="1"/>
      <c r="D20" s="20">
        <f t="shared" ref="D20:Q20" si="1">IF(OR(D15="",C15=""),"",D15-C15)</f>
        <v>24</v>
      </c>
      <c r="E20" s="20">
        <f t="shared" si="1"/>
        <v>55</v>
      </c>
      <c r="F20" s="20">
        <f t="shared" si="1"/>
        <v>62</v>
      </c>
      <c r="G20" s="20">
        <f t="shared" si="1"/>
        <v>168</v>
      </c>
      <c r="H20" s="20">
        <f t="shared" si="1"/>
        <v>18</v>
      </c>
      <c r="I20" s="20">
        <f t="shared" si="1"/>
        <v>73</v>
      </c>
      <c r="J20" s="20">
        <f t="shared" si="1"/>
        <v>57</v>
      </c>
      <c r="K20" s="20">
        <f t="shared" si="1"/>
        <v>12</v>
      </c>
      <c r="L20" s="20">
        <f t="shared" si="1"/>
        <v>-3</v>
      </c>
      <c r="M20" s="20">
        <f t="shared" si="1"/>
        <v>28</v>
      </c>
      <c r="N20" s="24">
        <f t="shared" si="1"/>
        <v>60</v>
      </c>
      <c r="O20" s="24">
        <f t="shared" si="1"/>
        <v>81</v>
      </c>
      <c r="P20" s="24">
        <f t="shared" si="1"/>
        <v>98</v>
      </c>
      <c r="Q20" s="24">
        <f t="shared" si="1"/>
        <v>99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64</v>
      </c>
      <c r="B21" s="1" t="s">
        <v>63</v>
      </c>
      <c r="C21" s="22">
        <f>'Raw Financials'!C22</f>
        <v>0</v>
      </c>
      <c r="D21" s="22">
        <f>'Raw Financials'!D22</f>
        <v>0</v>
      </c>
      <c r="E21" s="22">
        <f>'Raw Financials'!E22</f>
        <v>0</v>
      </c>
      <c r="F21" s="22">
        <f>'Raw Financials'!F22</f>
        <v>0</v>
      </c>
      <c r="G21" s="22">
        <f>'Raw Financials'!G22</f>
        <v>0</v>
      </c>
      <c r="H21" s="22">
        <f>'Raw Financials'!H22</f>
        <v>7300</v>
      </c>
      <c r="I21" s="22">
        <f>'Raw Financials'!I22</f>
        <v>8308</v>
      </c>
      <c r="J21" s="22">
        <f>'Raw Financials'!J22</f>
        <v>8850</v>
      </c>
      <c r="K21" s="22">
        <f>'Raw Financials'!K22</f>
        <v>9759</v>
      </c>
      <c r="L21" s="22">
        <f>'Raw Financials'!L22</f>
        <v>9268</v>
      </c>
      <c r="M21" s="22">
        <f>'Raw Financials'!M22</f>
        <v>9323</v>
      </c>
      <c r="N21" s="30">
        <f>M21*(1+'Annual P&amp;L'!N8)</f>
        <v>9899.5557574486065</v>
      </c>
      <c r="O21" s="30">
        <f>N21*(1+'Annual P&amp;L'!O8)</f>
        <v>10676.753717634545</v>
      </c>
      <c r="P21" s="30">
        <f>O21*(1+'Annual P&amp;L'!P8)</f>
        <v>11609.734840707151</v>
      </c>
      <c r="Q21" s="30">
        <f>P21*(1+'Annual P&amp;L'!Q8)</f>
        <v>12556.293794861735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377</v>
      </c>
      <c r="B22" s="1" t="s">
        <v>68</v>
      </c>
      <c r="C22" s="21">
        <f>IFERROR(C21/'Raw Financials'!C19,"")</f>
        <v>0</v>
      </c>
      <c r="D22" s="21">
        <f>IFERROR(D21/'Raw Financials'!D19,"")</f>
        <v>0</v>
      </c>
      <c r="E22" s="21">
        <f>IFERROR(E21/'Raw Financials'!E19,"")</f>
        <v>0</v>
      </c>
      <c r="F22" s="21">
        <f>IFERROR(F21/'Raw Financials'!F19,"")</f>
        <v>0</v>
      </c>
      <c r="G22" s="21">
        <f>IFERROR(G21/'Raw Financials'!G19,"")</f>
        <v>0</v>
      </c>
      <c r="H22" s="21">
        <f>IFERROR(H21/'Raw Financials'!H19,"")</f>
        <v>0.71744471744471749</v>
      </c>
      <c r="I22" s="21">
        <f>IFERROR(I21/'Raw Financials'!I19,"")</f>
        <v>0.72363034578869434</v>
      </c>
      <c r="J22" s="21">
        <f>IFERROR(J21/'Raw Financials'!J19,"")</f>
        <v>0.7005461885537877</v>
      </c>
      <c r="K22" s="21">
        <f>IFERROR(K21/'Raw Financials'!K19,"")</f>
        <v>0.73547366041148543</v>
      </c>
      <c r="L22" s="21">
        <f>IFERROR(L21/'Raw Financials'!L19,"")</f>
        <v>0.6696531791907514</v>
      </c>
      <c r="M22" s="21">
        <f>IFERROR(M21/'Raw Financials'!M19,"")</f>
        <v>0.63577468630660117</v>
      </c>
      <c r="N22" s="27">
        <f>IFERROR(N21/('Annual P&amp;L'!N7*10/'Revenue Drivers'!N22),"")</f>
        <v>0.68054232235062695</v>
      </c>
      <c r="O22" s="27">
        <f>IFERROR(O21/('Annual P&amp;L'!O7*10/'Revenue Drivers'!O22),"")</f>
        <v>0.68770592574379141</v>
      </c>
      <c r="P22" s="27">
        <f>IFERROR(P21/('Annual P&amp;L'!P7*10/'Revenue Drivers'!P22),"")</f>
        <v>0.69486952913695588</v>
      </c>
      <c r="Q22" s="27">
        <f>IFERROR(Q21/('Annual P&amp;L'!Q7*10/'Revenue Drivers'!Q22),"")</f>
        <v>0.70203313253012045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3"/>
      <c r="O23" s="33"/>
      <c r="P23" s="33"/>
      <c r="Q23" s="33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3"/>
      <c r="O24" s="33"/>
      <c r="P24" s="33"/>
      <c r="Q24" s="33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3"/>
      <c r="O25" s="33"/>
      <c r="P25" s="33"/>
      <c r="Q25" s="33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33"/>
      <c r="O26" s="33"/>
      <c r="P26" s="33"/>
      <c r="Q26" s="33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3"/>
      <c r="O27" s="33"/>
      <c r="P27" s="33"/>
      <c r="Q27" s="33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3"/>
      <c r="O28" s="33"/>
      <c r="P28" s="33"/>
      <c r="Q28" s="33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3"/>
      <c r="O29" s="33"/>
      <c r="P29" s="33"/>
      <c r="Q29" s="33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3"/>
      <c r="O30" s="33"/>
      <c r="P30" s="33"/>
      <c r="Q30" s="33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33"/>
      <c r="O31" s="33"/>
      <c r="P31" s="33"/>
      <c r="Q31" s="33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3"/>
      <c r="O32" s="33"/>
      <c r="P32" s="33"/>
      <c r="Q32" s="33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33"/>
      <c r="O33" s="33"/>
      <c r="P33" s="33"/>
      <c r="Q33" s="33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3"/>
      <c r="O34" s="33"/>
      <c r="P34" s="33"/>
      <c r="Q34" s="33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3"/>
      <c r="O35" s="33"/>
      <c r="P35" s="33"/>
      <c r="Q35" s="33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3"/>
      <c r="O36" s="33"/>
      <c r="P36" s="33"/>
      <c r="Q36" s="3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3"/>
      <c r="O37" s="33"/>
      <c r="P37" s="33"/>
      <c r="Q37" s="3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3"/>
      <c r="O38" s="33"/>
      <c r="P38" s="33"/>
      <c r="Q38" s="33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3"/>
      <c r="O39" s="33"/>
      <c r="P39" s="33"/>
      <c r="Q39" s="33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3"/>
      <c r="O40" s="33"/>
      <c r="P40" s="33"/>
      <c r="Q40" s="33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3"/>
      <c r="O41" s="33"/>
      <c r="P41" s="33"/>
      <c r="Q41" s="33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3"/>
      <c r="O42" s="33"/>
      <c r="P42" s="33"/>
      <c r="Q42" s="33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3"/>
      <c r="O43" s="33"/>
      <c r="P43" s="33"/>
      <c r="Q43" s="33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3"/>
      <c r="O44" s="33"/>
      <c r="P44" s="33"/>
      <c r="Q44" s="33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3"/>
      <c r="O45" s="33"/>
      <c r="P45" s="33"/>
      <c r="Q45" s="33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3"/>
      <c r="O46" s="33"/>
      <c r="P46" s="33"/>
      <c r="Q46" s="33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3"/>
      <c r="O47" s="33"/>
      <c r="P47" s="33"/>
      <c r="Q47" s="3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3"/>
      <c r="O48" s="33"/>
      <c r="P48" s="33"/>
      <c r="Q48" s="3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3"/>
      <c r="O49" s="33"/>
      <c r="P49" s="33"/>
      <c r="Q49" s="3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3"/>
      <c r="O50" s="33"/>
      <c r="P50" s="33"/>
      <c r="Q50" s="3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3"/>
      <c r="O51" s="33"/>
      <c r="P51" s="33"/>
      <c r="Q51" s="3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3"/>
      <c r="O52" s="33"/>
      <c r="P52" s="33"/>
      <c r="Q52" s="33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3"/>
      <c r="O53" s="33"/>
      <c r="P53" s="33"/>
      <c r="Q53" s="33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3"/>
      <c r="O54" s="33"/>
      <c r="P54" s="33"/>
      <c r="Q54" s="33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3"/>
      <c r="O55" s="33"/>
      <c r="P55" s="33"/>
      <c r="Q55" s="33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3"/>
      <c r="O56" s="33"/>
      <c r="P56" s="33"/>
      <c r="Q56" s="33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3"/>
      <c r="O57" s="33"/>
      <c r="P57" s="33"/>
      <c r="Q57" s="33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3"/>
      <c r="O58" s="33"/>
      <c r="P58" s="33"/>
      <c r="Q58" s="33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3"/>
      <c r="O59" s="33"/>
      <c r="P59" s="33"/>
      <c r="Q59" s="33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3"/>
      <c r="O60" s="33"/>
      <c r="P60" s="33"/>
      <c r="Q60" s="33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3"/>
      <c r="O61" s="33"/>
      <c r="P61" s="33"/>
      <c r="Q61" s="33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3"/>
      <c r="O62" s="33"/>
      <c r="P62" s="33"/>
      <c r="Q62" s="33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3"/>
      <c r="O63" s="33"/>
      <c r="P63" s="33"/>
      <c r="Q63" s="33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3"/>
      <c r="O64" s="33"/>
      <c r="P64" s="33"/>
      <c r="Q64" s="3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3"/>
      <c r="O65" s="33"/>
      <c r="P65" s="33"/>
      <c r="Q65" s="33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3"/>
      <c r="O66" s="33"/>
      <c r="P66" s="33"/>
      <c r="Q66" s="33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3"/>
      <c r="O67" s="33"/>
      <c r="P67" s="33"/>
      <c r="Q67" s="33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3"/>
      <c r="O68" s="33"/>
      <c r="P68" s="33"/>
      <c r="Q68" s="33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3"/>
      <c r="O69" s="33"/>
      <c r="P69" s="33"/>
      <c r="Q69" s="33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3"/>
      <c r="O70" s="33"/>
      <c r="P70" s="33"/>
      <c r="Q70" s="33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3"/>
      <c r="O71" s="33"/>
      <c r="P71" s="33"/>
      <c r="Q71" s="33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3"/>
      <c r="O72" s="33"/>
      <c r="P72" s="33"/>
      <c r="Q72" s="33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3"/>
      <c r="O73" s="33"/>
      <c r="P73" s="33"/>
      <c r="Q73" s="33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3"/>
      <c r="O74" s="33"/>
      <c r="P74" s="33"/>
      <c r="Q74" s="3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3"/>
      <c r="O75" s="33"/>
      <c r="P75" s="33"/>
      <c r="Q75" s="3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3"/>
      <c r="O76" s="33"/>
      <c r="P76" s="33"/>
      <c r="Q76" s="3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3"/>
      <c r="O77" s="33"/>
      <c r="P77" s="33"/>
      <c r="Q77" s="33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3"/>
      <c r="O78" s="33"/>
      <c r="P78" s="33"/>
      <c r="Q78" s="33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3"/>
      <c r="O79" s="33"/>
      <c r="P79" s="33"/>
      <c r="Q79" s="33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3"/>
      <c r="O80" s="33"/>
      <c r="P80" s="33"/>
      <c r="Q80" s="33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3"/>
      <c r="O81" s="33"/>
      <c r="P81" s="33"/>
      <c r="Q81" s="33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3"/>
      <c r="O82" s="33"/>
      <c r="P82" s="33"/>
      <c r="Q82" s="33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3"/>
      <c r="O83" s="33"/>
      <c r="P83" s="33"/>
      <c r="Q83" s="33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3"/>
      <c r="O84" s="33"/>
      <c r="P84" s="33"/>
      <c r="Q84" s="33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3"/>
      <c r="O85" s="33"/>
      <c r="P85" s="33"/>
      <c r="Q85" s="33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3"/>
      <c r="O86" s="33"/>
      <c r="P86" s="33"/>
      <c r="Q86" s="3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3"/>
      <c r="O87" s="33"/>
      <c r="P87" s="33"/>
      <c r="Q87" s="3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3"/>
      <c r="O88" s="33"/>
      <c r="P88" s="33"/>
      <c r="Q88" s="33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3"/>
      <c r="O89" s="33"/>
      <c r="P89" s="33"/>
      <c r="Q89" s="33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3"/>
      <c r="O90" s="33"/>
      <c r="P90" s="33"/>
      <c r="Q90" s="33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3"/>
      <c r="O91" s="33"/>
      <c r="P91" s="33"/>
      <c r="Q91" s="33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3"/>
      <c r="O92" s="33"/>
      <c r="P92" s="33"/>
      <c r="Q92" s="33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3"/>
      <c r="O93" s="33"/>
      <c r="P93" s="33"/>
      <c r="Q93" s="33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3"/>
      <c r="O94" s="33"/>
      <c r="P94" s="33"/>
      <c r="Q94" s="33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3"/>
      <c r="O95" s="33"/>
      <c r="P95" s="33"/>
      <c r="Q95" s="33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3"/>
      <c r="O96" s="33"/>
      <c r="P96" s="33"/>
      <c r="Q96" s="33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3"/>
      <c r="O97" s="33"/>
      <c r="P97" s="33"/>
      <c r="Q97" s="33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3"/>
      <c r="O98" s="33"/>
      <c r="P98" s="33"/>
      <c r="Q98" s="33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3"/>
      <c r="O99" s="33"/>
      <c r="P99" s="33"/>
      <c r="Q99" s="33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3"/>
      <c r="O100" s="33"/>
      <c r="P100" s="33"/>
      <c r="Q100" s="3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3"/>
      <c r="O101" s="33"/>
      <c r="P101" s="33"/>
      <c r="Q101" s="3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3"/>
      <c r="O102" s="33"/>
      <c r="P102" s="33"/>
      <c r="Q102" s="3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3"/>
      <c r="O103" s="33"/>
      <c r="P103" s="33"/>
      <c r="Q103" s="3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3"/>
      <c r="O104" s="33"/>
      <c r="P104" s="33"/>
      <c r="Q104" s="3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3"/>
      <c r="O105" s="33"/>
      <c r="P105" s="33"/>
      <c r="Q105" s="3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3"/>
      <c r="O106" s="33"/>
      <c r="P106" s="33"/>
      <c r="Q106" s="3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3"/>
      <c r="O107" s="33"/>
      <c r="P107" s="33"/>
      <c r="Q107" s="3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3"/>
      <c r="O108" s="33"/>
      <c r="P108" s="33"/>
      <c r="Q108" s="3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3"/>
      <c r="O109" s="33"/>
      <c r="P109" s="33"/>
      <c r="Q109" s="3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3"/>
      <c r="O110" s="33"/>
      <c r="P110" s="33"/>
      <c r="Q110" s="3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3"/>
      <c r="O111" s="33"/>
      <c r="P111" s="33"/>
      <c r="Q111" s="3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3"/>
      <c r="O112" s="33"/>
      <c r="P112" s="33"/>
      <c r="Q112" s="3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3"/>
      <c r="O113" s="33"/>
      <c r="P113" s="33"/>
      <c r="Q113" s="3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3"/>
      <c r="O114" s="33"/>
      <c r="P114" s="33"/>
      <c r="Q114" s="3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3"/>
      <c r="O115" s="33"/>
      <c r="P115" s="33"/>
      <c r="Q115" s="3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3"/>
      <c r="O116" s="33"/>
      <c r="P116" s="33"/>
      <c r="Q116" s="3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3"/>
      <c r="O117" s="33"/>
      <c r="P117" s="33"/>
      <c r="Q117" s="3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3"/>
      <c r="O118" s="33"/>
      <c r="P118" s="33"/>
      <c r="Q118" s="3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3"/>
      <c r="O119" s="33"/>
      <c r="P119" s="33"/>
      <c r="Q119" s="3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3"/>
      <c r="O120" s="33"/>
      <c r="P120" s="33"/>
      <c r="Q120" s="3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3"/>
      <c r="O121" s="33"/>
      <c r="P121" s="33"/>
      <c r="Q121" s="3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3"/>
      <c r="O122" s="33"/>
      <c r="P122" s="33"/>
      <c r="Q122" s="3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3"/>
      <c r="O123" s="33"/>
      <c r="P123" s="33"/>
      <c r="Q123" s="3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3"/>
      <c r="O124" s="33"/>
      <c r="P124" s="33"/>
      <c r="Q124" s="3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3"/>
      <c r="O125" s="33"/>
      <c r="P125" s="33"/>
      <c r="Q125" s="3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3"/>
      <c r="O126" s="33"/>
      <c r="P126" s="33"/>
      <c r="Q126" s="3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3"/>
      <c r="O127" s="33"/>
      <c r="P127" s="33"/>
      <c r="Q127" s="3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3"/>
      <c r="O128" s="33"/>
      <c r="P128" s="33"/>
      <c r="Q128" s="3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3"/>
      <c r="O129" s="33"/>
      <c r="P129" s="33"/>
      <c r="Q129" s="3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3"/>
      <c r="O130" s="33"/>
      <c r="P130" s="33"/>
      <c r="Q130" s="3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3"/>
      <c r="O131" s="33"/>
      <c r="P131" s="33"/>
      <c r="Q131" s="3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3"/>
      <c r="O132" s="33"/>
      <c r="P132" s="33"/>
      <c r="Q132" s="3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3"/>
      <c r="O133" s="33"/>
      <c r="P133" s="33"/>
      <c r="Q133" s="3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3"/>
      <c r="O134" s="33"/>
      <c r="P134" s="33"/>
      <c r="Q134" s="3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3"/>
      <c r="O135" s="33"/>
      <c r="P135" s="33"/>
      <c r="Q135" s="3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3"/>
      <c r="O136" s="33"/>
      <c r="P136" s="33"/>
      <c r="Q136" s="3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3"/>
      <c r="O137" s="33"/>
      <c r="P137" s="33"/>
      <c r="Q137" s="3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3"/>
      <c r="O138" s="33"/>
      <c r="P138" s="33"/>
      <c r="Q138" s="3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3"/>
      <c r="O139" s="33"/>
      <c r="P139" s="33"/>
      <c r="Q139" s="3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3"/>
      <c r="O140" s="33"/>
      <c r="P140" s="33"/>
      <c r="Q140" s="3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3"/>
      <c r="O141" s="33"/>
      <c r="P141" s="33"/>
      <c r="Q141" s="3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3"/>
      <c r="O142" s="33"/>
      <c r="P142" s="33"/>
      <c r="Q142" s="3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3"/>
      <c r="O143" s="33"/>
      <c r="P143" s="33"/>
      <c r="Q143" s="3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3"/>
      <c r="O144" s="33"/>
      <c r="P144" s="33"/>
      <c r="Q144" s="3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3"/>
      <c r="O145" s="33"/>
      <c r="P145" s="33"/>
      <c r="Q145" s="3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3"/>
      <c r="O146" s="33"/>
      <c r="P146" s="33"/>
      <c r="Q146" s="3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3"/>
      <c r="O147" s="33"/>
      <c r="P147" s="33"/>
      <c r="Q147" s="3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3"/>
      <c r="O148" s="33"/>
      <c r="P148" s="33"/>
      <c r="Q148" s="3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3"/>
      <c r="O149" s="33"/>
      <c r="P149" s="33"/>
      <c r="Q149" s="3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3"/>
      <c r="O150" s="33"/>
      <c r="P150" s="33"/>
      <c r="Q150" s="3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3"/>
      <c r="O151" s="33"/>
      <c r="P151" s="33"/>
      <c r="Q151" s="3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3"/>
      <c r="O152" s="33"/>
      <c r="P152" s="33"/>
      <c r="Q152" s="3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3"/>
      <c r="O153" s="33"/>
      <c r="P153" s="33"/>
      <c r="Q153" s="3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3"/>
      <c r="O154" s="33"/>
      <c r="P154" s="33"/>
      <c r="Q154" s="3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3"/>
      <c r="O155" s="33"/>
      <c r="P155" s="33"/>
      <c r="Q155" s="3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3"/>
      <c r="O156" s="33"/>
      <c r="P156" s="33"/>
      <c r="Q156" s="3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3"/>
      <c r="O157" s="33"/>
      <c r="P157" s="33"/>
      <c r="Q157" s="3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3"/>
      <c r="O158" s="33"/>
      <c r="P158" s="33"/>
      <c r="Q158" s="3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3"/>
      <c r="O159" s="33"/>
      <c r="P159" s="33"/>
      <c r="Q159" s="3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3"/>
      <c r="O160" s="33"/>
      <c r="P160" s="33"/>
      <c r="Q160" s="3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3"/>
      <c r="O161" s="33"/>
      <c r="P161" s="33"/>
      <c r="Q161" s="3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3"/>
      <c r="O162" s="33"/>
      <c r="P162" s="33"/>
      <c r="Q162" s="3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3"/>
      <c r="O163" s="33"/>
      <c r="P163" s="33"/>
      <c r="Q163" s="3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3"/>
      <c r="O164" s="33"/>
      <c r="P164" s="33"/>
      <c r="Q164" s="3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3"/>
      <c r="O165" s="33"/>
      <c r="P165" s="33"/>
      <c r="Q165" s="3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3"/>
      <c r="O166" s="33"/>
      <c r="P166" s="33"/>
      <c r="Q166" s="3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3"/>
      <c r="O167" s="33"/>
      <c r="P167" s="33"/>
      <c r="Q167" s="3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3"/>
      <c r="O168" s="33"/>
      <c r="P168" s="33"/>
      <c r="Q168" s="3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3"/>
      <c r="O169" s="33"/>
      <c r="P169" s="33"/>
      <c r="Q169" s="3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3"/>
      <c r="O170" s="33"/>
      <c r="P170" s="33"/>
      <c r="Q170" s="3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3"/>
      <c r="O171" s="33"/>
      <c r="P171" s="33"/>
      <c r="Q171" s="3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3"/>
      <c r="O172" s="33"/>
      <c r="P172" s="33"/>
      <c r="Q172" s="3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3"/>
      <c r="O173" s="33"/>
      <c r="P173" s="33"/>
      <c r="Q173" s="3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3"/>
      <c r="O174" s="33"/>
      <c r="P174" s="33"/>
      <c r="Q174" s="3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3"/>
      <c r="O175" s="33"/>
      <c r="P175" s="33"/>
      <c r="Q175" s="3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3"/>
      <c r="O176" s="33"/>
      <c r="P176" s="33"/>
      <c r="Q176" s="3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3"/>
      <c r="O177" s="33"/>
      <c r="P177" s="33"/>
      <c r="Q177" s="3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3"/>
      <c r="O178" s="33"/>
      <c r="P178" s="33"/>
      <c r="Q178" s="3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3"/>
      <c r="O179" s="33"/>
      <c r="P179" s="33"/>
      <c r="Q179" s="3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3"/>
      <c r="O180" s="33"/>
      <c r="P180" s="33"/>
      <c r="Q180" s="3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3"/>
      <c r="O181" s="33"/>
      <c r="P181" s="33"/>
      <c r="Q181" s="3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3"/>
      <c r="O182" s="33"/>
      <c r="P182" s="33"/>
      <c r="Q182" s="3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3"/>
      <c r="O183" s="33"/>
      <c r="P183" s="33"/>
      <c r="Q183" s="3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3"/>
      <c r="O184" s="33"/>
      <c r="P184" s="33"/>
      <c r="Q184" s="3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3"/>
      <c r="O185" s="33"/>
      <c r="P185" s="33"/>
      <c r="Q185" s="3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3"/>
      <c r="O186" s="33"/>
      <c r="P186" s="33"/>
      <c r="Q186" s="3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3"/>
      <c r="O187" s="33"/>
      <c r="P187" s="33"/>
      <c r="Q187" s="3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3"/>
      <c r="O188" s="33"/>
      <c r="P188" s="33"/>
      <c r="Q188" s="3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3"/>
      <c r="O189" s="33"/>
      <c r="P189" s="33"/>
      <c r="Q189" s="3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3"/>
      <c r="O190" s="33"/>
      <c r="P190" s="33"/>
      <c r="Q190" s="3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3"/>
      <c r="O191" s="33"/>
      <c r="P191" s="33"/>
      <c r="Q191" s="3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3"/>
      <c r="O192" s="33"/>
      <c r="P192" s="33"/>
      <c r="Q192" s="3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3"/>
      <c r="O193" s="33"/>
      <c r="P193" s="33"/>
      <c r="Q193" s="3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3"/>
      <c r="O194" s="33"/>
      <c r="P194" s="33"/>
      <c r="Q194" s="3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3"/>
      <c r="O195" s="33"/>
      <c r="P195" s="33"/>
      <c r="Q195" s="3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3"/>
      <c r="O196" s="33"/>
      <c r="P196" s="33"/>
      <c r="Q196" s="3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3"/>
      <c r="O197" s="33"/>
      <c r="P197" s="33"/>
      <c r="Q197" s="3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3"/>
      <c r="O198" s="33"/>
      <c r="P198" s="33"/>
      <c r="Q198" s="3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3"/>
      <c r="O199" s="33"/>
      <c r="P199" s="33"/>
      <c r="Q199" s="3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3"/>
      <c r="O200" s="33"/>
      <c r="P200" s="33"/>
      <c r="Q200" s="3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300"/>
  <sheetViews>
    <sheetView showGridLines="0" topLeftCell="H23" workbookViewId="0">
      <selection activeCell="N31" sqref="N31"/>
    </sheetView>
  </sheetViews>
  <sheetFormatPr defaultRowHeight="13.8"/>
  <cols>
    <col min="1" max="1" width="34" customWidth="1"/>
    <col min="2" max="17" width="11" customWidth="1"/>
  </cols>
  <sheetData>
    <row r="1" spans="1:46" ht="25.95" customHeight="1">
      <c r="A1" s="43" t="s">
        <v>378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4" t="s">
        <v>379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19" t="s">
        <v>39</v>
      </c>
      <c r="O5" s="19" t="s">
        <v>40</v>
      </c>
      <c r="P5" s="19" t="s">
        <v>41</v>
      </c>
      <c r="Q5" s="19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 t="s">
        <v>59</v>
      </c>
      <c r="B6" s="1" t="s">
        <v>60</v>
      </c>
      <c r="C6" s="20">
        <f>'Raw Financials'!C20</f>
        <v>104896</v>
      </c>
      <c r="D6" s="20">
        <f>'Raw Financials'!D20</f>
        <v>115973</v>
      </c>
      <c r="E6" s="20">
        <f>'Raw Financials'!E20</f>
        <v>120081</v>
      </c>
      <c r="F6" s="20">
        <f>'Raw Financials'!F20</f>
        <v>137965</v>
      </c>
      <c r="G6" s="20">
        <f>'Raw Financials'!G20</f>
        <v>150423</v>
      </c>
      <c r="H6" s="20">
        <f>'Raw Financials'!H20</f>
        <v>168977</v>
      </c>
      <c r="I6" s="20">
        <f>'Raw Financials'!I20</f>
        <v>208877</v>
      </c>
      <c r="J6" s="20">
        <f>'Raw Financials'!J20</f>
        <v>225944</v>
      </c>
      <c r="K6" s="20">
        <f>'Raw Financials'!K20</f>
        <v>227481</v>
      </c>
      <c r="L6" s="20">
        <f>'Raw Financials'!L20</f>
        <v>223420</v>
      </c>
      <c r="M6" s="20">
        <f>'Raw Financials'!M20</f>
        <v>227181</v>
      </c>
      <c r="N6" s="24">
        <f>M6*(1+Assumptions!C6)</f>
        <v>233996.43</v>
      </c>
      <c r="O6" s="24">
        <f>N6*(1+Assumptions!D6)</f>
        <v>242186.30504999997</v>
      </c>
      <c r="P6" s="24">
        <f>O6*(1+Assumptions!E6)</f>
        <v>251873.75725199998</v>
      </c>
      <c r="Q6" s="24">
        <f>P6*(1+Assumptions!F6)</f>
        <v>261948.70754208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380</v>
      </c>
      <c r="B7" s="1" t="s">
        <v>46</v>
      </c>
      <c r="C7" s="1"/>
      <c r="D7" s="15">
        <f t="shared" ref="D7:M7" si="0">IFERROR(D6/C6-1,"")</f>
        <v>0.1055998322147651</v>
      </c>
      <c r="E7" s="15">
        <f t="shared" si="0"/>
        <v>3.5422037888129143E-2</v>
      </c>
      <c r="F7" s="15">
        <f t="shared" si="0"/>
        <v>0.14893280369084194</v>
      </c>
      <c r="G7" s="15">
        <f t="shared" si="0"/>
        <v>9.0298264052476984E-2</v>
      </c>
      <c r="H7" s="15">
        <f t="shared" si="0"/>
        <v>0.12334549902607983</v>
      </c>
      <c r="I7" s="15">
        <f t="shared" si="0"/>
        <v>0.23612681015759551</v>
      </c>
      <c r="J7" s="15">
        <f t="shared" si="0"/>
        <v>8.1708373827659386E-2</v>
      </c>
      <c r="K7" s="15">
        <f t="shared" si="0"/>
        <v>6.8025705484544563E-3</v>
      </c>
      <c r="L7" s="15">
        <f t="shared" si="0"/>
        <v>-1.7852040390186397E-2</v>
      </c>
      <c r="M7" s="15">
        <f t="shared" si="0"/>
        <v>1.6833766001253192E-2</v>
      </c>
      <c r="N7" s="25">
        <f>Assumptions!C6</f>
        <v>0.03</v>
      </c>
      <c r="O7" s="25">
        <f>Assumptions!D6</f>
        <v>3.5000000000000003E-2</v>
      </c>
      <c r="P7" s="25">
        <f>Assumptions!E6</f>
        <v>0.04</v>
      </c>
      <c r="Q7" s="25">
        <f>Assumptions!F6</f>
        <v>0.04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381</v>
      </c>
      <c r="B8" s="1" t="s">
        <v>46</v>
      </c>
      <c r="C8" s="15">
        <f>IFERROR('Raw Financials'!C50/C6,"")</f>
        <v>0.91184601891397199</v>
      </c>
      <c r="D8" s="15">
        <f>IFERROR('Raw Financials'!D50/D6,"")</f>
        <v>0.91009976460038111</v>
      </c>
      <c r="E8" s="15">
        <f>IFERROR('Raw Financials'!E50/E6,"")</f>
        <v>0.91242577926566237</v>
      </c>
      <c r="F8" s="15">
        <f>IFERROR('Raw Financials'!F50/F6,"")</f>
        <v>0.91847207625122318</v>
      </c>
      <c r="G8" s="15">
        <f>IFERROR('Raw Financials'!G50/G6,"")</f>
        <v>0.92606848686703491</v>
      </c>
      <c r="H8" s="15">
        <f>IFERROR('Raw Financials'!H50/H6,"")</f>
        <v>0.92663498582647341</v>
      </c>
      <c r="I8" s="15">
        <f>IFERROR('Raw Financials'!I50/I6,"")</f>
        <v>0.93449733575261995</v>
      </c>
      <c r="J8" s="15">
        <f>IFERROR('Raw Financials'!J50/J6,"")</f>
        <v>0.935829232022094</v>
      </c>
      <c r="K8" s="15">
        <f>IFERROR('Raw Financials'!K50/K6,"")</f>
        <v>0.93660129856999041</v>
      </c>
      <c r="L8" s="15">
        <f>IFERROR('Raw Financials'!L50/L6,"")</f>
        <v>0.93627249127204371</v>
      </c>
      <c r="M8" s="15">
        <f>IFERROR('Raw Financials'!M50/M6,"")</f>
        <v>0.93660561402582088</v>
      </c>
      <c r="N8" s="25">
        <f>Assumptions!C7</f>
        <v>0.94</v>
      </c>
      <c r="O8" s="25">
        <f>Assumptions!D7</f>
        <v>0.94</v>
      </c>
      <c r="P8" s="25">
        <f>Assumptions!E7</f>
        <v>0.94</v>
      </c>
      <c r="Q8" s="25">
        <f>Assumptions!F7</f>
        <v>0.94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382</v>
      </c>
      <c r="B9" s="1" t="s">
        <v>60</v>
      </c>
      <c r="C9" s="20">
        <f>'Raw Financials'!C50</f>
        <v>95649</v>
      </c>
      <c r="D9" s="20">
        <f>'Raw Financials'!D50</f>
        <v>105547</v>
      </c>
      <c r="E9" s="20">
        <f>'Raw Financials'!E50</f>
        <v>109565</v>
      </c>
      <c r="F9" s="20">
        <f>'Raw Financials'!F50</f>
        <v>126717</v>
      </c>
      <c r="G9" s="20">
        <f>'Raw Financials'!G50</f>
        <v>139302</v>
      </c>
      <c r="H9" s="20">
        <f>'Raw Financials'!H50</f>
        <v>156580</v>
      </c>
      <c r="I9" s="20">
        <f>'Raw Financials'!I50</f>
        <v>195195</v>
      </c>
      <c r="J9" s="20">
        <f>'Raw Financials'!J50</f>
        <v>211445</v>
      </c>
      <c r="K9" s="20">
        <f>'Raw Financials'!K50</f>
        <v>213059</v>
      </c>
      <c r="L9" s="20">
        <f>'Raw Financials'!L50</f>
        <v>209182</v>
      </c>
      <c r="M9" s="20">
        <f>'Raw Financials'!M50</f>
        <v>212779</v>
      </c>
      <c r="N9" s="24">
        <f>N6*N8</f>
        <v>219956.64419999998</v>
      </c>
      <c r="O9" s="24">
        <f>O6*O8</f>
        <v>227655.12674699994</v>
      </c>
      <c r="P9" s="24">
        <f>P6*P8</f>
        <v>236761.33181687997</v>
      </c>
      <c r="Q9" s="24">
        <f>Q6*Q8</f>
        <v>246231.7850895552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383</v>
      </c>
      <c r="B10" s="1" t="s">
        <v>46</v>
      </c>
      <c r="C10" s="15">
        <f>'Raw Financials'!C21</f>
        <v>0.85599999999999998</v>
      </c>
      <c r="D10" s="15">
        <f>'Raw Financials'!D21</f>
        <v>0.85699999999999998</v>
      </c>
      <c r="E10" s="15">
        <f>'Raw Financials'!E21</f>
        <v>0.85899999999999999</v>
      </c>
      <c r="F10" s="15">
        <f>'Raw Financials'!F21</f>
        <v>0.85399999999999998</v>
      </c>
      <c r="G10" s="15">
        <f>'Raw Financials'!G21</f>
        <v>0</v>
      </c>
      <c r="H10" s="15">
        <f>'Raw Financials'!H21</f>
        <v>0</v>
      </c>
      <c r="I10" s="15">
        <f>'Raw Financials'!I21</f>
        <v>0</v>
      </c>
      <c r="J10" s="15">
        <f>'Raw Financials'!J21</f>
        <v>0</v>
      </c>
      <c r="K10" s="15">
        <f>'Raw Financials'!K21</f>
        <v>0</v>
      </c>
      <c r="L10" s="15">
        <f>'Raw Financials'!L21</f>
        <v>0</v>
      </c>
      <c r="M10" s="15">
        <f>'Raw Financials'!M21</f>
        <v>0</v>
      </c>
      <c r="N10" s="25">
        <f>Assumptions!C8</f>
        <v>0.84</v>
      </c>
      <c r="O10" s="25">
        <f>Assumptions!D8</f>
        <v>0.84499999999999997</v>
      </c>
      <c r="P10" s="25">
        <f>Assumptions!E8</f>
        <v>0.85</v>
      </c>
      <c r="Q10" s="25">
        <f>Assumptions!F8</f>
        <v>0.85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8" t="s">
        <v>384</v>
      </c>
      <c r="B11" s="16" t="s">
        <v>60</v>
      </c>
      <c r="C11" s="23">
        <f t="shared" ref="C11:M11" si="1">IF(C10="","",C9*C10)</f>
        <v>81875.543999999994</v>
      </c>
      <c r="D11" s="23">
        <f t="shared" si="1"/>
        <v>90453.778999999995</v>
      </c>
      <c r="E11" s="23">
        <f t="shared" si="1"/>
        <v>94116.334999999992</v>
      </c>
      <c r="F11" s="23">
        <f t="shared" si="1"/>
        <v>108216.318</v>
      </c>
      <c r="G11" s="23">
        <f t="shared" si="1"/>
        <v>0</v>
      </c>
      <c r="H11" s="23">
        <f t="shared" si="1"/>
        <v>0</v>
      </c>
      <c r="I11" s="23">
        <f t="shared" si="1"/>
        <v>0</v>
      </c>
      <c r="J11" s="23">
        <f t="shared" si="1"/>
        <v>0</v>
      </c>
      <c r="K11" s="23">
        <f t="shared" si="1"/>
        <v>0</v>
      </c>
      <c r="L11" s="23">
        <f t="shared" si="1"/>
        <v>0</v>
      </c>
      <c r="M11" s="23">
        <f t="shared" si="1"/>
        <v>0</v>
      </c>
      <c r="N11" s="26">
        <f>N9*N10</f>
        <v>184763.58112799999</v>
      </c>
      <c r="O11" s="26">
        <f>O9*O10</f>
        <v>192368.58210121494</v>
      </c>
      <c r="P11" s="26">
        <f>P9*P10</f>
        <v>201247.13204434796</v>
      </c>
      <c r="Q11" s="26">
        <f>Q9*Q10</f>
        <v>209297.01732612192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385</v>
      </c>
      <c r="B12" s="1" t="s">
        <v>44</v>
      </c>
      <c r="C12" s="21">
        <f>IFERROR('Annual P&amp;L'!C7/C11,"")</f>
        <v>0.49969744323164439</v>
      </c>
      <c r="D12" s="21">
        <f>IFERROR('Annual P&amp;L'!D7/D11,"")</f>
        <v>0.51654005522533231</v>
      </c>
      <c r="E12" s="21">
        <f>IFERROR('Annual P&amp;L'!E7/E11,"")</f>
        <v>0.53731374048936353</v>
      </c>
      <c r="F12" s="21">
        <f>IFERROR('Annual P&amp;L'!F7/F11,"")</f>
        <v>0.55839083344158869</v>
      </c>
      <c r="G12" s="1"/>
      <c r="H12" s="1"/>
      <c r="I12" s="1"/>
      <c r="J12" s="1"/>
      <c r="K12" s="1"/>
      <c r="L12" s="1"/>
      <c r="M12" s="1"/>
      <c r="N12" s="27">
        <f>M20/(M6*Assumptions!C7*Assumptions!C8)*(1+Assumptions!C9)</f>
        <v>0.64469141405192654</v>
      </c>
      <c r="O12" s="27">
        <f>N12*(1+Assumptions!D9)</f>
        <v>0.66725561354374396</v>
      </c>
      <c r="P12" s="27">
        <f>O12*(1+Assumptions!E9)</f>
        <v>0.6939458380854937</v>
      </c>
      <c r="Q12" s="27">
        <f>P12*(1+Assumptions!F9)</f>
        <v>0.72170367160891347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386</v>
      </c>
      <c r="B13" s="1" t="s">
        <v>46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5">
        <f>Assumptions!C9</f>
        <v>0.03</v>
      </c>
      <c r="O13" s="25">
        <f>Assumptions!D9</f>
        <v>3.5000000000000003E-2</v>
      </c>
      <c r="P13" s="25">
        <f>Assumptions!E9</f>
        <v>0.04</v>
      </c>
      <c r="Q13" s="25">
        <f>Assumptions!F9</f>
        <v>0.04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387</v>
      </c>
      <c r="B14" s="1" t="s">
        <v>44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8">
        <f>N11*N12</f>
        <v>119115.49438270816</v>
      </c>
      <c r="O14" s="28">
        <f>O11*O12</f>
        <v>128359.01627648626</v>
      </c>
      <c r="P14" s="28">
        <f>P11*P12</f>
        <v>139654.60970881706</v>
      </c>
      <c r="Q14" s="28">
        <f>Q11*Q12</f>
        <v>151050.42586105657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138</v>
      </c>
      <c r="B15" s="1" t="s">
        <v>46</v>
      </c>
      <c r="C15" s="15">
        <f>'Raw Financials'!C52</f>
        <v>0</v>
      </c>
      <c r="D15" s="15">
        <f>'Raw Financials'!D52</f>
        <v>0.38200000000000001</v>
      </c>
      <c r="E15" s="15">
        <f>'Raw Financials'!E52</f>
        <v>0.39300000000000002</v>
      </c>
      <c r="F15" s="15">
        <f>'Raw Financials'!F52</f>
        <v>0.373</v>
      </c>
      <c r="G15" s="15">
        <f>'Raw Financials'!G52</f>
        <v>0</v>
      </c>
      <c r="H15" s="15">
        <f>'Raw Financials'!H52</f>
        <v>0.32400000000000001</v>
      </c>
      <c r="I15" s="15">
        <f>'Raw Financials'!I52</f>
        <v>0.35</v>
      </c>
      <c r="J15" s="15">
        <f>'Raw Financials'!J52</f>
        <v>0</v>
      </c>
      <c r="K15" s="15">
        <f>'Raw Financials'!K52</f>
        <v>0</v>
      </c>
      <c r="L15" s="15">
        <f>'Raw Financials'!L52</f>
        <v>0</v>
      </c>
      <c r="M15" s="15">
        <f>'Raw Financials'!M52</f>
        <v>0</v>
      </c>
      <c r="N15" s="25">
        <f>Assumptions!C10</f>
        <v>0.34</v>
      </c>
      <c r="O15" s="25">
        <f>Assumptions!D10</f>
        <v>0.33</v>
      </c>
      <c r="P15" s="25">
        <f>Assumptions!E10</f>
        <v>0.32</v>
      </c>
      <c r="Q15" s="25">
        <f>Assumptions!F10</f>
        <v>0.31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388</v>
      </c>
      <c r="B16" s="1" t="s">
        <v>44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8">
        <f>N14*N15</f>
        <v>40499.268090120779</v>
      </c>
      <c r="O16" s="28">
        <f>O14*O15</f>
        <v>42358.475371240471</v>
      </c>
      <c r="P16" s="28">
        <f>P14*P15</f>
        <v>44689.475106821461</v>
      </c>
      <c r="Q16" s="28">
        <f>Q14*Q15</f>
        <v>46825.632016927535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389</v>
      </c>
      <c r="B17" s="1" t="s">
        <v>46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5">
        <f>Assumptions!C11</f>
        <v>0.01</v>
      </c>
      <c r="O17" s="25">
        <f>Assumptions!D11</f>
        <v>1.2999999999999999E-2</v>
      </c>
      <c r="P17" s="25">
        <f>Assumptions!E11</f>
        <v>1.4999999999999999E-2</v>
      </c>
      <c r="Q17" s="25">
        <f>Assumptions!F11</f>
        <v>1.4999999999999999E-2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390</v>
      </c>
      <c r="B18" s="1" t="s">
        <v>44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8">
        <f>-N16*N17</f>
        <v>-404.99268090120779</v>
      </c>
      <c r="O18" s="28">
        <f>-O16*O17</f>
        <v>-550.66017982612607</v>
      </c>
      <c r="P18" s="28">
        <f>-P16*P17</f>
        <v>-670.34212660232185</v>
      </c>
      <c r="Q18" s="28">
        <f>-Q16*Q17</f>
        <v>-702.38448025391301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391</v>
      </c>
      <c r="B19" s="1" t="s">
        <v>44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8">
        <f>N14*(1-N15)</f>
        <v>78616.22629258738</v>
      </c>
      <c r="O19" s="28">
        <f>O14*(1-O15)</f>
        <v>86000.540905245784</v>
      </c>
      <c r="P19" s="28">
        <f>P14*(1-P15)</f>
        <v>94965.134601995596</v>
      </c>
      <c r="Q19" s="28">
        <f>Q14*(1-Q15)</f>
        <v>104224.79384412903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8" t="s">
        <v>392</v>
      </c>
      <c r="B20" s="16" t="s">
        <v>44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7">
        <f>M27-M24-M23</f>
        <v>112277.77771958539</v>
      </c>
      <c r="N20" s="29">
        <f>SUM(N16,N18,N19)</f>
        <v>118710.50170180695</v>
      </c>
      <c r="O20" s="29">
        <f>SUM(O16,O18,O19)</f>
        <v>127808.35609666014</v>
      </c>
      <c r="P20" s="29">
        <f>SUM(P16,P18,P19)</f>
        <v>138984.26758221473</v>
      </c>
      <c r="Q20" s="29">
        <f>SUM(Q16,Q18,Q19)</f>
        <v>150348.04138080266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169</v>
      </c>
      <c r="B21" s="1" t="s">
        <v>63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22">
        <f>155*4</f>
        <v>620</v>
      </c>
      <c r="N21" s="30">
        <f>Assumptions!C40</f>
        <v>741</v>
      </c>
      <c r="O21" s="30">
        <f>N21*(1+Assumptions!D12)</f>
        <v>852.15</v>
      </c>
      <c r="P21" s="30">
        <f>O21*(1+Assumptions!E12)</f>
        <v>954.40800000000002</v>
      </c>
      <c r="Q21" s="30">
        <f>P21*(1+Assumptions!F12)</f>
        <v>1049.8488000000002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393</v>
      </c>
      <c r="B22" s="1" t="s">
        <v>143</v>
      </c>
      <c r="C22" s="21">
        <f>IFERROR('Annual P&amp;L'!C7/'Raw Financials'!C19*10,"")</f>
        <v>65.614074477980566</v>
      </c>
      <c r="D22" s="21">
        <f>IFERROR('Annual P&amp;L'!D7/'Raw Financials'!D19*10,"")</f>
        <v>66.415067519545133</v>
      </c>
      <c r="E22" s="21">
        <f>IFERROR('Annual P&amp;L'!E7/'Raw Financials'!E19*10,"")</f>
        <v>64.519009951518242</v>
      </c>
      <c r="F22" s="21">
        <f>IFERROR('Annual P&amp;L'!F7/'Raw Financials'!F19*10,"")</f>
        <v>70.003475440222431</v>
      </c>
      <c r="G22" s="21">
        <f>IFERROR('Annual P&amp;L'!G7/'Raw Financials'!G19*10,"")</f>
        <v>71.13325281803543</v>
      </c>
      <c r="H22" s="21">
        <f>IFERROR('Annual P&amp;L'!H7/'Raw Financials'!H19*10,"")</f>
        <v>74.08255528255529</v>
      </c>
      <c r="I22" s="21">
        <f>IFERROR('Annual P&amp;L'!I7/'Raw Financials'!I19*10,"")</f>
        <v>74.60238655169411</v>
      </c>
      <c r="J22" s="21">
        <f>IFERROR('Annual P&amp;L'!J7/'Raw Financials'!J19*10,"")</f>
        <v>80.31029842476056</v>
      </c>
      <c r="K22" s="21">
        <f>IFERROR('Annual P&amp;L'!K7/'Raw Financials'!K19*10,"")</f>
        <v>82.834426105961256</v>
      </c>
      <c r="L22" s="21">
        <f>IFERROR('Annual P&amp;L'!L7/'Raw Financials'!L19*10,"")</f>
        <v>84.577312138728331</v>
      </c>
      <c r="M22" s="21">
        <f>IFERROR('Annual P&amp;L'!M7/'Raw Financials'!M19*10,"")</f>
        <v>88.750681942171298</v>
      </c>
      <c r="N22" s="27">
        <f>Assumptions!C14</f>
        <v>95</v>
      </c>
      <c r="O22" s="27">
        <f>Assumptions!D14</f>
        <v>96</v>
      </c>
      <c r="P22" s="27">
        <f>Assumptions!E14</f>
        <v>97</v>
      </c>
      <c r="Q22" s="27">
        <f>Assumptions!F14</f>
        <v>98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8" t="s">
        <v>169</v>
      </c>
      <c r="B23" s="16" t="s">
        <v>44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>
        <f>M21*M22/10</f>
        <v>5502.5422804146201</v>
      </c>
      <c r="N23" s="29">
        <f>N21*N22/10</f>
        <v>7039.5</v>
      </c>
      <c r="O23" s="29">
        <f>O21*O22/10</f>
        <v>8180.6399999999994</v>
      </c>
      <c r="P23" s="29">
        <f>P21*P22/10</f>
        <v>9257.7576000000008</v>
      </c>
      <c r="Q23" s="29">
        <f>Q21*Q22/10</f>
        <v>10288.518240000001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8" t="s">
        <v>327</v>
      </c>
      <c r="B24" s="16" t="s">
        <v>44</v>
      </c>
      <c r="C24" s="17" t="str">
        <f>IFERROR('Segment Revenue'!C12,"")</f>
        <v/>
      </c>
      <c r="D24" s="17" t="str">
        <f>IFERROR('Segment Revenue'!D12,"")</f>
        <v/>
      </c>
      <c r="E24" s="17" t="str">
        <f>IFERROR('Segment Revenue'!E12,"")</f>
        <v/>
      </c>
      <c r="F24" s="17">
        <f>IFERROR('Segment Revenue'!F12,"")</f>
        <v>5015.4410000000007</v>
      </c>
      <c r="G24" s="17">
        <f>IFERROR('Segment Revenue'!G12,"")</f>
        <v>8127.97</v>
      </c>
      <c r="H24" s="17">
        <f>IFERROR('Segment Revenue'!H12,"")</f>
        <v>10251.544</v>
      </c>
      <c r="I24" s="17">
        <f>IFERROR('Segment Revenue'!I12,"")</f>
        <v>10363.770999999999</v>
      </c>
      <c r="J24" s="17">
        <f>IFERROR('Segment Revenue'!J12,"")</f>
        <v>11058.704</v>
      </c>
      <c r="K24" s="17">
        <f>IFERROR('Segment Revenue'!K12,"")</f>
        <v>11650.778</v>
      </c>
      <c r="L24" s="17">
        <f>IFERROR('Segment Revenue'!L12,"")</f>
        <v>12056.664999999999</v>
      </c>
      <c r="M24" s="17">
        <f>'Segment Revenue'!M12</f>
        <v>12363.68</v>
      </c>
      <c r="N24" s="29">
        <f>M24*(1+Assumptions!C13)</f>
        <v>12858.227200000001</v>
      </c>
      <c r="O24" s="29">
        <f>N24*(1+Assumptions!D13)</f>
        <v>13501.138560000001</v>
      </c>
      <c r="P24" s="29">
        <f>O24*(1+Assumptions!E13)</f>
        <v>14311.206873600002</v>
      </c>
      <c r="Q24" s="29">
        <f>P24*(1+Assumptions!F13)</f>
        <v>15169.879286016003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329</v>
      </c>
      <c r="B25" s="1" t="s">
        <v>44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4">
        <f>M27-M20-M23-M24</f>
        <v>0</v>
      </c>
      <c r="N25" s="28">
        <f>-0.3%*SUM(N20,N23,N24)</f>
        <v>-415.8246867054209</v>
      </c>
      <c r="O25" s="28">
        <f>-0.3%*SUM(O20,O23,O24)</f>
        <v>-448.47040396998045</v>
      </c>
      <c r="P25" s="28">
        <f>-0.3%*SUM(P20,P23,P24)</f>
        <v>-487.65969616744422</v>
      </c>
      <c r="Q25" s="28">
        <f>-0.3%*SUM(Q20,Q23,Q24)</f>
        <v>-527.4193167204561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8" t="s">
        <v>394</v>
      </c>
      <c r="B26" s="16" t="s">
        <v>44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>
        <f>SUM(M20,M23:M25)</f>
        <v>130144</v>
      </c>
      <c r="N26" s="29">
        <f>SUM(N20,N23:N25)</f>
        <v>138192.40421510153</v>
      </c>
      <c r="O26" s="29">
        <f>SUM(O20,O23:O25)</f>
        <v>149041.66425269016</v>
      </c>
      <c r="P26" s="29">
        <f>SUM(P20,P23:P25)</f>
        <v>162065.57235964728</v>
      </c>
      <c r="Q26" s="29">
        <f>SUM(Q20,Q23:Q25)</f>
        <v>175279.01959009824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8" t="s">
        <v>395</v>
      </c>
      <c r="B27" s="16" t="s">
        <v>44</v>
      </c>
      <c r="C27" s="17">
        <f>'Annual P&amp;L'!C7</f>
        <v>40913</v>
      </c>
      <c r="D27" s="17">
        <f>'Annual P&amp;L'!D7</f>
        <v>46723</v>
      </c>
      <c r="E27" s="17">
        <f>'Annual P&amp;L'!E7</f>
        <v>50570</v>
      </c>
      <c r="F27" s="17">
        <f>'Annual P&amp;L'!F7</f>
        <v>60427</v>
      </c>
      <c r="G27" s="17">
        <f>'Annual P&amp;L'!G7</f>
        <v>70678</v>
      </c>
      <c r="H27" s="17">
        <f>'Annual P&amp;L'!H7</f>
        <v>75379</v>
      </c>
      <c r="I27" s="17">
        <f>'Annual P&amp;L'!I7</f>
        <v>85651</v>
      </c>
      <c r="J27" s="17">
        <f>'Annual P&amp;L'!J7</f>
        <v>101456</v>
      </c>
      <c r="K27" s="17">
        <f>'Annual P&amp;L'!K7</f>
        <v>109913</v>
      </c>
      <c r="L27" s="17">
        <f>'Annual P&amp;L'!L7</f>
        <v>117055</v>
      </c>
      <c r="M27" s="17">
        <f>'Annual P&amp;L'!M7</f>
        <v>130144</v>
      </c>
      <c r="N27" s="29">
        <f>'Annual P&amp;L'!N7</f>
        <v>138192.40421510153</v>
      </c>
      <c r="O27" s="29">
        <f>'Annual P&amp;L'!O7</f>
        <v>149041.66425269016</v>
      </c>
      <c r="P27" s="29">
        <f>'Annual P&amp;L'!P7</f>
        <v>162065.57235964728</v>
      </c>
      <c r="Q27" s="29">
        <f>'Annual P&amp;L'!Q7</f>
        <v>175279.01959009824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396</v>
      </c>
      <c r="B28" s="1" t="s">
        <v>44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4">
        <f>M26-M27</f>
        <v>0</v>
      </c>
      <c r="N28" s="28">
        <f>N26-N27</f>
        <v>0</v>
      </c>
      <c r="O28" s="28">
        <f>O26-O27</f>
        <v>0</v>
      </c>
      <c r="P28" s="28">
        <f>P26-P27</f>
        <v>0</v>
      </c>
      <c r="Q28" s="28">
        <f>Q26-Q27</f>
        <v>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64</v>
      </c>
      <c r="B29" s="1" t="s">
        <v>63</v>
      </c>
      <c r="C29" s="22">
        <f>'Raw Financials'!C22</f>
        <v>0</v>
      </c>
      <c r="D29" s="22">
        <f>'Raw Financials'!D22</f>
        <v>0</v>
      </c>
      <c r="E29" s="22">
        <f>'Raw Financials'!E22</f>
        <v>0</v>
      </c>
      <c r="F29" s="22">
        <f>'Raw Financials'!F22</f>
        <v>0</v>
      </c>
      <c r="G29" s="22">
        <f>'Raw Financials'!G22</f>
        <v>0</v>
      </c>
      <c r="H29" s="22">
        <f>'Raw Financials'!H22</f>
        <v>7300</v>
      </c>
      <c r="I29" s="22">
        <f>'Raw Financials'!I22</f>
        <v>8308</v>
      </c>
      <c r="J29" s="22">
        <f>'Raw Financials'!J22</f>
        <v>8850</v>
      </c>
      <c r="K29" s="22">
        <f>'Raw Financials'!K22</f>
        <v>9759</v>
      </c>
      <c r="L29" s="22">
        <f>'Raw Financials'!L22</f>
        <v>9268</v>
      </c>
      <c r="M29" s="22">
        <f>'Raw Financials'!M22</f>
        <v>9323</v>
      </c>
      <c r="N29" s="30">
        <f>M29*(1+'Annual P&amp;L'!N8)</f>
        <v>9899.5557574486065</v>
      </c>
      <c r="O29" s="30">
        <f>N29*(1+'Annual P&amp;L'!O8)</f>
        <v>10676.753717634545</v>
      </c>
      <c r="P29" s="30">
        <f>O29*(1+'Annual P&amp;L'!P8)</f>
        <v>11609.734840707151</v>
      </c>
      <c r="Q29" s="30">
        <f>P29*(1+'Annual P&amp;L'!Q8)</f>
        <v>12556.293794861735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375</v>
      </c>
      <c r="B30" s="1" t="s">
        <v>63</v>
      </c>
      <c r="C30" s="22">
        <f>IFERROR('Raw Financials'!C19/'Client Data'!C15,"")</f>
        <v>12.936514522821575</v>
      </c>
      <c r="D30" s="22">
        <f>IFERROR('Raw Financials'!D19/'Client Data'!D15,"")</f>
        <v>13.903162055335969</v>
      </c>
      <c r="E30" s="22">
        <f>IFERROR('Raw Financials'!E19/'Client Data'!E15,"")</f>
        <v>13.971479500891265</v>
      </c>
      <c r="F30" s="22">
        <f>IFERROR('Raw Financials'!F19/'Client Data'!F15,"")</f>
        <v>13.855537720706261</v>
      </c>
      <c r="G30" s="22">
        <f>IFERROR('Raw Financials'!G19/'Client Data'!G15,"")</f>
        <v>12.561314791403287</v>
      </c>
      <c r="H30" s="22">
        <f>IFERROR('Raw Financials'!H19/'Client Data'!H15,"")</f>
        <v>12.57725587144623</v>
      </c>
      <c r="I30" s="22">
        <f>IFERROR('Raw Financials'!I19/'Client Data'!I15,"")</f>
        <v>13.017006802721088</v>
      </c>
      <c r="J30" s="22">
        <f>IFERROR('Raw Financials'!J19/'Client Data'!J15,"")</f>
        <v>13.453674121405751</v>
      </c>
      <c r="K30" s="22">
        <f>IFERROR('Raw Financials'!K19/'Client Data'!K15,"")</f>
        <v>13.952681388012618</v>
      </c>
      <c r="L30" s="22">
        <f>IFERROR('Raw Financials'!L19/'Client Data'!L15,"")</f>
        <v>14.59915611814346</v>
      </c>
      <c r="M30" s="22">
        <f>IFERROR('Raw Financials'!M19/'Client Data'!M15,"")</f>
        <v>15.024590163934427</v>
      </c>
      <c r="N30" s="30">
        <f>'Client Data'!N19</f>
        <v>14.04108963778719</v>
      </c>
      <c r="O30" s="30">
        <f>'Client Data'!O19</f>
        <v>13.898991369431714</v>
      </c>
      <c r="P30" s="30">
        <f>'Client Data'!P19</f>
        <v>13.751268283878264</v>
      </c>
      <c r="Q30" s="30">
        <f>'Client Data'!Q19</f>
        <v>13.611578572212764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34.049999999999997" customHeight="1">
      <c r="A31" s="1" t="s">
        <v>397</v>
      </c>
      <c r="B31" s="1" t="s">
        <v>398</v>
      </c>
      <c r="C31" s="4" t="str">
        <f>""</f>
        <v/>
      </c>
      <c r="D31" s="4" t="str">
        <f>""</f>
        <v/>
      </c>
      <c r="E31" s="4" t="str">
        <f>""</f>
        <v/>
      </c>
      <c r="F31" s="4" t="str">
        <f>""</f>
        <v/>
      </c>
      <c r="G31" s="4" t="str">
        <f>""</f>
        <v/>
      </c>
      <c r="H31" s="4" t="str">
        <f>""</f>
        <v/>
      </c>
      <c r="I31" s="4" t="str">
        <f>""</f>
        <v/>
      </c>
      <c r="J31" s="4" t="str">
        <f>""</f>
        <v/>
      </c>
      <c r="K31" s="4" t="str">
        <f>""</f>
        <v/>
      </c>
      <c r="L31" s="4" t="str">
        <f>""</f>
        <v/>
      </c>
      <c r="M31" s="4" t="str">
        <f>"FY26 AI proxy is the disclosed Q4 recognized revenue annualized; FY27 is a separate editable recognized-revenue assumption"</f>
        <v>FY26 AI proxy is the disclosed Q4 recognized revenue annualized; FY27 is a separate editable recognized-revenue assumption</v>
      </c>
      <c r="N31" s="31" t="str">
        <f>"AI uplift modeled separately from core capacity and T&amp;M deflation"</f>
        <v>AI uplift modeled separately from core capacity and T&amp;M deflation</v>
      </c>
      <c r="O31" s="31" t="str">
        <f>""</f>
        <v/>
      </c>
      <c r="P31" s="31" t="str">
        <f>""</f>
        <v/>
      </c>
      <c r="Q31" s="31" t="str">
        <f>""</f>
        <v/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168</v>
      </c>
      <c r="B32" s="1" t="s">
        <v>46</v>
      </c>
      <c r="C32" s="15">
        <f>'Raw Financials'!C51</f>
        <v>0.17299999999999999</v>
      </c>
      <c r="D32" s="15">
        <f>'Raw Financials'!D51</f>
        <v>0.16900000000000001</v>
      </c>
      <c r="E32" s="15">
        <f>'Raw Financials'!E51</f>
        <v>0.155</v>
      </c>
      <c r="F32" s="15">
        <f>'Raw Financials'!F51</f>
        <v>0.17699999999999999</v>
      </c>
      <c r="G32" s="15">
        <f>'Raw Financials'!G51</f>
        <v>0.16300000000000001</v>
      </c>
      <c r="H32" s="15">
        <f>'Raw Financials'!H51</f>
        <v>9.9000000000000005E-2</v>
      </c>
      <c r="I32" s="15">
        <f>'Raw Financials'!I51</f>
        <v>0.219</v>
      </c>
      <c r="J32" s="15">
        <f>'Raw Financials'!J51</f>
        <v>0.19500000000000001</v>
      </c>
      <c r="K32" s="15">
        <f>'Raw Financials'!K51</f>
        <v>0.124</v>
      </c>
      <c r="L32" s="15">
        <f>'Raw Financials'!L51</f>
        <v>0.13</v>
      </c>
      <c r="M32" s="15">
        <f>'Raw Financials'!M51</f>
        <v>0.125</v>
      </c>
      <c r="N32" s="25">
        <f>Assumptions!C39</f>
        <v>0.125</v>
      </c>
      <c r="O32" s="25">
        <f>Assumptions!D39</f>
        <v>0.123</v>
      </c>
      <c r="P32" s="25">
        <f>Assumptions!E39</f>
        <v>0.12</v>
      </c>
      <c r="Q32" s="25">
        <f>Assumptions!F39</f>
        <v>0.12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399</v>
      </c>
      <c r="B33" s="1" t="s">
        <v>60</v>
      </c>
      <c r="C33" s="1"/>
      <c r="D33" s="20">
        <f t="shared" ref="D33:Q33" si="2">C6*D32</f>
        <v>17727.424000000003</v>
      </c>
      <c r="E33" s="20">
        <f t="shared" si="2"/>
        <v>17975.814999999999</v>
      </c>
      <c r="F33" s="20">
        <f t="shared" si="2"/>
        <v>21254.337</v>
      </c>
      <c r="G33" s="20">
        <f t="shared" si="2"/>
        <v>22488.295000000002</v>
      </c>
      <c r="H33" s="20">
        <f t="shared" si="2"/>
        <v>14891.877</v>
      </c>
      <c r="I33" s="20">
        <f t="shared" si="2"/>
        <v>37005.963000000003</v>
      </c>
      <c r="J33" s="20">
        <f t="shared" si="2"/>
        <v>40731.014999999999</v>
      </c>
      <c r="K33" s="20">
        <f t="shared" si="2"/>
        <v>28017.056</v>
      </c>
      <c r="L33" s="20">
        <f t="shared" si="2"/>
        <v>29572.530000000002</v>
      </c>
      <c r="M33" s="20">
        <f t="shared" si="2"/>
        <v>27927.5</v>
      </c>
      <c r="N33" s="24">
        <f t="shared" si="2"/>
        <v>28397.625</v>
      </c>
      <c r="O33" s="24">
        <f t="shared" si="2"/>
        <v>28781.560889999997</v>
      </c>
      <c r="P33" s="24">
        <f t="shared" si="2"/>
        <v>29062.356605999994</v>
      </c>
      <c r="Q33" s="24">
        <f t="shared" si="2"/>
        <v>30224.850870239996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400</v>
      </c>
      <c r="B34" s="1" t="s">
        <v>60</v>
      </c>
      <c r="C34" s="1"/>
      <c r="D34" s="20">
        <f t="shared" ref="D34:Q34" si="3">D6-C6+D33</f>
        <v>28804.424000000003</v>
      </c>
      <c r="E34" s="20">
        <f t="shared" si="3"/>
        <v>22083.814999999999</v>
      </c>
      <c r="F34" s="20">
        <f t="shared" si="3"/>
        <v>39138.337</v>
      </c>
      <c r="G34" s="20">
        <f t="shared" si="3"/>
        <v>34946.294999999998</v>
      </c>
      <c r="H34" s="20">
        <f t="shared" si="3"/>
        <v>33445.877</v>
      </c>
      <c r="I34" s="20">
        <f t="shared" si="3"/>
        <v>76905.963000000003</v>
      </c>
      <c r="J34" s="20">
        <f t="shared" si="3"/>
        <v>57798.014999999999</v>
      </c>
      <c r="K34" s="20">
        <f t="shared" si="3"/>
        <v>29554.056</v>
      </c>
      <c r="L34" s="20">
        <f t="shared" si="3"/>
        <v>25511.530000000002</v>
      </c>
      <c r="M34" s="20">
        <f t="shared" si="3"/>
        <v>31688.5</v>
      </c>
      <c r="N34" s="24">
        <f t="shared" si="3"/>
        <v>35213.054999999993</v>
      </c>
      <c r="O34" s="24">
        <f t="shared" si="3"/>
        <v>36971.435939999967</v>
      </c>
      <c r="P34" s="24">
        <f t="shared" si="3"/>
        <v>38749.808808000009</v>
      </c>
      <c r="Q34" s="24">
        <f t="shared" si="3"/>
        <v>40299.801160320014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215</v>
      </c>
      <c r="B35" s="1" t="s">
        <v>46</v>
      </c>
      <c r="C35" s="15">
        <f>'Raw Financials'!C53</f>
        <v>0</v>
      </c>
      <c r="D35" s="15">
        <f>'Raw Financials'!D53</f>
        <v>0.61799999999999999</v>
      </c>
      <c r="E35" s="15">
        <f>'Raw Financials'!E53</f>
        <v>0.60699999999999998</v>
      </c>
      <c r="F35" s="15">
        <f>'Raw Financials'!F53</f>
        <v>0.627</v>
      </c>
      <c r="G35" s="15">
        <f>'Raw Financials'!G53</f>
        <v>0</v>
      </c>
      <c r="H35" s="15">
        <f>'Raw Financials'!H53</f>
        <v>0.67600000000000005</v>
      </c>
      <c r="I35" s="15">
        <f>'Raw Financials'!I53</f>
        <v>0.65</v>
      </c>
      <c r="J35" s="15">
        <f>'Raw Financials'!J53</f>
        <v>0</v>
      </c>
      <c r="K35" s="15">
        <f>'Raw Financials'!K53</f>
        <v>0</v>
      </c>
      <c r="L35" s="15">
        <f>'Raw Financials'!L53</f>
        <v>0</v>
      </c>
      <c r="M35" s="15">
        <f>'Raw Financials'!M53</f>
        <v>0</v>
      </c>
      <c r="N35" s="25">
        <f>1-N15</f>
        <v>0.65999999999999992</v>
      </c>
      <c r="O35" s="25">
        <f>1-O15</f>
        <v>0.66999999999999993</v>
      </c>
      <c r="P35" s="25">
        <f>1-P15</f>
        <v>0.67999999999999994</v>
      </c>
      <c r="Q35" s="25">
        <f>1-Q15</f>
        <v>0.69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3"/>
      <c r="O36" s="33"/>
      <c r="P36" s="33"/>
      <c r="Q36" s="3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3"/>
      <c r="O37" s="33"/>
      <c r="P37" s="33"/>
      <c r="Q37" s="3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3"/>
      <c r="O38" s="33"/>
      <c r="P38" s="33"/>
      <c r="Q38" s="33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3"/>
      <c r="O39" s="33"/>
      <c r="P39" s="33"/>
      <c r="Q39" s="33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3"/>
      <c r="O40" s="33"/>
      <c r="P40" s="33"/>
      <c r="Q40" s="33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3"/>
      <c r="O41" s="33"/>
      <c r="P41" s="33"/>
      <c r="Q41" s="33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3"/>
      <c r="O42" s="33"/>
      <c r="P42" s="33"/>
      <c r="Q42" s="33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3"/>
      <c r="O43" s="33"/>
      <c r="P43" s="33"/>
      <c r="Q43" s="33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3"/>
      <c r="O44" s="33"/>
      <c r="P44" s="33"/>
      <c r="Q44" s="33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3"/>
      <c r="O45" s="33"/>
      <c r="P45" s="33"/>
      <c r="Q45" s="33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3"/>
      <c r="O46" s="33"/>
      <c r="P46" s="33"/>
      <c r="Q46" s="33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3"/>
      <c r="O47" s="33"/>
      <c r="P47" s="33"/>
      <c r="Q47" s="3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3"/>
      <c r="O48" s="33"/>
      <c r="P48" s="33"/>
      <c r="Q48" s="3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3"/>
      <c r="O49" s="33"/>
      <c r="P49" s="33"/>
      <c r="Q49" s="3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3"/>
      <c r="O50" s="33"/>
      <c r="P50" s="33"/>
      <c r="Q50" s="3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3"/>
      <c r="O51" s="33"/>
      <c r="P51" s="33"/>
      <c r="Q51" s="3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3"/>
      <c r="O52" s="33"/>
      <c r="P52" s="33"/>
      <c r="Q52" s="33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3"/>
      <c r="O53" s="33"/>
      <c r="P53" s="33"/>
      <c r="Q53" s="33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3"/>
      <c r="O54" s="33"/>
      <c r="P54" s="33"/>
      <c r="Q54" s="33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3"/>
      <c r="O55" s="33"/>
      <c r="P55" s="33"/>
      <c r="Q55" s="33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3"/>
      <c r="O56" s="33"/>
      <c r="P56" s="33"/>
      <c r="Q56" s="33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3"/>
      <c r="O57" s="33"/>
      <c r="P57" s="33"/>
      <c r="Q57" s="33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3"/>
      <c r="O58" s="33"/>
      <c r="P58" s="33"/>
      <c r="Q58" s="33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3"/>
      <c r="O59" s="33"/>
      <c r="P59" s="33"/>
      <c r="Q59" s="33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3"/>
      <c r="O60" s="33"/>
      <c r="P60" s="33"/>
      <c r="Q60" s="33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3"/>
      <c r="O61" s="33"/>
      <c r="P61" s="33"/>
      <c r="Q61" s="33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3"/>
      <c r="O62" s="33"/>
      <c r="P62" s="33"/>
      <c r="Q62" s="33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3"/>
      <c r="O63" s="33"/>
      <c r="P63" s="33"/>
      <c r="Q63" s="33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3"/>
      <c r="O64" s="33"/>
      <c r="P64" s="33"/>
      <c r="Q64" s="3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3"/>
      <c r="O65" s="33"/>
      <c r="P65" s="33"/>
      <c r="Q65" s="33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3"/>
      <c r="O66" s="33"/>
      <c r="P66" s="33"/>
      <c r="Q66" s="33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3"/>
      <c r="O67" s="33"/>
      <c r="P67" s="33"/>
      <c r="Q67" s="33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3"/>
      <c r="O68" s="33"/>
      <c r="P68" s="33"/>
      <c r="Q68" s="33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3"/>
      <c r="O69" s="33"/>
      <c r="P69" s="33"/>
      <c r="Q69" s="33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3"/>
      <c r="O70" s="33"/>
      <c r="P70" s="33"/>
      <c r="Q70" s="33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3"/>
      <c r="O71" s="33"/>
      <c r="P71" s="33"/>
      <c r="Q71" s="33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3"/>
      <c r="O72" s="33"/>
      <c r="P72" s="33"/>
      <c r="Q72" s="33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3"/>
      <c r="O73" s="33"/>
      <c r="P73" s="33"/>
      <c r="Q73" s="33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3"/>
      <c r="O74" s="33"/>
      <c r="P74" s="33"/>
      <c r="Q74" s="3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3"/>
      <c r="O75" s="33"/>
      <c r="P75" s="33"/>
      <c r="Q75" s="3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3"/>
      <c r="O76" s="33"/>
      <c r="P76" s="33"/>
      <c r="Q76" s="3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3"/>
      <c r="O77" s="33"/>
      <c r="P77" s="33"/>
      <c r="Q77" s="33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3"/>
      <c r="O78" s="33"/>
      <c r="P78" s="33"/>
      <c r="Q78" s="33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3"/>
      <c r="O79" s="33"/>
      <c r="P79" s="33"/>
      <c r="Q79" s="33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3"/>
      <c r="O80" s="33"/>
      <c r="P80" s="33"/>
      <c r="Q80" s="33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3"/>
      <c r="O81" s="33"/>
      <c r="P81" s="33"/>
      <c r="Q81" s="33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3"/>
      <c r="O82" s="33"/>
      <c r="P82" s="33"/>
      <c r="Q82" s="33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3"/>
      <c r="O83" s="33"/>
      <c r="P83" s="33"/>
      <c r="Q83" s="33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3"/>
      <c r="O84" s="33"/>
      <c r="P84" s="33"/>
      <c r="Q84" s="33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3"/>
      <c r="O85" s="33"/>
      <c r="P85" s="33"/>
      <c r="Q85" s="33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3"/>
      <c r="O86" s="33"/>
      <c r="P86" s="33"/>
      <c r="Q86" s="3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3"/>
      <c r="O87" s="33"/>
      <c r="P87" s="33"/>
      <c r="Q87" s="3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3"/>
      <c r="O88" s="33"/>
      <c r="P88" s="33"/>
      <c r="Q88" s="33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3"/>
      <c r="O89" s="33"/>
      <c r="P89" s="33"/>
      <c r="Q89" s="33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3"/>
      <c r="O90" s="33"/>
      <c r="P90" s="33"/>
      <c r="Q90" s="33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3"/>
      <c r="O91" s="33"/>
      <c r="P91" s="33"/>
      <c r="Q91" s="33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3"/>
      <c r="O92" s="33"/>
      <c r="P92" s="33"/>
      <c r="Q92" s="33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3"/>
      <c r="O93" s="33"/>
      <c r="P93" s="33"/>
      <c r="Q93" s="33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3"/>
      <c r="O94" s="33"/>
      <c r="P94" s="33"/>
      <c r="Q94" s="33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3"/>
      <c r="O95" s="33"/>
      <c r="P95" s="33"/>
      <c r="Q95" s="33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3"/>
      <c r="O96" s="33"/>
      <c r="P96" s="33"/>
      <c r="Q96" s="33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3"/>
      <c r="O97" s="33"/>
      <c r="P97" s="33"/>
      <c r="Q97" s="33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3"/>
      <c r="O98" s="33"/>
      <c r="P98" s="33"/>
      <c r="Q98" s="33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3"/>
      <c r="O99" s="33"/>
      <c r="P99" s="33"/>
      <c r="Q99" s="33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3"/>
      <c r="O100" s="33"/>
      <c r="P100" s="33"/>
      <c r="Q100" s="3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3"/>
      <c r="O101" s="33"/>
      <c r="P101" s="33"/>
      <c r="Q101" s="3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3"/>
      <c r="O102" s="33"/>
      <c r="P102" s="33"/>
      <c r="Q102" s="3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3"/>
      <c r="O103" s="33"/>
      <c r="P103" s="33"/>
      <c r="Q103" s="3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3"/>
      <c r="O104" s="33"/>
      <c r="P104" s="33"/>
      <c r="Q104" s="3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3"/>
      <c r="O105" s="33"/>
      <c r="P105" s="33"/>
      <c r="Q105" s="3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3"/>
      <c r="O106" s="33"/>
      <c r="P106" s="33"/>
      <c r="Q106" s="3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3"/>
      <c r="O107" s="33"/>
      <c r="P107" s="33"/>
      <c r="Q107" s="3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3"/>
      <c r="O108" s="33"/>
      <c r="P108" s="33"/>
      <c r="Q108" s="3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3"/>
      <c r="O109" s="33"/>
      <c r="P109" s="33"/>
      <c r="Q109" s="3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3"/>
      <c r="O110" s="33"/>
      <c r="P110" s="33"/>
      <c r="Q110" s="3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3"/>
      <c r="O111" s="33"/>
      <c r="P111" s="33"/>
      <c r="Q111" s="3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3"/>
      <c r="O112" s="33"/>
      <c r="P112" s="33"/>
      <c r="Q112" s="3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3"/>
      <c r="O113" s="33"/>
      <c r="P113" s="33"/>
      <c r="Q113" s="3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3"/>
      <c r="O114" s="33"/>
      <c r="P114" s="33"/>
      <c r="Q114" s="3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3"/>
      <c r="O115" s="33"/>
      <c r="P115" s="33"/>
      <c r="Q115" s="3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3"/>
      <c r="O116" s="33"/>
      <c r="P116" s="33"/>
      <c r="Q116" s="3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3"/>
      <c r="O117" s="33"/>
      <c r="P117" s="33"/>
      <c r="Q117" s="3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3"/>
      <c r="O118" s="33"/>
      <c r="P118" s="33"/>
      <c r="Q118" s="3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3"/>
      <c r="O119" s="33"/>
      <c r="P119" s="33"/>
      <c r="Q119" s="3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3"/>
      <c r="O120" s="33"/>
      <c r="P120" s="33"/>
      <c r="Q120" s="3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3"/>
      <c r="O121" s="33"/>
      <c r="P121" s="33"/>
      <c r="Q121" s="3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3"/>
      <c r="O122" s="33"/>
      <c r="P122" s="33"/>
      <c r="Q122" s="3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3"/>
      <c r="O123" s="33"/>
      <c r="P123" s="33"/>
      <c r="Q123" s="3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3"/>
      <c r="O124" s="33"/>
      <c r="P124" s="33"/>
      <c r="Q124" s="3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3"/>
      <c r="O125" s="33"/>
      <c r="P125" s="33"/>
      <c r="Q125" s="3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3"/>
      <c r="O126" s="33"/>
      <c r="P126" s="33"/>
      <c r="Q126" s="3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3"/>
      <c r="O127" s="33"/>
      <c r="P127" s="33"/>
      <c r="Q127" s="3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3"/>
      <c r="O128" s="33"/>
      <c r="P128" s="33"/>
      <c r="Q128" s="3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3"/>
      <c r="O129" s="33"/>
      <c r="P129" s="33"/>
      <c r="Q129" s="3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3"/>
      <c r="O130" s="33"/>
      <c r="P130" s="33"/>
      <c r="Q130" s="3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3"/>
      <c r="O131" s="33"/>
      <c r="P131" s="33"/>
      <c r="Q131" s="3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3"/>
      <c r="O132" s="33"/>
      <c r="P132" s="33"/>
      <c r="Q132" s="3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3"/>
      <c r="O133" s="33"/>
      <c r="P133" s="33"/>
      <c r="Q133" s="3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3"/>
      <c r="O134" s="33"/>
      <c r="P134" s="33"/>
      <c r="Q134" s="3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3"/>
      <c r="O135" s="33"/>
      <c r="P135" s="33"/>
      <c r="Q135" s="3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3"/>
      <c r="O136" s="33"/>
      <c r="P136" s="33"/>
      <c r="Q136" s="3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3"/>
      <c r="O137" s="33"/>
      <c r="P137" s="33"/>
      <c r="Q137" s="3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3"/>
      <c r="O138" s="33"/>
      <c r="P138" s="33"/>
      <c r="Q138" s="3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3"/>
      <c r="O139" s="33"/>
      <c r="P139" s="33"/>
      <c r="Q139" s="3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3"/>
      <c r="O140" s="33"/>
      <c r="P140" s="33"/>
      <c r="Q140" s="3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3"/>
      <c r="O141" s="33"/>
      <c r="P141" s="33"/>
      <c r="Q141" s="3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3"/>
      <c r="O142" s="33"/>
      <c r="P142" s="33"/>
      <c r="Q142" s="3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3"/>
      <c r="O143" s="33"/>
      <c r="P143" s="33"/>
      <c r="Q143" s="3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3"/>
      <c r="O144" s="33"/>
      <c r="P144" s="33"/>
      <c r="Q144" s="3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3"/>
      <c r="O145" s="33"/>
      <c r="P145" s="33"/>
      <c r="Q145" s="3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3"/>
      <c r="O146" s="33"/>
      <c r="P146" s="33"/>
      <c r="Q146" s="3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3"/>
      <c r="O147" s="33"/>
      <c r="P147" s="33"/>
      <c r="Q147" s="3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3"/>
      <c r="O148" s="33"/>
      <c r="P148" s="33"/>
      <c r="Q148" s="3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3"/>
      <c r="O149" s="33"/>
      <c r="P149" s="33"/>
      <c r="Q149" s="3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3"/>
      <c r="O150" s="33"/>
      <c r="P150" s="33"/>
      <c r="Q150" s="3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3"/>
      <c r="O151" s="33"/>
      <c r="P151" s="33"/>
      <c r="Q151" s="3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3"/>
      <c r="O152" s="33"/>
      <c r="P152" s="33"/>
      <c r="Q152" s="3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3"/>
      <c r="O153" s="33"/>
      <c r="P153" s="33"/>
      <c r="Q153" s="3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3"/>
      <c r="O154" s="33"/>
      <c r="P154" s="33"/>
      <c r="Q154" s="3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3"/>
      <c r="O155" s="33"/>
      <c r="P155" s="33"/>
      <c r="Q155" s="3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3"/>
      <c r="O156" s="33"/>
      <c r="P156" s="33"/>
      <c r="Q156" s="3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3"/>
      <c r="O157" s="33"/>
      <c r="P157" s="33"/>
      <c r="Q157" s="3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3"/>
      <c r="O158" s="33"/>
      <c r="P158" s="33"/>
      <c r="Q158" s="3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3"/>
      <c r="O159" s="33"/>
      <c r="P159" s="33"/>
      <c r="Q159" s="3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3"/>
      <c r="O160" s="33"/>
      <c r="P160" s="33"/>
      <c r="Q160" s="3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3"/>
      <c r="O161" s="33"/>
      <c r="P161" s="33"/>
      <c r="Q161" s="3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3"/>
      <c r="O162" s="33"/>
      <c r="P162" s="33"/>
      <c r="Q162" s="3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3"/>
      <c r="O163" s="33"/>
      <c r="P163" s="33"/>
      <c r="Q163" s="3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3"/>
      <c r="O164" s="33"/>
      <c r="P164" s="33"/>
      <c r="Q164" s="3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3"/>
      <c r="O165" s="33"/>
      <c r="P165" s="33"/>
      <c r="Q165" s="3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3"/>
      <c r="O166" s="33"/>
      <c r="P166" s="33"/>
      <c r="Q166" s="3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3"/>
      <c r="O167" s="33"/>
      <c r="P167" s="33"/>
      <c r="Q167" s="3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3"/>
      <c r="O168" s="33"/>
      <c r="P168" s="33"/>
      <c r="Q168" s="3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3"/>
      <c r="O169" s="33"/>
      <c r="P169" s="33"/>
      <c r="Q169" s="3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3"/>
      <c r="O170" s="33"/>
      <c r="P170" s="33"/>
      <c r="Q170" s="3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3"/>
      <c r="O171" s="33"/>
      <c r="P171" s="33"/>
      <c r="Q171" s="3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3"/>
      <c r="O172" s="33"/>
      <c r="P172" s="33"/>
      <c r="Q172" s="3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3"/>
      <c r="O173" s="33"/>
      <c r="P173" s="33"/>
      <c r="Q173" s="3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3"/>
      <c r="O174" s="33"/>
      <c r="P174" s="33"/>
      <c r="Q174" s="3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3"/>
      <c r="O175" s="33"/>
      <c r="P175" s="33"/>
      <c r="Q175" s="3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3"/>
      <c r="O176" s="33"/>
      <c r="P176" s="33"/>
      <c r="Q176" s="3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3"/>
      <c r="O177" s="33"/>
      <c r="P177" s="33"/>
      <c r="Q177" s="3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3"/>
      <c r="O178" s="33"/>
      <c r="P178" s="33"/>
      <c r="Q178" s="3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3"/>
      <c r="O179" s="33"/>
      <c r="P179" s="33"/>
      <c r="Q179" s="3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3"/>
      <c r="O180" s="33"/>
      <c r="P180" s="33"/>
      <c r="Q180" s="3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3"/>
      <c r="O181" s="33"/>
      <c r="P181" s="33"/>
      <c r="Q181" s="3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3"/>
      <c r="O182" s="33"/>
      <c r="P182" s="33"/>
      <c r="Q182" s="3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3"/>
      <c r="O183" s="33"/>
      <c r="P183" s="33"/>
      <c r="Q183" s="3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3"/>
      <c r="O184" s="33"/>
      <c r="P184" s="33"/>
      <c r="Q184" s="3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3"/>
      <c r="O185" s="33"/>
      <c r="P185" s="33"/>
      <c r="Q185" s="3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3"/>
      <c r="O186" s="33"/>
      <c r="P186" s="33"/>
      <c r="Q186" s="3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3"/>
      <c r="O187" s="33"/>
      <c r="P187" s="33"/>
      <c r="Q187" s="3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3"/>
      <c r="O188" s="33"/>
      <c r="P188" s="33"/>
      <c r="Q188" s="3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3"/>
      <c r="O189" s="33"/>
      <c r="P189" s="33"/>
      <c r="Q189" s="3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3"/>
      <c r="O190" s="33"/>
      <c r="P190" s="33"/>
      <c r="Q190" s="3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3"/>
      <c r="O191" s="33"/>
      <c r="P191" s="33"/>
      <c r="Q191" s="3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3"/>
      <c r="O192" s="33"/>
      <c r="P192" s="33"/>
      <c r="Q192" s="3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3"/>
      <c r="O193" s="33"/>
      <c r="P193" s="33"/>
      <c r="Q193" s="3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3"/>
      <c r="O194" s="33"/>
      <c r="P194" s="33"/>
      <c r="Q194" s="3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3"/>
      <c r="O195" s="33"/>
      <c r="P195" s="33"/>
      <c r="Q195" s="3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3"/>
      <c r="O196" s="33"/>
      <c r="P196" s="33"/>
      <c r="Q196" s="3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3"/>
      <c r="O197" s="33"/>
      <c r="P197" s="33"/>
      <c r="Q197" s="3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3"/>
      <c r="O198" s="33"/>
      <c r="P198" s="33"/>
      <c r="Q198" s="3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3"/>
      <c r="O199" s="33"/>
      <c r="P199" s="33"/>
      <c r="Q199" s="3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3"/>
      <c r="O200" s="33"/>
      <c r="P200" s="33"/>
      <c r="Q200" s="3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T2885"/>
  <sheetViews>
    <sheetView showGridLines="0" workbookViewId="0"/>
  </sheetViews>
  <sheetFormatPr defaultRowHeight="13.8"/>
  <cols>
    <col min="1" max="1" width="13" customWidth="1"/>
    <col min="2" max="3" width="14" customWidth="1"/>
    <col min="4" max="4" width="16" customWidth="1"/>
    <col min="5" max="5" width="10" customWidth="1"/>
    <col min="6" max="6" width="18" customWidth="1"/>
  </cols>
  <sheetData>
    <row r="1" spans="1:46" ht="25.95" customHeight="1">
      <c r="A1" s="43" t="s">
        <v>401</v>
      </c>
      <c r="B1" s="43"/>
      <c r="C1" s="43"/>
      <c r="D1" s="43"/>
      <c r="E1" s="43"/>
      <c r="F1" s="4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4" t="s">
        <v>402</v>
      </c>
      <c r="B2" s="44"/>
      <c r="C2" s="44"/>
      <c r="D2" s="44"/>
      <c r="E2" s="44"/>
      <c r="F2" s="4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403</v>
      </c>
      <c r="B5" s="5" t="s">
        <v>404</v>
      </c>
      <c r="C5" s="5" t="s">
        <v>405</v>
      </c>
      <c r="D5" s="5" t="s">
        <v>406</v>
      </c>
      <c r="E5" s="5" t="s">
        <v>407</v>
      </c>
      <c r="F5" s="5" t="s">
        <v>408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9" t="s">
        <v>409</v>
      </c>
      <c r="B6" s="36">
        <v>401.70001220703125</v>
      </c>
      <c r="C6" s="36">
        <v>287.8677978515625</v>
      </c>
      <c r="D6" s="9">
        <v>1336492</v>
      </c>
      <c r="E6" s="9" t="s">
        <v>410</v>
      </c>
      <c r="F6" s="9" t="s">
        <v>411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9" t="s">
        <v>412</v>
      </c>
      <c r="B7" s="36">
        <v>401.3125</v>
      </c>
      <c r="C7" s="36">
        <v>287.5902099609375</v>
      </c>
      <c r="D7" s="9">
        <v>933372</v>
      </c>
      <c r="E7" s="9" t="s">
        <v>410</v>
      </c>
      <c r="F7" s="9" t="s">
        <v>411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9" t="s">
        <v>413</v>
      </c>
      <c r="B8" s="36">
        <v>394.5625</v>
      </c>
      <c r="C8" s="36">
        <v>282.7529296875</v>
      </c>
      <c r="D8" s="9">
        <v>2012624</v>
      </c>
      <c r="E8" s="9" t="s">
        <v>410</v>
      </c>
      <c r="F8" s="9" t="s">
        <v>411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9" t="s">
        <v>414</v>
      </c>
      <c r="B9" s="36">
        <v>384.02499389648438</v>
      </c>
      <c r="C9" s="36">
        <v>275.20159912109375</v>
      </c>
      <c r="D9" s="9">
        <v>3470408</v>
      </c>
      <c r="E9" s="9" t="s">
        <v>410</v>
      </c>
      <c r="F9" s="9" t="s">
        <v>411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9" t="s">
        <v>415</v>
      </c>
      <c r="B10" s="36">
        <v>374.89999389648438</v>
      </c>
      <c r="C10" s="36">
        <v>268.66232299804688</v>
      </c>
      <c r="D10" s="9">
        <v>3540560</v>
      </c>
      <c r="E10" s="9" t="s">
        <v>410</v>
      </c>
      <c r="F10" s="9" t="s">
        <v>411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9" t="s">
        <v>416</v>
      </c>
      <c r="B11" s="36">
        <v>383.57501220703125</v>
      </c>
      <c r="C11" s="36">
        <v>274.87905883789063</v>
      </c>
      <c r="D11" s="9">
        <v>3906036</v>
      </c>
      <c r="E11" s="9" t="s">
        <v>410</v>
      </c>
      <c r="F11" s="9" t="s">
        <v>411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9" t="s">
        <v>417</v>
      </c>
      <c r="B12" s="36">
        <v>386.38751220703125</v>
      </c>
      <c r="C12" s="36">
        <v>276.89453125</v>
      </c>
      <c r="D12" s="9">
        <v>6164448</v>
      </c>
      <c r="E12" s="9" t="s">
        <v>410</v>
      </c>
      <c r="F12" s="9" t="s">
        <v>411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9" t="s">
        <v>418</v>
      </c>
      <c r="B13" s="36">
        <v>393.88751220703125</v>
      </c>
      <c r="C13" s="36">
        <v>282.269287109375</v>
      </c>
      <c r="D13" s="9">
        <v>2661684</v>
      </c>
      <c r="E13" s="9" t="s">
        <v>410</v>
      </c>
      <c r="F13" s="9" t="s">
        <v>411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9" t="s">
        <v>419</v>
      </c>
      <c r="B14" s="36">
        <v>395.89999389648438</v>
      </c>
      <c r="C14" s="36">
        <v>283.71139526367188</v>
      </c>
      <c r="D14" s="9">
        <v>2916072</v>
      </c>
      <c r="E14" s="9" t="s">
        <v>410</v>
      </c>
      <c r="F14" s="9" t="s">
        <v>411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9" t="s">
        <v>420</v>
      </c>
      <c r="B15" s="36">
        <v>394.70001220703125</v>
      </c>
      <c r="C15" s="36">
        <v>282.85140991210938</v>
      </c>
      <c r="D15" s="9">
        <v>4133276</v>
      </c>
      <c r="E15" s="9" t="s">
        <v>410</v>
      </c>
      <c r="F15" s="9" t="s">
        <v>411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9" t="s">
        <v>421</v>
      </c>
      <c r="B16" s="36">
        <v>398.3125</v>
      </c>
      <c r="C16" s="36">
        <v>285.44027709960938</v>
      </c>
      <c r="D16" s="9">
        <v>3658976</v>
      </c>
      <c r="E16" s="9" t="s">
        <v>410</v>
      </c>
      <c r="F16" s="9" t="s">
        <v>411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9" t="s">
        <v>422</v>
      </c>
      <c r="B17" s="36">
        <v>409.75</v>
      </c>
      <c r="C17" s="36">
        <v>293.63662719726563</v>
      </c>
      <c r="D17" s="9">
        <v>3185348</v>
      </c>
      <c r="E17" s="9" t="s">
        <v>410</v>
      </c>
      <c r="F17" s="9" t="s">
        <v>411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9" t="s">
        <v>423</v>
      </c>
      <c r="B18" s="36">
        <v>411.16250610351563</v>
      </c>
      <c r="C18" s="36">
        <v>294.64886474609375</v>
      </c>
      <c r="D18" s="9">
        <v>3335832</v>
      </c>
      <c r="E18" s="9" t="s">
        <v>410</v>
      </c>
      <c r="F18" s="9" t="s">
        <v>411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9" t="s">
        <v>424</v>
      </c>
      <c r="B19" s="36">
        <v>418.03750610351563</v>
      </c>
      <c r="C19" s="36">
        <v>299.57565307617188</v>
      </c>
      <c r="D19" s="9">
        <v>3099268</v>
      </c>
      <c r="E19" s="9" t="s">
        <v>410</v>
      </c>
      <c r="F19" s="9" t="s">
        <v>411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9" t="s">
        <v>425</v>
      </c>
      <c r="B20" s="36">
        <v>421.8125</v>
      </c>
      <c r="C20" s="36">
        <v>302.28103637695313</v>
      </c>
      <c r="D20" s="9">
        <v>7541032</v>
      </c>
      <c r="E20" s="9" t="s">
        <v>410</v>
      </c>
      <c r="F20" s="9" t="s">
        <v>411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9" t="s">
        <v>426</v>
      </c>
      <c r="B21" s="36">
        <v>416.42498779296875</v>
      </c>
      <c r="C21" s="36">
        <v>298.42019653320313</v>
      </c>
      <c r="D21" s="9">
        <v>3769104</v>
      </c>
      <c r="E21" s="9" t="s">
        <v>410</v>
      </c>
      <c r="F21" s="9" t="s">
        <v>411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9" t="s">
        <v>427</v>
      </c>
      <c r="B22" s="36">
        <v>411.66250610351563</v>
      </c>
      <c r="C22" s="36">
        <v>295.00723266601563</v>
      </c>
      <c r="D22" s="9">
        <v>4683076</v>
      </c>
      <c r="E22" s="9" t="s">
        <v>410</v>
      </c>
      <c r="F22" s="9" t="s">
        <v>411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9" t="s">
        <v>428</v>
      </c>
      <c r="B23" s="36">
        <v>404.08749389648438</v>
      </c>
      <c r="C23" s="36">
        <v>289.57882690429688</v>
      </c>
      <c r="D23" s="9">
        <v>4461772</v>
      </c>
      <c r="E23" s="9" t="s">
        <v>410</v>
      </c>
      <c r="F23" s="9" t="s">
        <v>411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9" t="s">
        <v>429</v>
      </c>
      <c r="B24" s="36">
        <v>414.85000610351563</v>
      </c>
      <c r="C24" s="36">
        <v>297.2913818359375</v>
      </c>
      <c r="D24" s="9">
        <v>4173388</v>
      </c>
      <c r="E24" s="9" t="s">
        <v>410</v>
      </c>
      <c r="F24" s="9" t="s">
        <v>411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9" t="s">
        <v>430</v>
      </c>
      <c r="B25" s="36">
        <v>412.23748779296875</v>
      </c>
      <c r="C25" s="36">
        <v>295.41921997070313</v>
      </c>
      <c r="D25" s="9">
        <v>4751440</v>
      </c>
      <c r="E25" s="9" t="s">
        <v>410</v>
      </c>
      <c r="F25" s="9" t="s">
        <v>411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9" t="s">
        <v>431</v>
      </c>
      <c r="B26" s="36">
        <v>447.9375</v>
      </c>
      <c r="C26" s="36">
        <v>321.00271606445313</v>
      </c>
      <c r="D26" s="9">
        <v>21415344</v>
      </c>
      <c r="E26" s="9" t="s">
        <v>410</v>
      </c>
      <c r="F26" s="9" t="s">
        <v>411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9" t="s">
        <v>432</v>
      </c>
      <c r="B27" s="36">
        <v>472.75</v>
      </c>
      <c r="C27" s="36">
        <v>338.78396606445313</v>
      </c>
      <c r="D27" s="9">
        <v>10089756</v>
      </c>
      <c r="E27" s="9" t="s">
        <v>410</v>
      </c>
      <c r="F27" s="9" t="s">
        <v>411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9" t="s">
        <v>433</v>
      </c>
      <c r="B28" s="36">
        <v>475.0625</v>
      </c>
      <c r="C28" s="36">
        <v>340.44122314453125</v>
      </c>
      <c r="D28" s="9">
        <v>8442272</v>
      </c>
      <c r="E28" s="9" t="s">
        <v>410</v>
      </c>
      <c r="F28" s="9" t="s">
        <v>411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9" t="s">
        <v>434</v>
      </c>
      <c r="B29" s="36">
        <v>475.08749389648438</v>
      </c>
      <c r="C29" s="36">
        <v>341.89846801757813</v>
      </c>
      <c r="D29" s="9">
        <v>4939900</v>
      </c>
      <c r="E29" s="9" t="s">
        <v>410</v>
      </c>
      <c r="F29" s="9" t="s">
        <v>411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9" t="s">
        <v>435</v>
      </c>
      <c r="B30" s="36">
        <v>493.16250610351563</v>
      </c>
      <c r="C30" s="36">
        <v>354.90625</v>
      </c>
      <c r="D30" s="9">
        <v>8494896</v>
      </c>
      <c r="E30" s="9" t="s">
        <v>410</v>
      </c>
      <c r="F30" s="9" t="s">
        <v>411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9" t="s">
        <v>436</v>
      </c>
      <c r="B31" s="36">
        <v>488.67498779296875</v>
      </c>
      <c r="C31" s="36">
        <v>351.67669677734375</v>
      </c>
      <c r="D31" s="9">
        <v>4023848</v>
      </c>
      <c r="E31" s="9" t="s">
        <v>410</v>
      </c>
      <c r="F31" s="9" t="s">
        <v>411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9" t="s">
        <v>437</v>
      </c>
      <c r="B32" s="36">
        <v>498.57501220703125</v>
      </c>
      <c r="C32" s="36">
        <v>358.80133056640625</v>
      </c>
      <c r="D32" s="9">
        <v>4670508</v>
      </c>
      <c r="E32" s="9" t="s">
        <v>410</v>
      </c>
      <c r="F32" s="9" t="s">
        <v>411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9" t="s">
        <v>438</v>
      </c>
      <c r="B33" s="36">
        <v>483.33749389648438</v>
      </c>
      <c r="C33" s="36">
        <v>347.835693359375</v>
      </c>
      <c r="D33" s="9">
        <v>5786408</v>
      </c>
      <c r="E33" s="9" t="s">
        <v>410</v>
      </c>
      <c r="F33" s="9" t="s">
        <v>411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9" t="s">
        <v>439</v>
      </c>
      <c r="B34" s="36">
        <v>488.92498779296875</v>
      </c>
      <c r="C34" s="36">
        <v>351.85671997070313</v>
      </c>
      <c r="D34" s="9">
        <v>2142516</v>
      </c>
      <c r="E34" s="9" t="s">
        <v>410</v>
      </c>
      <c r="F34" s="9" t="s">
        <v>411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9" t="s">
        <v>440</v>
      </c>
      <c r="B35" s="36">
        <v>496.10000610351563</v>
      </c>
      <c r="C35" s="36">
        <v>357.020263671875</v>
      </c>
      <c r="D35" s="9">
        <v>4365376</v>
      </c>
      <c r="E35" s="9" t="s">
        <v>410</v>
      </c>
      <c r="F35" s="9" t="s">
        <v>411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9" t="s">
        <v>441</v>
      </c>
      <c r="B36" s="36">
        <v>498.23748779296875</v>
      </c>
      <c r="C36" s="36">
        <v>358.55841064453125</v>
      </c>
      <c r="D36" s="9">
        <v>3286008</v>
      </c>
      <c r="E36" s="9" t="s">
        <v>410</v>
      </c>
      <c r="F36" s="9" t="s">
        <v>411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9" t="s">
        <v>442</v>
      </c>
      <c r="B37" s="36">
        <v>496.21249389648438</v>
      </c>
      <c r="C37" s="36">
        <v>357.10113525390625</v>
      </c>
      <c r="D37" s="9">
        <v>3024868</v>
      </c>
      <c r="E37" s="9" t="s">
        <v>410</v>
      </c>
      <c r="F37" s="9" t="s">
        <v>411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9" t="s">
        <v>443</v>
      </c>
      <c r="B38" s="36">
        <v>508.28750610351563</v>
      </c>
      <c r="C38" s="36">
        <v>365.79095458984375</v>
      </c>
      <c r="D38" s="9">
        <v>6327804</v>
      </c>
      <c r="E38" s="9" t="s">
        <v>410</v>
      </c>
      <c r="F38" s="9" t="s">
        <v>411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9" t="s">
        <v>444</v>
      </c>
      <c r="B39" s="36">
        <v>512.0374755859375</v>
      </c>
      <c r="C39" s="36">
        <v>368.48968505859375</v>
      </c>
      <c r="D39" s="9">
        <v>4136952</v>
      </c>
      <c r="E39" s="9" t="s">
        <v>410</v>
      </c>
      <c r="F39" s="9" t="s">
        <v>411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9" t="s">
        <v>445</v>
      </c>
      <c r="B40" s="36">
        <v>500.1875</v>
      </c>
      <c r="C40" s="36">
        <v>359.96176147460938</v>
      </c>
      <c r="D40" s="9">
        <v>2668572</v>
      </c>
      <c r="E40" s="9" t="s">
        <v>410</v>
      </c>
      <c r="F40" s="9" t="s">
        <v>411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9" t="s">
        <v>446</v>
      </c>
      <c r="B41" s="36">
        <v>492.75</v>
      </c>
      <c r="C41" s="36">
        <v>354.60943603515625</v>
      </c>
      <c r="D41" s="9">
        <v>2666340</v>
      </c>
      <c r="E41" s="9" t="s">
        <v>410</v>
      </c>
      <c r="F41" s="9" t="s">
        <v>411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9" t="s">
        <v>447</v>
      </c>
      <c r="B42" s="36">
        <v>494.01251220703125</v>
      </c>
      <c r="C42" s="36">
        <v>355.51800537109375</v>
      </c>
      <c r="D42" s="9">
        <v>3643048</v>
      </c>
      <c r="E42" s="9" t="s">
        <v>410</v>
      </c>
      <c r="F42" s="9" t="s">
        <v>411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9" t="s">
        <v>448</v>
      </c>
      <c r="B43" s="36">
        <v>495.79998779296875</v>
      </c>
      <c r="C43" s="36">
        <v>356.8043212890625</v>
      </c>
      <c r="D43" s="9">
        <v>2276348</v>
      </c>
      <c r="E43" s="9" t="s">
        <v>410</v>
      </c>
      <c r="F43" s="9" t="s">
        <v>411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9" t="s">
        <v>449</v>
      </c>
      <c r="B44" s="36">
        <v>493.86248779296875</v>
      </c>
      <c r="C44" s="36">
        <v>355.41000366210938</v>
      </c>
      <c r="D44" s="9">
        <v>4156644</v>
      </c>
      <c r="E44" s="9" t="s">
        <v>410</v>
      </c>
      <c r="F44" s="9" t="s">
        <v>411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9" t="s">
        <v>450</v>
      </c>
      <c r="B45" s="36">
        <v>505.5</v>
      </c>
      <c r="C45" s="36">
        <v>363.784912109375</v>
      </c>
      <c r="D45" s="9">
        <v>4808820</v>
      </c>
      <c r="E45" s="9" t="s">
        <v>410</v>
      </c>
      <c r="F45" s="9" t="s">
        <v>411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9" t="s">
        <v>451</v>
      </c>
      <c r="B46" s="36"/>
      <c r="C46" s="36"/>
      <c r="D46" s="9"/>
      <c r="E46" s="9" t="s">
        <v>410</v>
      </c>
      <c r="F46" s="9" t="s">
        <v>411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9" t="s">
        <v>452</v>
      </c>
      <c r="B47" s="36">
        <v>506.21249389648438</v>
      </c>
      <c r="C47" s="36">
        <v>364.29776000976563</v>
      </c>
      <c r="D47" s="9">
        <v>4098336</v>
      </c>
      <c r="E47" s="9" t="s">
        <v>410</v>
      </c>
      <c r="F47" s="9" t="s">
        <v>411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9" t="s">
        <v>453</v>
      </c>
      <c r="B48" s="36">
        <v>507.79998779296875</v>
      </c>
      <c r="C48" s="36">
        <v>365.4400634765625</v>
      </c>
      <c r="D48" s="9">
        <v>4306688</v>
      </c>
      <c r="E48" s="9" t="s">
        <v>410</v>
      </c>
      <c r="F48" s="9" t="s">
        <v>411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9" t="s">
        <v>454</v>
      </c>
      <c r="B49" s="36">
        <v>509</v>
      </c>
      <c r="C49" s="36">
        <v>366.30380249023438</v>
      </c>
      <c r="D49" s="9">
        <v>3430308</v>
      </c>
      <c r="E49" s="9" t="s">
        <v>410</v>
      </c>
      <c r="F49" s="9" t="s">
        <v>411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9" t="s">
        <v>455</v>
      </c>
      <c r="B50" s="36">
        <v>516.25</v>
      </c>
      <c r="C50" s="36">
        <v>371.521240234375</v>
      </c>
      <c r="D50" s="9">
        <v>3448716</v>
      </c>
      <c r="E50" s="9" t="s">
        <v>410</v>
      </c>
      <c r="F50" s="9" t="s">
        <v>411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9" t="s">
        <v>456</v>
      </c>
      <c r="B51" s="36">
        <v>516.42498779296875</v>
      </c>
      <c r="C51" s="36">
        <v>371.64712524414063</v>
      </c>
      <c r="D51" s="9">
        <v>6555768</v>
      </c>
      <c r="E51" s="9" t="s">
        <v>410</v>
      </c>
      <c r="F51" s="9" t="s">
        <v>411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9" t="s">
        <v>457</v>
      </c>
      <c r="B52" s="36">
        <v>511.03750610351563</v>
      </c>
      <c r="C52" s="36">
        <v>367.77008056640625</v>
      </c>
      <c r="D52" s="9">
        <v>5425488</v>
      </c>
      <c r="E52" s="9" t="s">
        <v>410</v>
      </c>
      <c r="F52" s="9" t="s">
        <v>411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9" t="s">
        <v>458</v>
      </c>
      <c r="B53" s="36">
        <v>514.76251220703125</v>
      </c>
      <c r="C53" s="36">
        <v>370.45077514648438</v>
      </c>
      <c r="D53" s="9">
        <v>10074260</v>
      </c>
      <c r="E53" s="9" t="s">
        <v>410</v>
      </c>
      <c r="F53" s="9" t="s">
        <v>411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9" t="s">
        <v>459</v>
      </c>
      <c r="B54" s="36">
        <v>513.17498779296875</v>
      </c>
      <c r="C54" s="36">
        <v>369.30825805664063</v>
      </c>
      <c r="D54" s="9">
        <v>4880440</v>
      </c>
      <c r="E54" s="9" t="s">
        <v>410</v>
      </c>
      <c r="F54" s="9" t="s">
        <v>411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9" t="s">
        <v>460</v>
      </c>
      <c r="B55" s="36">
        <v>503.14999389648438</v>
      </c>
      <c r="C55" s="36">
        <v>362.09368896484375</v>
      </c>
      <c r="D55" s="9">
        <v>6368968</v>
      </c>
      <c r="E55" s="9" t="s">
        <v>410</v>
      </c>
      <c r="F55" s="9" t="s">
        <v>411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9" t="s">
        <v>461</v>
      </c>
      <c r="B56" s="36">
        <v>514.25</v>
      </c>
      <c r="C56" s="36">
        <v>370.0819091796875</v>
      </c>
      <c r="D56" s="9">
        <v>7937836</v>
      </c>
      <c r="E56" s="9" t="s">
        <v>410</v>
      </c>
      <c r="F56" s="9" t="s">
        <v>411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9" t="s">
        <v>462</v>
      </c>
      <c r="B57" s="36">
        <v>509.77499389648438</v>
      </c>
      <c r="C57" s="36">
        <v>366.86141967773438</v>
      </c>
      <c r="D57" s="9">
        <v>10007444</v>
      </c>
      <c r="E57" s="9" t="s">
        <v>410</v>
      </c>
      <c r="F57" s="9" t="s">
        <v>411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9" t="s">
        <v>463</v>
      </c>
      <c r="B58" s="36">
        <v>501.63751220703125</v>
      </c>
      <c r="C58" s="36">
        <v>361.00531005859375</v>
      </c>
      <c r="D58" s="9">
        <v>18927840</v>
      </c>
      <c r="E58" s="9" t="s">
        <v>410</v>
      </c>
      <c r="F58" s="9" t="s">
        <v>411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9" t="s">
        <v>464</v>
      </c>
      <c r="B59" s="36">
        <v>489.82501220703125</v>
      </c>
      <c r="C59" s="36">
        <v>352.50445556640625</v>
      </c>
      <c r="D59" s="9">
        <v>10163240</v>
      </c>
      <c r="E59" s="9" t="s">
        <v>410</v>
      </c>
      <c r="F59" s="9" t="s">
        <v>411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9" t="s">
        <v>465</v>
      </c>
      <c r="B60" s="36">
        <v>489.95001220703125</v>
      </c>
      <c r="C60" s="36">
        <v>352.59432983398438</v>
      </c>
      <c r="D60" s="9">
        <v>6271108</v>
      </c>
      <c r="E60" s="9" t="s">
        <v>410</v>
      </c>
      <c r="F60" s="9" t="s">
        <v>411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9" t="s">
        <v>466</v>
      </c>
      <c r="B61" s="36">
        <v>484.20001220703125</v>
      </c>
      <c r="C61" s="36">
        <v>348.45635986328125</v>
      </c>
      <c r="D61" s="9">
        <v>3897136</v>
      </c>
      <c r="E61" s="9" t="s">
        <v>410</v>
      </c>
      <c r="F61" s="9" t="s">
        <v>411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9" t="s">
        <v>467</v>
      </c>
      <c r="B62" s="36">
        <v>485.17498779296875</v>
      </c>
      <c r="C62" s="36">
        <v>349.15798950195313</v>
      </c>
      <c r="D62" s="9">
        <v>5298696</v>
      </c>
      <c r="E62" s="9" t="s">
        <v>410</v>
      </c>
      <c r="F62" s="9" t="s">
        <v>411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9" t="s">
        <v>468</v>
      </c>
      <c r="B63" s="36">
        <v>503.57501220703125</v>
      </c>
      <c r="C63" s="36">
        <v>362.39971923828125</v>
      </c>
      <c r="D63" s="9">
        <v>7518574</v>
      </c>
      <c r="E63" s="9" t="s">
        <v>410</v>
      </c>
      <c r="F63" s="9" t="s">
        <v>411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9" t="s">
        <v>469</v>
      </c>
      <c r="B64" s="36">
        <v>493.70001220703125</v>
      </c>
      <c r="C64" s="36">
        <v>355.29306030273438</v>
      </c>
      <c r="D64" s="9">
        <v>7048128</v>
      </c>
      <c r="E64" s="9" t="s">
        <v>410</v>
      </c>
      <c r="F64" s="9" t="s">
        <v>411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9" t="s">
        <v>470</v>
      </c>
      <c r="B65" s="36">
        <v>481.42498779296875</v>
      </c>
      <c r="C65" s="36">
        <v>346.45928955078125</v>
      </c>
      <c r="D65" s="9">
        <v>4280330</v>
      </c>
      <c r="E65" s="9" t="s">
        <v>410</v>
      </c>
      <c r="F65" s="9" t="s">
        <v>411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9" t="s">
        <v>471</v>
      </c>
      <c r="B66" s="36">
        <v>490.22500610351563</v>
      </c>
      <c r="C66" s="36">
        <v>352.792236328125</v>
      </c>
      <c r="D66" s="9">
        <v>3275064</v>
      </c>
      <c r="E66" s="9" t="s">
        <v>410</v>
      </c>
      <c r="F66" s="9" t="s">
        <v>411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9" t="s">
        <v>472</v>
      </c>
      <c r="B67" s="36">
        <v>490.20001220703125</v>
      </c>
      <c r="C67" s="36">
        <v>352.77426147460938</v>
      </c>
      <c r="D67" s="9">
        <v>3726676</v>
      </c>
      <c r="E67" s="9" t="s">
        <v>410</v>
      </c>
      <c r="F67" s="9" t="s">
        <v>411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9" t="s">
        <v>473</v>
      </c>
      <c r="B68" s="36">
        <v>470.42498779296875</v>
      </c>
      <c r="C68" s="36">
        <v>338.5430908203125</v>
      </c>
      <c r="D68" s="9">
        <v>8281168</v>
      </c>
      <c r="E68" s="9" t="s">
        <v>474</v>
      </c>
      <c r="F68" s="9" t="s">
        <v>411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9" t="s">
        <v>475</v>
      </c>
      <c r="B69" s="36">
        <v>466.02499389648438</v>
      </c>
      <c r="C69" s="36">
        <v>335.37664794921875</v>
      </c>
      <c r="D69" s="9">
        <v>7728748</v>
      </c>
      <c r="E69" s="9" t="s">
        <v>474</v>
      </c>
      <c r="F69" s="9" t="s">
        <v>411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9" t="s">
        <v>476</v>
      </c>
      <c r="B70" s="36">
        <v>467.27499389648438</v>
      </c>
      <c r="C70" s="36">
        <v>336.27618408203125</v>
      </c>
      <c r="D70" s="9">
        <v>4348138</v>
      </c>
      <c r="E70" s="9" t="s">
        <v>474</v>
      </c>
      <c r="F70" s="9" t="s">
        <v>411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9" t="s">
        <v>477</v>
      </c>
      <c r="B71" s="36">
        <v>479.42498779296875</v>
      </c>
      <c r="C71" s="36">
        <v>345.01998901367188</v>
      </c>
      <c r="D71" s="9">
        <v>3587334</v>
      </c>
      <c r="E71" s="9" t="s">
        <v>474</v>
      </c>
      <c r="F71" s="9" t="s">
        <v>411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9" t="s">
        <v>478</v>
      </c>
      <c r="B72" s="36">
        <v>482.07501220703125</v>
      </c>
      <c r="C72" s="36">
        <v>346.92703247070313</v>
      </c>
      <c r="D72" s="9">
        <v>2674132</v>
      </c>
      <c r="E72" s="9" t="s">
        <v>474</v>
      </c>
      <c r="F72" s="9" t="s">
        <v>411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9" t="s">
        <v>479</v>
      </c>
      <c r="B73" s="36">
        <v>483.625</v>
      </c>
      <c r="C73" s="36">
        <v>348.04244995117188</v>
      </c>
      <c r="D73" s="9">
        <v>2837478</v>
      </c>
      <c r="E73" s="9" t="s">
        <v>474</v>
      </c>
      <c r="F73" s="9" t="s">
        <v>411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9" t="s">
        <v>480</v>
      </c>
      <c r="B74" s="36">
        <v>488.02499389648438</v>
      </c>
      <c r="C74" s="36">
        <v>351.208984375</v>
      </c>
      <c r="D74" s="9">
        <v>3099142</v>
      </c>
      <c r="E74" s="9" t="s">
        <v>474</v>
      </c>
      <c r="F74" s="9" t="s">
        <v>411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9" t="s">
        <v>481</v>
      </c>
      <c r="B75" s="36">
        <v>472.25</v>
      </c>
      <c r="C75" s="36">
        <v>339.85641479492188</v>
      </c>
      <c r="D75" s="9">
        <v>3098572</v>
      </c>
      <c r="E75" s="9" t="s">
        <v>474</v>
      </c>
      <c r="F75" s="9" t="s">
        <v>411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9" t="s">
        <v>482</v>
      </c>
      <c r="B76" s="36">
        <v>477.125</v>
      </c>
      <c r="C76" s="36">
        <v>343.36474609375</v>
      </c>
      <c r="D76" s="9">
        <v>2057382</v>
      </c>
      <c r="E76" s="9" t="s">
        <v>474</v>
      </c>
      <c r="F76" s="9" t="s">
        <v>411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9" t="s">
        <v>483</v>
      </c>
      <c r="B77" s="36">
        <v>470.04998779296875</v>
      </c>
      <c r="C77" s="36">
        <v>338.273193359375</v>
      </c>
      <c r="D77" s="9">
        <v>3138232</v>
      </c>
      <c r="E77" s="9" t="s">
        <v>474</v>
      </c>
      <c r="F77" s="9" t="s">
        <v>411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9" t="s">
        <v>484</v>
      </c>
      <c r="B78" s="36">
        <v>462.14999389648438</v>
      </c>
      <c r="C78" s="36">
        <v>332.58792114257813</v>
      </c>
      <c r="D78" s="9">
        <v>3223104</v>
      </c>
      <c r="E78" s="9" t="s">
        <v>474</v>
      </c>
      <c r="F78" s="9" t="s">
        <v>411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9" t="s">
        <v>485</v>
      </c>
      <c r="B79" s="36">
        <v>445.32501220703125</v>
      </c>
      <c r="C79" s="36">
        <v>320.47988891601563</v>
      </c>
      <c r="D79" s="9">
        <v>14596284</v>
      </c>
      <c r="E79" s="9" t="s">
        <v>474</v>
      </c>
      <c r="F79" s="9" t="s">
        <v>411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9" t="s">
        <v>486</v>
      </c>
      <c r="B80" s="36">
        <v>438.64999389648438</v>
      </c>
      <c r="C80" s="36">
        <v>315.67608642578125</v>
      </c>
      <c r="D80" s="9">
        <v>7934682</v>
      </c>
      <c r="E80" s="9" t="s">
        <v>474</v>
      </c>
      <c r="F80" s="9" t="s">
        <v>411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9" t="s">
        <v>487</v>
      </c>
      <c r="B81" s="36">
        <v>447.5</v>
      </c>
      <c r="C81" s="36">
        <v>322.0450439453125</v>
      </c>
      <c r="D81" s="9">
        <v>6391380</v>
      </c>
      <c r="E81" s="9" t="s">
        <v>474</v>
      </c>
      <c r="F81" s="9" t="s">
        <v>411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9" t="s">
        <v>488</v>
      </c>
      <c r="B82" s="36">
        <v>448.47500610351563</v>
      </c>
      <c r="C82" s="36">
        <v>324.19558715820313</v>
      </c>
      <c r="D82" s="9">
        <v>6406490</v>
      </c>
      <c r="E82" s="9" t="s">
        <v>474</v>
      </c>
      <c r="F82" s="9" t="s">
        <v>411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9" t="s">
        <v>489</v>
      </c>
      <c r="B83" s="36">
        <v>441.60000610351563</v>
      </c>
      <c r="C83" s="36">
        <v>319.22586059570313</v>
      </c>
      <c r="D83" s="9">
        <v>3789232</v>
      </c>
      <c r="E83" s="9" t="s">
        <v>474</v>
      </c>
      <c r="F83" s="9" t="s">
        <v>411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9" t="s">
        <v>490</v>
      </c>
      <c r="B84" s="36">
        <v>435.25</v>
      </c>
      <c r="C84" s="36">
        <v>314.63546752929688</v>
      </c>
      <c r="D84" s="9">
        <v>5803656</v>
      </c>
      <c r="E84" s="9" t="s">
        <v>474</v>
      </c>
      <c r="F84" s="9" t="s">
        <v>411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9" t="s">
        <v>491</v>
      </c>
      <c r="B85" s="36">
        <v>443.60000610351563</v>
      </c>
      <c r="C85" s="36">
        <v>320.67147827148438</v>
      </c>
      <c r="D85" s="9">
        <v>4076096</v>
      </c>
      <c r="E85" s="9" t="s">
        <v>474</v>
      </c>
      <c r="F85" s="9" t="s">
        <v>411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9" t="s">
        <v>492</v>
      </c>
      <c r="B86" s="36">
        <v>440.27499389648438</v>
      </c>
      <c r="C86" s="36">
        <v>318.26800537109375</v>
      </c>
      <c r="D86" s="9">
        <v>7338470</v>
      </c>
      <c r="E86" s="9" t="s">
        <v>474</v>
      </c>
      <c r="F86" s="9" t="s">
        <v>411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9" t="s">
        <v>493</v>
      </c>
      <c r="B87" s="36">
        <v>459.89999389648438</v>
      </c>
      <c r="C87" s="36">
        <v>332.45462036132813</v>
      </c>
      <c r="D87" s="9">
        <v>3352524</v>
      </c>
      <c r="E87" s="9" t="s">
        <v>474</v>
      </c>
      <c r="F87" s="9" t="s">
        <v>411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9" t="s">
        <v>494</v>
      </c>
      <c r="B88" s="36">
        <v>455.97500610351563</v>
      </c>
      <c r="C88" s="36">
        <v>329.61721801757813</v>
      </c>
      <c r="D88" s="9">
        <v>3459534</v>
      </c>
      <c r="E88" s="9" t="s">
        <v>474</v>
      </c>
      <c r="F88" s="9" t="s">
        <v>411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9" t="s">
        <v>495</v>
      </c>
      <c r="B89" s="36">
        <v>445.57501220703125</v>
      </c>
      <c r="C89" s="36">
        <v>322.09921264648438</v>
      </c>
      <c r="D89" s="9">
        <v>4595278</v>
      </c>
      <c r="E89" s="9" t="s">
        <v>474</v>
      </c>
      <c r="F89" s="9" t="s">
        <v>411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9" t="s">
        <v>496</v>
      </c>
      <c r="B90" s="36">
        <v>460.375</v>
      </c>
      <c r="C90" s="36">
        <v>332.79791259765625</v>
      </c>
      <c r="D90" s="9">
        <v>3639964</v>
      </c>
      <c r="E90" s="9" t="s">
        <v>474</v>
      </c>
      <c r="F90" s="9" t="s">
        <v>411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9" t="s">
        <v>497</v>
      </c>
      <c r="B91" s="36">
        <v>462.75</v>
      </c>
      <c r="C91" s="36">
        <v>334.51473999023438</v>
      </c>
      <c r="D91" s="9">
        <v>3579368</v>
      </c>
      <c r="E91" s="9" t="s">
        <v>474</v>
      </c>
      <c r="F91" s="9" t="s">
        <v>411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9" t="s">
        <v>498</v>
      </c>
      <c r="B92" s="36">
        <v>470.95001220703125</v>
      </c>
      <c r="C92" s="36">
        <v>340.44244384765625</v>
      </c>
      <c r="D92" s="9">
        <v>3592212</v>
      </c>
      <c r="E92" s="9" t="s">
        <v>474</v>
      </c>
      <c r="F92" s="9" t="s">
        <v>411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9" t="s">
        <v>499</v>
      </c>
      <c r="B93" s="36">
        <v>457.82501220703125</v>
      </c>
      <c r="C93" s="36">
        <v>330.95465087890625</v>
      </c>
      <c r="D93" s="9">
        <v>2464630</v>
      </c>
      <c r="E93" s="9" t="s">
        <v>474</v>
      </c>
      <c r="F93" s="9" t="s">
        <v>411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9" t="s">
        <v>500</v>
      </c>
      <c r="B94" s="36">
        <v>468.64999389648438</v>
      </c>
      <c r="C94" s="36">
        <v>338.77981567382813</v>
      </c>
      <c r="D94" s="9">
        <v>2774824</v>
      </c>
      <c r="E94" s="9" t="s">
        <v>474</v>
      </c>
      <c r="F94" s="9" t="s">
        <v>411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9" t="s">
        <v>501</v>
      </c>
      <c r="B95" s="36">
        <v>462.64999389648438</v>
      </c>
      <c r="C95" s="36">
        <v>334.44259643554688</v>
      </c>
      <c r="D95" s="9">
        <v>2252426</v>
      </c>
      <c r="E95" s="9" t="s">
        <v>474</v>
      </c>
      <c r="F95" s="9" t="s">
        <v>411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9" t="s">
        <v>502</v>
      </c>
      <c r="B96" s="36">
        <v>456.95001220703125</v>
      </c>
      <c r="C96" s="36">
        <v>330.32211303710938</v>
      </c>
      <c r="D96" s="9">
        <v>3405608</v>
      </c>
      <c r="E96" s="9" t="s">
        <v>474</v>
      </c>
      <c r="F96" s="9" t="s">
        <v>411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9" t="s">
        <v>503</v>
      </c>
      <c r="B97" s="36">
        <v>465.27499389648438</v>
      </c>
      <c r="C97" s="36">
        <v>336.34002685546875</v>
      </c>
      <c r="D97" s="9">
        <v>3014132</v>
      </c>
      <c r="E97" s="9" t="s">
        <v>474</v>
      </c>
      <c r="F97" s="9" t="s">
        <v>411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9" t="s">
        <v>504</v>
      </c>
      <c r="B98" s="36">
        <v>467.07501220703125</v>
      </c>
      <c r="C98" s="36">
        <v>337.64126586914063</v>
      </c>
      <c r="D98" s="9">
        <v>2588934</v>
      </c>
      <c r="E98" s="9" t="s">
        <v>474</v>
      </c>
      <c r="F98" s="9" t="s">
        <v>411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9" t="s">
        <v>505</v>
      </c>
      <c r="B99" s="36">
        <v>480.04998779296875</v>
      </c>
      <c r="C99" s="36">
        <v>347.02078247070313</v>
      </c>
      <c r="D99" s="9">
        <v>3073544</v>
      </c>
      <c r="E99" s="9" t="s">
        <v>474</v>
      </c>
      <c r="F99" s="9" t="s">
        <v>411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9" t="s">
        <v>506</v>
      </c>
      <c r="B100" s="36">
        <v>485.125</v>
      </c>
      <c r="C100" s="36">
        <v>350.6893310546875</v>
      </c>
      <c r="D100" s="9">
        <v>2092768</v>
      </c>
      <c r="E100" s="9" t="s">
        <v>474</v>
      </c>
      <c r="F100" s="9" t="s">
        <v>411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9" t="s">
        <v>507</v>
      </c>
      <c r="B101" s="36">
        <v>492.07501220703125</v>
      </c>
      <c r="C101" s="36">
        <v>355.71331787109375</v>
      </c>
      <c r="D101" s="9">
        <v>2995660</v>
      </c>
      <c r="E101" s="9" t="s">
        <v>474</v>
      </c>
      <c r="F101" s="9" t="s">
        <v>411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9" t="s">
        <v>508</v>
      </c>
      <c r="B102" s="36">
        <v>499.57501220703125</v>
      </c>
      <c r="C102" s="36">
        <v>361.13507080078125</v>
      </c>
      <c r="D102" s="9">
        <v>3291366</v>
      </c>
      <c r="E102" s="9" t="s">
        <v>474</v>
      </c>
      <c r="F102" s="9" t="s">
        <v>411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9" t="s">
        <v>509</v>
      </c>
      <c r="B103" s="36">
        <v>496.75</v>
      </c>
      <c r="C103" s="36">
        <v>359.09286499023438</v>
      </c>
      <c r="D103" s="9">
        <v>2462108</v>
      </c>
      <c r="E103" s="9" t="s">
        <v>474</v>
      </c>
      <c r="F103" s="9" t="s">
        <v>411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9" t="s">
        <v>510</v>
      </c>
      <c r="B104" s="36">
        <v>495.75</v>
      </c>
      <c r="C104" s="36">
        <v>358.37002563476563</v>
      </c>
      <c r="D104" s="9">
        <v>2945442</v>
      </c>
      <c r="E104" s="9" t="s">
        <v>474</v>
      </c>
      <c r="F104" s="9" t="s">
        <v>411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9" t="s">
        <v>511</v>
      </c>
      <c r="B105" s="36">
        <v>490.04998779296875</v>
      </c>
      <c r="C105" s="36">
        <v>354.24951171875</v>
      </c>
      <c r="D105" s="9">
        <v>3337232</v>
      </c>
      <c r="E105" s="9" t="s">
        <v>474</v>
      </c>
      <c r="F105" s="9" t="s">
        <v>411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9" t="s">
        <v>512</v>
      </c>
      <c r="B106" s="36">
        <v>505.375</v>
      </c>
      <c r="C106" s="36">
        <v>365.32785034179688</v>
      </c>
      <c r="D106" s="9">
        <v>11358676</v>
      </c>
      <c r="E106" s="9" t="s">
        <v>474</v>
      </c>
      <c r="F106" s="9" t="s">
        <v>411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9" t="s">
        <v>513</v>
      </c>
      <c r="B107" s="36">
        <v>486.64999389648438</v>
      </c>
      <c r="C107" s="36">
        <v>351.79171752929688</v>
      </c>
      <c r="D107" s="9">
        <v>2304588</v>
      </c>
      <c r="E107" s="9" t="s">
        <v>474</v>
      </c>
      <c r="F107" s="9" t="s">
        <v>411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9" t="s">
        <v>514</v>
      </c>
      <c r="B108" s="36">
        <v>476.35000610351563</v>
      </c>
      <c r="C108" s="36">
        <v>344.34603881835938</v>
      </c>
      <c r="D108" s="9">
        <v>2331440</v>
      </c>
      <c r="E108" s="9" t="s">
        <v>474</v>
      </c>
      <c r="F108" s="9" t="s">
        <v>411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9" t="s">
        <v>515</v>
      </c>
      <c r="B109" s="36">
        <v>476.14999389648438</v>
      </c>
      <c r="C109" s="36">
        <v>344.20147705078125</v>
      </c>
      <c r="D109" s="9">
        <v>3619974</v>
      </c>
      <c r="E109" s="9" t="s">
        <v>474</v>
      </c>
      <c r="F109" s="9" t="s">
        <v>411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9" t="s">
        <v>516</v>
      </c>
      <c r="B110" s="36">
        <v>470.32501220703125</v>
      </c>
      <c r="C110" s="36">
        <v>339.99063110351563</v>
      </c>
      <c r="D110" s="9">
        <v>3107452</v>
      </c>
      <c r="E110" s="9" t="s">
        <v>474</v>
      </c>
      <c r="F110" s="9" t="s">
        <v>411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9" t="s">
        <v>517</v>
      </c>
      <c r="B111" s="36">
        <v>464.5</v>
      </c>
      <c r="C111" s="36">
        <v>335.77987670898438</v>
      </c>
      <c r="D111" s="9">
        <v>3000646</v>
      </c>
      <c r="E111" s="9" t="s">
        <v>474</v>
      </c>
      <c r="F111" s="9" t="s">
        <v>411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9" t="s">
        <v>518</v>
      </c>
      <c r="B112" s="36">
        <v>459.47500610351563</v>
      </c>
      <c r="C112" s="36">
        <v>332.14727783203125</v>
      </c>
      <c r="D112" s="9">
        <v>2978860</v>
      </c>
      <c r="E112" s="9" t="s">
        <v>474</v>
      </c>
      <c r="F112" s="9" t="s">
        <v>411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9" t="s">
        <v>519</v>
      </c>
      <c r="B113" s="36">
        <v>455.70001220703125</v>
      </c>
      <c r="C113" s="36">
        <v>329.41845703125</v>
      </c>
      <c r="D113" s="9">
        <v>2442408</v>
      </c>
      <c r="E113" s="9" t="s">
        <v>474</v>
      </c>
      <c r="F113" s="9" t="s">
        <v>411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9" t="s">
        <v>520</v>
      </c>
      <c r="B114" s="36">
        <v>471.27499389648438</v>
      </c>
      <c r="C114" s="36">
        <v>340.67739868164063</v>
      </c>
      <c r="D114" s="9">
        <v>5172246</v>
      </c>
      <c r="E114" s="9" t="s">
        <v>474</v>
      </c>
      <c r="F114" s="9" t="s">
        <v>411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9" t="s">
        <v>521</v>
      </c>
      <c r="B115" s="36">
        <v>457.39999389648438</v>
      </c>
      <c r="C115" s="36">
        <v>330.64730834960938</v>
      </c>
      <c r="D115" s="9">
        <v>3641272</v>
      </c>
      <c r="E115" s="9" t="s">
        <v>474</v>
      </c>
      <c r="F115" s="9" t="s">
        <v>411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9" t="s">
        <v>522</v>
      </c>
      <c r="B116" s="36">
        <v>448.17498779296875</v>
      </c>
      <c r="C116" s="36">
        <v>323.9786376953125</v>
      </c>
      <c r="D116" s="9">
        <v>3693056</v>
      </c>
      <c r="E116" s="9" t="s">
        <v>474</v>
      </c>
      <c r="F116" s="9" t="s">
        <v>411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9" t="s">
        <v>523</v>
      </c>
      <c r="B117" s="36">
        <v>454.02499389648438</v>
      </c>
      <c r="C117" s="36">
        <v>328.20761108398438</v>
      </c>
      <c r="D117" s="9">
        <v>1717342</v>
      </c>
      <c r="E117" s="9" t="s">
        <v>474</v>
      </c>
      <c r="F117" s="9" t="s">
        <v>411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9" t="s">
        <v>524</v>
      </c>
      <c r="B118" s="36">
        <v>453.14999389648438</v>
      </c>
      <c r="C118" s="36">
        <v>327.5750732421875</v>
      </c>
      <c r="D118" s="9">
        <v>1778324</v>
      </c>
      <c r="E118" s="9" t="s">
        <v>474</v>
      </c>
      <c r="F118" s="9" t="s">
        <v>411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9" t="s">
        <v>525</v>
      </c>
      <c r="B119" s="36">
        <v>453.14999389648438</v>
      </c>
      <c r="C119" s="36">
        <v>327.5750732421875</v>
      </c>
      <c r="D119" s="9">
        <v>2501764</v>
      </c>
      <c r="E119" s="9" t="s">
        <v>474</v>
      </c>
      <c r="F119" s="9" t="s">
        <v>411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9" t="s">
        <v>526</v>
      </c>
      <c r="B120" s="36">
        <v>456.875</v>
      </c>
      <c r="C120" s="36">
        <v>330.267822265625</v>
      </c>
      <c r="D120" s="9">
        <v>2637416</v>
      </c>
      <c r="E120" s="9" t="s">
        <v>474</v>
      </c>
      <c r="F120" s="9" t="s">
        <v>411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9" t="s">
        <v>527</v>
      </c>
      <c r="B121" s="36">
        <v>459.10000610351563</v>
      </c>
      <c r="C121" s="36">
        <v>331.87619018554688</v>
      </c>
      <c r="D121" s="9">
        <v>3563616</v>
      </c>
      <c r="E121" s="9" t="s">
        <v>474</v>
      </c>
      <c r="F121" s="9" t="s">
        <v>411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9" t="s">
        <v>528</v>
      </c>
      <c r="B122" s="36">
        <v>465.77499389648438</v>
      </c>
      <c r="C122" s="36">
        <v>336.70156860351563</v>
      </c>
      <c r="D122" s="9">
        <v>1651062</v>
      </c>
      <c r="E122" s="9" t="s">
        <v>474</v>
      </c>
      <c r="F122" s="9" t="s">
        <v>411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9" t="s">
        <v>529</v>
      </c>
      <c r="B123" s="36">
        <v>463.72500610351563</v>
      </c>
      <c r="C123" s="36">
        <v>335.21963500976563</v>
      </c>
      <c r="D123" s="9">
        <v>2200268</v>
      </c>
      <c r="E123" s="9" t="s">
        <v>474</v>
      </c>
      <c r="F123" s="9" t="s">
        <v>411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9" t="s">
        <v>530</v>
      </c>
      <c r="B124" s="36">
        <v>469.04998779296875</v>
      </c>
      <c r="C124" s="36">
        <v>339.06893920898438</v>
      </c>
      <c r="D124" s="9">
        <v>2617310</v>
      </c>
      <c r="E124" s="9" t="s">
        <v>474</v>
      </c>
      <c r="F124" s="9" t="s">
        <v>411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9" t="s">
        <v>531</v>
      </c>
      <c r="B125" s="36">
        <v>463.04998779296875</v>
      </c>
      <c r="C125" s="36">
        <v>334.7315673828125</v>
      </c>
      <c r="D125" s="9">
        <v>3102502</v>
      </c>
      <c r="E125" s="9" t="s">
        <v>474</v>
      </c>
      <c r="F125" s="9" t="s">
        <v>411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9" t="s">
        <v>532</v>
      </c>
      <c r="B126" s="36">
        <v>478.625</v>
      </c>
      <c r="C126" s="36">
        <v>345.9906005859375</v>
      </c>
      <c r="D126" s="9">
        <v>3170238</v>
      </c>
      <c r="E126" s="9" t="s">
        <v>474</v>
      </c>
      <c r="F126" s="9" t="s">
        <v>411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9" t="s">
        <v>533</v>
      </c>
      <c r="B127" s="36">
        <v>464.20001220703125</v>
      </c>
      <c r="C127" s="36">
        <v>335.56298828125</v>
      </c>
      <c r="D127" s="9">
        <v>2336726</v>
      </c>
      <c r="E127" s="9" t="s">
        <v>474</v>
      </c>
      <c r="F127" s="9" t="s">
        <v>411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9" t="s">
        <v>534</v>
      </c>
      <c r="B128" s="36">
        <v>459.875</v>
      </c>
      <c r="C128" s="36">
        <v>332.43655395507813</v>
      </c>
      <c r="D128" s="9">
        <v>3974968</v>
      </c>
      <c r="E128" s="9" t="s">
        <v>474</v>
      </c>
      <c r="F128" s="9" t="s">
        <v>411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9" t="s">
        <v>535</v>
      </c>
      <c r="B129" s="36">
        <v>472.02499389648438</v>
      </c>
      <c r="C129" s="36">
        <v>341.21954345703125</v>
      </c>
      <c r="D129" s="9">
        <v>2148066</v>
      </c>
      <c r="E129" s="9" t="s">
        <v>474</v>
      </c>
      <c r="F129" s="9" t="s">
        <v>411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9" t="s">
        <v>536</v>
      </c>
      <c r="B130" s="36">
        <v>477.25</v>
      </c>
      <c r="C130" s="36">
        <v>344.99658203125</v>
      </c>
      <c r="D130" s="9">
        <v>1977048</v>
      </c>
      <c r="E130" s="9" t="s">
        <v>474</v>
      </c>
      <c r="F130" s="9" t="s">
        <v>411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9" t="s">
        <v>537</v>
      </c>
      <c r="B131" s="36">
        <v>482.45001220703125</v>
      </c>
      <c r="C131" s="36">
        <v>348.75567626953125</v>
      </c>
      <c r="D131" s="9">
        <v>1725652</v>
      </c>
      <c r="E131" s="9" t="s">
        <v>474</v>
      </c>
      <c r="F131" s="9" t="s">
        <v>411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9" t="s">
        <v>538</v>
      </c>
      <c r="B132" s="36">
        <v>484.97500610351563</v>
      </c>
      <c r="C132" s="36">
        <v>350.5809326171875</v>
      </c>
      <c r="D132" s="9">
        <v>1624082</v>
      </c>
      <c r="E132" s="9" t="s">
        <v>474</v>
      </c>
      <c r="F132" s="9" t="s">
        <v>411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9" t="s">
        <v>539</v>
      </c>
      <c r="B133" s="36">
        <v>468.14999389648438</v>
      </c>
      <c r="C133" s="36">
        <v>338.41830444335938</v>
      </c>
      <c r="D133" s="9">
        <v>2544644</v>
      </c>
      <c r="E133" s="9" t="s">
        <v>474</v>
      </c>
      <c r="F133" s="9" t="s">
        <v>411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9" t="s">
        <v>540</v>
      </c>
      <c r="B134" s="36">
        <v>466.5</v>
      </c>
      <c r="C134" s="36">
        <v>337.22561645507813</v>
      </c>
      <c r="D134" s="9">
        <v>2349626</v>
      </c>
      <c r="E134" s="9" t="s">
        <v>474</v>
      </c>
      <c r="F134" s="9" t="s">
        <v>411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9" t="s">
        <v>541</v>
      </c>
      <c r="B135" s="36">
        <v>458.72500610351563</v>
      </c>
      <c r="C135" s="36">
        <v>331.60513305664063</v>
      </c>
      <c r="D135" s="9">
        <v>2299680</v>
      </c>
      <c r="E135" s="9" t="s">
        <v>474</v>
      </c>
      <c r="F135" s="9" t="s">
        <v>411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9" t="s">
        <v>542</v>
      </c>
      <c r="B136" s="36">
        <v>462.82501220703125</v>
      </c>
      <c r="C136" s="36">
        <v>334.56893920898438</v>
      </c>
      <c r="D136" s="9">
        <v>2360456</v>
      </c>
      <c r="E136" s="9" t="s">
        <v>474</v>
      </c>
      <c r="F136" s="9" t="s">
        <v>411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9" t="s">
        <v>543</v>
      </c>
      <c r="B137" s="36">
        <v>480.42498779296875</v>
      </c>
      <c r="C137" s="36">
        <v>347.29168701171875</v>
      </c>
      <c r="D137" s="9">
        <v>2415516</v>
      </c>
      <c r="E137" s="9" t="s">
        <v>474</v>
      </c>
      <c r="F137" s="9" t="s">
        <v>411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9" t="s">
        <v>544</v>
      </c>
      <c r="B138" s="36">
        <v>477.47500610351563</v>
      </c>
      <c r="C138" s="36">
        <v>345.1593017578125</v>
      </c>
      <c r="D138" s="9">
        <v>2424140</v>
      </c>
      <c r="E138" s="9" t="s">
        <v>474</v>
      </c>
      <c r="F138" s="9" t="s">
        <v>411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9" t="s">
        <v>545</v>
      </c>
      <c r="B139" s="36">
        <v>474.07501220703125</v>
      </c>
      <c r="C139" s="36">
        <v>342.70147705078125</v>
      </c>
      <c r="D139" s="9">
        <v>2391962</v>
      </c>
      <c r="E139" s="9" t="s">
        <v>474</v>
      </c>
      <c r="F139" s="9" t="s">
        <v>411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9" t="s">
        <v>546</v>
      </c>
      <c r="B140" s="36">
        <v>478.27499389648438</v>
      </c>
      <c r="C140" s="36">
        <v>345.73757934570313</v>
      </c>
      <c r="D140" s="9">
        <v>1770108</v>
      </c>
      <c r="E140" s="9" t="s">
        <v>474</v>
      </c>
      <c r="F140" s="9" t="s">
        <v>411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9" t="s">
        <v>547</v>
      </c>
      <c r="B141" s="36">
        <v>477.70001220703125</v>
      </c>
      <c r="C141" s="36">
        <v>345.32186889648438</v>
      </c>
      <c r="D141" s="9">
        <v>2073870</v>
      </c>
      <c r="E141" s="9" t="s">
        <v>474</v>
      </c>
      <c r="F141" s="9" t="s">
        <v>411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9" t="s">
        <v>548</v>
      </c>
      <c r="B142" s="36">
        <v>473.32501220703125</v>
      </c>
      <c r="C142" s="36">
        <v>342.15936279296875</v>
      </c>
      <c r="D142" s="9">
        <v>1413184</v>
      </c>
      <c r="E142" s="9" t="s">
        <v>474</v>
      </c>
      <c r="F142" s="9" t="s">
        <v>411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9" t="s">
        <v>549</v>
      </c>
      <c r="B143" s="36">
        <v>487.39999389648438</v>
      </c>
      <c r="C143" s="36">
        <v>352.33389282226563</v>
      </c>
      <c r="D143" s="9">
        <v>3963108</v>
      </c>
      <c r="E143" s="9" t="s">
        <v>474</v>
      </c>
      <c r="F143" s="9" t="s">
        <v>411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9" t="s">
        <v>550</v>
      </c>
      <c r="B144" s="36">
        <v>491.52499389648438</v>
      </c>
      <c r="C144" s="36">
        <v>355.31570434570313</v>
      </c>
      <c r="D144" s="9">
        <v>1401298</v>
      </c>
      <c r="E144" s="9" t="s">
        <v>474</v>
      </c>
      <c r="F144" s="9" t="s">
        <v>411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9" t="s">
        <v>551</v>
      </c>
      <c r="B145" s="36">
        <v>485.02499389648438</v>
      </c>
      <c r="C145" s="36">
        <v>350.6170654296875</v>
      </c>
      <c r="D145" s="9">
        <v>1595332</v>
      </c>
      <c r="E145" s="9" t="s">
        <v>474</v>
      </c>
      <c r="F145" s="9" t="s">
        <v>411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9" t="s">
        <v>552</v>
      </c>
      <c r="B146" s="36">
        <v>476.32501220703125</v>
      </c>
      <c r="C146" s="36">
        <v>344.32797241210938</v>
      </c>
      <c r="D146" s="9">
        <v>2367716</v>
      </c>
      <c r="E146" s="9" t="s">
        <v>474</v>
      </c>
      <c r="F146" s="9" t="s">
        <v>411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9" t="s">
        <v>553</v>
      </c>
      <c r="B147" s="36">
        <v>468.54998779296875</v>
      </c>
      <c r="C147" s="36">
        <v>338.70745849609375</v>
      </c>
      <c r="D147" s="9">
        <v>3351408</v>
      </c>
      <c r="E147" s="9" t="s">
        <v>474</v>
      </c>
      <c r="F147" s="9" t="s">
        <v>411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9" t="s">
        <v>554</v>
      </c>
      <c r="B148" s="36">
        <v>461.67498779296875</v>
      </c>
      <c r="C148" s="36">
        <v>333.73770141601563</v>
      </c>
      <c r="D148" s="9">
        <v>2392180</v>
      </c>
      <c r="E148" s="9" t="s">
        <v>474</v>
      </c>
      <c r="F148" s="9" t="s">
        <v>411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9" t="s">
        <v>555</v>
      </c>
      <c r="B149" s="36">
        <v>475.67498779296875</v>
      </c>
      <c r="C149" s="36">
        <v>343.85809326171875</v>
      </c>
      <c r="D149" s="9">
        <v>2906782</v>
      </c>
      <c r="E149" s="9" t="s">
        <v>474</v>
      </c>
      <c r="F149" s="9" t="s">
        <v>411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9" t="s">
        <v>556</v>
      </c>
      <c r="B150" s="36">
        <v>478.95001220703125</v>
      </c>
      <c r="C150" s="36">
        <v>346.22555541992188</v>
      </c>
      <c r="D150" s="9">
        <v>3093446</v>
      </c>
      <c r="E150" s="9" t="s">
        <v>474</v>
      </c>
      <c r="F150" s="9" t="s">
        <v>411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9" t="s">
        <v>557</v>
      </c>
      <c r="B151" s="36">
        <v>499.125</v>
      </c>
      <c r="C151" s="36">
        <v>360.80975341796875</v>
      </c>
      <c r="D151" s="9">
        <v>3933792</v>
      </c>
      <c r="E151" s="9" t="s">
        <v>474</v>
      </c>
      <c r="F151" s="9" t="s">
        <v>411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9" t="s">
        <v>558</v>
      </c>
      <c r="B152" s="36">
        <v>469.42498779296875</v>
      </c>
      <c r="C152" s="36">
        <v>339.33999633789063</v>
      </c>
      <c r="D152" s="9">
        <v>7071618</v>
      </c>
      <c r="E152" s="9" t="s">
        <v>474</v>
      </c>
      <c r="F152" s="9" t="s">
        <v>411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9" t="s">
        <v>559</v>
      </c>
      <c r="B153" s="36">
        <v>466.45001220703125</v>
      </c>
      <c r="C153" s="36">
        <v>337.18942260742188</v>
      </c>
      <c r="D153" s="9">
        <v>3809446</v>
      </c>
      <c r="E153" s="9" t="s">
        <v>474</v>
      </c>
      <c r="F153" s="9" t="s">
        <v>411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9" t="s">
        <v>560</v>
      </c>
      <c r="B154" s="36">
        <v>468.70001220703125</v>
      </c>
      <c r="C154" s="36">
        <v>338.81607055664063</v>
      </c>
      <c r="D154" s="9">
        <v>2358616</v>
      </c>
      <c r="E154" s="9" t="s">
        <v>474</v>
      </c>
      <c r="F154" s="9" t="s">
        <v>411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9" t="s">
        <v>561</v>
      </c>
      <c r="B155" s="36">
        <v>473</v>
      </c>
      <c r="C155" s="36">
        <v>341.92440795898438</v>
      </c>
      <c r="D155" s="9">
        <v>1869728</v>
      </c>
      <c r="E155" s="9" t="s">
        <v>474</v>
      </c>
      <c r="F155" s="9" t="s">
        <v>411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9" t="s">
        <v>562</v>
      </c>
      <c r="B156" s="36">
        <v>469.67498779296875</v>
      </c>
      <c r="C156" s="36">
        <v>341.32476806640625</v>
      </c>
      <c r="D156" s="9">
        <v>1818186</v>
      </c>
      <c r="E156" s="9" t="s">
        <v>474</v>
      </c>
      <c r="F156" s="9" t="s">
        <v>411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9" t="s">
        <v>563</v>
      </c>
      <c r="B157" s="36">
        <v>468.22500610351563</v>
      </c>
      <c r="C157" s="36">
        <v>340.27108764648438</v>
      </c>
      <c r="D157" s="9">
        <v>2216746</v>
      </c>
      <c r="E157" s="9" t="s">
        <v>474</v>
      </c>
      <c r="F157" s="9" t="s">
        <v>411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9" t="s">
        <v>564</v>
      </c>
      <c r="B158" s="36">
        <v>470.20001220703125</v>
      </c>
      <c r="C158" s="36">
        <v>341.70626831054688</v>
      </c>
      <c r="D158" s="9">
        <v>1718378</v>
      </c>
      <c r="E158" s="9" t="s">
        <v>474</v>
      </c>
      <c r="F158" s="9" t="s">
        <v>411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9" t="s">
        <v>565</v>
      </c>
      <c r="B159" s="36">
        <v>485.39999389648438</v>
      </c>
      <c r="C159" s="36">
        <v>352.75259399414063</v>
      </c>
      <c r="D159" s="9">
        <v>4219772</v>
      </c>
      <c r="E159" s="9" t="s">
        <v>474</v>
      </c>
      <c r="F159" s="9" t="s">
        <v>411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9" t="s">
        <v>566</v>
      </c>
      <c r="B160" s="36">
        <v>482.77499389648438</v>
      </c>
      <c r="C160" s="36">
        <v>350.84490966796875</v>
      </c>
      <c r="D160" s="9">
        <v>3156994</v>
      </c>
      <c r="E160" s="9" t="s">
        <v>474</v>
      </c>
      <c r="F160" s="9" t="s">
        <v>411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9" t="s">
        <v>567</v>
      </c>
      <c r="B161" s="36">
        <v>486.85000610351563</v>
      </c>
      <c r="C161" s="36">
        <v>353.80642700195313</v>
      </c>
      <c r="D161" s="9">
        <v>1578496</v>
      </c>
      <c r="E161" s="9" t="s">
        <v>474</v>
      </c>
      <c r="F161" s="9" t="s">
        <v>411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9" t="s">
        <v>568</v>
      </c>
      <c r="B162" s="36">
        <v>484.22500610351563</v>
      </c>
      <c r="C162" s="36">
        <v>351.89862060546875</v>
      </c>
      <c r="D162" s="9">
        <v>1681246</v>
      </c>
      <c r="E162" s="9" t="s">
        <v>474</v>
      </c>
      <c r="F162" s="9" t="s">
        <v>411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9" t="s">
        <v>569</v>
      </c>
      <c r="B163" s="36">
        <v>484.79998779296875</v>
      </c>
      <c r="C163" s="36">
        <v>352.3165283203125</v>
      </c>
      <c r="D163" s="9">
        <v>3223016</v>
      </c>
      <c r="E163" s="9" t="s">
        <v>474</v>
      </c>
      <c r="F163" s="9" t="s">
        <v>411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9" t="s">
        <v>570</v>
      </c>
      <c r="B164" s="36">
        <v>494.07501220703125</v>
      </c>
      <c r="C164" s="36">
        <v>359.05694580078125</v>
      </c>
      <c r="D164" s="9">
        <v>3291464</v>
      </c>
      <c r="E164" s="9" t="s">
        <v>474</v>
      </c>
      <c r="F164" s="9" t="s">
        <v>411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9" t="s">
        <v>571</v>
      </c>
      <c r="B165" s="36">
        <v>480.625</v>
      </c>
      <c r="C165" s="36">
        <v>349.282470703125</v>
      </c>
      <c r="D165" s="9">
        <v>2518670</v>
      </c>
      <c r="E165" s="9" t="s">
        <v>474</v>
      </c>
      <c r="F165" s="9" t="s">
        <v>411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9" t="s">
        <v>572</v>
      </c>
      <c r="B166" s="36">
        <v>482.45001220703125</v>
      </c>
      <c r="C166" s="36">
        <v>350.60873413085938</v>
      </c>
      <c r="D166" s="9">
        <v>3595260</v>
      </c>
      <c r="E166" s="9" t="s">
        <v>474</v>
      </c>
      <c r="F166" s="9" t="s">
        <v>411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9" t="s">
        <v>573</v>
      </c>
      <c r="B167" s="36">
        <v>463.95001220703125</v>
      </c>
      <c r="C167" s="36">
        <v>337.16433715820313</v>
      </c>
      <c r="D167" s="9">
        <v>4216894</v>
      </c>
      <c r="E167" s="9" t="s">
        <v>474</v>
      </c>
      <c r="F167" s="9" t="s">
        <v>411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9" t="s">
        <v>574</v>
      </c>
      <c r="B168" s="36">
        <v>457.02499389648438</v>
      </c>
      <c r="C168" s="36">
        <v>332.13168334960938</v>
      </c>
      <c r="D168" s="9">
        <v>5470038</v>
      </c>
      <c r="E168" s="9" t="s">
        <v>474</v>
      </c>
      <c r="F168" s="9" t="s">
        <v>411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9" t="s">
        <v>575</v>
      </c>
      <c r="B169" s="36">
        <v>455</v>
      </c>
      <c r="C169" s="36">
        <v>330.6600341796875</v>
      </c>
      <c r="D169" s="9">
        <v>4808772</v>
      </c>
      <c r="E169" s="9" t="s">
        <v>474</v>
      </c>
      <c r="F169" s="9" t="s">
        <v>411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9" t="s">
        <v>576</v>
      </c>
      <c r="B170" s="36">
        <v>456.54998779296875</v>
      </c>
      <c r="C170" s="36">
        <v>331.78656005859375</v>
      </c>
      <c r="D170" s="9">
        <v>4055770</v>
      </c>
      <c r="E170" s="9" t="s">
        <v>474</v>
      </c>
      <c r="F170" s="9" t="s">
        <v>411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9" t="s">
        <v>577</v>
      </c>
      <c r="B171" s="36">
        <v>476.10000610351563</v>
      </c>
      <c r="C171" s="36">
        <v>345.99395751953125</v>
      </c>
      <c r="D171" s="9">
        <v>3081798</v>
      </c>
      <c r="E171" s="9" t="s">
        <v>474</v>
      </c>
      <c r="F171" s="9" t="s">
        <v>411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9" t="s">
        <v>578</v>
      </c>
      <c r="B172" s="36">
        <v>485.52499389648438</v>
      </c>
      <c r="C172" s="36">
        <v>352.8433837890625</v>
      </c>
      <c r="D172" s="9">
        <v>5442574</v>
      </c>
      <c r="E172" s="9" t="s">
        <v>474</v>
      </c>
      <c r="F172" s="9" t="s">
        <v>411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9" t="s">
        <v>579</v>
      </c>
      <c r="B173" s="36">
        <v>476</v>
      </c>
      <c r="C173" s="36">
        <v>345.92132568359375</v>
      </c>
      <c r="D173" s="9">
        <v>2847484</v>
      </c>
      <c r="E173" s="9" t="s">
        <v>474</v>
      </c>
      <c r="F173" s="9" t="s">
        <v>411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9" t="s">
        <v>580</v>
      </c>
      <c r="B174" s="36">
        <v>474.45001220703125</v>
      </c>
      <c r="C174" s="36">
        <v>344.79498291015625</v>
      </c>
      <c r="D174" s="9">
        <v>4090120</v>
      </c>
      <c r="E174" s="9" t="s">
        <v>474</v>
      </c>
      <c r="F174" s="9" t="s">
        <v>411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9" t="s">
        <v>581</v>
      </c>
      <c r="B175" s="36">
        <v>480.5</v>
      </c>
      <c r="C175" s="36">
        <v>349.19155883789063</v>
      </c>
      <c r="D175" s="9">
        <v>2251964</v>
      </c>
      <c r="E175" s="9" t="s">
        <v>474</v>
      </c>
      <c r="F175" s="9" t="s">
        <v>411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9" t="s">
        <v>582</v>
      </c>
      <c r="B176" s="36">
        <v>470.14999389648438</v>
      </c>
      <c r="C176" s="36">
        <v>341.67007446289063</v>
      </c>
      <c r="D176" s="9">
        <v>2665780</v>
      </c>
      <c r="E176" s="9" t="s">
        <v>474</v>
      </c>
      <c r="F176" s="9" t="s">
        <v>411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9" t="s">
        <v>583</v>
      </c>
      <c r="B177" s="36">
        <v>460.42498779296875</v>
      </c>
      <c r="C177" s="36">
        <v>334.6025390625</v>
      </c>
      <c r="D177" s="9">
        <v>1340504</v>
      </c>
      <c r="E177" s="9" t="s">
        <v>474</v>
      </c>
      <c r="F177" s="9" t="s">
        <v>411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9" t="s">
        <v>584</v>
      </c>
      <c r="B178" s="36">
        <v>468.17498779296875</v>
      </c>
      <c r="C178" s="36">
        <v>340.23458862304688</v>
      </c>
      <c r="D178" s="9">
        <v>2376662</v>
      </c>
      <c r="E178" s="9" t="s">
        <v>474</v>
      </c>
      <c r="F178" s="9" t="s">
        <v>411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9" t="s">
        <v>585</v>
      </c>
      <c r="B179" s="36">
        <v>471.60000610351563</v>
      </c>
      <c r="C179" s="36">
        <v>342.72378540039063</v>
      </c>
      <c r="D179" s="9">
        <v>2106428</v>
      </c>
      <c r="E179" s="9" t="s">
        <v>474</v>
      </c>
      <c r="F179" s="9" t="s">
        <v>411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9" t="s">
        <v>586</v>
      </c>
      <c r="B180" s="36">
        <v>457.95001220703125</v>
      </c>
      <c r="C180" s="36">
        <v>332.80398559570313</v>
      </c>
      <c r="D180" s="9">
        <v>4118846</v>
      </c>
      <c r="E180" s="9" t="s">
        <v>474</v>
      </c>
      <c r="F180" s="9" t="s">
        <v>411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9" t="s">
        <v>587</v>
      </c>
      <c r="B181" s="36">
        <v>460.10000610351563</v>
      </c>
      <c r="C181" s="36">
        <v>334.36642456054688</v>
      </c>
      <c r="D181" s="9">
        <v>2202750</v>
      </c>
      <c r="E181" s="9" t="s">
        <v>474</v>
      </c>
      <c r="F181" s="9" t="s">
        <v>411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9" t="s">
        <v>588</v>
      </c>
      <c r="B182" s="36">
        <v>464.27499389648438</v>
      </c>
      <c r="C182" s="36">
        <v>337.40054321289063</v>
      </c>
      <c r="D182" s="9">
        <v>1539742</v>
      </c>
      <c r="E182" s="9" t="s">
        <v>474</v>
      </c>
      <c r="F182" s="9" t="s">
        <v>411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9" t="s">
        <v>589</v>
      </c>
      <c r="B183" s="36">
        <v>464.39999389648438</v>
      </c>
      <c r="C183" s="36">
        <v>337.49130249023438</v>
      </c>
      <c r="D183" s="9">
        <v>2451676</v>
      </c>
      <c r="E183" s="9" t="s">
        <v>474</v>
      </c>
      <c r="F183" s="9" t="s">
        <v>411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9" t="s">
        <v>590</v>
      </c>
      <c r="B184" s="36">
        <v>469.45001220703125</v>
      </c>
      <c r="C184" s="36">
        <v>341.1612548828125</v>
      </c>
      <c r="D184" s="9">
        <v>1801066</v>
      </c>
      <c r="E184" s="9" t="s">
        <v>474</v>
      </c>
      <c r="F184" s="9" t="s">
        <v>411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9" t="s">
        <v>591</v>
      </c>
      <c r="B185" s="36">
        <v>475.27499389648438</v>
      </c>
      <c r="C185" s="36">
        <v>345.3944091796875</v>
      </c>
      <c r="D185" s="9">
        <v>2847952</v>
      </c>
      <c r="E185" s="9" t="s">
        <v>474</v>
      </c>
      <c r="F185" s="9" t="s">
        <v>411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9" t="s">
        <v>592</v>
      </c>
      <c r="B186" s="36">
        <v>472</v>
      </c>
      <c r="C186" s="36">
        <v>343.01446533203125</v>
      </c>
      <c r="D186" s="9">
        <v>1972562</v>
      </c>
      <c r="E186" s="9" t="s">
        <v>474</v>
      </c>
      <c r="F186" s="9" t="s">
        <v>411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9" t="s">
        <v>593</v>
      </c>
      <c r="B187" s="36">
        <v>467.5</v>
      </c>
      <c r="C187" s="36">
        <v>339.74417114257813</v>
      </c>
      <c r="D187" s="9">
        <v>3214488</v>
      </c>
      <c r="E187" s="9" t="s">
        <v>474</v>
      </c>
      <c r="F187" s="9" t="s">
        <v>411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9" t="s">
        <v>594</v>
      </c>
      <c r="B188" s="36">
        <v>463.54998779296875</v>
      </c>
      <c r="C188" s="36">
        <v>336.8736572265625</v>
      </c>
      <c r="D188" s="9">
        <v>2276518</v>
      </c>
      <c r="E188" s="9" t="s">
        <v>474</v>
      </c>
      <c r="F188" s="9" t="s">
        <v>411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9" t="s">
        <v>595</v>
      </c>
      <c r="B189" s="36">
        <v>477.47500610351563</v>
      </c>
      <c r="C189" s="36">
        <v>346.99322509765625</v>
      </c>
      <c r="D189" s="9">
        <v>3062620</v>
      </c>
      <c r="E189" s="9" t="s">
        <v>474</v>
      </c>
      <c r="F189" s="9" t="s">
        <v>411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9" t="s">
        <v>596</v>
      </c>
      <c r="B190" s="36">
        <v>475.25</v>
      </c>
      <c r="C190" s="36">
        <v>345.376220703125</v>
      </c>
      <c r="D190" s="9">
        <v>1557438</v>
      </c>
      <c r="E190" s="9" t="s">
        <v>474</v>
      </c>
      <c r="F190" s="9" t="s">
        <v>411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9" t="s">
        <v>597</v>
      </c>
      <c r="B191" s="36">
        <v>476.85000610351563</v>
      </c>
      <c r="C191" s="36">
        <v>346.53897094726563</v>
      </c>
      <c r="D191" s="9">
        <v>2818428</v>
      </c>
      <c r="E191" s="9" t="s">
        <v>474</v>
      </c>
      <c r="F191" s="9" t="s">
        <v>411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9" t="s">
        <v>598</v>
      </c>
      <c r="B192" s="36">
        <v>491.07501220703125</v>
      </c>
      <c r="C192" s="36">
        <v>356.87667846679688</v>
      </c>
      <c r="D192" s="9">
        <v>3516284</v>
      </c>
      <c r="E192" s="9" t="s">
        <v>474</v>
      </c>
      <c r="F192" s="9" t="s">
        <v>411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9" t="s">
        <v>599</v>
      </c>
      <c r="B193" s="36">
        <v>428.52499389648438</v>
      </c>
      <c r="C193" s="36">
        <v>311.42001342773438</v>
      </c>
      <c r="D193" s="9">
        <v>26766424</v>
      </c>
      <c r="E193" s="9" t="s">
        <v>474</v>
      </c>
      <c r="F193" s="9" t="s">
        <v>411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9" t="s">
        <v>600</v>
      </c>
      <c r="B194" s="36">
        <v>429.95001220703125</v>
      </c>
      <c r="C194" s="36">
        <v>312.45562744140625</v>
      </c>
      <c r="D194" s="9">
        <v>13383762</v>
      </c>
      <c r="E194" s="9" t="s">
        <v>474</v>
      </c>
      <c r="F194" s="9" t="s">
        <v>411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9" t="s">
        <v>601</v>
      </c>
      <c r="B195" s="36">
        <v>426.79998779296875</v>
      </c>
      <c r="C195" s="36">
        <v>310.16635131835938</v>
      </c>
      <c r="D195" s="9">
        <v>5909462</v>
      </c>
      <c r="E195" s="9" t="s">
        <v>474</v>
      </c>
      <c r="F195" s="9" t="s">
        <v>411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9" t="s">
        <v>602</v>
      </c>
      <c r="B196" s="36">
        <v>408.60000610351563</v>
      </c>
      <c r="C196" s="36">
        <v>296.94000244140625</v>
      </c>
      <c r="D196" s="9">
        <v>13752674</v>
      </c>
      <c r="E196" s="9" t="s">
        <v>474</v>
      </c>
      <c r="F196" s="9" t="s">
        <v>411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9" t="s">
        <v>603</v>
      </c>
      <c r="B197" s="36">
        <v>414.32501220703125</v>
      </c>
      <c r="C197" s="36">
        <v>301.1005859375</v>
      </c>
      <c r="D197" s="9">
        <v>16981832</v>
      </c>
      <c r="E197" s="9" t="s">
        <v>474</v>
      </c>
      <c r="F197" s="9" t="s">
        <v>411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9" t="s">
        <v>604</v>
      </c>
      <c r="B198" s="36">
        <v>424.60000610351563</v>
      </c>
      <c r="C198" s="36">
        <v>308.567626953125</v>
      </c>
      <c r="D198" s="9">
        <v>9468336</v>
      </c>
      <c r="E198" s="9" t="s">
        <v>474</v>
      </c>
      <c r="F198" s="9" t="s">
        <v>411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9" t="s">
        <v>605</v>
      </c>
      <c r="B199" s="36">
        <v>427.54998779296875</v>
      </c>
      <c r="C199" s="36">
        <v>310.71151733398438</v>
      </c>
      <c r="D199" s="9">
        <v>4835846</v>
      </c>
      <c r="E199" s="9" t="s">
        <v>474</v>
      </c>
      <c r="F199" s="9" t="s">
        <v>411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9" t="s">
        <v>606</v>
      </c>
      <c r="B200" s="36">
        <v>414.95001220703125</v>
      </c>
      <c r="C200" s="36">
        <v>301.55477905273438</v>
      </c>
      <c r="D200" s="9">
        <v>5837378</v>
      </c>
      <c r="E200" s="9" t="s">
        <v>474</v>
      </c>
      <c r="F200" s="9" t="s">
        <v>411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9" t="s">
        <v>607</v>
      </c>
      <c r="B201" s="36">
        <v>416.77499389648438</v>
      </c>
      <c r="C201" s="36">
        <v>302.88092041015625</v>
      </c>
      <c r="D201" s="9">
        <v>2702158</v>
      </c>
      <c r="E201" s="9" t="s">
        <v>474</v>
      </c>
      <c r="F201" s="9" t="s">
        <v>411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9" t="s">
        <v>608</v>
      </c>
      <c r="B202" s="36">
        <v>417.5</v>
      </c>
      <c r="C202" s="36">
        <v>303.4078369140625</v>
      </c>
      <c r="D202" s="9">
        <v>3644676</v>
      </c>
      <c r="E202" s="9" t="s">
        <v>474</v>
      </c>
      <c r="F202" s="9" t="s">
        <v>411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9" t="s">
        <v>609</v>
      </c>
      <c r="B203" s="36">
        <v>420.57501220703125</v>
      </c>
      <c r="C203" s="36">
        <v>305.64251708984375</v>
      </c>
      <c r="D203" s="9">
        <v>2270164</v>
      </c>
      <c r="E203" s="9" t="s">
        <v>474</v>
      </c>
      <c r="F203" s="9" t="s">
        <v>411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9" t="s">
        <v>610</v>
      </c>
      <c r="B204" s="36">
        <v>428.875</v>
      </c>
      <c r="C204" s="36">
        <v>311.6744384765625</v>
      </c>
      <c r="D204" s="9">
        <v>10051980</v>
      </c>
      <c r="E204" s="9" t="s">
        <v>474</v>
      </c>
      <c r="F204" s="9" t="s">
        <v>411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9" t="s">
        <v>611</v>
      </c>
      <c r="B205" s="36">
        <v>432.14999389648438</v>
      </c>
      <c r="C205" s="36">
        <v>314.054443359375</v>
      </c>
      <c r="D205" s="9">
        <v>5670558</v>
      </c>
      <c r="E205" s="9" t="s">
        <v>474</v>
      </c>
      <c r="F205" s="9" t="s">
        <v>411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9" t="s">
        <v>612</v>
      </c>
      <c r="B206" s="36">
        <v>431.52499389648438</v>
      </c>
      <c r="C206" s="36">
        <v>313.60028076171875</v>
      </c>
      <c r="D206" s="9">
        <v>2594696</v>
      </c>
      <c r="E206" s="9" t="s">
        <v>474</v>
      </c>
      <c r="F206" s="9" t="s">
        <v>411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9" t="s">
        <v>613</v>
      </c>
      <c r="B207" s="36">
        <v>426.47500610351563</v>
      </c>
      <c r="C207" s="36">
        <v>311.736328125</v>
      </c>
      <c r="D207" s="9">
        <v>3064858</v>
      </c>
      <c r="E207" s="9" t="s">
        <v>474</v>
      </c>
      <c r="F207" s="9" t="s">
        <v>411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9" t="s">
        <v>614</v>
      </c>
      <c r="B208" s="36">
        <v>431.77499389648438</v>
      </c>
      <c r="C208" s="36">
        <v>315.61026000976563</v>
      </c>
      <c r="D208" s="9">
        <v>4157440</v>
      </c>
      <c r="E208" s="9" t="s">
        <v>474</v>
      </c>
      <c r="F208" s="9" t="s">
        <v>411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9" t="s">
        <v>615</v>
      </c>
      <c r="B209" s="36">
        <v>433.82501220703125</v>
      </c>
      <c r="C209" s="36">
        <v>317.10888671875</v>
      </c>
      <c r="D209" s="9">
        <v>3081400</v>
      </c>
      <c r="E209" s="9" t="s">
        <v>474</v>
      </c>
      <c r="F209" s="9" t="s">
        <v>411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9" t="s">
        <v>616</v>
      </c>
      <c r="B210" s="36">
        <v>438.77499389648438</v>
      </c>
      <c r="C210" s="36">
        <v>320.72702026367188</v>
      </c>
      <c r="D210" s="9">
        <v>3351280</v>
      </c>
      <c r="E210" s="9" t="s">
        <v>474</v>
      </c>
      <c r="F210" s="9" t="s">
        <v>411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9" t="s">
        <v>617</v>
      </c>
      <c r="B211" s="36">
        <v>437.95001220703125</v>
      </c>
      <c r="C211" s="36">
        <v>320.1240234375</v>
      </c>
      <c r="D211" s="9">
        <v>4243554</v>
      </c>
      <c r="E211" s="9" t="s">
        <v>474</v>
      </c>
      <c r="F211" s="9" t="s">
        <v>411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9" t="s">
        <v>618</v>
      </c>
      <c r="B212" s="36">
        <v>435.85000610351563</v>
      </c>
      <c r="C212" s="36">
        <v>318.58901977539063</v>
      </c>
      <c r="D212" s="9">
        <v>2655794</v>
      </c>
      <c r="E212" s="9" t="s">
        <v>474</v>
      </c>
      <c r="F212" s="9" t="s">
        <v>411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9" t="s">
        <v>619</v>
      </c>
      <c r="B213" s="36">
        <v>438.14999389648438</v>
      </c>
      <c r="C213" s="36">
        <v>320.27020263671875</v>
      </c>
      <c r="D213" s="9">
        <v>2020104</v>
      </c>
      <c r="E213" s="9" t="s">
        <v>474</v>
      </c>
      <c r="F213" s="9" t="s">
        <v>411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9" t="s">
        <v>620</v>
      </c>
      <c r="B214" s="36">
        <v>438.04998779296875</v>
      </c>
      <c r="C214" s="36">
        <v>320.1971435546875</v>
      </c>
      <c r="D214" s="9">
        <v>2115610</v>
      </c>
      <c r="E214" s="9" t="s">
        <v>474</v>
      </c>
      <c r="F214" s="9" t="s">
        <v>411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9" t="s">
        <v>621</v>
      </c>
      <c r="B215" s="36">
        <v>440.79998779296875</v>
      </c>
      <c r="C215" s="36">
        <v>322.20733642578125</v>
      </c>
      <c r="D215" s="9">
        <v>1683688</v>
      </c>
      <c r="E215" s="9" t="s">
        <v>474</v>
      </c>
      <c r="F215" s="9" t="s">
        <v>411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9" t="s">
        <v>622</v>
      </c>
      <c r="B216" s="36">
        <v>438.75</v>
      </c>
      <c r="C216" s="36">
        <v>320.70883178710938</v>
      </c>
      <c r="D216" s="9">
        <v>2370498</v>
      </c>
      <c r="E216" s="9" t="s">
        <v>474</v>
      </c>
      <c r="F216" s="9" t="s">
        <v>411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9" t="s">
        <v>623</v>
      </c>
      <c r="B217" s="36">
        <v>442.72500610351563</v>
      </c>
      <c r="C217" s="36">
        <v>323.6143798828125</v>
      </c>
      <c r="D217" s="9">
        <v>2653852</v>
      </c>
      <c r="E217" s="9" t="s">
        <v>474</v>
      </c>
      <c r="F217" s="9" t="s">
        <v>411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9" t="s">
        <v>624</v>
      </c>
      <c r="B218" s="36">
        <v>441.25</v>
      </c>
      <c r="C218" s="36">
        <v>322.53616333007813</v>
      </c>
      <c r="D218" s="9">
        <v>3043880</v>
      </c>
      <c r="E218" s="9" t="s">
        <v>474</v>
      </c>
      <c r="F218" s="9" t="s">
        <v>411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9" t="s">
        <v>625</v>
      </c>
      <c r="B219" s="36">
        <v>425.64999389648438</v>
      </c>
      <c r="C219" s="36">
        <v>311.13323974609375</v>
      </c>
      <c r="D219" s="9">
        <v>1678382</v>
      </c>
      <c r="E219" s="9" t="s">
        <v>474</v>
      </c>
      <c r="F219" s="9" t="s">
        <v>411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9" t="s">
        <v>626</v>
      </c>
      <c r="B220" s="36">
        <v>421.70001220703125</v>
      </c>
      <c r="C220" s="36">
        <v>308.24578857421875</v>
      </c>
      <c r="D220" s="9">
        <v>2950796</v>
      </c>
      <c r="E220" s="9" t="s">
        <v>474</v>
      </c>
      <c r="F220" s="9" t="s">
        <v>411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9" t="s">
        <v>627</v>
      </c>
      <c r="B221" s="36">
        <v>419.29998779296875</v>
      </c>
      <c r="C221" s="36">
        <v>306.4915771484375</v>
      </c>
      <c r="D221" s="9">
        <v>2876114</v>
      </c>
      <c r="E221" s="9" t="s">
        <v>474</v>
      </c>
      <c r="F221" s="9" t="s">
        <v>411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9" t="s">
        <v>628</v>
      </c>
      <c r="B222" s="36">
        <v>428.375</v>
      </c>
      <c r="C222" s="36">
        <v>313.12518310546875</v>
      </c>
      <c r="D222" s="9">
        <v>3405776</v>
      </c>
      <c r="E222" s="9" t="s">
        <v>474</v>
      </c>
      <c r="F222" s="9" t="s">
        <v>411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9" t="s">
        <v>629</v>
      </c>
      <c r="B223" s="36">
        <v>422.82501220703125</v>
      </c>
      <c r="C223" s="36">
        <v>309.06832885742188</v>
      </c>
      <c r="D223" s="9">
        <v>3046948</v>
      </c>
      <c r="E223" s="9" t="s">
        <v>474</v>
      </c>
      <c r="F223" s="9" t="s">
        <v>411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9" t="s">
        <v>630</v>
      </c>
      <c r="B224" s="36">
        <v>436.97500610351563</v>
      </c>
      <c r="C224" s="36">
        <v>319.41128540039063</v>
      </c>
      <c r="D224" s="9">
        <v>3528336</v>
      </c>
      <c r="E224" s="9" t="s">
        <v>474</v>
      </c>
      <c r="F224" s="9" t="s">
        <v>411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9" t="s">
        <v>631</v>
      </c>
      <c r="B225" s="36">
        <v>433.27499389648438</v>
      </c>
      <c r="C225" s="36">
        <v>316.70681762695313</v>
      </c>
      <c r="D225" s="9">
        <v>3386922</v>
      </c>
      <c r="E225" s="9" t="s">
        <v>474</v>
      </c>
      <c r="F225" s="9" t="s">
        <v>411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9" t="s">
        <v>632</v>
      </c>
      <c r="B226" s="36">
        <v>431.875</v>
      </c>
      <c r="C226" s="36">
        <v>315.68344116210938</v>
      </c>
      <c r="D226" s="9">
        <v>1179312</v>
      </c>
      <c r="E226" s="9" t="s">
        <v>474</v>
      </c>
      <c r="F226" s="9" t="s">
        <v>411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9" t="s">
        <v>633</v>
      </c>
      <c r="B227" s="36">
        <v>433.10000610351563</v>
      </c>
      <c r="C227" s="36">
        <v>316.57888793945313</v>
      </c>
      <c r="D227" s="9">
        <v>2248674</v>
      </c>
      <c r="E227" s="9" t="s">
        <v>474</v>
      </c>
      <c r="F227" s="9" t="s">
        <v>411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9" t="s">
        <v>634</v>
      </c>
      <c r="B228" s="36">
        <v>431.45001220703125</v>
      </c>
      <c r="C228" s="36">
        <v>315.372802734375</v>
      </c>
      <c r="D228" s="9">
        <v>2081658</v>
      </c>
      <c r="E228" s="9" t="s">
        <v>474</v>
      </c>
      <c r="F228" s="9" t="s">
        <v>411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9" t="s">
        <v>635</v>
      </c>
      <c r="B229" s="36">
        <v>436.27499389648438</v>
      </c>
      <c r="C229" s="36">
        <v>318.89974975585938</v>
      </c>
      <c r="D229" s="9">
        <v>1580942</v>
      </c>
      <c r="E229" s="9" t="s">
        <v>474</v>
      </c>
      <c r="F229" s="9" t="s">
        <v>411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9" t="s">
        <v>636</v>
      </c>
      <c r="B230" s="36">
        <v>435.47500610351563</v>
      </c>
      <c r="C230" s="36">
        <v>318.31491088867188</v>
      </c>
      <c r="D230" s="9">
        <v>5165146</v>
      </c>
      <c r="E230" s="9" t="s">
        <v>474</v>
      </c>
      <c r="F230" s="9" t="s">
        <v>411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9" t="s">
        <v>637</v>
      </c>
      <c r="B231" s="36">
        <v>438.85000610351563</v>
      </c>
      <c r="C231" s="36">
        <v>320.78189086914063</v>
      </c>
      <c r="D231" s="9">
        <v>2547178</v>
      </c>
      <c r="E231" s="9" t="s">
        <v>474</v>
      </c>
      <c r="F231" s="9" t="s">
        <v>411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9" t="s">
        <v>638</v>
      </c>
      <c r="B232" s="36">
        <v>429.82501220703125</v>
      </c>
      <c r="C232" s="36">
        <v>314.18490600585938</v>
      </c>
      <c r="D232" s="9">
        <v>2575382</v>
      </c>
      <c r="E232" s="9" t="s">
        <v>474</v>
      </c>
      <c r="F232" s="9" t="s">
        <v>411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9" t="s">
        <v>639</v>
      </c>
      <c r="B233" s="36">
        <v>425.57501220703125</v>
      </c>
      <c r="C233" s="36">
        <v>311.07833862304688</v>
      </c>
      <c r="D233" s="9">
        <v>3836614</v>
      </c>
      <c r="E233" s="9" t="s">
        <v>474</v>
      </c>
      <c r="F233" s="9" t="s">
        <v>411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9" t="s">
        <v>640</v>
      </c>
      <c r="B234" s="36">
        <v>418</v>
      </c>
      <c r="C234" s="36">
        <v>305.54132080078125</v>
      </c>
      <c r="D234" s="9">
        <v>3778328</v>
      </c>
      <c r="E234" s="9" t="s">
        <v>474</v>
      </c>
      <c r="F234" s="9" t="s">
        <v>411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9" t="s">
        <v>641</v>
      </c>
      <c r="B235" s="36">
        <v>421.14999389648438</v>
      </c>
      <c r="C235" s="36">
        <v>307.84393310546875</v>
      </c>
      <c r="D235" s="9">
        <v>2622184</v>
      </c>
      <c r="E235" s="9" t="s">
        <v>474</v>
      </c>
      <c r="F235" s="9" t="s">
        <v>411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9" t="s">
        <v>642</v>
      </c>
      <c r="B236" s="36">
        <v>429.02499389648438</v>
      </c>
      <c r="C236" s="36">
        <v>313.60028076171875</v>
      </c>
      <c r="D236" s="9">
        <v>3176258</v>
      </c>
      <c r="E236" s="9" t="s">
        <v>474</v>
      </c>
      <c r="F236" s="9" t="s">
        <v>411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9" t="s">
        <v>643</v>
      </c>
      <c r="B237" s="36">
        <v>422.125</v>
      </c>
      <c r="C237" s="36">
        <v>308.55667114257813</v>
      </c>
      <c r="D237" s="9">
        <v>2604402</v>
      </c>
      <c r="E237" s="9" t="s">
        <v>474</v>
      </c>
      <c r="F237" s="9" t="s">
        <v>411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9" t="s">
        <v>644</v>
      </c>
      <c r="B238" s="36">
        <v>422.85000610351563</v>
      </c>
      <c r="C238" s="36">
        <v>309.0865478515625</v>
      </c>
      <c r="D238" s="9">
        <v>1837816</v>
      </c>
      <c r="E238" s="9" t="s">
        <v>474</v>
      </c>
      <c r="F238" s="9" t="s">
        <v>411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9" t="s">
        <v>645</v>
      </c>
      <c r="B239" s="36">
        <v>420.29998779296875</v>
      </c>
      <c r="C239" s="36">
        <v>307.22262573242188</v>
      </c>
      <c r="D239" s="9">
        <v>1062294</v>
      </c>
      <c r="E239" s="9" t="s">
        <v>474</v>
      </c>
      <c r="F239" s="9" t="s">
        <v>411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9" t="s">
        <v>646</v>
      </c>
      <c r="B240" s="36">
        <v>420.42498779296875</v>
      </c>
      <c r="C240" s="36">
        <v>307.31396484375</v>
      </c>
      <c r="D240" s="9">
        <v>1536460</v>
      </c>
      <c r="E240" s="9" t="s">
        <v>474</v>
      </c>
      <c r="F240" s="9" t="s">
        <v>411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9" t="s">
        <v>647</v>
      </c>
      <c r="B241" s="36">
        <v>422.60000610351563</v>
      </c>
      <c r="C241" s="36">
        <v>308.90377807617188</v>
      </c>
      <c r="D241" s="9">
        <v>1609352</v>
      </c>
      <c r="E241" s="9" t="s">
        <v>474</v>
      </c>
      <c r="F241" s="9" t="s">
        <v>411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9" t="s">
        <v>648</v>
      </c>
      <c r="B242" s="36">
        <v>423.52499389648438</v>
      </c>
      <c r="C242" s="36">
        <v>309.57992553710938</v>
      </c>
      <c r="D242" s="9">
        <v>1630720</v>
      </c>
      <c r="E242" s="9" t="s">
        <v>474</v>
      </c>
      <c r="F242" s="9" t="s">
        <v>411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9" t="s">
        <v>649</v>
      </c>
      <c r="B243" s="36">
        <v>430.22500610351563</v>
      </c>
      <c r="C243" s="36">
        <v>314.47744750976563</v>
      </c>
      <c r="D243" s="9">
        <v>1939764</v>
      </c>
      <c r="E243" s="9" t="s">
        <v>474</v>
      </c>
      <c r="F243" s="9" t="s">
        <v>411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9" t="s">
        <v>650</v>
      </c>
      <c r="B244" s="36">
        <v>423.07501220703125</v>
      </c>
      <c r="C244" s="36">
        <v>309.2509765625</v>
      </c>
      <c r="D244" s="9">
        <v>2838258</v>
      </c>
      <c r="E244" s="9" t="s">
        <v>474</v>
      </c>
      <c r="F244" s="9" t="s">
        <v>411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9" t="s">
        <v>651</v>
      </c>
      <c r="B245" s="36">
        <v>427.72500610351563</v>
      </c>
      <c r="C245" s="36">
        <v>312.64999389648438</v>
      </c>
      <c r="D245" s="9">
        <v>917704</v>
      </c>
      <c r="E245" s="9" t="s">
        <v>474</v>
      </c>
      <c r="F245" s="9" t="s">
        <v>411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9" t="s">
        <v>652</v>
      </c>
      <c r="B246" s="36">
        <v>424.625</v>
      </c>
      <c r="C246" s="36">
        <v>310.38394165039063</v>
      </c>
      <c r="D246" s="9">
        <v>1436920</v>
      </c>
      <c r="E246" s="9" t="s">
        <v>474</v>
      </c>
      <c r="F246" s="9" t="s">
        <v>411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9" t="s">
        <v>653</v>
      </c>
      <c r="B247" s="36">
        <v>431.89999389648438</v>
      </c>
      <c r="C247" s="36">
        <v>315.70169067382813</v>
      </c>
      <c r="D247" s="9">
        <v>1346418</v>
      </c>
      <c r="E247" s="9" t="s">
        <v>474</v>
      </c>
      <c r="F247" s="9" t="s">
        <v>411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9" t="s">
        <v>654</v>
      </c>
      <c r="B248" s="36">
        <v>430.14999389648438</v>
      </c>
      <c r="C248" s="36">
        <v>314.42254638671875</v>
      </c>
      <c r="D248" s="9">
        <v>741556</v>
      </c>
      <c r="E248" s="9" t="s">
        <v>474</v>
      </c>
      <c r="F248" s="9" t="s">
        <v>411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9" t="s">
        <v>655</v>
      </c>
      <c r="B249" s="36">
        <v>433.85000610351563</v>
      </c>
      <c r="C249" s="36">
        <v>317.1270751953125</v>
      </c>
      <c r="D249" s="9">
        <v>1803666</v>
      </c>
      <c r="E249" s="9" t="s">
        <v>474</v>
      </c>
      <c r="F249" s="9" t="s">
        <v>411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9" t="s">
        <v>656</v>
      </c>
      <c r="B250" s="36">
        <v>427.25</v>
      </c>
      <c r="C250" s="36">
        <v>312.30282592773438</v>
      </c>
      <c r="D250" s="9">
        <v>2285528</v>
      </c>
      <c r="E250" s="9" t="s">
        <v>474</v>
      </c>
      <c r="F250" s="9" t="s">
        <v>411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9" t="s">
        <v>657</v>
      </c>
      <c r="B251" s="36">
        <v>420.25</v>
      </c>
      <c r="C251" s="36">
        <v>307.18609619140625</v>
      </c>
      <c r="D251" s="9">
        <v>1752074</v>
      </c>
      <c r="E251" s="9" t="s">
        <v>474</v>
      </c>
      <c r="F251" s="9" t="s">
        <v>411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9" t="s">
        <v>658</v>
      </c>
      <c r="B252" s="36">
        <v>427.54998779296875</v>
      </c>
      <c r="C252" s="36">
        <v>312.5220947265625</v>
      </c>
      <c r="D252" s="9">
        <v>1747706</v>
      </c>
      <c r="E252" s="9" t="s">
        <v>474</v>
      </c>
      <c r="F252" s="9" t="s">
        <v>411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9" t="s">
        <v>659</v>
      </c>
      <c r="B253" s="36">
        <v>422.92498779296875</v>
      </c>
      <c r="C253" s="36">
        <v>309.141357421875</v>
      </c>
      <c r="D253" s="9">
        <v>970392</v>
      </c>
      <c r="E253" s="9" t="s">
        <v>474</v>
      </c>
      <c r="F253" s="9" t="s">
        <v>411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9" t="s">
        <v>660</v>
      </c>
      <c r="B254" s="36">
        <v>422.97500610351563</v>
      </c>
      <c r="C254" s="36">
        <v>309.17788696289063</v>
      </c>
      <c r="D254" s="9">
        <v>2172072</v>
      </c>
      <c r="E254" s="9" t="s">
        <v>474</v>
      </c>
      <c r="F254" s="9" t="s">
        <v>411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9" t="s">
        <v>661</v>
      </c>
      <c r="B255" s="36">
        <v>421.39999389648438</v>
      </c>
      <c r="C255" s="36">
        <v>308.026611328125</v>
      </c>
      <c r="D255" s="9">
        <v>1465382</v>
      </c>
      <c r="E255" s="9" t="s">
        <v>474</v>
      </c>
      <c r="F255" s="9" t="s">
        <v>411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9" t="s">
        <v>662</v>
      </c>
      <c r="B256" s="36">
        <v>420.70001220703125</v>
      </c>
      <c r="C256" s="36">
        <v>307.51504516601563</v>
      </c>
      <c r="D256" s="9">
        <v>2797870</v>
      </c>
      <c r="E256" s="9" t="s">
        <v>474</v>
      </c>
      <c r="F256" s="9" t="s">
        <v>411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9" t="s">
        <v>663</v>
      </c>
      <c r="B257" s="36">
        <v>412.52499389648438</v>
      </c>
      <c r="C257" s="36">
        <v>301.5394287109375</v>
      </c>
      <c r="D257" s="9">
        <v>2901314</v>
      </c>
      <c r="E257" s="9" t="s">
        <v>474</v>
      </c>
      <c r="F257" s="9" t="s">
        <v>411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9" t="s">
        <v>664</v>
      </c>
      <c r="B258" s="36">
        <v>414.17498779296875</v>
      </c>
      <c r="C258" s="36">
        <v>302.74554443359375</v>
      </c>
      <c r="D258" s="9">
        <v>3376870</v>
      </c>
      <c r="E258" s="9" t="s">
        <v>474</v>
      </c>
      <c r="F258" s="9" t="s">
        <v>411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9" t="s">
        <v>665</v>
      </c>
      <c r="B259" s="36">
        <v>407.27499389648438</v>
      </c>
      <c r="C259" s="36">
        <v>297.7017822265625</v>
      </c>
      <c r="D259" s="9">
        <v>2535276</v>
      </c>
      <c r="E259" s="9" t="s">
        <v>474</v>
      </c>
      <c r="F259" s="9" t="s">
        <v>411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9" t="s">
        <v>666</v>
      </c>
      <c r="B260" s="36">
        <v>405.02499389648438</v>
      </c>
      <c r="C260" s="36">
        <v>296.05712890625</v>
      </c>
      <c r="D260" s="9">
        <v>2315328</v>
      </c>
      <c r="E260" s="9" t="s">
        <v>474</v>
      </c>
      <c r="F260" s="9" t="s">
        <v>411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9" t="s">
        <v>667</v>
      </c>
      <c r="B261" s="36">
        <v>413.20001220703125</v>
      </c>
      <c r="C261" s="36">
        <v>302.03277587890625</v>
      </c>
      <c r="D261" s="9">
        <v>3158468</v>
      </c>
      <c r="E261" s="9" t="s">
        <v>474</v>
      </c>
      <c r="F261" s="9" t="s">
        <v>411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9" t="s">
        <v>668</v>
      </c>
      <c r="B262" s="36">
        <v>414.42498779296875</v>
      </c>
      <c r="C262" s="36">
        <v>302.92816162109375</v>
      </c>
      <c r="D262" s="9">
        <v>5081220</v>
      </c>
      <c r="E262" s="9" t="s">
        <v>474</v>
      </c>
      <c r="F262" s="9" t="s">
        <v>411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9" t="s">
        <v>669</v>
      </c>
      <c r="B263" s="36">
        <v>419.02499389648438</v>
      </c>
      <c r="C263" s="36">
        <v>306.29058837890625</v>
      </c>
      <c r="D263" s="9">
        <v>4571182</v>
      </c>
      <c r="E263" s="9" t="s">
        <v>474</v>
      </c>
      <c r="F263" s="9" t="s">
        <v>411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9" t="s">
        <v>670</v>
      </c>
      <c r="B264" s="36">
        <v>421.17498779296875</v>
      </c>
      <c r="C264" s="36">
        <v>307.86212158203125</v>
      </c>
      <c r="D264" s="9">
        <v>3774136</v>
      </c>
      <c r="E264" s="9" t="s">
        <v>474</v>
      </c>
      <c r="F264" s="9" t="s">
        <v>411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9" t="s">
        <v>671</v>
      </c>
      <c r="B265" s="36">
        <v>419.125</v>
      </c>
      <c r="C265" s="36">
        <v>306.36361694335938</v>
      </c>
      <c r="D265" s="9">
        <v>10618998</v>
      </c>
      <c r="E265" s="9" t="s">
        <v>474</v>
      </c>
      <c r="F265" s="9" t="s">
        <v>411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9" t="s">
        <v>672</v>
      </c>
      <c r="B266" s="36">
        <v>420.95001220703125</v>
      </c>
      <c r="C266" s="36">
        <v>307.69781494140625</v>
      </c>
      <c r="D266" s="9">
        <v>3976018</v>
      </c>
      <c r="E266" s="9" t="s">
        <v>474</v>
      </c>
      <c r="F266" s="9" t="s">
        <v>411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9" t="s">
        <v>673</v>
      </c>
      <c r="B267" s="36">
        <v>417.625</v>
      </c>
      <c r="C267" s="36">
        <v>305.26730346679688</v>
      </c>
      <c r="D267" s="9">
        <v>3348430</v>
      </c>
      <c r="E267" s="9" t="s">
        <v>474</v>
      </c>
      <c r="F267" s="9" t="s">
        <v>411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9" t="s">
        <v>674</v>
      </c>
      <c r="B268" s="36">
        <v>419.625</v>
      </c>
      <c r="C268" s="36">
        <v>306.729248046875</v>
      </c>
      <c r="D268" s="9">
        <v>2018478</v>
      </c>
      <c r="E268" s="9" t="s">
        <v>474</v>
      </c>
      <c r="F268" s="9" t="s">
        <v>411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9" t="s">
        <v>675</v>
      </c>
      <c r="B269" s="36">
        <v>419.35000610351563</v>
      </c>
      <c r="C269" s="36">
        <v>306.528076171875</v>
      </c>
      <c r="D269" s="9">
        <v>2190134</v>
      </c>
      <c r="E269" s="9" t="s">
        <v>474</v>
      </c>
      <c r="F269" s="9" t="s">
        <v>411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9" t="s">
        <v>676</v>
      </c>
      <c r="B270" s="36">
        <v>418</v>
      </c>
      <c r="C270" s="36">
        <v>307.74288940429688</v>
      </c>
      <c r="D270" s="9">
        <v>2201518</v>
      </c>
      <c r="E270" s="9" t="s">
        <v>474</v>
      </c>
      <c r="F270" s="9" t="s">
        <v>411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9" t="s">
        <v>677</v>
      </c>
      <c r="B271" s="36">
        <v>422.25</v>
      </c>
      <c r="C271" s="36">
        <v>310.87188720703125</v>
      </c>
      <c r="D271" s="9">
        <v>3201306</v>
      </c>
      <c r="E271" s="9" t="s">
        <v>474</v>
      </c>
      <c r="F271" s="9" t="s">
        <v>411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9" t="s">
        <v>678</v>
      </c>
      <c r="B272" s="36">
        <v>432.875</v>
      </c>
      <c r="C272" s="36">
        <v>318.69430541992188</v>
      </c>
      <c r="D272" s="9">
        <v>3835114</v>
      </c>
      <c r="E272" s="9" t="s">
        <v>474</v>
      </c>
      <c r="F272" s="9" t="s">
        <v>411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9" t="s">
        <v>679</v>
      </c>
      <c r="B273" s="36">
        <v>440.14999389648438</v>
      </c>
      <c r="C273" s="36">
        <v>324.05038452148438</v>
      </c>
      <c r="D273" s="9">
        <v>2594492</v>
      </c>
      <c r="E273" s="9" t="s">
        <v>474</v>
      </c>
      <c r="F273" s="9" t="s">
        <v>411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9" t="s">
        <v>680</v>
      </c>
      <c r="B274" s="36">
        <v>436.32501220703125</v>
      </c>
      <c r="C274" s="36">
        <v>321.23440551757813</v>
      </c>
      <c r="D274" s="9">
        <v>2225464</v>
      </c>
      <c r="E274" s="9" t="s">
        <v>474</v>
      </c>
      <c r="F274" s="9" t="s">
        <v>411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9" t="s">
        <v>681</v>
      </c>
      <c r="B275" s="36">
        <v>426.04998779296875</v>
      </c>
      <c r="C275" s="36">
        <v>313.66961669921875</v>
      </c>
      <c r="D275" s="9">
        <v>1956090</v>
      </c>
      <c r="E275" s="9" t="s">
        <v>474</v>
      </c>
      <c r="F275" s="9" t="s">
        <v>411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9" t="s">
        <v>682</v>
      </c>
      <c r="B276" s="36">
        <v>433.67498779296875</v>
      </c>
      <c r="C276" s="36">
        <v>319.2833251953125</v>
      </c>
      <c r="D276" s="9">
        <v>2634614</v>
      </c>
      <c r="E276" s="9" t="s">
        <v>474</v>
      </c>
      <c r="F276" s="9" t="s">
        <v>411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9" t="s">
        <v>683</v>
      </c>
      <c r="B277" s="36">
        <v>434.82501220703125</v>
      </c>
      <c r="C277" s="36">
        <v>320.1300048828125</v>
      </c>
      <c r="D277" s="9">
        <v>1967702</v>
      </c>
      <c r="E277" s="9" t="s">
        <v>474</v>
      </c>
      <c r="F277" s="9" t="s">
        <v>411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9" t="s">
        <v>684</v>
      </c>
      <c r="B278" s="36">
        <v>424.875</v>
      </c>
      <c r="C278" s="36">
        <v>312.80450439453125</v>
      </c>
      <c r="D278" s="9">
        <v>1610434</v>
      </c>
      <c r="E278" s="9" t="s">
        <v>474</v>
      </c>
      <c r="F278" s="9" t="s">
        <v>411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9" t="s">
        <v>685</v>
      </c>
      <c r="B279" s="36">
        <v>405.22500610351563</v>
      </c>
      <c r="C279" s="36">
        <v>298.33755493164063</v>
      </c>
      <c r="D279" s="9">
        <v>3334436</v>
      </c>
      <c r="E279" s="9" t="s">
        <v>474</v>
      </c>
      <c r="F279" s="9" t="s">
        <v>411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9" t="s">
        <v>686</v>
      </c>
      <c r="B280" s="36">
        <v>413.70001220703125</v>
      </c>
      <c r="C280" s="36">
        <v>304.5771484375</v>
      </c>
      <c r="D280" s="9">
        <v>2265394</v>
      </c>
      <c r="E280" s="9" t="s">
        <v>474</v>
      </c>
      <c r="F280" s="9" t="s">
        <v>411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9" t="s">
        <v>687</v>
      </c>
      <c r="B281" s="36">
        <v>404</v>
      </c>
      <c r="C281" s="36">
        <v>297.43585205078125</v>
      </c>
      <c r="D281" s="9">
        <v>3238414</v>
      </c>
      <c r="E281" s="9" t="s">
        <v>474</v>
      </c>
      <c r="F281" s="9" t="s">
        <v>411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9" t="s">
        <v>688</v>
      </c>
      <c r="B282" s="36">
        <v>399.125</v>
      </c>
      <c r="C282" s="36">
        <v>293.84664916992188</v>
      </c>
      <c r="D282" s="9">
        <v>2784934</v>
      </c>
      <c r="E282" s="9" t="s">
        <v>474</v>
      </c>
      <c r="F282" s="9" t="s">
        <v>411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9" t="s">
        <v>689</v>
      </c>
      <c r="B283" s="36">
        <v>413.54998779296875</v>
      </c>
      <c r="C283" s="36">
        <v>304.46673583984375</v>
      </c>
      <c r="D283" s="9">
        <v>2761612</v>
      </c>
      <c r="E283" s="9" t="s">
        <v>474</v>
      </c>
      <c r="F283" s="9" t="s">
        <v>411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9" t="s">
        <v>690</v>
      </c>
      <c r="B284" s="36">
        <v>412.14999389648438</v>
      </c>
      <c r="C284" s="36">
        <v>303.43606567382813</v>
      </c>
      <c r="D284" s="9">
        <v>2104598</v>
      </c>
      <c r="E284" s="9" t="s">
        <v>474</v>
      </c>
      <c r="F284" s="9" t="s">
        <v>411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9" t="s">
        <v>691</v>
      </c>
      <c r="B285" s="36">
        <v>412.39999389648438</v>
      </c>
      <c r="C285" s="36">
        <v>303.62005615234375</v>
      </c>
      <c r="D285" s="9">
        <v>2720362</v>
      </c>
      <c r="E285" s="9" t="s">
        <v>474</v>
      </c>
      <c r="F285" s="9" t="s">
        <v>411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9" t="s">
        <v>692</v>
      </c>
      <c r="B286" s="36">
        <v>421.97500610351563</v>
      </c>
      <c r="C286" s="36">
        <v>310.66946411132813</v>
      </c>
      <c r="D286" s="9">
        <v>2129164</v>
      </c>
      <c r="E286" s="9" t="s">
        <v>474</v>
      </c>
      <c r="F286" s="9" t="s">
        <v>411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9" t="s">
        <v>693</v>
      </c>
      <c r="B287" s="36">
        <v>425.77499389648438</v>
      </c>
      <c r="C287" s="36">
        <v>313.46701049804688</v>
      </c>
      <c r="D287" s="9">
        <v>2366136</v>
      </c>
      <c r="E287" s="9" t="s">
        <v>474</v>
      </c>
      <c r="F287" s="9" t="s">
        <v>411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9" t="s">
        <v>694</v>
      </c>
      <c r="B288" s="36">
        <v>422.97500610351563</v>
      </c>
      <c r="C288" s="36">
        <v>311.40570068359375</v>
      </c>
      <c r="D288" s="9">
        <v>1847550</v>
      </c>
      <c r="E288" s="9" t="s">
        <v>474</v>
      </c>
      <c r="F288" s="9" t="s">
        <v>411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9" t="s">
        <v>695</v>
      </c>
      <c r="B289" s="36">
        <v>414.47500610351563</v>
      </c>
      <c r="C289" s="36">
        <v>305.14776611328125</v>
      </c>
      <c r="D289" s="9">
        <v>1260954</v>
      </c>
      <c r="E289" s="9" t="s">
        <v>474</v>
      </c>
      <c r="F289" s="9" t="s">
        <v>411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9" t="s">
        <v>696</v>
      </c>
      <c r="B290" s="36">
        <v>405.52499389648438</v>
      </c>
      <c r="C290" s="36">
        <v>298.55841064453125</v>
      </c>
      <c r="D290" s="9">
        <v>1722248</v>
      </c>
      <c r="E290" s="9" t="s">
        <v>474</v>
      </c>
      <c r="F290" s="9" t="s">
        <v>411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9" t="s">
        <v>697</v>
      </c>
      <c r="B291" s="36">
        <v>404.375</v>
      </c>
      <c r="C291" s="36">
        <v>297.71185302734375</v>
      </c>
      <c r="D291" s="9">
        <v>1619632</v>
      </c>
      <c r="E291" s="9" t="s">
        <v>474</v>
      </c>
      <c r="F291" s="9" t="s">
        <v>411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9" t="s">
        <v>698</v>
      </c>
      <c r="B292" s="36">
        <v>412.32501220703125</v>
      </c>
      <c r="C292" s="36">
        <v>303.56488037109375</v>
      </c>
      <c r="D292" s="9">
        <v>2047824</v>
      </c>
      <c r="E292" s="9" t="s">
        <v>474</v>
      </c>
      <c r="F292" s="9" t="s">
        <v>411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9" t="s">
        <v>699</v>
      </c>
      <c r="B293" s="36">
        <v>406.625</v>
      </c>
      <c r="C293" s="36">
        <v>299.36843872070313</v>
      </c>
      <c r="D293" s="9">
        <v>3094060</v>
      </c>
      <c r="E293" s="9" t="s">
        <v>474</v>
      </c>
      <c r="F293" s="9" t="s">
        <v>411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9" t="s">
        <v>700</v>
      </c>
      <c r="B294" s="36">
        <v>416.07501220703125</v>
      </c>
      <c r="C294" s="36">
        <v>306.32568359375</v>
      </c>
      <c r="D294" s="9">
        <v>2114472</v>
      </c>
      <c r="E294" s="9" t="s">
        <v>474</v>
      </c>
      <c r="F294" s="9" t="s">
        <v>411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9" t="s">
        <v>701</v>
      </c>
      <c r="B295" s="36">
        <v>427.42498779296875</v>
      </c>
      <c r="C295" s="36">
        <v>314.68191528320313</v>
      </c>
      <c r="D295" s="9">
        <v>3279278</v>
      </c>
      <c r="E295" s="9" t="s">
        <v>474</v>
      </c>
      <c r="F295" s="9" t="s">
        <v>411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9" t="s">
        <v>702</v>
      </c>
      <c r="B296" s="36">
        <v>429.64999389648438</v>
      </c>
      <c r="C296" s="36">
        <v>316.32000732421875</v>
      </c>
      <c r="D296" s="9">
        <v>2015842</v>
      </c>
      <c r="E296" s="9" t="s">
        <v>474</v>
      </c>
      <c r="F296" s="9" t="s">
        <v>411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9" t="s">
        <v>703</v>
      </c>
      <c r="B297" s="36">
        <v>417.70001220703125</v>
      </c>
      <c r="C297" s="36">
        <v>307.52203369140625</v>
      </c>
      <c r="D297" s="9">
        <v>3554776</v>
      </c>
      <c r="E297" s="9" t="s">
        <v>474</v>
      </c>
      <c r="F297" s="9" t="s">
        <v>411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9" t="s">
        <v>704</v>
      </c>
      <c r="B298" s="36">
        <v>407.625</v>
      </c>
      <c r="C298" s="36">
        <v>300.10458374023438</v>
      </c>
      <c r="D298" s="9">
        <v>6490012</v>
      </c>
      <c r="E298" s="9" t="s">
        <v>474</v>
      </c>
      <c r="F298" s="9" t="s">
        <v>411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9" t="s">
        <v>705</v>
      </c>
      <c r="B299" s="36">
        <v>407.82501220703125</v>
      </c>
      <c r="C299" s="36">
        <v>300.25186157226563</v>
      </c>
      <c r="D299" s="9">
        <v>12221478</v>
      </c>
      <c r="E299" s="9" t="s">
        <v>474</v>
      </c>
      <c r="F299" s="9" t="s">
        <v>411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9" t="s">
        <v>706</v>
      </c>
      <c r="B300" s="36">
        <v>408.92498779296875</v>
      </c>
      <c r="C300" s="36">
        <v>301.06167602539063</v>
      </c>
      <c r="D300" s="9">
        <v>5015794</v>
      </c>
      <c r="E300" s="9" t="s">
        <v>474</v>
      </c>
      <c r="F300" s="9" t="s">
        <v>411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>
      <c r="A301" s="35" t="s">
        <v>707</v>
      </c>
      <c r="B301" s="37">
        <v>411.52499389648438</v>
      </c>
      <c r="C301" s="37">
        <v>302.97589111328125</v>
      </c>
      <c r="D301" s="35">
        <v>4241030</v>
      </c>
      <c r="E301" s="35" t="s">
        <v>474</v>
      </c>
      <c r="F301" s="35" t="s">
        <v>411</v>
      </c>
    </row>
    <row r="302" spans="1:46">
      <c r="A302" s="35" t="s">
        <v>708</v>
      </c>
      <c r="B302" s="37">
        <v>413.95001220703125</v>
      </c>
      <c r="C302" s="37">
        <v>304.76126098632813</v>
      </c>
      <c r="D302" s="35">
        <v>2852722</v>
      </c>
      <c r="E302" s="35" t="s">
        <v>474</v>
      </c>
      <c r="F302" s="35" t="s">
        <v>411</v>
      </c>
    </row>
    <row r="303" spans="1:46">
      <c r="A303" s="35" t="s">
        <v>709</v>
      </c>
      <c r="B303" s="37">
        <v>405.92498779296875</v>
      </c>
      <c r="C303" s="37">
        <v>298.85296630859375</v>
      </c>
      <c r="D303" s="35">
        <v>2711290</v>
      </c>
      <c r="E303" s="35" t="s">
        <v>474</v>
      </c>
      <c r="F303" s="35" t="s">
        <v>411</v>
      </c>
    </row>
    <row r="304" spans="1:46">
      <c r="A304" s="35" t="s">
        <v>710</v>
      </c>
      <c r="B304" s="37">
        <v>407.45001220703125</v>
      </c>
      <c r="C304" s="37">
        <v>299.97579956054688</v>
      </c>
      <c r="D304" s="35">
        <v>2436508</v>
      </c>
      <c r="E304" s="35" t="s">
        <v>474</v>
      </c>
      <c r="F304" s="35" t="s">
        <v>411</v>
      </c>
    </row>
    <row r="305" spans="1:6">
      <c r="A305" s="35" t="s">
        <v>711</v>
      </c>
      <c r="B305" s="37">
        <v>407.64999389648438</v>
      </c>
      <c r="C305" s="37">
        <v>300.12301635742188</v>
      </c>
      <c r="D305" s="35">
        <v>3429634</v>
      </c>
      <c r="E305" s="35" t="s">
        <v>474</v>
      </c>
      <c r="F305" s="35" t="s">
        <v>411</v>
      </c>
    </row>
    <row r="306" spans="1:6">
      <c r="A306" s="35" t="s">
        <v>712</v>
      </c>
      <c r="B306" s="37">
        <v>412.07501220703125</v>
      </c>
      <c r="C306" s="37">
        <v>303.38082885742188</v>
      </c>
      <c r="D306" s="35">
        <v>3323064</v>
      </c>
      <c r="E306" s="35" t="s">
        <v>474</v>
      </c>
      <c r="F306" s="35" t="s">
        <v>411</v>
      </c>
    </row>
    <row r="307" spans="1:6">
      <c r="A307" s="35" t="s">
        <v>713</v>
      </c>
      <c r="B307" s="37">
        <v>411.27499389648438</v>
      </c>
      <c r="C307" s="37">
        <v>302.79183959960938</v>
      </c>
      <c r="D307" s="35">
        <v>3316402</v>
      </c>
      <c r="E307" s="35" t="s">
        <v>474</v>
      </c>
      <c r="F307" s="35" t="s">
        <v>411</v>
      </c>
    </row>
    <row r="308" spans="1:6">
      <c r="A308" s="35" t="s">
        <v>714</v>
      </c>
      <c r="B308" s="37">
        <v>414.22500610351563</v>
      </c>
      <c r="C308" s="37">
        <v>304.96371459960938</v>
      </c>
      <c r="D308" s="35">
        <v>5466422</v>
      </c>
      <c r="E308" s="35" t="s">
        <v>474</v>
      </c>
      <c r="F308" s="35" t="s">
        <v>411</v>
      </c>
    </row>
    <row r="309" spans="1:6">
      <c r="A309" s="35" t="s">
        <v>715</v>
      </c>
      <c r="B309" s="37">
        <v>408.85000610351563</v>
      </c>
      <c r="C309" s="37">
        <v>301.0064697265625</v>
      </c>
      <c r="D309" s="35">
        <v>5018640</v>
      </c>
      <c r="E309" s="35" t="s">
        <v>474</v>
      </c>
      <c r="F309" s="35" t="s">
        <v>411</v>
      </c>
    </row>
    <row r="310" spans="1:6">
      <c r="A310" s="35" t="s">
        <v>716</v>
      </c>
      <c r="B310" s="37">
        <v>405.32501220703125</v>
      </c>
      <c r="C310" s="37">
        <v>298.4112548828125</v>
      </c>
      <c r="D310" s="35">
        <v>5914488</v>
      </c>
      <c r="E310" s="35" t="s">
        <v>474</v>
      </c>
      <c r="F310" s="35" t="s">
        <v>411</v>
      </c>
    </row>
    <row r="311" spans="1:6">
      <c r="A311" s="35" t="s">
        <v>717</v>
      </c>
      <c r="B311" s="37">
        <v>403.39999389648438</v>
      </c>
      <c r="C311" s="37">
        <v>296.99404907226563</v>
      </c>
      <c r="D311" s="35">
        <v>5063370</v>
      </c>
      <c r="E311" s="35" t="s">
        <v>474</v>
      </c>
      <c r="F311" s="35" t="s">
        <v>411</v>
      </c>
    </row>
    <row r="312" spans="1:6">
      <c r="A312" s="35" t="s">
        <v>718</v>
      </c>
      <c r="B312" s="37">
        <v>410.29998779296875</v>
      </c>
      <c r="C312" s="37">
        <v>302.07400512695313</v>
      </c>
      <c r="D312" s="35">
        <v>4604684</v>
      </c>
      <c r="E312" s="35" t="s">
        <v>474</v>
      </c>
      <c r="F312" s="35" t="s">
        <v>411</v>
      </c>
    </row>
    <row r="313" spans="1:6">
      <c r="A313" s="35" t="s">
        <v>719</v>
      </c>
      <c r="B313" s="37">
        <v>407.04998779296875</v>
      </c>
      <c r="C313" s="37">
        <v>299.68124389648438</v>
      </c>
      <c r="D313" s="35">
        <v>9173934</v>
      </c>
      <c r="E313" s="35" t="s">
        <v>474</v>
      </c>
      <c r="F313" s="35" t="s">
        <v>411</v>
      </c>
    </row>
    <row r="314" spans="1:6">
      <c r="A314" s="35" t="s">
        <v>720</v>
      </c>
      <c r="B314" s="37">
        <v>410.20001220703125</v>
      </c>
      <c r="C314" s="37">
        <v>302.00045776367188</v>
      </c>
      <c r="D314" s="35">
        <v>5329616</v>
      </c>
      <c r="E314" s="35" t="s">
        <v>721</v>
      </c>
      <c r="F314" s="35" t="s">
        <v>411</v>
      </c>
    </row>
    <row r="315" spans="1:6">
      <c r="A315" s="35" t="s">
        <v>722</v>
      </c>
      <c r="B315" s="37">
        <v>419.92498779296875</v>
      </c>
      <c r="C315" s="37">
        <v>309.16024780273438</v>
      </c>
      <c r="D315" s="35">
        <v>5661970</v>
      </c>
      <c r="E315" s="35" t="s">
        <v>721</v>
      </c>
      <c r="F315" s="35" t="s">
        <v>411</v>
      </c>
    </row>
    <row r="316" spans="1:6">
      <c r="A316" s="35" t="s">
        <v>723</v>
      </c>
      <c r="B316" s="37">
        <v>421.625</v>
      </c>
      <c r="C316" s="37">
        <v>310.41171264648438</v>
      </c>
      <c r="D316" s="35">
        <v>4999776</v>
      </c>
      <c r="E316" s="35" t="s">
        <v>721</v>
      </c>
      <c r="F316" s="35" t="s">
        <v>411</v>
      </c>
    </row>
    <row r="317" spans="1:6">
      <c r="A317" s="35" t="s">
        <v>724</v>
      </c>
      <c r="B317" s="37">
        <v>419.375</v>
      </c>
      <c r="C317" s="37">
        <v>308.75521850585938</v>
      </c>
      <c r="D317" s="35">
        <v>2165840</v>
      </c>
      <c r="E317" s="35" t="s">
        <v>721</v>
      </c>
      <c r="F317" s="35" t="s">
        <v>411</v>
      </c>
    </row>
    <row r="318" spans="1:6">
      <c r="A318" s="35" t="s">
        <v>725</v>
      </c>
      <c r="B318" s="37">
        <v>414.22500610351563</v>
      </c>
      <c r="C318" s="37">
        <v>304.96371459960938</v>
      </c>
      <c r="D318" s="35">
        <v>1881660</v>
      </c>
      <c r="E318" s="35" t="s">
        <v>721</v>
      </c>
      <c r="F318" s="35" t="s">
        <v>411</v>
      </c>
    </row>
    <row r="319" spans="1:6">
      <c r="A319" s="35" t="s">
        <v>726</v>
      </c>
      <c r="B319" s="37">
        <v>416.54998779296875</v>
      </c>
      <c r="C319" s="37">
        <v>306.6754150390625</v>
      </c>
      <c r="D319" s="35">
        <v>1445784</v>
      </c>
      <c r="E319" s="35" t="s">
        <v>721</v>
      </c>
      <c r="F319" s="35" t="s">
        <v>411</v>
      </c>
    </row>
    <row r="320" spans="1:6">
      <c r="A320" s="35" t="s">
        <v>727</v>
      </c>
      <c r="B320" s="37">
        <v>419.64999389648438</v>
      </c>
      <c r="C320" s="37">
        <v>308.95782470703125</v>
      </c>
      <c r="D320" s="35">
        <v>1940546</v>
      </c>
      <c r="E320" s="35" t="s">
        <v>721</v>
      </c>
      <c r="F320" s="35" t="s">
        <v>411</v>
      </c>
    </row>
    <row r="321" spans="1:6">
      <c r="A321" s="35" t="s">
        <v>728</v>
      </c>
      <c r="B321" s="37">
        <v>419.82501220703125</v>
      </c>
      <c r="C321" s="37">
        <v>309.08657836914063</v>
      </c>
      <c r="D321" s="35">
        <v>1419372</v>
      </c>
      <c r="E321" s="35" t="s">
        <v>721</v>
      </c>
      <c r="F321" s="35" t="s">
        <v>411</v>
      </c>
    </row>
    <row r="322" spans="1:6">
      <c r="A322" s="35" t="s">
        <v>729</v>
      </c>
      <c r="B322" s="37">
        <v>418.77499389648438</v>
      </c>
      <c r="C322" s="37">
        <v>308.31356811523438</v>
      </c>
      <c r="D322" s="35">
        <v>2636408</v>
      </c>
      <c r="E322" s="35" t="s">
        <v>721</v>
      </c>
      <c r="F322" s="35" t="s">
        <v>411</v>
      </c>
    </row>
    <row r="323" spans="1:6">
      <c r="A323" s="35" t="s">
        <v>730</v>
      </c>
      <c r="B323" s="37">
        <v>426.64999389648438</v>
      </c>
      <c r="C323" s="37">
        <v>314.11135864257813</v>
      </c>
      <c r="D323" s="35">
        <v>5853044</v>
      </c>
      <c r="E323" s="35" t="s">
        <v>721</v>
      </c>
      <c r="F323" s="35" t="s">
        <v>411</v>
      </c>
    </row>
    <row r="324" spans="1:6">
      <c r="A324" s="35" t="s">
        <v>731</v>
      </c>
      <c r="B324" s="37">
        <v>420.60000610351563</v>
      </c>
      <c r="C324" s="37">
        <v>309.65713500976563</v>
      </c>
      <c r="D324" s="35">
        <v>2778022</v>
      </c>
      <c r="E324" s="35" t="s">
        <v>721</v>
      </c>
      <c r="F324" s="35" t="s">
        <v>411</v>
      </c>
    </row>
    <row r="325" spans="1:6">
      <c r="A325" s="35" t="s">
        <v>732</v>
      </c>
      <c r="B325" s="37">
        <v>423.125</v>
      </c>
      <c r="C325" s="37">
        <v>311.5159912109375</v>
      </c>
      <c r="D325" s="35">
        <v>2235054</v>
      </c>
      <c r="E325" s="35" t="s">
        <v>721</v>
      </c>
      <c r="F325" s="35" t="s">
        <v>411</v>
      </c>
    </row>
    <row r="326" spans="1:6">
      <c r="A326" s="35" t="s">
        <v>733</v>
      </c>
      <c r="B326" s="37">
        <v>422.57501220703125</v>
      </c>
      <c r="C326" s="37">
        <v>311.11117553710938</v>
      </c>
      <c r="D326" s="35">
        <v>2221718</v>
      </c>
      <c r="E326" s="35" t="s">
        <v>721</v>
      </c>
      <c r="F326" s="35" t="s">
        <v>411</v>
      </c>
    </row>
    <row r="327" spans="1:6">
      <c r="A327" s="35" t="s">
        <v>734</v>
      </c>
      <c r="B327" s="37">
        <v>422.54998779296875</v>
      </c>
      <c r="C327" s="37">
        <v>311.0927734375</v>
      </c>
      <c r="D327" s="35">
        <v>1662860</v>
      </c>
      <c r="E327" s="35" t="s">
        <v>721</v>
      </c>
      <c r="F327" s="35" t="s">
        <v>411</v>
      </c>
    </row>
    <row r="328" spans="1:6">
      <c r="A328" s="35" t="s">
        <v>735</v>
      </c>
      <c r="B328" s="37">
        <v>424.89999389648438</v>
      </c>
      <c r="C328" s="37">
        <v>312.82290649414063</v>
      </c>
      <c r="D328" s="35">
        <v>2257126</v>
      </c>
      <c r="E328" s="35" t="s">
        <v>721</v>
      </c>
      <c r="F328" s="35" t="s">
        <v>411</v>
      </c>
    </row>
    <row r="329" spans="1:6">
      <c r="A329" s="35" t="s">
        <v>736</v>
      </c>
      <c r="B329" s="37">
        <v>418.77499389648438</v>
      </c>
      <c r="C329" s="37">
        <v>308.31356811523438</v>
      </c>
      <c r="D329" s="35">
        <v>4550172</v>
      </c>
      <c r="E329" s="35" t="s">
        <v>721</v>
      </c>
      <c r="F329" s="35" t="s">
        <v>411</v>
      </c>
    </row>
    <row r="330" spans="1:6">
      <c r="A330" s="35" t="s">
        <v>737</v>
      </c>
      <c r="B330" s="37">
        <v>399.95001220703125</v>
      </c>
      <c r="C330" s="37">
        <v>294.4539794921875</v>
      </c>
      <c r="D330" s="35">
        <v>17843912</v>
      </c>
      <c r="E330" s="35" t="s">
        <v>721</v>
      </c>
      <c r="F330" s="35" t="s">
        <v>411</v>
      </c>
    </row>
    <row r="331" spans="1:6">
      <c r="A331" s="35" t="s">
        <v>738</v>
      </c>
      <c r="B331" s="37">
        <v>375.14999389648438</v>
      </c>
      <c r="C331" s="37">
        <v>276.1956787109375</v>
      </c>
      <c r="D331" s="35">
        <v>17978662</v>
      </c>
      <c r="E331" s="35" t="s">
        <v>721</v>
      </c>
      <c r="F331" s="35" t="s">
        <v>411</v>
      </c>
    </row>
    <row r="332" spans="1:6">
      <c r="A332" s="35" t="s">
        <v>739</v>
      </c>
      <c r="B332" s="37">
        <v>371.10000610351563</v>
      </c>
      <c r="C332" s="37">
        <v>273.21392822265625</v>
      </c>
      <c r="D332" s="35">
        <v>5021166</v>
      </c>
      <c r="E332" s="35" t="s">
        <v>721</v>
      </c>
      <c r="F332" s="35" t="s">
        <v>411</v>
      </c>
    </row>
    <row r="333" spans="1:6">
      <c r="A333" s="35" t="s">
        <v>740</v>
      </c>
      <c r="B333" s="37">
        <v>364.20001220703125</v>
      </c>
      <c r="C333" s="37">
        <v>268.13381958007813</v>
      </c>
      <c r="D333" s="35">
        <v>6999808</v>
      </c>
      <c r="E333" s="35" t="s">
        <v>721</v>
      </c>
      <c r="F333" s="35" t="s">
        <v>411</v>
      </c>
    </row>
    <row r="334" spans="1:6">
      <c r="A334" s="35" t="s">
        <v>741</v>
      </c>
      <c r="B334" s="37">
        <v>368.54998779296875</v>
      </c>
      <c r="C334" s="37">
        <v>271.33651733398438</v>
      </c>
      <c r="D334" s="35">
        <v>6404110</v>
      </c>
      <c r="E334" s="35" t="s">
        <v>721</v>
      </c>
      <c r="F334" s="35" t="s">
        <v>411</v>
      </c>
    </row>
    <row r="335" spans="1:6">
      <c r="A335" s="35" t="s">
        <v>742</v>
      </c>
      <c r="B335" s="37">
        <v>366.45001220703125</v>
      </c>
      <c r="C335" s="37">
        <v>272.004638671875</v>
      </c>
      <c r="D335" s="35">
        <v>5077866</v>
      </c>
      <c r="E335" s="35" t="s">
        <v>721</v>
      </c>
      <c r="F335" s="35" t="s">
        <v>411</v>
      </c>
    </row>
    <row r="336" spans="1:6">
      <c r="A336" s="35" t="s">
        <v>743</v>
      </c>
      <c r="B336" s="37">
        <v>361.29998779296875</v>
      </c>
      <c r="C336" s="37">
        <v>268.18194580078125</v>
      </c>
      <c r="D336" s="35">
        <v>6136478</v>
      </c>
      <c r="E336" s="35" t="s">
        <v>721</v>
      </c>
      <c r="F336" s="35" t="s">
        <v>411</v>
      </c>
    </row>
    <row r="337" spans="1:6">
      <c r="A337" s="35" t="s">
        <v>744</v>
      </c>
      <c r="B337" s="37">
        <v>360.70001220703125</v>
      </c>
      <c r="C337" s="37">
        <v>267.73651123046875</v>
      </c>
      <c r="D337" s="35">
        <v>7384902</v>
      </c>
      <c r="E337" s="35" t="s">
        <v>721</v>
      </c>
      <c r="F337" s="35" t="s">
        <v>411</v>
      </c>
    </row>
    <row r="338" spans="1:6">
      <c r="A338" s="35" t="s">
        <v>745</v>
      </c>
      <c r="B338" s="37">
        <v>359.39999389648438</v>
      </c>
      <c r="C338" s="37">
        <v>266.77151489257813</v>
      </c>
      <c r="D338" s="35">
        <v>5401936</v>
      </c>
      <c r="E338" s="35" t="s">
        <v>721</v>
      </c>
      <c r="F338" s="35" t="s">
        <v>411</v>
      </c>
    </row>
    <row r="339" spans="1:6">
      <c r="A339" s="35" t="s">
        <v>746</v>
      </c>
      <c r="B339" s="37">
        <v>354.375</v>
      </c>
      <c r="C339" s="37">
        <v>263.04165649414063</v>
      </c>
      <c r="D339" s="35">
        <v>8421688</v>
      </c>
      <c r="E339" s="35" t="s">
        <v>721</v>
      </c>
      <c r="F339" s="35" t="s">
        <v>411</v>
      </c>
    </row>
    <row r="340" spans="1:6">
      <c r="A340" s="35" t="s">
        <v>747</v>
      </c>
      <c r="B340" s="37">
        <v>357.35000610351563</v>
      </c>
      <c r="C340" s="37">
        <v>265.24981689453125</v>
      </c>
      <c r="D340" s="35">
        <v>3558646</v>
      </c>
      <c r="E340" s="35" t="s">
        <v>721</v>
      </c>
      <c r="F340" s="35" t="s">
        <v>411</v>
      </c>
    </row>
    <row r="341" spans="1:6">
      <c r="A341" s="35" t="s">
        <v>748</v>
      </c>
      <c r="B341" s="37">
        <v>361.57501220703125</v>
      </c>
      <c r="C341" s="37">
        <v>268.38592529296875</v>
      </c>
      <c r="D341" s="35">
        <v>7150908</v>
      </c>
      <c r="E341" s="35" t="s">
        <v>721</v>
      </c>
      <c r="F341" s="35" t="s">
        <v>411</v>
      </c>
    </row>
    <row r="342" spans="1:6">
      <c r="A342" s="35" t="s">
        <v>749</v>
      </c>
      <c r="B342" s="37">
        <v>359.47500610351563</v>
      </c>
      <c r="C342" s="37">
        <v>266.82717895507813</v>
      </c>
      <c r="D342" s="35">
        <v>3233028</v>
      </c>
      <c r="E342" s="35" t="s">
        <v>721</v>
      </c>
      <c r="F342" s="35" t="s">
        <v>411</v>
      </c>
    </row>
    <row r="343" spans="1:6">
      <c r="A343" s="35" t="s">
        <v>750</v>
      </c>
      <c r="B343" s="37">
        <v>366.14999389648438</v>
      </c>
      <c r="C343" s="37">
        <v>271.78192138671875</v>
      </c>
      <c r="D343" s="35">
        <v>7834720</v>
      </c>
      <c r="E343" s="35" t="s">
        <v>721</v>
      </c>
      <c r="F343" s="35" t="s">
        <v>411</v>
      </c>
    </row>
    <row r="344" spans="1:6">
      <c r="A344" s="35" t="s">
        <v>751</v>
      </c>
      <c r="B344" s="37">
        <v>371.125</v>
      </c>
      <c r="C344" s="37">
        <v>275.47463989257813</v>
      </c>
      <c r="D344" s="35">
        <v>4249196</v>
      </c>
      <c r="E344" s="35" t="s">
        <v>721</v>
      </c>
      <c r="F344" s="35" t="s">
        <v>411</v>
      </c>
    </row>
    <row r="345" spans="1:6">
      <c r="A345" s="35" t="s">
        <v>752</v>
      </c>
      <c r="B345" s="37">
        <v>365.04998779296875</v>
      </c>
      <c r="C345" s="37">
        <v>270.96533203125</v>
      </c>
      <c r="D345" s="35">
        <v>3490682</v>
      </c>
      <c r="E345" s="35" t="s">
        <v>721</v>
      </c>
      <c r="F345" s="35" t="s">
        <v>411</v>
      </c>
    </row>
    <row r="346" spans="1:6">
      <c r="A346" s="35" t="s">
        <v>753</v>
      </c>
      <c r="B346" s="37">
        <v>368.32501220703125</v>
      </c>
      <c r="C346" s="37">
        <v>273.3963623046875</v>
      </c>
      <c r="D346" s="35">
        <v>3846760</v>
      </c>
      <c r="E346" s="35" t="s">
        <v>721</v>
      </c>
      <c r="F346" s="35" t="s">
        <v>411</v>
      </c>
    </row>
    <row r="347" spans="1:6">
      <c r="A347" s="35" t="s">
        <v>754</v>
      </c>
      <c r="B347" s="37">
        <v>366.77499389648438</v>
      </c>
      <c r="C347" s="37">
        <v>272.24581909179688</v>
      </c>
      <c r="D347" s="35">
        <v>2076592</v>
      </c>
      <c r="E347" s="35" t="s">
        <v>721</v>
      </c>
      <c r="F347" s="35" t="s">
        <v>411</v>
      </c>
    </row>
    <row r="348" spans="1:6">
      <c r="A348" s="35" t="s">
        <v>755</v>
      </c>
      <c r="B348" s="37">
        <v>369.625</v>
      </c>
      <c r="C348" s="37">
        <v>274.36123657226563</v>
      </c>
      <c r="D348" s="35">
        <v>2790030</v>
      </c>
      <c r="E348" s="35" t="s">
        <v>721</v>
      </c>
      <c r="F348" s="35" t="s">
        <v>411</v>
      </c>
    </row>
    <row r="349" spans="1:6">
      <c r="A349" s="35" t="s">
        <v>756</v>
      </c>
      <c r="B349" s="37">
        <v>374.67498779296875</v>
      </c>
      <c r="C349" s="37">
        <v>278.10971069335938</v>
      </c>
      <c r="D349" s="35">
        <v>3373494</v>
      </c>
      <c r="E349" s="35" t="s">
        <v>721</v>
      </c>
      <c r="F349" s="35" t="s">
        <v>411</v>
      </c>
    </row>
    <row r="350" spans="1:6">
      <c r="A350" s="35" t="s">
        <v>757</v>
      </c>
      <c r="B350" s="37">
        <v>370.45001220703125</v>
      </c>
      <c r="C350" s="37">
        <v>274.9736328125</v>
      </c>
      <c r="D350" s="35">
        <v>6462218</v>
      </c>
      <c r="E350" s="35" t="s">
        <v>721</v>
      </c>
      <c r="F350" s="35" t="s">
        <v>411</v>
      </c>
    </row>
    <row r="351" spans="1:6">
      <c r="A351" s="35" t="s">
        <v>758</v>
      </c>
      <c r="B351" s="37">
        <v>378.79998779296875</v>
      </c>
      <c r="C351" s="37">
        <v>281.17156982421875</v>
      </c>
      <c r="D351" s="35">
        <v>6090190</v>
      </c>
      <c r="E351" s="35" t="s">
        <v>721</v>
      </c>
      <c r="F351" s="35" t="s">
        <v>411</v>
      </c>
    </row>
    <row r="352" spans="1:6">
      <c r="A352" s="35" t="s">
        <v>759</v>
      </c>
      <c r="B352" s="37">
        <v>373.77499389648438</v>
      </c>
      <c r="C352" s="37">
        <v>277.441650390625</v>
      </c>
      <c r="D352" s="35">
        <v>3186652</v>
      </c>
      <c r="E352" s="35" t="s">
        <v>721</v>
      </c>
      <c r="F352" s="35" t="s">
        <v>411</v>
      </c>
    </row>
    <row r="353" spans="1:6">
      <c r="A353" s="35" t="s">
        <v>760</v>
      </c>
      <c r="B353" s="37">
        <v>369.89999389648438</v>
      </c>
      <c r="C353" s="37">
        <v>274.56536865234375</v>
      </c>
      <c r="D353" s="35">
        <v>30096216</v>
      </c>
      <c r="E353" s="35" t="s">
        <v>721</v>
      </c>
      <c r="F353" s="35" t="s">
        <v>411</v>
      </c>
    </row>
    <row r="354" spans="1:6">
      <c r="A354" s="35" t="s">
        <v>761</v>
      </c>
      <c r="B354" s="37">
        <v>367.27499389648438</v>
      </c>
      <c r="C354" s="37">
        <v>272.616943359375</v>
      </c>
      <c r="D354" s="35">
        <v>4493556</v>
      </c>
      <c r="E354" s="35" t="s">
        <v>721</v>
      </c>
      <c r="F354" s="35" t="s">
        <v>411</v>
      </c>
    </row>
    <row r="355" spans="1:6">
      <c r="A355" s="35" t="s">
        <v>762</v>
      </c>
      <c r="B355" s="37">
        <v>360.67498779296875</v>
      </c>
      <c r="C355" s="37">
        <v>267.71792602539063</v>
      </c>
      <c r="D355" s="35">
        <v>8587656</v>
      </c>
      <c r="E355" s="35" t="s">
        <v>721</v>
      </c>
      <c r="F355" s="35" t="s">
        <v>411</v>
      </c>
    </row>
    <row r="356" spans="1:6">
      <c r="A356" s="35" t="s">
        <v>763</v>
      </c>
      <c r="B356" s="37">
        <v>360.95001220703125</v>
      </c>
      <c r="C356" s="37">
        <v>267.92205810546875</v>
      </c>
      <c r="D356" s="35">
        <v>3006706</v>
      </c>
      <c r="E356" s="35" t="s">
        <v>721</v>
      </c>
      <c r="F356" s="35" t="s">
        <v>411</v>
      </c>
    </row>
    <row r="357" spans="1:6">
      <c r="A357" s="35" t="s">
        <v>764</v>
      </c>
      <c r="B357" s="37">
        <v>362.29998779296875</v>
      </c>
      <c r="C357" s="37">
        <v>268.92413330078125</v>
      </c>
      <c r="D357" s="35">
        <v>4081070</v>
      </c>
      <c r="E357" s="35" t="s">
        <v>721</v>
      </c>
      <c r="F357" s="35" t="s">
        <v>411</v>
      </c>
    </row>
    <row r="358" spans="1:6">
      <c r="A358" s="35" t="s">
        <v>765</v>
      </c>
      <c r="B358" s="37">
        <v>363.35000610351563</v>
      </c>
      <c r="C358" s="37">
        <v>269.70352172851563</v>
      </c>
      <c r="D358" s="35">
        <v>4984376</v>
      </c>
      <c r="E358" s="35" t="s">
        <v>721</v>
      </c>
      <c r="F358" s="35" t="s">
        <v>411</v>
      </c>
    </row>
    <row r="359" spans="1:6">
      <c r="A359" s="35" t="s">
        <v>766</v>
      </c>
      <c r="B359" s="37">
        <v>371.75</v>
      </c>
      <c r="C359" s="37">
        <v>275.93850708007813</v>
      </c>
      <c r="D359" s="35">
        <v>3800608</v>
      </c>
      <c r="E359" s="35" t="s">
        <v>721</v>
      </c>
      <c r="F359" s="35" t="s">
        <v>411</v>
      </c>
    </row>
    <row r="360" spans="1:6">
      <c r="A360" s="35" t="s">
        <v>767</v>
      </c>
      <c r="B360" s="37">
        <v>376.52499389648438</v>
      </c>
      <c r="C360" s="37">
        <v>279.48291015625</v>
      </c>
      <c r="D360" s="35">
        <v>5557702</v>
      </c>
      <c r="E360" s="35" t="s">
        <v>721</v>
      </c>
      <c r="F360" s="35" t="s">
        <v>411</v>
      </c>
    </row>
    <row r="361" spans="1:6">
      <c r="A361" s="35" t="s">
        <v>768</v>
      </c>
      <c r="B361" s="37">
        <v>375.52499389648438</v>
      </c>
      <c r="C361" s="37">
        <v>278.74057006835938</v>
      </c>
      <c r="D361" s="35">
        <v>11571664</v>
      </c>
      <c r="E361" s="35" t="s">
        <v>721</v>
      </c>
      <c r="F361" s="35" t="s">
        <v>411</v>
      </c>
    </row>
    <row r="362" spans="1:6">
      <c r="A362" s="35" t="s">
        <v>769</v>
      </c>
      <c r="B362" s="37">
        <v>376.82501220703125</v>
      </c>
      <c r="C362" s="37">
        <v>279.7056884765625</v>
      </c>
      <c r="D362" s="35">
        <v>4130226</v>
      </c>
      <c r="E362" s="35" t="s">
        <v>721</v>
      </c>
      <c r="F362" s="35" t="s">
        <v>411</v>
      </c>
    </row>
    <row r="363" spans="1:6">
      <c r="A363" s="35" t="s">
        <v>770</v>
      </c>
      <c r="B363" s="37">
        <v>376.20001220703125</v>
      </c>
      <c r="C363" s="37">
        <v>279.24163818359375</v>
      </c>
      <c r="D363" s="35">
        <v>3292742</v>
      </c>
      <c r="E363" s="35" t="s">
        <v>721</v>
      </c>
      <c r="F363" s="35" t="s">
        <v>411</v>
      </c>
    </row>
    <row r="364" spans="1:6">
      <c r="A364" s="35" t="s">
        <v>771</v>
      </c>
      <c r="B364" s="37">
        <v>377.60000610351563</v>
      </c>
      <c r="C364" s="37">
        <v>280.2808837890625</v>
      </c>
      <c r="D364" s="35">
        <v>1958544</v>
      </c>
      <c r="E364" s="35" t="s">
        <v>721</v>
      </c>
      <c r="F364" s="35" t="s">
        <v>411</v>
      </c>
    </row>
    <row r="365" spans="1:6">
      <c r="A365" s="35" t="s">
        <v>772</v>
      </c>
      <c r="B365" s="37">
        <v>375.85000610351563</v>
      </c>
      <c r="C365" s="37">
        <v>278.98190307617188</v>
      </c>
      <c r="D365" s="35">
        <v>2266304</v>
      </c>
      <c r="E365" s="35" t="s">
        <v>721</v>
      </c>
      <c r="F365" s="35" t="s">
        <v>411</v>
      </c>
    </row>
    <row r="366" spans="1:6">
      <c r="A366" s="35" t="s">
        <v>773</v>
      </c>
      <c r="B366" s="37">
        <v>376.82501220703125</v>
      </c>
      <c r="C366" s="37">
        <v>279.7056884765625</v>
      </c>
      <c r="D366" s="35">
        <v>5434012</v>
      </c>
      <c r="E366" s="35" t="s">
        <v>721</v>
      </c>
      <c r="F366" s="35" t="s">
        <v>411</v>
      </c>
    </row>
    <row r="367" spans="1:6">
      <c r="A367" s="35" t="s">
        <v>774</v>
      </c>
      <c r="B367" s="37">
        <v>385.32501220703125</v>
      </c>
      <c r="C367" s="37">
        <v>286.0147705078125</v>
      </c>
      <c r="D367" s="35">
        <v>8265372</v>
      </c>
      <c r="E367" s="35" t="s">
        <v>721</v>
      </c>
      <c r="F367" s="35" t="s">
        <v>411</v>
      </c>
    </row>
    <row r="368" spans="1:6">
      <c r="A368" s="35" t="s">
        <v>775</v>
      </c>
      <c r="B368" s="37">
        <v>385.04998779296875</v>
      </c>
      <c r="C368" s="37">
        <v>285.81069946289063</v>
      </c>
      <c r="D368" s="35">
        <v>2932940</v>
      </c>
      <c r="E368" s="35" t="s">
        <v>721</v>
      </c>
      <c r="F368" s="35" t="s">
        <v>411</v>
      </c>
    </row>
    <row r="369" spans="1:6">
      <c r="A369" s="35" t="s">
        <v>776</v>
      </c>
      <c r="B369" s="37">
        <v>385.22500610351563</v>
      </c>
      <c r="C369" s="37">
        <v>285.94076538085938</v>
      </c>
      <c r="D369" s="35">
        <v>3134118</v>
      </c>
      <c r="E369" s="35" t="s">
        <v>721</v>
      </c>
      <c r="F369" s="35" t="s">
        <v>411</v>
      </c>
    </row>
    <row r="370" spans="1:6">
      <c r="A370" s="35" t="s">
        <v>777</v>
      </c>
      <c r="B370" s="37">
        <v>384.89999389648438</v>
      </c>
      <c r="C370" s="37">
        <v>285.69949340820313</v>
      </c>
      <c r="D370" s="35">
        <v>2584436</v>
      </c>
      <c r="E370" s="35" t="s">
        <v>721</v>
      </c>
      <c r="F370" s="35" t="s">
        <v>411</v>
      </c>
    </row>
    <row r="371" spans="1:6">
      <c r="A371" s="35" t="s">
        <v>778</v>
      </c>
      <c r="B371" s="37">
        <v>370.92498779296875</v>
      </c>
      <c r="C371" s="37">
        <v>275.32620239257813</v>
      </c>
      <c r="D371" s="35">
        <v>6163378</v>
      </c>
      <c r="E371" s="35" t="s">
        <v>721</v>
      </c>
      <c r="F371" s="35" t="s">
        <v>411</v>
      </c>
    </row>
    <row r="372" spans="1:6">
      <c r="A372" s="35" t="s">
        <v>779</v>
      </c>
      <c r="B372" s="37">
        <v>367.52499389648438</v>
      </c>
      <c r="C372" s="37">
        <v>272.80245971679688</v>
      </c>
      <c r="D372" s="35">
        <v>2887506</v>
      </c>
      <c r="E372" s="35" t="s">
        <v>721</v>
      </c>
      <c r="F372" s="35" t="s">
        <v>411</v>
      </c>
    </row>
    <row r="373" spans="1:6">
      <c r="A373" s="35" t="s">
        <v>780</v>
      </c>
      <c r="B373" s="37">
        <v>356.60000610351563</v>
      </c>
      <c r="C373" s="37">
        <v>264.6932373046875</v>
      </c>
      <c r="D373" s="35">
        <v>5685362</v>
      </c>
      <c r="E373" s="35" t="s">
        <v>721</v>
      </c>
      <c r="F373" s="35" t="s">
        <v>411</v>
      </c>
    </row>
    <row r="374" spans="1:6">
      <c r="A374" s="35" t="s">
        <v>781</v>
      </c>
      <c r="B374" s="37">
        <v>364.22500610351563</v>
      </c>
      <c r="C374" s="37">
        <v>270.35296630859375</v>
      </c>
      <c r="D374" s="35">
        <v>4966468</v>
      </c>
      <c r="E374" s="35" t="s">
        <v>721</v>
      </c>
      <c r="F374" s="35" t="s">
        <v>411</v>
      </c>
    </row>
    <row r="375" spans="1:6">
      <c r="A375" s="35" t="s">
        <v>782</v>
      </c>
      <c r="B375" s="37">
        <v>365.22500610351563</v>
      </c>
      <c r="C375" s="37">
        <v>271.09527587890625</v>
      </c>
      <c r="D375" s="35">
        <v>4793986</v>
      </c>
      <c r="E375" s="35" t="s">
        <v>721</v>
      </c>
      <c r="F375" s="35" t="s">
        <v>411</v>
      </c>
    </row>
    <row r="376" spans="1:6">
      <c r="A376" s="35" t="s">
        <v>783</v>
      </c>
      <c r="B376" s="37">
        <v>365.85000610351563</v>
      </c>
      <c r="C376" s="37">
        <v>271.55923461914063</v>
      </c>
      <c r="D376" s="35">
        <v>2023766</v>
      </c>
      <c r="E376" s="35" t="s">
        <v>721</v>
      </c>
      <c r="F376" s="35" t="s">
        <v>411</v>
      </c>
    </row>
    <row r="377" spans="1:6">
      <c r="A377" s="35" t="s">
        <v>784</v>
      </c>
      <c r="B377" s="37">
        <v>374.17498779296875</v>
      </c>
      <c r="C377" s="37">
        <v>277.73855590820313</v>
      </c>
      <c r="D377" s="35">
        <v>3263618</v>
      </c>
      <c r="E377" s="35" t="s">
        <v>721</v>
      </c>
      <c r="F377" s="35" t="s">
        <v>411</v>
      </c>
    </row>
    <row r="378" spans="1:6">
      <c r="A378" s="35" t="s">
        <v>785</v>
      </c>
      <c r="B378" s="37">
        <v>369.20001220703125</v>
      </c>
      <c r="C378" s="37">
        <v>274.04583740234375</v>
      </c>
      <c r="D378" s="35">
        <v>3735640</v>
      </c>
      <c r="E378" s="35" t="s">
        <v>721</v>
      </c>
      <c r="F378" s="35" t="s">
        <v>411</v>
      </c>
    </row>
    <row r="379" spans="1:6">
      <c r="A379" s="35" t="s">
        <v>786</v>
      </c>
      <c r="B379" s="37">
        <v>358.54998779296875</v>
      </c>
      <c r="C379" s="37">
        <v>266.14065551757813</v>
      </c>
      <c r="D379" s="35">
        <v>6865136</v>
      </c>
      <c r="E379" s="35" t="s">
        <v>721</v>
      </c>
      <c r="F379" s="35" t="s">
        <v>411</v>
      </c>
    </row>
    <row r="380" spans="1:6">
      <c r="A380" s="35" t="s">
        <v>787</v>
      </c>
      <c r="B380" s="37">
        <v>360.92498779296875</v>
      </c>
      <c r="C380" s="37">
        <v>267.903564453125</v>
      </c>
      <c r="D380" s="35">
        <v>1702632</v>
      </c>
      <c r="E380" s="35" t="s">
        <v>721</v>
      </c>
      <c r="F380" s="35" t="s">
        <v>411</v>
      </c>
    </row>
    <row r="381" spans="1:6">
      <c r="A381" s="35" t="s">
        <v>788</v>
      </c>
      <c r="B381" s="37">
        <v>358.39999389648438</v>
      </c>
      <c r="C381" s="37">
        <v>266.02920532226563</v>
      </c>
      <c r="D381" s="35">
        <v>4248750</v>
      </c>
      <c r="E381" s="35" t="s">
        <v>721</v>
      </c>
      <c r="F381" s="35" t="s">
        <v>411</v>
      </c>
    </row>
    <row r="382" spans="1:6">
      <c r="A382" s="35" t="s">
        <v>789</v>
      </c>
      <c r="B382" s="37">
        <v>360.67498779296875</v>
      </c>
      <c r="C382" s="37">
        <v>267.71792602539063</v>
      </c>
      <c r="D382" s="35">
        <v>3229836</v>
      </c>
      <c r="E382" s="35" t="s">
        <v>721</v>
      </c>
      <c r="F382" s="35" t="s">
        <v>411</v>
      </c>
    </row>
    <row r="383" spans="1:6">
      <c r="A383" s="35" t="s">
        <v>790</v>
      </c>
      <c r="B383" s="37">
        <v>360</v>
      </c>
      <c r="C383" s="37">
        <v>267.21685791015625</v>
      </c>
      <c r="D383" s="35">
        <v>6713100</v>
      </c>
      <c r="E383" s="35" t="s">
        <v>721</v>
      </c>
      <c r="F383" s="35" t="s">
        <v>411</v>
      </c>
    </row>
    <row r="384" spans="1:6">
      <c r="A384" s="35" t="s">
        <v>791</v>
      </c>
      <c r="B384" s="37">
        <v>364.125</v>
      </c>
      <c r="C384" s="37">
        <v>270.27877807617188</v>
      </c>
      <c r="D384" s="35">
        <v>2168772</v>
      </c>
      <c r="E384" s="35" t="s">
        <v>721</v>
      </c>
      <c r="F384" s="35" t="s">
        <v>411</v>
      </c>
    </row>
    <row r="385" spans="1:6">
      <c r="A385" s="35" t="s">
        <v>792</v>
      </c>
      <c r="B385" s="37">
        <v>358.75</v>
      </c>
      <c r="C385" s="37">
        <v>266.28909301757813</v>
      </c>
      <c r="D385" s="35">
        <v>5935062</v>
      </c>
      <c r="E385" s="35" t="s">
        <v>721</v>
      </c>
      <c r="F385" s="35" t="s">
        <v>411</v>
      </c>
    </row>
    <row r="386" spans="1:6">
      <c r="A386" s="35" t="s">
        <v>793</v>
      </c>
      <c r="B386" s="37">
        <v>361.25</v>
      </c>
      <c r="C386" s="37">
        <v>268.14480590820313</v>
      </c>
      <c r="D386" s="35">
        <v>1857346</v>
      </c>
      <c r="E386" s="35" t="s">
        <v>721</v>
      </c>
      <c r="F386" s="35" t="s">
        <v>411</v>
      </c>
    </row>
    <row r="387" spans="1:6">
      <c r="A387" s="35" t="s">
        <v>794</v>
      </c>
      <c r="B387" s="37">
        <v>365.07501220703125</v>
      </c>
      <c r="C387" s="37">
        <v>270.98403930664063</v>
      </c>
      <c r="D387" s="35">
        <v>3469512</v>
      </c>
      <c r="E387" s="35" t="s">
        <v>721</v>
      </c>
      <c r="F387" s="35" t="s">
        <v>411</v>
      </c>
    </row>
    <row r="388" spans="1:6">
      <c r="A388" s="35" t="s">
        <v>795</v>
      </c>
      <c r="B388" s="37">
        <v>365</v>
      </c>
      <c r="C388" s="37">
        <v>270.92825317382813</v>
      </c>
      <c r="D388" s="35">
        <v>2444450</v>
      </c>
      <c r="E388" s="35" t="s">
        <v>721</v>
      </c>
      <c r="F388" s="35" t="s">
        <v>411</v>
      </c>
    </row>
    <row r="389" spans="1:6">
      <c r="A389" s="35" t="s">
        <v>796</v>
      </c>
      <c r="B389" s="37">
        <v>361.77499389648438</v>
      </c>
      <c r="C389" s="37">
        <v>268.534423828125</v>
      </c>
      <c r="D389" s="35">
        <v>1770048</v>
      </c>
      <c r="E389" s="35" t="s">
        <v>721</v>
      </c>
      <c r="F389" s="35" t="s">
        <v>411</v>
      </c>
    </row>
    <row r="390" spans="1:6">
      <c r="A390" s="35" t="s">
        <v>797</v>
      </c>
      <c r="B390" s="37">
        <v>364.60000610351563</v>
      </c>
      <c r="C390" s="37">
        <v>270.63140869140625</v>
      </c>
      <c r="D390" s="35">
        <v>1828628</v>
      </c>
      <c r="E390" s="35" t="s">
        <v>721</v>
      </c>
      <c r="F390" s="35" t="s">
        <v>411</v>
      </c>
    </row>
    <row r="391" spans="1:6">
      <c r="A391" s="35" t="s">
        <v>798</v>
      </c>
      <c r="B391" s="37">
        <v>370.20001220703125</v>
      </c>
      <c r="C391" s="37">
        <v>274.78805541992188</v>
      </c>
      <c r="D391" s="35">
        <v>2976604</v>
      </c>
      <c r="E391" s="35" t="s">
        <v>721</v>
      </c>
      <c r="F391" s="35" t="s">
        <v>411</v>
      </c>
    </row>
    <row r="392" spans="1:6">
      <c r="A392" s="35" t="s">
        <v>799</v>
      </c>
      <c r="B392" s="37">
        <v>372.625</v>
      </c>
      <c r="C392" s="37">
        <v>276.58804321289063</v>
      </c>
      <c r="D392" s="35">
        <v>2698330</v>
      </c>
      <c r="E392" s="35" t="s">
        <v>721</v>
      </c>
      <c r="F392" s="35" t="s">
        <v>411</v>
      </c>
    </row>
    <row r="393" spans="1:6">
      <c r="A393" s="35" t="s">
        <v>800</v>
      </c>
      <c r="B393" s="37">
        <v>376.75</v>
      </c>
      <c r="C393" s="37">
        <v>279.64990234375</v>
      </c>
      <c r="D393" s="35">
        <v>3354578</v>
      </c>
      <c r="E393" s="35" t="s">
        <v>721</v>
      </c>
      <c r="F393" s="35" t="s">
        <v>411</v>
      </c>
    </row>
    <row r="394" spans="1:6">
      <c r="A394" s="35" t="s">
        <v>801</v>
      </c>
      <c r="B394" s="37">
        <v>375.39999389648438</v>
      </c>
      <c r="C394" s="37">
        <v>278.64788818359375</v>
      </c>
      <c r="D394" s="35">
        <v>4554068</v>
      </c>
      <c r="E394" s="35" t="s">
        <v>721</v>
      </c>
      <c r="F394" s="35" t="s">
        <v>411</v>
      </c>
    </row>
    <row r="395" spans="1:6">
      <c r="A395" s="35" t="s">
        <v>802</v>
      </c>
      <c r="B395" s="37">
        <v>376.47500610351563</v>
      </c>
      <c r="C395" s="37">
        <v>279.44583129882813</v>
      </c>
      <c r="D395" s="35">
        <v>1694656</v>
      </c>
      <c r="E395" s="35" t="s">
        <v>721</v>
      </c>
      <c r="F395" s="35" t="s">
        <v>411</v>
      </c>
    </row>
    <row r="396" spans="1:6">
      <c r="A396" s="35" t="s">
        <v>803</v>
      </c>
      <c r="B396" s="37">
        <v>390.22500610351563</v>
      </c>
      <c r="C396" s="37">
        <v>289.65200805664063</v>
      </c>
      <c r="D396" s="35">
        <v>6053078</v>
      </c>
      <c r="E396" s="35" t="s">
        <v>721</v>
      </c>
      <c r="F396" s="35" t="s">
        <v>411</v>
      </c>
    </row>
    <row r="397" spans="1:6">
      <c r="A397" s="35" t="s">
        <v>804</v>
      </c>
      <c r="B397" s="37">
        <v>400.375</v>
      </c>
      <c r="C397" s="37">
        <v>297.18603515625</v>
      </c>
      <c r="D397" s="35">
        <v>9400178</v>
      </c>
      <c r="E397" s="35" t="s">
        <v>721</v>
      </c>
      <c r="F397" s="35" t="s">
        <v>411</v>
      </c>
    </row>
    <row r="398" spans="1:6">
      <c r="A398" s="35" t="s">
        <v>805</v>
      </c>
      <c r="B398" s="37">
        <v>413.07501220703125</v>
      </c>
      <c r="C398" s="37">
        <v>306.61285400390625</v>
      </c>
      <c r="D398" s="35">
        <v>19105090</v>
      </c>
      <c r="E398" s="35" t="s">
        <v>721</v>
      </c>
      <c r="F398" s="35" t="s">
        <v>411</v>
      </c>
    </row>
    <row r="399" spans="1:6">
      <c r="A399" s="35" t="s">
        <v>806</v>
      </c>
      <c r="B399" s="37">
        <v>411.92498779296875</v>
      </c>
      <c r="C399" s="37">
        <v>305.75930786132813</v>
      </c>
      <c r="D399" s="35">
        <v>2971674</v>
      </c>
      <c r="E399" s="35" t="s">
        <v>721</v>
      </c>
      <c r="F399" s="35" t="s">
        <v>411</v>
      </c>
    </row>
    <row r="400" spans="1:6">
      <c r="A400" s="35" t="s">
        <v>807</v>
      </c>
      <c r="B400" s="37">
        <v>410.875</v>
      </c>
      <c r="C400" s="37">
        <v>304.97979736328125</v>
      </c>
      <c r="D400" s="35">
        <v>2600712</v>
      </c>
      <c r="E400" s="35" t="s">
        <v>721</v>
      </c>
      <c r="F400" s="35" t="s">
        <v>411</v>
      </c>
    </row>
    <row r="401" spans="1:6">
      <c r="A401" s="35" t="s">
        <v>808</v>
      </c>
      <c r="B401" s="37">
        <v>409.54998779296875</v>
      </c>
      <c r="C401" s="37">
        <v>303.996337890625</v>
      </c>
      <c r="D401" s="35">
        <v>3029132</v>
      </c>
      <c r="E401" s="35" t="s">
        <v>721</v>
      </c>
      <c r="F401" s="35" t="s">
        <v>411</v>
      </c>
    </row>
    <row r="402" spans="1:6">
      <c r="A402" s="35" t="s">
        <v>809</v>
      </c>
      <c r="B402" s="37">
        <v>408.42498779296875</v>
      </c>
      <c r="C402" s="37">
        <v>303.16128540039063</v>
      </c>
      <c r="D402" s="35">
        <v>2480738</v>
      </c>
      <c r="E402" s="35" t="s">
        <v>721</v>
      </c>
      <c r="F402" s="35" t="s">
        <v>411</v>
      </c>
    </row>
    <row r="403" spans="1:6">
      <c r="A403" s="35" t="s">
        <v>810</v>
      </c>
      <c r="B403" s="37">
        <v>409.07501220703125</v>
      </c>
      <c r="C403" s="37">
        <v>305.89065551757813</v>
      </c>
      <c r="D403" s="35">
        <v>2305396</v>
      </c>
      <c r="E403" s="35" t="s">
        <v>721</v>
      </c>
      <c r="F403" s="35" t="s">
        <v>411</v>
      </c>
    </row>
    <row r="404" spans="1:6">
      <c r="A404" s="35" t="s">
        <v>811</v>
      </c>
      <c r="B404" s="37">
        <v>412.27499389648438</v>
      </c>
      <c r="C404" s="37">
        <v>308.28350830078125</v>
      </c>
      <c r="D404" s="35">
        <v>3479246</v>
      </c>
      <c r="E404" s="35" t="s">
        <v>721</v>
      </c>
      <c r="F404" s="35" t="s">
        <v>411</v>
      </c>
    </row>
    <row r="405" spans="1:6">
      <c r="A405" s="35" t="s">
        <v>812</v>
      </c>
      <c r="B405" s="37">
        <v>407.10000610351563</v>
      </c>
      <c r="C405" s="37">
        <v>304.41390991210938</v>
      </c>
      <c r="D405" s="35">
        <v>3303140</v>
      </c>
      <c r="E405" s="35" t="s">
        <v>721</v>
      </c>
      <c r="F405" s="35" t="s">
        <v>411</v>
      </c>
    </row>
    <row r="406" spans="1:6">
      <c r="A406" s="35" t="s">
        <v>813</v>
      </c>
      <c r="B406" s="37">
        <v>396.17498779296875</v>
      </c>
      <c r="C406" s="37">
        <v>296.24459838867188</v>
      </c>
      <c r="D406" s="35">
        <v>4489542</v>
      </c>
      <c r="E406" s="35" t="s">
        <v>721</v>
      </c>
      <c r="F406" s="35" t="s">
        <v>411</v>
      </c>
    </row>
    <row r="407" spans="1:6">
      <c r="A407" s="35" t="s">
        <v>814</v>
      </c>
      <c r="B407" s="37">
        <v>392.27499389648438</v>
      </c>
      <c r="C407" s="37">
        <v>293.32821655273438</v>
      </c>
      <c r="D407" s="35">
        <v>4735658</v>
      </c>
      <c r="E407" s="35" t="s">
        <v>721</v>
      </c>
      <c r="F407" s="35" t="s">
        <v>411</v>
      </c>
    </row>
    <row r="408" spans="1:6">
      <c r="A408" s="35" t="s">
        <v>815</v>
      </c>
      <c r="B408" s="37">
        <v>392.89999389648438</v>
      </c>
      <c r="C408" s="37">
        <v>293.79556274414063</v>
      </c>
      <c r="D408" s="35">
        <v>3083444</v>
      </c>
      <c r="E408" s="35" t="s">
        <v>721</v>
      </c>
      <c r="F408" s="35" t="s">
        <v>411</v>
      </c>
    </row>
    <row r="409" spans="1:6">
      <c r="A409" s="35" t="s">
        <v>816</v>
      </c>
      <c r="B409" s="37">
        <v>390.92498779296875</v>
      </c>
      <c r="C409" s="37">
        <v>292.31875610351563</v>
      </c>
      <c r="D409" s="35">
        <v>2618344</v>
      </c>
      <c r="E409" s="35" t="s">
        <v>721</v>
      </c>
      <c r="F409" s="35" t="s">
        <v>411</v>
      </c>
    </row>
    <row r="410" spans="1:6">
      <c r="A410" s="35" t="s">
        <v>817</v>
      </c>
      <c r="B410" s="37">
        <v>386.125</v>
      </c>
      <c r="C410" s="37">
        <v>288.72958374023438</v>
      </c>
      <c r="D410" s="35">
        <v>2693530</v>
      </c>
      <c r="E410" s="35" t="s">
        <v>721</v>
      </c>
      <c r="F410" s="35" t="s">
        <v>411</v>
      </c>
    </row>
    <row r="411" spans="1:6">
      <c r="A411" s="35" t="s">
        <v>818</v>
      </c>
      <c r="B411" s="37">
        <v>395.5</v>
      </c>
      <c r="C411" s="37">
        <v>295.73974609375</v>
      </c>
      <c r="D411" s="35">
        <v>3415382</v>
      </c>
      <c r="E411" s="35" t="s">
        <v>721</v>
      </c>
      <c r="F411" s="35" t="s">
        <v>411</v>
      </c>
    </row>
    <row r="412" spans="1:6">
      <c r="A412" s="35" t="s">
        <v>819</v>
      </c>
      <c r="B412" s="37">
        <v>395.17498779296875</v>
      </c>
      <c r="C412" s="37">
        <v>295.49673461914063</v>
      </c>
      <c r="D412" s="35">
        <v>2417448</v>
      </c>
      <c r="E412" s="35" t="s">
        <v>721</v>
      </c>
      <c r="F412" s="35" t="s">
        <v>411</v>
      </c>
    </row>
    <row r="413" spans="1:6">
      <c r="A413" s="35" t="s">
        <v>820</v>
      </c>
      <c r="B413" s="37">
        <v>399.02499389648438</v>
      </c>
      <c r="C413" s="37">
        <v>298.37551879882813</v>
      </c>
      <c r="D413" s="35">
        <v>4425822</v>
      </c>
      <c r="E413" s="35" t="s">
        <v>721</v>
      </c>
      <c r="F413" s="35" t="s">
        <v>411</v>
      </c>
    </row>
    <row r="414" spans="1:6">
      <c r="A414" s="35" t="s">
        <v>821</v>
      </c>
      <c r="B414" s="37">
        <v>389.375</v>
      </c>
      <c r="C414" s="37">
        <v>291.1597900390625</v>
      </c>
      <c r="D414" s="35">
        <v>3324064</v>
      </c>
      <c r="E414" s="35" t="s">
        <v>721</v>
      </c>
      <c r="F414" s="35" t="s">
        <v>411</v>
      </c>
    </row>
    <row r="415" spans="1:6">
      <c r="A415" s="35" t="s">
        <v>822</v>
      </c>
      <c r="B415" s="37">
        <v>377.54998779296875</v>
      </c>
      <c r="C415" s="37">
        <v>282.3175048828125</v>
      </c>
      <c r="D415" s="35">
        <v>3060904</v>
      </c>
      <c r="E415" s="35" t="s">
        <v>721</v>
      </c>
      <c r="F415" s="35" t="s">
        <v>411</v>
      </c>
    </row>
    <row r="416" spans="1:6">
      <c r="A416" s="35" t="s">
        <v>823</v>
      </c>
      <c r="B416" s="37">
        <v>386.95001220703125</v>
      </c>
      <c r="C416" s="37">
        <v>289.34640502929688</v>
      </c>
      <c r="D416" s="35">
        <v>4320538</v>
      </c>
      <c r="E416" s="35" t="s">
        <v>721</v>
      </c>
      <c r="F416" s="35" t="s">
        <v>411</v>
      </c>
    </row>
    <row r="417" spans="1:6">
      <c r="A417" s="35" t="s">
        <v>824</v>
      </c>
      <c r="B417" s="37">
        <v>389.27499389648438</v>
      </c>
      <c r="C417" s="37">
        <v>291.08499145507813</v>
      </c>
      <c r="D417" s="35">
        <v>5584352</v>
      </c>
      <c r="E417" s="35" t="s">
        <v>721</v>
      </c>
      <c r="F417" s="35" t="s">
        <v>411</v>
      </c>
    </row>
    <row r="418" spans="1:6">
      <c r="A418" s="35" t="s">
        <v>825</v>
      </c>
      <c r="B418" s="37">
        <v>391.89999389648438</v>
      </c>
      <c r="C418" s="37">
        <v>293.0478515625</v>
      </c>
      <c r="D418" s="35">
        <v>2597516</v>
      </c>
      <c r="E418" s="35" t="s">
        <v>721</v>
      </c>
      <c r="F418" s="35" t="s">
        <v>411</v>
      </c>
    </row>
    <row r="419" spans="1:6">
      <c r="A419" s="35" t="s">
        <v>826</v>
      </c>
      <c r="B419" s="37">
        <v>392.27499389648438</v>
      </c>
      <c r="C419" s="37">
        <v>293.32821655273438</v>
      </c>
      <c r="D419" s="35">
        <v>2263652</v>
      </c>
      <c r="E419" s="35" t="s">
        <v>721</v>
      </c>
      <c r="F419" s="35" t="s">
        <v>411</v>
      </c>
    </row>
    <row r="420" spans="1:6">
      <c r="A420" s="35" t="s">
        <v>827</v>
      </c>
      <c r="B420" s="37">
        <v>392.79998779296875</v>
      </c>
      <c r="C420" s="37">
        <v>293.7208251953125</v>
      </c>
      <c r="D420" s="35">
        <v>3044598</v>
      </c>
      <c r="E420" s="35" t="s">
        <v>721</v>
      </c>
      <c r="F420" s="35" t="s">
        <v>411</v>
      </c>
    </row>
    <row r="421" spans="1:6">
      <c r="A421" s="35" t="s">
        <v>828</v>
      </c>
      <c r="B421" s="37">
        <v>393.54998779296875</v>
      </c>
      <c r="C421" s="37">
        <v>294.28173828125</v>
      </c>
      <c r="D421" s="35">
        <v>3579364</v>
      </c>
      <c r="E421" s="35" t="s">
        <v>721</v>
      </c>
      <c r="F421" s="35" t="s">
        <v>411</v>
      </c>
    </row>
    <row r="422" spans="1:6">
      <c r="A422" s="35" t="s">
        <v>829</v>
      </c>
      <c r="B422" s="37">
        <v>386.97500610351563</v>
      </c>
      <c r="C422" s="37">
        <v>289.36517333984375</v>
      </c>
      <c r="D422" s="35">
        <v>5158732</v>
      </c>
      <c r="E422" s="35" t="s">
        <v>721</v>
      </c>
      <c r="F422" s="35" t="s">
        <v>411</v>
      </c>
    </row>
    <row r="423" spans="1:6">
      <c r="A423" s="35" t="s">
        <v>830</v>
      </c>
      <c r="B423" s="37">
        <v>390.27499389648438</v>
      </c>
      <c r="C423" s="37">
        <v>291.83270263671875</v>
      </c>
      <c r="D423" s="35">
        <v>2934120</v>
      </c>
      <c r="E423" s="35" t="s">
        <v>721</v>
      </c>
      <c r="F423" s="35" t="s">
        <v>411</v>
      </c>
    </row>
    <row r="424" spans="1:6">
      <c r="A424" s="35" t="s">
        <v>831</v>
      </c>
      <c r="B424" s="37">
        <v>391.35000610351563</v>
      </c>
      <c r="C424" s="37">
        <v>292.63656616210938</v>
      </c>
      <c r="D424" s="35">
        <v>4770494</v>
      </c>
      <c r="E424" s="35" t="s">
        <v>721</v>
      </c>
      <c r="F424" s="35" t="s">
        <v>411</v>
      </c>
    </row>
    <row r="425" spans="1:6">
      <c r="A425" s="35" t="s">
        <v>832</v>
      </c>
      <c r="B425" s="37">
        <v>388.17498779296875</v>
      </c>
      <c r="C425" s="37">
        <v>290.26251220703125</v>
      </c>
      <c r="D425" s="35">
        <v>3247132</v>
      </c>
      <c r="E425" s="35" t="s">
        <v>721</v>
      </c>
      <c r="F425" s="35" t="s">
        <v>411</v>
      </c>
    </row>
    <row r="426" spans="1:6">
      <c r="A426" s="35" t="s">
        <v>833</v>
      </c>
      <c r="B426" s="37">
        <v>389.5</v>
      </c>
      <c r="C426" s="37">
        <v>291.25311279296875</v>
      </c>
      <c r="D426" s="35">
        <v>1906998</v>
      </c>
      <c r="E426" s="35" t="s">
        <v>721</v>
      </c>
      <c r="F426" s="35" t="s">
        <v>411</v>
      </c>
    </row>
    <row r="427" spans="1:6">
      <c r="A427" s="35" t="s">
        <v>834</v>
      </c>
      <c r="B427" s="37">
        <v>393.17498779296875</v>
      </c>
      <c r="C427" s="37">
        <v>294.00131225585938</v>
      </c>
      <c r="D427" s="35">
        <v>4318854</v>
      </c>
      <c r="E427" s="35" t="s">
        <v>721</v>
      </c>
      <c r="F427" s="35" t="s">
        <v>411</v>
      </c>
    </row>
    <row r="428" spans="1:6">
      <c r="A428" s="35" t="s">
        <v>835</v>
      </c>
      <c r="B428" s="37">
        <v>394.52499389648438</v>
      </c>
      <c r="C428" s="37">
        <v>295.0107421875</v>
      </c>
      <c r="D428" s="35">
        <v>3766566</v>
      </c>
      <c r="E428" s="35" t="s">
        <v>721</v>
      </c>
      <c r="F428" s="35" t="s">
        <v>411</v>
      </c>
    </row>
    <row r="429" spans="1:6">
      <c r="A429" s="35" t="s">
        <v>836</v>
      </c>
      <c r="B429" s="37">
        <v>396.02499389648438</v>
      </c>
      <c r="C429" s="37">
        <v>296.1324462890625</v>
      </c>
      <c r="D429" s="35">
        <v>3031210</v>
      </c>
      <c r="E429" s="35" t="s">
        <v>721</v>
      </c>
      <c r="F429" s="35" t="s">
        <v>411</v>
      </c>
    </row>
    <row r="430" spans="1:6">
      <c r="A430" s="35" t="s">
        <v>837</v>
      </c>
      <c r="B430" s="37">
        <v>396.29998779296875</v>
      </c>
      <c r="C430" s="37">
        <v>296.33810424804688</v>
      </c>
      <c r="D430" s="35">
        <v>2806130</v>
      </c>
      <c r="E430" s="35" t="s">
        <v>721</v>
      </c>
      <c r="F430" s="35" t="s">
        <v>411</v>
      </c>
    </row>
    <row r="431" spans="1:6">
      <c r="A431" s="35" t="s">
        <v>838</v>
      </c>
      <c r="B431" s="37">
        <v>394.42498779296875</v>
      </c>
      <c r="C431" s="37">
        <v>294.9359130859375</v>
      </c>
      <c r="D431" s="35">
        <v>2234722</v>
      </c>
      <c r="E431" s="35" t="s">
        <v>721</v>
      </c>
      <c r="F431" s="35" t="s">
        <v>411</v>
      </c>
    </row>
    <row r="432" spans="1:6">
      <c r="A432" s="35" t="s">
        <v>839</v>
      </c>
      <c r="B432" s="37">
        <v>398.625</v>
      </c>
      <c r="C432" s="37">
        <v>298.07656860351563</v>
      </c>
      <c r="D432" s="35">
        <v>5211570</v>
      </c>
      <c r="E432" s="35" t="s">
        <v>721</v>
      </c>
      <c r="F432" s="35" t="s">
        <v>411</v>
      </c>
    </row>
    <row r="433" spans="1:6">
      <c r="A433" s="35" t="s">
        <v>840</v>
      </c>
      <c r="B433" s="37">
        <v>394.47500610351563</v>
      </c>
      <c r="C433" s="37">
        <v>294.97329711914063</v>
      </c>
      <c r="D433" s="35">
        <v>3651990</v>
      </c>
      <c r="E433" s="35" t="s">
        <v>721</v>
      </c>
      <c r="F433" s="35" t="s">
        <v>411</v>
      </c>
    </row>
    <row r="434" spans="1:6">
      <c r="A434" s="35" t="s">
        <v>841</v>
      </c>
      <c r="B434" s="37">
        <v>397.92498779296875</v>
      </c>
      <c r="C434" s="37">
        <v>297.55322265625</v>
      </c>
      <c r="D434" s="35">
        <v>3263196</v>
      </c>
      <c r="E434" s="35" t="s">
        <v>721</v>
      </c>
      <c r="F434" s="35" t="s">
        <v>411</v>
      </c>
    </row>
    <row r="435" spans="1:6">
      <c r="A435" s="35" t="s">
        <v>842</v>
      </c>
      <c r="B435" s="37">
        <v>398.14999389648438</v>
      </c>
      <c r="C435" s="37">
        <v>297.72140502929688</v>
      </c>
      <c r="D435" s="35">
        <v>3066374</v>
      </c>
      <c r="E435" s="35" t="s">
        <v>721</v>
      </c>
      <c r="F435" s="35" t="s">
        <v>411</v>
      </c>
    </row>
    <row r="436" spans="1:6">
      <c r="A436" s="35" t="s">
        <v>843</v>
      </c>
      <c r="B436" s="37">
        <v>395.52499389648438</v>
      </c>
      <c r="C436" s="37">
        <v>295.75848388671875</v>
      </c>
      <c r="D436" s="35">
        <v>5692688</v>
      </c>
      <c r="E436" s="35" t="s">
        <v>721</v>
      </c>
      <c r="F436" s="35" t="s">
        <v>411</v>
      </c>
    </row>
    <row r="437" spans="1:6">
      <c r="A437" s="35" t="s">
        <v>844</v>
      </c>
      <c r="B437" s="37">
        <v>399.95001220703125</v>
      </c>
      <c r="C437" s="37">
        <v>299.06723022460938</v>
      </c>
      <c r="D437" s="35">
        <v>3662600</v>
      </c>
      <c r="E437" s="35" t="s">
        <v>721</v>
      </c>
      <c r="F437" s="35" t="s">
        <v>411</v>
      </c>
    </row>
    <row r="438" spans="1:6">
      <c r="A438" s="35" t="s">
        <v>845</v>
      </c>
      <c r="B438" s="37">
        <v>404.29998779296875</v>
      </c>
      <c r="C438" s="37">
        <v>302.320068359375</v>
      </c>
      <c r="D438" s="35">
        <v>3033736</v>
      </c>
      <c r="E438" s="35" t="s">
        <v>721</v>
      </c>
      <c r="F438" s="35" t="s">
        <v>411</v>
      </c>
    </row>
    <row r="439" spans="1:6">
      <c r="A439" s="35" t="s">
        <v>846</v>
      </c>
      <c r="B439" s="37">
        <v>409.07501220703125</v>
      </c>
      <c r="C439" s="37">
        <v>305.89065551757813</v>
      </c>
      <c r="D439" s="35">
        <v>3013374</v>
      </c>
      <c r="E439" s="35" t="s">
        <v>721</v>
      </c>
      <c r="F439" s="35" t="s">
        <v>411</v>
      </c>
    </row>
    <row r="440" spans="1:6">
      <c r="A440" s="35" t="s">
        <v>847</v>
      </c>
      <c r="B440" s="37">
        <v>408</v>
      </c>
      <c r="C440" s="37">
        <v>305.08682250976563</v>
      </c>
      <c r="D440" s="35">
        <v>1596940</v>
      </c>
      <c r="E440" s="35" t="s">
        <v>721</v>
      </c>
      <c r="F440" s="35" t="s">
        <v>411</v>
      </c>
    </row>
    <row r="441" spans="1:6">
      <c r="A441" s="35" t="s">
        <v>848</v>
      </c>
      <c r="B441" s="37">
        <v>400.77499389648438</v>
      </c>
      <c r="C441" s="37">
        <v>299.68423461914063</v>
      </c>
      <c r="D441" s="35">
        <v>3177462</v>
      </c>
      <c r="E441" s="35" t="s">
        <v>721</v>
      </c>
      <c r="F441" s="35" t="s">
        <v>411</v>
      </c>
    </row>
    <row r="442" spans="1:6">
      <c r="A442" s="35" t="s">
        <v>849</v>
      </c>
      <c r="B442" s="37">
        <v>403.27499389648438</v>
      </c>
      <c r="C442" s="37">
        <v>301.5537109375</v>
      </c>
      <c r="D442" s="35">
        <v>1535854</v>
      </c>
      <c r="E442" s="35" t="s">
        <v>721</v>
      </c>
      <c r="F442" s="35" t="s">
        <v>411</v>
      </c>
    </row>
    <row r="443" spans="1:6">
      <c r="A443" s="35" t="s">
        <v>850</v>
      </c>
      <c r="B443" s="37">
        <v>406.5</v>
      </c>
      <c r="C443" s="37">
        <v>303.96517944335938</v>
      </c>
      <c r="D443" s="35">
        <v>1538488</v>
      </c>
      <c r="E443" s="35" t="s">
        <v>721</v>
      </c>
      <c r="F443" s="35" t="s">
        <v>411</v>
      </c>
    </row>
    <row r="444" spans="1:6">
      <c r="A444" s="35" t="s">
        <v>851</v>
      </c>
      <c r="B444" s="37">
        <v>401.64999389648438</v>
      </c>
      <c r="C444" s="37">
        <v>300.3385009765625</v>
      </c>
      <c r="D444" s="35">
        <v>4152022</v>
      </c>
      <c r="E444" s="35" t="s">
        <v>721</v>
      </c>
      <c r="F444" s="35" t="s">
        <v>411</v>
      </c>
    </row>
    <row r="445" spans="1:6">
      <c r="A445" s="35" t="s">
        <v>852</v>
      </c>
      <c r="B445" s="37">
        <v>406.35000610351563</v>
      </c>
      <c r="C445" s="37">
        <v>303.85305786132813</v>
      </c>
      <c r="D445" s="35">
        <v>2752386</v>
      </c>
      <c r="E445" s="35" t="s">
        <v>721</v>
      </c>
      <c r="F445" s="35" t="s">
        <v>411</v>
      </c>
    </row>
    <row r="446" spans="1:6">
      <c r="A446" s="35" t="s">
        <v>853</v>
      </c>
      <c r="B446" s="37">
        <v>404.20001220703125</v>
      </c>
      <c r="C446" s="37">
        <v>302.245361328125</v>
      </c>
      <c r="D446" s="35">
        <v>1480186</v>
      </c>
      <c r="E446" s="35" t="s">
        <v>721</v>
      </c>
      <c r="F446" s="35" t="s">
        <v>411</v>
      </c>
    </row>
    <row r="447" spans="1:6">
      <c r="A447" s="35" t="s">
        <v>854</v>
      </c>
      <c r="B447" s="37">
        <v>417.39999389648438</v>
      </c>
      <c r="C447" s="37">
        <v>312.11581420898438</v>
      </c>
      <c r="D447" s="35">
        <v>2653938</v>
      </c>
      <c r="E447" s="35" t="s">
        <v>721</v>
      </c>
      <c r="F447" s="35" t="s">
        <v>411</v>
      </c>
    </row>
    <row r="448" spans="1:6">
      <c r="A448" s="35" t="s">
        <v>855</v>
      </c>
      <c r="B448" s="37">
        <v>415.27499389648438</v>
      </c>
      <c r="C448" s="37">
        <v>310.5267333984375</v>
      </c>
      <c r="D448" s="35">
        <v>4278520</v>
      </c>
      <c r="E448" s="35" t="s">
        <v>721</v>
      </c>
      <c r="F448" s="35" t="s">
        <v>411</v>
      </c>
    </row>
    <row r="449" spans="1:6">
      <c r="A449" s="35" t="s">
        <v>856</v>
      </c>
      <c r="B449" s="37">
        <v>407.77499389648438</v>
      </c>
      <c r="C449" s="37">
        <v>304.91854858398438</v>
      </c>
      <c r="D449" s="35">
        <v>4977454</v>
      </c>
      <c r="E449" s="35" t="s">
        <v>721</v>
      </c>
      <c r="F449" s="35" t="s">
        <v>411</v>
      </c>
    </row>
    <row r="450" spans="1:6">
      <c r="A450" s="35" t="s">
        <v>857</v>
      </c>
      <c r="B450" s="37">
        <v>415.875</v>
      </c>
      <c r="C450" s="37">
        <v>310.97540283203125</v>
      </c>
      <c r="D450" s="35">
        <v>10282518</v>
      </c>
      <c r="E450" s="35" t="s">
        <v>721</v>
      </c>
      <c r="F450" s="35" t="s">
        <v>411</v>
      </c>
    </row>
    <row r="451" spans="1:6">
      <c r="A451" s="35" t="s">
        <v>858</v>
      </c>
      <c r="B451" s="37">
        <v>405.32501220703125</v>
      </c>
      <c r="C451" s="37">
        <v>303.08651733398438</v>
      </c>
      <c r="D451" s="35">
        <v>3414444</v>
      </c>
      <c r="E451" s="35" t="s">
        <v>721</v>
      </c>
      <c r="F451" s="35" t="s">
        <v>411</v>
      </c>
    </row>
    <row r="452" spans="1:6">
      <c r="A452" s="35" t="s">
        <v>859</v>
      </c>
      <c r="B452" s="37">
        <v>402.27499389648438</v>
      </c>
      <c r="C452" s="37">
        <v>300.80584716796875</v>
      </c>
      <c r="D452" s="35">
        <v>3469130</v>
      </c>
      <c r="E452" s="35" t="s">
        <v>721</v>
      </c>
      <c r="F452" s="35" t="s">
        <v>411</v>
      </c>
    </row>
    <row r="453" spans="1:6">
      <c r="A453" s="35" t="s">
        <v>860</v>
      </c>
      <c r="B453" s="37">
        <v>395.42498779296875</v>
      </c>
      <c r="C453" s="37">
        <v>295.68377685546875</v>
      </c>
      <c r="D453" s="35">
        <v>3223550</v>
      </c>
      <c r="E453" s="35" t="s">
        <v>721</v>
      </c>
      <c r="F453" s="35" t="s">
        <v>411</v>
      </c>
    </row>
    <row r="454" spans="1:6">
      <c r="A454" s="35" t="s">
        <v>861</v>
      </c>
      <c r="B454" s="37">
        <v>387.14999389648438</v>
      </c>
      <c r="C454" s="37">
        <v>291.70901489257813</v>
      </c>
      <c r="D454" s="35">
        <v>4050632</v>
      </c>
      <c r="E454" s="35" t="s">
        <v>721</v>
      </c>
      <c r="F454" s="35" t="s">
        <v>411</v>
      </c>
    </row>
    <row r="455" spans="1:6">
      <c r="A455" s="35" t="s">
        <v>862</v>
      </c>
      <c r="B455" s="37">
        <v>381.57501220703125</v>
      </c>
      <c r="C455" s="37">
        <v>287.50848388671875</v>
      </c>
      <c r="D455" s="35">
        <v>5422932</v>
      </c>
      <c r="E455" s="35" t="s">
        <v>721</v>
      </c>
      <c r="F455" s="35" t="s">
        <v>411</v>
      </c>
    </row>
    <row r="456" spans="1:6">
      <c r="A456" s="35" t="s">
        <v>863</v>
      </c>
      <c r="B456" s="37">
        <v>386.45001220703125</v>
      </c>
      <c r="C456" s="37">
        <v>291.18170166015625</v>
      </c>
      <c r="D456" s="35">
        <v>2196342</v>
      </c>
      <c r="E456" s="35" t="s">
        <v>721</v>
      </c>
      <c r="F456" s="35" t="s">
        <v>411</v>
      </c>
    </row>
    <row r="457" spans="1:6">
      <c r="A457" s="35" t="s">
        <v>864</v>
      </c>
      <c r="B457" s="37">
        <v>382.14999389648438</v>
      </c>
      <c r="C457" s="37">
        <v>287.94171142578125</v>
      </c>
      <c r="D457" s="35">
        <v>2054166</v>
      </c>
      <c r="E457" s="35" t="s">
        <v>721</v>
      </c>
      <c r="F457" s="35" t="s">
        <v>411</v>
      </c>
    </row>
    <row r="458" spans="1:6">
      <c r="A458" s="35" t="s">
        <v>865</v>
      </c>
      <c r="B458" s="37">
        <v>381.54998779296875</v>
      </c>
      <c r="C458" s="37">
        <v>287.48956298828125</v>
      </c>
      <c r="D458" s="35">
        <v>2406676</v>
      </c>
      <c r="E458" s="35" t="s">
        <v>721</v>
      </c>
      <c r="F458" s="35" t="s">
        <v>411</v>
      </c>
    </row>
    <row r="459" spans="1:6">
      <c r="A459" s="35" t="s">
        <v>866</v>
      </c>
      <c r="B459" s="37">
        <v>397.375</v>
      </c>
      <c r="C459" s="37">
        <v>299.4134521484375</v>
      </c>
      <c r="D459" s="35">
        <v>5683326</v>
      </c>
      <c r="E459" s="35" t="s">
        <v>721</v>
      </c>
      <c r="F459" s="35" t="s">
        <v>411</v>
      </c>
    </row>
    <row r="460" spans="1:6">
      <c r="A460" s="35" t="s">
        <v>867</v>
      </c>
      <c r="B460" s="37">
        <v>408.60000610351563</v>
      </c>
      <c r="C460" s="37">
        <v>307.87127685546875</v>
      </c>
      <c r="D460" s="35">
        <v>5987574</v>
      </c>
      <c r="E460" s="35" t="s">
        <v>721</v>
      </c>
      <c r="F460" s="35" t="s">
        <v>411</v>
      </c>
    </row>
    <row r="461" spans="1:6">
      <c r="A461" s="35" t="s">
        <v>868</v>
      </c>
      <c r="B461" s="37">
        <v>404.5</v>
      </c>
      <c r="C461" s="37">
        <v>304.78201293945313</v>
      </c>
      <c r="D461" s="35">
        <v>2514742</v>
      </c>
      <c r="E461" s="35" t="s">
        <v>721</v>
      </c>
      <c r="F461" s="35" t="s">
        <v>411</v>
      </c>
    </row>
    <row r="462" spans="1:6">
      <c r="A462" s="35" t="s">
        <v>869</v>
      </c>
      <c r="B462" s="37">
        <v>392.42498779296875</v>
      </c>
      <c r="C462" s="37">
        <v>295.68377685546875</v>
      </c>
      <c r="D462" s="35">
        <v>5296796</v>
      </c>
      <c r="E462" s="35" t="s">
        <v>721</v>
      </c>
      <c r="F462" s="35" t="s">
        <v>411</v>
      </c>
    </row>
    <row r="463" spans="1:6">
      <c r="A463" s="35" t="s">
        <v>870</v>
      </c>
      <c r="B463" s="37">
        <v>394.82501220703125</v>
      </c>
      <c r="C463" s="37">
        <v>297.49212646484375</v>
      </c>
      <c r="D463" s="35">
        <v>3644546</v>
      </c>
      <c r="E463" s="35" t="s">
        <v>721</v>
      </c>
      <c r="F463" s="35" t="s">
        <v>411</v>
      </c>
    </row>
    <row r="464" spans="1:6">
      <c r="A464" s="35" t="s">
        <v>871</v>
      </c>
      <c r="B464" s="37">
        <v>382.04998779296875</v>
      </c>
      <c r="C464" s="37">
        <v>287.86639404296875</v>
      </c>
      <c r="D464" s="35">
        <v>5043522</v>
      </c>
      <c r="E464" s="35" t="s">
        <v>721</v>
      </c>
      <c r="F464" s="35" t="s">
        <v>411</v>
      </c>
    </row>
    <row r="465" spans="1:6">
      <c r="A465" s="35" t="s">
        <v>872</v>
      </c>
      <c r="B465" s="37">
        <v>385.375</v>
      </c>
      <c r="C465" s="37">
        <v>290.3717041015625</v>
      </c>
      <c r="D465" s="35">
        <v>5257576</v>
      </c>
      <c r="E465" s="35" t="s">
        <v>721</v>
      </c>
      <c r="F465" s="35" t="s">
        <v>411</v>
      </c>
    </row>
    <row r="466" spans="1:6">
      <c r="A466" s="35" t="s">
        <v>873</v>
      </c>
      <c r="B466" s="37">
        <v>386.92498779296875</v>
      </c>
      <c r="C466" s="37">
        <v>291.53948974609375</v>
      </c>
      <c r="D466" s="35">
        <v>4562692</v>
      </c>
      <c r="E466" s="35" t="s">
        <v>721</v>
      </c>
      <c r="F466" s="35" t="s">
        <v>411</v>
      </c>
    </row>
    <row r="467" spans="1:6">
      <c r="A467" s="35" t="s">
        <v>874</v>
      </c>
      <c r="B467" s="37">
        <v>380.07501220703125</v>
      </c>
      <c r="C467" s="37">
        <v>286.3782958984375</v>
      </c>
      <c r="D467" s="35">
        <v>5376838</v>
      </c>
      <c r="E467" s="35" t="s">
        <v>721</v>
      </c>
      <c r="F467" s="35" t="s">
        <v>411</v>
      </c>
    </row>
    <row r="468" spans="1:6">
      <c r="A468" s="35" t="s">
        <v>875</v>
      </c>
      <c r="B468" s="37">
        <v>381.92498779296875</v>
      </c>
      <c r="C468" s="37">
        <v>287.77215576171875</v>
      </c>
      <c r="D468" s="35">
        <v>3682234</v>
      </c>
      <c r="E468" s="35" t="s">
        <v>721</v>
      </c>
      <c r="F468" s="35" t="s">
        <v>411</v>
      </c>
    </row>
    <row r="469" spans="1:6">
      <c r="A469" s="35" t="s">
        <v>876</v>
      </c>
      <c r="B469" s="37">
        <v>379.17498779296875</v>
      </c>
      <c r="C469" s="37">
        <v>285.70013427734375</v>
      </c>
      <c r="D469" s="35">
        <v>2155720</v>
      </c>
      <c r="E469" s="35" t="s">
        <v>721</v>
      </c>
      <c r="F469" s="35" t="s">
        <v>411</v>
      </c>
    </row>
    <row r="470" spans="1:6">
      <c r="A470" s="35" t="s">
        <v>877</v>
      </c>
      <c r="B470" s="37">
        <v>381.04998779296875</v>
      </c>
      <c r="C470" s="37">
        <v>287.11294555664063</v>
      </c>
      <c r="D470" s="35">
        <v>2063646</v>
      </c>
      <c r="E470" s="35" t="s">
        <v>721</v>
      </c>
      <c r="F470" s="35" t="s">
        <v>411</v>
      </c>
    </row>
    <row r="471" spans="1:6">
      <c r="A471" s="35" t="s">
        <v>878</v>
      </c>
      <c r="B471" s="37">
        <v>381.72500610351563</v>
      </c>
      <c r="C471" s="37">
        <v>287.62155151367188</v>
      </c>
      <c r="D471" s="35">
        <v>1801756</v>
      </c>
      <c r="E471" s="35" t="s">
        <v>721</v>
      </c>
      <c r="F471" s="35" t="s">
        <v>411</v>
      </c>
    </row>
    <row r="472" spans="1:6">
      <c r="A472" s="35" t="s">
        <v>879</v>
      </c>
      <c r="B472" s="37">
        <v>383.89999389648438</v>
      </c>
      <c r="C472" s="37">
        <v>289.26025390625</v>
      </c>
      <c r="D472" s="35">
        <v>4187488</v>
      </c>
      <c r="E472" s="35" t="s">
        <v>721</v>
      </c>
      <c r="F472" s="35" t="s">
        <v>411</v>
      </c>
    </row>
    <row r="473" spans="1:6">
      <c r="A473" s="35" t="s">
        <v>880</v>
      </c>
      <c r="B473" s="37">
        <v>400.97500610351563</v>
      </c>
      <c r="C473" s="37">
        <v>302.12594604492188</v>
      </c>
      <c r="D473" s="35">
        <v>5477332</v>
      </c>
      <c r="E473" s="35" t="s">
        <v>721</v>
      </c>
      <c r="F473" s="35" t="s">
        <v>411</v>
      </c>
    </row>
    <row r="474" spans="1:6">
      <c r="A474" s="35" t="s">
        <v>881</v>
      </c>
      <c r="B474" s="37">
        <v>403.02499389648438</v>
      </c>
      <c r="C474" s="37">
        <v>303.67059326171875</v>
      </c>
      <c r="D474" s="35">
        <v>3033048</v>
      </c>
      <c r="E474" s="35" t="s">
        <v>721</v>
      </c>
      <c r="F474" s="35" t="s">
        <v>411</v>
      </c>
    </row>
    <row r="475" spans="1:6">
      <c r="A475" s="35" t="s">
        <v>882</v>
      </c>
      <c r="B475" s="37">
        <v>402.64999389648438</v>
      </c>
      <c r="C475" s="37">
        <v>303.38809204101563</v>
      </c>
      <c r="D475" s="35">
        <v>1647360</v>
      </c>
      <c r="E475" s="35" t="s">
        <v>721</v>
      </c>
      <c r="F475" s="35" t="s">
        <v>411</v>
      </c>
    </row>
    <row r="476" spans="1:6">
      <c r="A476" s="35" t="s">
        <v>883</v>
      </c>
      <c r="B476" s="37">
        <v>401.89999389648438</v>
      </c>
      <c r="C476" s="37">
        <v>302.82296752929688</v>
      </c>
      <c r="D476" s="35">
        <v>3063460</v>
      </c>
      <c r="E476" s="35" t="s">
        <v>721</v>
      </c>
      <c r="F476" s="35" t="s">
        <v>411</v>
      </c>
    </row>
    <row r="477" spans="1:6">
      <c r="A477" s="35" t="s">
        <v>884</v>
      </c>
      <c r="B477" s="37">
        <v>401.54998779296875</v>
      </c>
      <c r="C477" s="37">
        <v>302.55917358398438</v>
      </c>
      <c r="D477" s="35">
        <v>2512750</v>
      </c>
      <c r="E477" s="35" t="s">
        <v>721</v>
      </c>
      <c r="F477" s="35" t="s">
        <v>411</v>
      </c>
    </row>
    <row r="478" spans="1:6">
      <c r="A478" s="35" t="s">
        <v>885</v>
      </c>
      <c r="B478" s="37">
        <v>396.79998779296875</v>
      </c>
      <c r="C478" s="37">
        <v>298.98016357421875</v>
      </c>
      <c r="D478" s="35">
        <v>2103394</v>
      </c>
      <c r="E478" s="35" t="s">
        <v>721</v>
      </c>
      <c r="F478" s="35" t="s">
        <v>411</v>
      </c>
    </row>
    <row r="479" spans="1:6">
      <c r="A479" s="35" t="s">
        <v>886</v>
      </c>
      <c r="B479" s="37">
        <v>396.70001220703125</v>
      </c>
      <c r="C479" s="37">
        <v>298.90478515625</v>
      </c>
      <c r="D479" s="35">
        <v>1507316</v>
      </c>
      <c r="E479" s="35" t="s">
        <v>721</v>
      </c>
      <c r="F479" s="35" t="s">
        <v>411</v>
      </c>
    </row>
    <row r="480" spans="1:6">
      <c r="A480" s="35" t="s">
        <v>887</v>
      </c>
      <c r="B480" s="37">
        <v>390.45001220703125</v>
      </c>
      <c r="C480" s="37">
        <v>294.1956787109375</v>
      </c>
      <c r="D480" s="35">
        <v>1557628</v>
      </c>
      <c r="E480" s="35" t="s">
        <v>721</v>
      </c>
      <c r="F480" s="35" t="s">
        <v>411</v>
      </c>
    </row>
    <row r="481" spans="1:6">
      <c r="A481" s="35" t="s">
        <v>888</v>
      </c>
      <c r="B481" s="37">
        <v>392.67498779296875</v>
      </c>
      <c r="C481" s="37">
        <v>295.87197875976563</v>
      </c>
      <c r="D481" s="35">
        <v>1621702</v>
      </c>
      <c r="E481" s="35" t="s">
        <v>721</v>
      </c>
      <c r="F481" s="35" t="s">
        <v>411</v>
      </c>
    </row>
    <row r="482" spans="1:6">
      <c r="A482" s="35" t="s">
        <v>889</v>
      </c>
      <c r="B482" s="37">
        <v>397.42498779296875</v>
      </c>
      <c r="C482" s="37">
        <v>299.45111083984375</v>
      </c>
      <c r="D482" s="35">
        <v>2063636</v>
      </c>
      <c r="E482" s="35" t="s">
        <v>721</v>
      </c>
      <c r="F482" s="35" t="s">
        <v>411</v>
      </c>
    </row>
    <row r="483" spans="1:6">
      <c r="A483" s="35" t="s">
        <v>890</v>
      </c>
      <c r="B483" s="37">
        <v>401.64999389648438</v>
      </c>
      <c r="C483" s="37">
        <v>302.634521484375</v>
      </c>
      <c r="D483" s="35">
        <v>2699554</v>
      </c>
      <c r="E483" s="35" t="s">
        <v>721</v>
      </c>
      <c r="F483" s="35" t="s">
        <v>411</v>
      </c>
    </row>
    <row r="484" spans="1:6">
      <c r="A484" s="35" t="s">
        <v>891</v>
      </c>
      <c r="B484" s="37">
        <v>399.89999389648438</v>
      </c>
      <c r="C484" s="37">
        <v>301.31594848632813</v>
      </c>
      <c r="D484" s="35">
        <v>3011062</v>
      </c>
      <c r="E484" s="35" t="s">
        <v>721</v>
      </c>
      <c r="F484" s="35" t="s">
        <v>411</v>
      </c>
    </row>
    <row r="485" spans="1:6">
      <c r="A485" s="35" t="s">
        <v>892</v>
      </c>
      <c r="B485" s="37">
        <v>400.47500610351563</v>
      </c>
      <c r="C485" s="37">
        <v>301.74929809570313</v>
      </c>
      <c r="D485" s="35">
        <v>1877952</v>
      </c>
      <c r="E485" s="35" t="s">
        <v>721</v>
      </c>
      <c r="F485" s="35" t="s">
        <v>411</v>
      </c>
    </row>
    <row r="486" spans="1:6">
      <c r="A486" s="35" t="s">
        <v>893</v>
      </c>
      <c r="B486" s="37">
        <v>410.39999389648438</v>
      </c>
      <c r="C486" s="37">
        <v>309.22744750976563</v>
      </c>
      <c r="D486" s="35">
        <v>3721154</v>
      </c>
      <c r="E486" s="35" t="s">
        <v>721</v>
      </c>
      <c r="F486" s="35" t="s">
        <v>411</v>
      </c>
    </row>
    <row r="487" spans="1:6">
      <c r="A487" s="35" t="s">
        <v>894</v>
      </c>
      <c r="B487" s="37">
        <v>416.07501220703125</v>
      </c>
      <c r="C487" s="37">
        <v>313.50350952148438</v>
      </c>
      <c r="D487" s="35">
        <v>5601630</v>
      </c>
      <c r="E487" s="35" t="s">
        <v>721</v>
      </c>
      <c r="F487" s="35" t="s">
        <v>411</v>
      </c>
    </row>
    <row r="488" spans="1:6">
      <c r="A488" s="35" t="s">
        <v>895</v>
      </c>
      <c r="B488" s="37">
        <v>410.29998779296875</v>
      </c>
      <c r="C488" s="37">
        <v>309.152099609375</v>
      </c>
      <c r="D488" s="35">
        <v>2632882</v>
      </c>
      <c r="E488" s="35" t="s">
        <v>721</v>
      </c>
      <c r="F488" s="35" t="s">
        <v>411</v>
      </c>
    </row>
    <row r="489" spans="1:6">
      <c r="A489" s="35" t="s">
        <v>896</v>
      </c>
      <c r="B489" s="37">
        <v>412.35000610351563</v>
      </c>
      <c r="C489" s="37">
        <v>310.69674682617188</v>
      </c>
      <c r="D489" s="35">
        <v>2148158</v>
      </c>
      <c r="E489" s="35" t="s">
        <v>721</v>
      </c>
      <c r="F489" s="35" t="s">
        <v>411</v>
      </c>
    </row>
    <row r="490" spans="1:6">
      <c r="A490" s="35" t="s">
        <v>897</v>
      </c>
      <c r="B490" s="37">
        <v>415.07501220703125</v>
      </c>
      <c r="C490" s="37">
        <v>312.74996948242188</v>
      </c>
      <c r="D490" s="35">
        <v>2804568</v>
      </c>
      <c r="E490" s="35" t="s">
        <v>721</v>
      </c>
      <c r="F490" s="35" t="s">
        <v>411</v>
      </c>
    </row>
    <row r="491" spans="1:6">
      <c r="A491" s="35" t="s">
        <v>898</v>
      </c>
      <c r="B491" s="37">
        <v>410.39999389648438</v>
      </c>
      <c r="C491" s="37">
        <v>309.22744750976563</v>
      </c>
      <c r="D491" s="35">
        <v>2063788</v>
      </c>
      <c r="E491" s="35" t="s">
        <v>721</v>
      </c>
      <c r="F491" s="35" t="s">
        <v>411</v>
      </c>
    </row>
    <row r="492" spans="1:6">
      <c r="A492" s="35" t="s">
        <v>899</v>
      </c>
      <c r="B492" s="37">
        <v>408.54998779296875</v>
      </c>
      <c r="C492" s="37">
        <v>307.83358764648438</v>
      </c>
      <c r="D492" s="35">
        <v>1582514</v>
      </c>
      <c r="E492" s="35" t="s">
        <v>721</v>
      </c>
      <c r="F492" s="35" t="s">
        <v>411</v>
      </c>
    </row>
    <row r="493" spans="1:6">
      <c r="A493" s="35" t="s">
        <v>900</v>
      </c>
      <c r="B493" s="37">
        <v>396.875</v>
      </c>
      <c r="C493" s="37">
        <v>299.03671264648438</v>
      </c>
      <c r="D493" s="35">
        <v>2905268</v>
      </c>
      <c r="E493" s="35" t="s">
        <v>721</v>
      </c>
      <c r="F493" s="35" t="s">
        <v>411</v>
      </c>
    </row>
    <row r="494" spans="1:6">
      <c r="A494" s="35" t="s">
        <v>901</v>
      </c>
      <c r="B494" s="37">
        <v>395.20001220703125</v>
      </c>
      <c r="C494" s="37">
        <v>297.77468872070313</v>
      </c>
      <c r="D494" s="35">
        <v>1117150</v>
      </c>
      <c r="E494" s="35" t="s">
        <v>721</v>
      </c>
      <c r="F494" s="35" t="s">
        <v>411</v>
      </c>
    </row>
    <row r="495" spans="1:6">
      <c r="A495" s="35" t="s">
        <v>902</v>
      </c>
      <c r="B495" s="37">
        <v>402.42498779296875</v>
      </c>
      <c r="C495" s="37">
        <v>303.21856689453125</v>
      </c>
      <c r="D495" s="35">
        <v>1011418</v>
      </c>
      <c r="E495" s="35" t="s">
        <v>721</v>
      </c>
      <c r="F495" s="35" t="s">
        <v>411</v>
      </c>
    </row>
    <row r="496" spans="1:6">
      <c r="A496" s="35" t="s">
        <v>903</v>
      </c>
      <c r="B496" s="37">
        <v>403.52499389648438</v>
      </c>
      <c r="C496" s="37">
        <v>304.04745483398438</v>
      </c>
      <c r="D496" s="35">
        <v>1434432</v>
      </c>
      <c r="E496" s="35" t="s">
        <v>721</v>
      </c>
      <c r="F496" s="35" t="s">
        <v>411</v>
      </c>
    </row>
    <row r="497" spans="1:6">
      <c r="A497" s="35" t="s">
        <v>904</v>
      </c>
      <c r="B497" s="37">
        <v>409.67498779296875</v>
      </c>
      <c r="C497" s="37">
        <v>308.68112182617188</v>
      </c>
      <c r="D497" s="35">
        <v>3560002</v>
      </c>
      <c r="E497" s="35" t="s">
        <v>721</v>
      </c>
      <c r="F497" s="35" t="s">
        <v>411</v>
      </c>
    </row>
    <row r="498" spans="1:6">
      <c r="A498" s="35" t="s">
        <v>905</v>
      </c>
      <c r="B498" s="37">
        <v>413.97500610351563</v>
      </c>
      <c r="C498" s="37">
        <v>311.92120361328125</v>
      </c>
      <c r="D498" s="35">
        <v>2051884</v>
      </c>
      <c r="E498" s="35" t="s">
        <v>721</v>
      </c>
      <c r="F498" s="35" t="s">
        <v>411</v>
      </c>
    </row>
    <row r="499" spans="1:6">
      <c r="A499" s="35" t="s">
        <v>906</v>
      </c>
      <c r="B499" s="37">
        <v>414.25</v>
      </c>
      <c r="C499" s="37">
        <v>312.12832641601563</v>
      </c>
      <c r="D499" s="35">
        <v>842486</v>
      </c>
      <c r="E499" s="35" t="s">
        <v>721</v>
      </c>
      <c r="F499" s="35" t="s">
        <v>411</v>
      </c>
    </row>
    <row r="500" spans="1:6">
      <c r="A500" s="35" t="s">
        <v>907</v>
      </c>
      <c r="B500" s="37">
        <v>417.57501220703125</v>
      </c>
      <c r="C500" s="37">
        <v>314.63372802734375</v>
      </c>
      <c r="D500" s="35">
        <v>1437066</v>
      </c>
      <c r="E500" s="35" t="s">
        <v>721</v>
      </c>
      <c r="F500" s="35" t="s">
        <v>411</v>
      </c>
    </row>
    <row r="501" spans="1:6">
      <c r="A501" s="35" t="s">
        <v>908</v>
      </c>
      <c r="B501" s="37">
        <v>428.47500610351563</v>
      </c>
      <c r="C501" s="37">
        <v>322.84661865234375</v>
      </c>
      <c r="D501" s="35">
        <v>4233756</v>
      </c>
      <c r="E501" s="35" t="s">
        <v>721</v>
      </c>
      <c r="F501" s="35" t="s">
        <v>411</v>
      </c>
    </row>
    <row r="502" spans="1:6">
      <c r="A502" s="35" t="s">
        <v>909</v>
      </c>
      <c r="B502" s="37">
        <v>422.32501220703125</v>
      </c>
      <c r="C502" s="37">
        <v>318.21270751953125</v>
      </c>
      <c r="D502" s="35">
        <v>4157614</v>
      </c>
      <c r="E502" s="35" t="s">
        <v>721</v>
      </c>
      <c r="F502" s="35" t="s">
        <v>411</v>
      </c>
    </row>
    <row r="503" spans="1:6">
      <c r="A503" s="35" t="s">
        <v>910</v>
      </c>
      <c r="B503" s="37">
        <v>407.20001220703125</v>
      </c>
      <c r="C503" s="37">
        <v>306.8162841796875</v>
      </c>
      <c r="D503" s="35">
        <v>5591598</v>
      </c>
      <c r="E503" s="35" t="s">
        <v>721</v>
      </c>
      <c r="F503" s="35" t="s">
        <v>411</v>
      </c>
    </row>
    <row r="504" spans="1:6">
      <c r="A504" s="35" t="s">
        <v>911</v>
      </c>
      <c r="B504" s="37">
        <v>419.14999389648438</v>
      </c>
      <c r="C504" s="37">
        <v>315.82034301757813</v>
      </c>
      <c r="D504" s="35">
        <v>3839588</v>
      </c>
      <c r="E504" s="35" t="s">
        <v>721</v>
      </c>
      <c r="F504" s="35" t="s">
        <v>411</v>
      </c>
    </row>
    <row r="505" spans="1:6">
      <c r="A505" s="35" t="s">
        <v>912</v>
      </c>
      <c r="B505" s="37">
        <v>418.92498779296875</v>
      </c>
      <c r="C505" s="37">
        <v>315.65081787109375</v>
      </c>
      <c r="D505" s="35">
        <v>2613934</v>
      </c>
      <c r="E505" s="35" t="s">
        <v>721</v>
      </c>
      <c r="F505" s="35" t="s">
        <v>411</v>
      </c>
    </row>
    <row r="506" spans="1:6">
      <c r="A506" s="35" t="s">
        <v>913</v>
      </c>
      <c r="B506" s="37">
        <v>416.625</v>
      </c>
      <c r="C506" s="37">
        <v>313.91787719726563</v>
      </c>
      <c r="D506" s="35">
        <v>2766112</v>
      </c>
      <c r="E506" s="35" t="s">
        <v>721</v>
      </c>
      <c r="F506" s="35" t="s">
        <v>411</v>
      </c>
    </row>
    <row r="507" spans="1:6">
      <c r="A507" s="35" t="s">
        <v>914</v>
      </c>
      <c r="B507" s="37">
        <v>423.85000610351563</v>
      </c>
      <c r="C507" s="37">
        <v>319.36181640625</v>
      </c>
      <c r="D507" s="35">
        <v>3290556</v>
      </c>
      <c r="E507" s="35" t="s">
        <v>721</v>
      </c>
      <c r="F507" s="35" t="s">
        <v>411</v>
      </c>
    </row>
    <row r="508" spans="1:6">
      <c r="A508" s="35" t="s">
        <v>915</v>
      </c>
      <c r="B508" s="37">
        <v>425.125</v>
      </c>
      <c r="C508" s="37">
        <v>320.32254028320313</v>
      </c>
      <c r="D508" s="35">
        <v>4573998</v>
      </c>
      <c r="E508" s="35" t="s">
        <v>721</v>
      </c>
      <c r="F508" s="35" t="s">
        <v>411</v>
      </c>
    </row>
    <row r="509" spans="1:6">
      <c r="A509" s="35" t="s">
        <v>916</v>
      </c>
      <c r="B509" s="37">
        <v>415.27499389648438</v>
      </c>
      <c r="C509" s="37">
        <v>312.90066528320313</v>
      </c>
      <c r="D509" s="35">
        <v>2429338</v>
      </c>
      <c r="E509" s="35" t="s">
        <v>721</v>
      </c>
      <c r="F509" s="35" t="s">
        <v>411</v>
      </c>
    </row>
    <row r="510" spans="1:6">
      <c r="A510" s="35" t="s">
        <v>917</v>
      </c>
      <c r="B510" s="37">
        <v>418.875</v>
      </c>
      <c r="C510" s="37">
        <v>315.61325073242188</v>
      </c>
      <c r="D510" s="35">
        <v>4099262</v>
      </c>
      <c r="E510" s="35" t="s">
        <v>721</v>
      </c>
      <c r="F510" s="35" t="s">
        <v>411</v>
      </c>
    </row>
    <row r="511" spans="1:6">
      <c r="A511" s="35" t="s">
        <v>918</v>
      </c>
      <c r="B511" s="37">
        <v>422.02499389648438</v>
      </c>
      <c r="C511" s="37">
        <v>317.98666381835938</v>
      </c>
      <c r="D511" s="35">
        <v>2168782</v>
      </c>
      <c r="E511" s="35" t="s">
        <v>721</v>
      </c>
      <c r="F511" s="35" t="s">
        <v>411</v>
      </c>
    </row>
    <row r="512" spans="1:6">
      <c r="A512" s="35" t="s">
        <v>919</v>
      </c>
      <c r="B512" s="37">
        <v>422.07501220703125</v>
      </c>
      <c r="C512" s="37">
        <v>318.02444458007813</v>
      </c>
      <c r="D512" s="35">
        <v>2112076</v>
      </c>
      <c r="E512" s="35" t="s">
        <v>721</v>
      </c>
      <c r="F512" s="35" t="s">
        <v>411</v>
      </c>
    </row>
    <row r="513" spans="1:6">
      <c r="A513" s="35" t="s">
        <v>920</v>
      </c>
      <c r="B513" s="37">
        <v>419.375</v>
      </c>
      <c r="C513" s="37">
        <v>315.98995971679688</v>
      </c>
      <c r="D513" s="35">
        <v>2219790</v>
      </c>
      <c r="E513" s="35" t="s">
        <v>721</v>
      </c>
      <c r="F513" s="35" t="s">
        <v>411</v>
      </c>
    </row>
    <row r="514" spans="1:6">
      <c r="A514" s="35" t="s">
        <v>921</v>
      </c>
      <c r="B514" s="37">
        <v>428.64999389648438</v>
      </c>
      <c r="C514" s="37">
        <v>322.97842407226563</v>
      </c>
      <c r="D514" s="35">
        <v>3969016</v>
      </c>
      <c r="E514" s="35" t="s">
        <v>721</v>
      </c>
      <c r="F514" s="35" t="s">
        <v>411</v>
      </c>
    </row>
    <row r="515" spans="1:6">
      <c r="A515" s="35" t="s">
        <v>922</v>
      </c>
      <c r="B515" s="37">
        <v>424.39999389648438</v>
      </c>
      <c r="C515" s="37">
        <v>319.776123046875</v>
      </c>
      <c r="D515" s="35">
        <v>7390624</v>
      </c>
      <c r="E515" s="35" t="s">
        <v>721</v>
      </c>
      <c r="F515" s="35" t="s">
        <v>411</v>
      </c>
    </row>
    <row r="516" spans="1:6">
      <c r="A516" s="35" t="s">
        <v>923</v>
      </c>
      <c r="B516" s="37">
        <v>420.625</v>
      </c>
      <c r="C516" s="37">
        <v>316.93179321289063</v>
      </c>
      <c r="D516" s="35">
        <v>3855738</v>
      </c>
      <c r="E516" s="35" t="s">
        <v>721</v>
      </c>
      <c r="F516" s="35" t="s">
        <v>411</v>
      </c>
    </row>
    <row r="517" spans="1:6">
      <c r="A517" s="35" t="s">
        <v>924</v>
      </c>
      <c r="B517" s="37">
        <v>422.10000610351563</v>
      </c>
      <c r="C517" s="37">
        <v>318.04318237304688</v>
      </c>
      <c r="D517" s="35">
        <v>2699128</v>
      </c>
      <c r="E517" s="35" t="s">
        <v>721</v>
      </c>
      <c r="F517" s="35" t="s">
        <v>411</v>
      </c>
    </row>
    <row r="518" spans="1:6">
      <c r="A518" s="35" t="s">
        <v>925</v>
      </c>
      <c r="B518" s="37">
        <v>420.125</v>
      </c>
      <c r="C518" s="37">
        <v>316.5550537109375</v>
      </c>
      <c r="D518" s="35">
        <v>1899068</v>
      </c>
      <c r="E518" s="35" t="s">
        <v>721</v>
      </c>
      <c r="F518" s="35" t="s">
        <v>411</v>
      </c>
    </row>
    <row r="519" spans="1:6">
      <c r="A519" s="35" t="s">
        <v>926</v>
      </c>
      <c r="B519" s="37">
        <v>405.57501220703125</v>
      </c>
      <c r="C519" s="37">
        <v>305.5919189453125</v>
      </c>
      <c r="D519" s="35">
        <v>9645094</v>
      </c>
      <c r="E519" s="35" t="s">
        <v>721</v>
      </c>
      <c r="F519" s="35" t="s">
        <v>411</v>
      </c>
    </row>
    <row r="520" spans="1:6">
      <c r="A520" s="35" t="s">
        <v>927</v>
      </c>
      <c r="B520" s="37">
        <v>406.97500610351563</v>
      </c>
      <c r="C520" s="37">
        <v>308.9320068359375</v>
      </c>
      <c r="D520" s="35">
        <v>9033230</v>
      </c>
      <c r="E520" s="35" t="s">
        <v>721</v>
      </c>
      <c r="F520" s="35" t="s">
        <v>411</v>
      </c>
    </row>
    <row r="521" spans="1:6">
      <c r="A521" s="35" t="s">
        <v>928</v>
      </c>
      <c r="B521" s="37">
        <v>413.57501220703125</v>
      </c>
      <c r="C521" s="37">
        <v>313.94192504882813</v>
      </c>
      <c r="D521" s="35">
        <v>3760086</v>
      </c>
      <c r="E521" s="35" t="s">
        <v>721</v>
      </c>
      <c r="F521" s="35" t="s">
        <v>411</v>
      </c>
    </row>
    <row r="522" spans="1:6">
      <c r="A522" s="35" t="s">
        <v>929</v>
      </c>
      <c r="B522" s="37">
        <v>415.375</v>
      </c>
      <c r="C522" s="37">
        <v>315.308349609375</v>
      </c>
      <c r="D522" s="35">
        <v>2257058</v>
      </c>
      <c r="E522" s="35" t="s">
        <v>721</v>
      </c>
      <c r="F522" s="35" t="s">
        <v>411</v>
      </c>
    </row>
    <row r="523" spans="1:6">
      <c r="A523" s="35" t="s">
        <v>930</v>
      </c>
      <c r="B523" s="37">
        <v>412.04998779296875</v>
      </c>
      <c r="C523" s="37">
        <v>312.78427124023438</v>
      </c>
      <c r="D523" s="35">
        <v>2185076</v>
      </c>
      <c r="E523" s="35" t="s">
        <v>721</v>
      </c>
      <c r="F523" s="35" t="s">
        <v>411</v>
      </c>
    </row>
    <row r="524" spans="1:6">
      <c r="A524" s="35" t="s">
        <v>931</v>
      </c>
      <c r="B524" s="37">
        <v>407.85000610351563</v>
      </c>
      <c r="C524" s="37">
        <v>309.59613037109375</v>
      </c>
      <c r="D524" s="35">
        <v>2605080</v>
      </c>
      <c r="E524" s="35" t="s">
        <v>721</v>
      </c>
      <c r="F524" s="35" t="s">
        <v>411</v>
      </c>
    </row>
    <row r="525" spans="1:6">
      <c r="A525" s="35" t="s">
        <v>932</v>
      </c>
      <c r="B525" s="37">
        <v>404.25</v>
      </c>
      <c r="C525" s="37">
        <v>306.86343383789063</v>
      </c>
      <c r="D525" s="35">
        <v>2824810</v>
      </c>
      <c r="E525" s="35" t="s">
        <v>721</v>
      </c>
      <c r="F525" s="35" t="s">
        <v>411</v>
      </c>
    </row>
    <row r="526" spans="1:6">
      <c r="A526" s="35" t="s">
        <v>933</v>
      </c>
      <c r="B526" s="37">
        <v>409.85000610351563</v>
      </c>
      <c r="C526" s="37">
        <v>311.11431884765625</v>
      </c>
      <c r="D526" s="35">
        <v>3130268</v>
      </c>
      <c r="E526" s="35" t="s">
        <v>721</v>
      </c>
      <c r="F526" s="35" t="s">
        <v>411</v>
      </c>
    </row>
    <row r="527" spans="1:6">
      <c r="A527" s="35" t="s">
        <v>934</v>
      </c>
      <c r="B527" s="37">
        <v>414.20001220703125</v>
      </c>
      <c r="C527" s="37">
        <v>314.41641235351563</v>
      </c>
      <c r="D527" s="35">
        <v>3550994</v>
      </c>
      <c r="E527" s="35" t="s">
        <v>721</v>
      </c>
      <c r="F527" s="35" t="s">
        <v>411</v>
      </c>
    </row>
    <row r="528" spans="1:6">
      <c r="A528" s="35" t="s">
        <v>935</v>
      </c>
      <c r="B528" s="37">
        <v>413.64999389648438</v>
      </c>
      <c r="C528" s="37">
        <v>313.99884033203125</v>
      </c>
      <c r="D528" s="35">
        <v>1209256</v>
      </c>
      <c r="E528" s="35" t="s">
        <v>721</v>
      </c>
      <c r="F528" s="35" t="s">
        <v>411</v>
      </c>
    </row>
    <row r="529" spans="1:6">
      <c r="A529" s="35" t="s">
        <v>936</v>
      </c>
      <c r="B529" s="37">
        <v>416</v>
      </c>
      <c r="C529" s="37">
        <v>315.78280639648438</v>
      </c>
      <c r="D529" s="35">
        <v>2246504</v>
      </c>
      <c r="E529" s="35" t="s">
        <v>721</v>
      </c>
      <c r="F529" s="35" t="s">
        <v>411</v>
      </c>
    </row>
    <row r="530" spans="1:6">
      <c r="A530" s="35" t="s">
        <v>937</v>
      </c>
      <c r="B530" s="37">
        <v>415.14999389648438</v>
      </c>
      <c r="C530" s="37">
        <v>315.13754272460938</v>
      </c>
      <c r="D530" s="35">
        <v>1995766</v>
      </c>
      <c r="E530" s="35" t="s">
        <v>721</v>
      </c>
      <c r="F530" s="35" t="s">
        <v>411</v>
      </c>
    </row>
    <row r="531" spans="1:6">
      <c r="A531" s="35" t="s">
        <v>938</v>
      </c>
      <c r="B531" s="37">
        <v>422.5</v>
      </c>
      <c r="C531" s="37">
        <v>320.71688842773438</v>
      </c>
      <c r="D531" s="35">
        <v>3441322</v>
      </c>
      <c r="E531" s="35" t="s">
        <v>721</v>
      </c>
      <c r="F531" s="35" t="s">
        <v>411</v>
      </c>
    </row>
    <row r="532" spans="1:6">
      <c r="A532" s="35" t="s">
        <v>939</v>
      </c>
      <c r="B532" s="37">
        <v>419.625</v>
      </c>
      <c r="C532" s="37">
        <v>318.53445434570313</v>
      </c>
      <c r="D532" s="35">
        <v>2079702</v>
      </c>
      <c r="E532" s="35" t="s">
        <v>721</v>
      </c>
      <c r="F532" s="35" t="s">
        <v>411</v>
      </c>
    </row>
    <row r="533" spans="1:6">
      <c r="A533" s="35" t="s">
        <v>940</v>
      </c>
      <c r="B533" s="37">
        <v>422</v>
      </c>
      <c r="C533" s="37">
        <v>320.33743286132813</v>
      </c>
      <c r="D533" s="35">
        <v>1331008</v>
      </c>
      <c r="E533" s="35" t="s">
        <v>721</v>
      </c>
      <c r="F533" s="35" t="s">
        <v>411</v>
      </c>
    </row>
    <row r="534" spans="1:6">
      <c r="A534" s="35" t="s">
        <v>941</v>
      </c>
      <c r="B534" s="37">
        <v>425.64999389648438</v>
      </c>
      <c r="C534" s="37">
        <v>323.10797119140625</v>
      </c>
      <c r="D534" s="35">
        <v>3074096</v>
      </c>
      <c r="E534" s="35" t="s">
        <v>721</v>
      </c>
      <c r="F534" s="35" t="s">
        <v>411</v>
      </c>
    </row>
    <row r="535" spans="1:6">
      <c r="A535" s="35" t="s">
        <v>942</v>
      </c>
      <c r="B535" s="37">
        <v>417.10000610351563</v>
      </c>
      <c r="C535" s="37">
        <v>316.6177978515625</v>
      </c>
      <c r="D535" s="35">
        <v>3487340</v>
      </c>
      <c r="E535" s="35" t="s">
        <v>721</v>
      </c>
      <c r="F535" s="35" t="s">
        <v>411</v>
      </c>
    </row>
    <row r="536" spans="1:6">
      <c r="A536" s="35" t="s">
        <v>943</v>
      </c>
      <c r="B536" s="37">
        <v>421.42498779296875</v>
      </c>
      <c r="C536" s="37">
        <v>319.90078735351563</v>
      </c>
      <c r="D536" s="35">
        <v>6776184</v>
      </c>
      <c r="E536" s="35" t="s">
        <v>721</v>
      </c>
      <c r="F536" s="35" t="s">
        <v>411</v>
      </c>
    </row>
    <row r="537" spans="1:6">
      <c r="A537" s="35" t="s">
        <v>944</v>
      </c>
      <c r="B537" s="37">
        <v>419.97500610351563</v>
      </c>
      <c r="C537" s="37">
        <v>318.80010986328125</v>
      </c>
      <c r="D537" s="35">
        <v>2385238</v>
      </c>
      <c r="E537" s="35" t="s">
        <v>721</v>
      </c>
      <c r="F537" s="35" t="s">
        <v>411</v>
      </c>
    </row>
    <row r="538" spans="1:6">
      <c r="A538" s="35" t="s">
        <v>945</v>
      </c>
      <c r="B538" s="37">
        <v>420.04998779296875</v>
      </c>
      <c r="C538" s="37">
        <v>318.85708618164063</v>
      </c>
      <c r="D538" s="35">
        <v>2286110</v>
      </c>
      <c r="E538" s="35" t="s">
        <v>721</v>
      </c>
      <c r="F538" s="35" t="s">
        <v>411</v>
      </c>
    </row>
    <row r="539" spans="1:6">
      <c r="A539" s="35" t="s">
        <v>946</v>
      </c>
      <c r="B539" s="37">
        <v>424.54998779296875</v>
      </c>
      <c r="C539" s="37">
        <v>322.2730712890625</v>
      </c>
      <c r="D539" s="35">
        <v>2193694</v>
      </c>
      <c r="E539" s="35" t="s">
        <v>721</v>
      </c>
      <c r="F539" s="35" t="s">
        <v>411</v>
      </c>
    </row>
    <row r="540" spans="1:6">
      <c r="A540" s="35" t="s">
        <v>947</v>
      </c>
      <c r="B540" s="37">
        <v>421.875</v>
      </c>
      <c r="C540" s="37">
        <v>320.24246215820313</v>
      </c>
      <c r="D540" s="35">
        <v>1735692</v>
      </c>
      <c r="E540" s="35" t="s">
        <v>721</v>
      </c>
      <c r="F540" s="35" t="s">
        <v>411</v>
      </c>
    </row>
    <row r="541" spans="1:6">
      <c r="A541" s="35" t="s">
        <v>948</v>
      </c>
      <c r="B541" s="37">
        <v>426.45001220703125</v>
      </c>
      <c r="C541" s="37">
        <v>323.71542358398438</v>
      </c>
      <c r="D541" s="35">
        <v>1712464</v>
      </c>
      <c r="E541" s="35" t="s">
        <v>721</v>
      </c>
      <c r="F541" s="35" t="s">
        <v>411</v>
      </c>
    </row>
    <row r="542" spans="1:6">
      <c r="A542" s="35" t="s">
        <v>949</v>
      </c>
      <c r="B542" s="37">
        <v>427.77499389648438</v>
      </c>
      <c r="C542" s="37">
        <v>324.72100830078125</v>
      </c>
      <c r="D542" s="35">
        <v>3084616</v>
      </c>
      <c r="E542" s="35" t="s">
        <v>721</v>
      </c>
      <c r="F542" s="35" t="s">
        <v>411</v>
      </c>
    </row>
    <row r="543" spans="1:6">
      <c r="A543" s="35" t="s">
        <v>950</v>
      </c>
      <c r="B543" s="37">
        <v>428.67498779296875</v>
      </c>
      <c r="C543" s="37">
        <v>325.40423583984375</v>
      </c>
      <c r="D543" s="35">
        <v>1494044</v>
      </c>
      <c r="E543" s="35" t="s">
        <v>721</v>
      </c>
      <c r="F543" s="35" t="s">
        <v>411</v>
      </c>
    </row>
    <row r="544" spans="1:6">
      <c r="A544" s="35" t="s">
        <v>951</v>
      </c>
      <c r="B544" s="37">
        <v>423.85000610351563</v>
      </c>
      <c r="C544" s="37">
        <v>321.74166870117188</v>
      </c>
      <c r="D544" s="35">
        <v>1458528</v>
      </c>
      <c r="E544" s="35" t="s">
        <v>721</v>
      </c>
      <c r="F544" s="35" t="s">
        <v>411</v>
      </c>
    </row>
    <row r="545" spans="1:6">
      <c r="A545" s="35" t="s">
        <v>952</v>
      </c>
      <c r="B545" s="37">
        <v>422.17498779296875</v>
      </c>
      <c r="C545" s="37">
        <v>320.47012329101563</v>
      </c>
      <c r="D545" s="35">
        <v>1533834</v>
      </c>
      <c r="E545" s="35" t="s">
        <v>721</v>
      </c>
      <c r="F545" s="35" t="s">
        <v>411</v>
      </c>
    </row>
    <row r="546" spans="1:6">
      <c r="A546" s="35" t="s">
        <v>953</v>
      </c>
      <c r="B546" s="37">
        <v>423.17498779296875</v>
      </c>
      <c r="C546" s="37">
        <v>321.229248046875</v>
      </c>
      <c r="D546" s="35">
        <v>1412616</v>
      </c>
      <c r="E546" s="35" t="s">
        <v>721</v>
      </c>
      <c r="F546" s="35" t="s">
        <v>411</v>
      </c>
    </row>
    <row r="547" spans="1:6">
      <c r="A547" s="35" t="s">
        <v>954</v>
      </c>
      <c r="B547" s="37">
        <v>426.79998779296875</v>
      </c>
      <c r="C547" s="37">
        <v>323.98098754882813</v>
      </c>
      <c r="D547" s="35">
        <v>3171728</v>
      </c>
      <c r="E547" s="35" t="s">
        <v>721</v>
      </c>
      <c r="F547" s="35" t="s">
        <v>411</v>
      </c>
    </row>
    <row r="548" spans="1:6">
      <c r="A548" s="35" t="s">
        <v>955</v>
      </c>
      <c r="B548" s="37">
        <v>421.45001220703125</v>
      </c>
      <c r="C548" s="37">
        <v>319.91986083984375</v>
      </c>
      <c r="D548" s="35">
        <v>2478532</v>
      </c>
      <c r="E548" s="35" t="s">
        <v>721</v>
      </c>
      <c r="F548" s="35" t="s">
        <v>411</v>
      </c>
    </row>
    <row r="549" spans="1:6">
      <c r="A549" s="35" t="s">
        <v>956</v>
      </c>
      <c r="B549" s="37">
        <v>427.70001220703125</v>
      </c>
      <c r="C549" s="37">
        <v>324.6641845703125</v>
      </c>
      <c r="D549" s="35">
        <v>3690466</v>
      </c>
      <c r="E549" s="35" t="s">
        <v>721</v>
      </c>
      <c r="F549" s="35" t="s">
        <v>411</v>
      </c>
    </row>
    <row r="550" spans="1:6">
      <c r="A550" s="35" t="s">
        <v>957</v>
      </c>
      <c r="B550" s="37">
        <v>432.875</v>
      </c>
      <c r="C550" s="37">
        <v>328.59246826171875</v>
      </c>
      <c r="D550" s="35">
        <v>3987020</v>
      </c>
      <c r="E550" s="35" t="s">
        <v>721</v>
      </c>
      <c r="F550" s="35" t="s">
        <v>411</v>
      </c>
    </row>
    <row r="551" spans="1:6">
      <c r="A551" s="35" t="s">
        <v>958</v>
      </c>
      <c r="B551" s="37">
        <v>432.17498779296875</v>
      </c>
      <c r="C551" s="37">
        <v>328.06106567382813</v>
      </c>
      <c r="D551" s="35">
        <v>3392968</v>
      </c>
      <c r="E551" s="35" t="s">
        <v>721</v>
      </c>
      <c r="F551" s="35" t="s">
        <v>411</v>
      </c>
    </row>
    <row r="552" spans="1:6">
      <c r="A552" s="35" t="s">
        <v>959</v>
      </c>
      <c r="B552" s="37">
        <v>429.64999389648438</v>
      </c>
      <c r="C552" s="37">
        <v>326.1444091796875</v>
      </c>
      <c r="D552" s="35">
        <v>7366514</v>
      </c>
      <c r="E552" s="35" t="s">
        <v>721</v>
      </c>
      <c r="F552" s="35" t="s">
        <v>411</v>
      </c>
    </row>
    <row r="553" spans="1:6">
      <c r="A553" s="35" t="s">
        <v>960</v>
      </c>
      <c r="B553" s="37">
        <v>436.375</v>
      </c>
      <c r="C553" s="37">
        <v>331.24923706054688</v>
      </c>
      <c r="D553" s="35">
        <v>3364236</v>
      </c>
      <c r="E553" s="35" t="s">
        <v>721</v>
      </c>
      <c r="F553" s="35" t="s">
        <v>411</v>
      </c>
    </row>
    <row r="554" spans="1:6">
      <c r="A554" s="35" t="s">
        <v>961</v>
      </c>
      <c r="B554" s="37">
        <v>438.32501220703125</v>
      </c>
      <c r="C554" s="37">
        <v>332.72952270507813</v>
      </c>
      <c r="D554" s="35">
        <v>2848278</v>
      </c>
      <c r="E554" s="35" t="s">
        <v>721</v>
      </c>
      <c r="F554" s="35" t="s">
        <v>411</v>
      </c>
    </row>
    <row r="555" spans="1:6">
      <c r="A555" s="35" t="s">
        <v>962</v>
      </c>
      <c r="B555" s="37">
        <v>436.52499389648438</v>
      </c>
      <c r="C555" s="37">
        <v>331.36322021484375</v>
      </c>
      <c r="D555" s="35">
        <v>1751020</v>
      </c>
      <c r="E555" s="35" t="s">
        <v>721</v>
      </c>
      <c r="F555" s="35" t="s">
        <v>411</v>
      </c>
    </row>
    <row r="556" spans="1:6">
      <c r="A556" s="35" t="s">
        <v>963</v>
      </c>
      <c r="B556" s="37">
        <v>426.07501220703125</v>
      </c>
      <c r="C556" s="37">
        <v>323.43060302734375</v>
      </c>
      <c r="D556" s="35">
        <v>2353860</v>
      </c>
      <c r="E556" s="35" t="s">
        <v>721</v>
      </c>
      <c r="F556" s="35" t="s">
        <v>411</v>
      </c>
    </row>
    <row r="557" spans="1:6">
      <c r="A557" s="35" t="s">
        <v>964</v>
      </c>
      <c r="B557" s="37">
        <v>429.95001220703125</v>
      </c>
      <c r="C557" s="37">
        <v>326.3721923828125</v>
      </c>
      <c r="D557" s="35">
        <v>1796222</v>
      </c>
      <c r="E557" s="35" t="s">
        <v>721</v>
      </c>
      <c r="F557" s="35" t="s">
        <v>411</v>
      </c>
    </row>
    <row r="558" spans="1:6">
      <c r="A558" s="35" t="s">
        <v>965</v>
      </c>
      <c r="B558" s="37">
        <v>438.79998779296875</v>
      </c>
      <c r="C558" s="37">
        <v>333.09002685546875</v>
      </c>
      <c r="D558" s="35">
        <v>4242538</v>
      </c>
      <c r="E558" s="35" t="s">
        <v>721</v>
      </c>
      <c r="F558" s="35" t="s">
        <v>411</v>
      </c>
    </row>
    <row r="559" spans="1:6">
      <c r="A559" s="35" t="s">
        <v>966</v>
      </c>
      <c r="B559" s="37">
        <v>437.92498779296875</v>
      </c>
      <c r="C559" s="37">
        <v>332.4259033203125</v>
      </c>
      <c r="D559" s="35">
        <v>2927478</v>
      </c>
      <c r="E559" s="35" t="s">
        <v>721</v>
      </c>
      <c r="F559" s="35" t="s">
        <v>411</v>
      </c>
    </row>
    <row r="560" spans="1:6">
      <c r="A560" s="35" t="s">
        <v>967</v>
      </c>
      <c r="B560" s="37">
        <v>437.375</v>
      </c>
      <c r="C560" s="37">
        <v>332.00833129882813</v>
      </c>
      <c r="D560" s="35">
        <v>4314580</v>
      </c>
      <c r="E560" s="35" t="s">
        <v>721</v>
      </c>
      <c r="F560" s="35" t="s">
        <v>411</v>
      </c>
    </row>
    <row r="561" spans="1:6">
      <c r="A561" s="35" t="s">
        <v>968</v>
      </c>
      <c r="B561" s="37">
        <v>433.125</v>
      </c>
      <c r="C561" s="37">
        <v>328.7822265625</v>
      </c>
      <c r="D561" s="35">
        <v>1874754</v>
      </c>
      <c r="E561" s="35" t="s">
        <v>969</v>
      </c>
      <c r="F561" s="35" t="s">
        <v>411</v>
      </c>
    </row>
    <row r="562" spans="1:6">
      <c r="A562" s="35" t="s">
        <v>970</v>
      </c>
      <c r="B562" s="37">
        <v>425.25</v>
      </c>
      <c r="C562" s="37">
        <v>322.80447387695313</v>
      </c>
      <c r="D562" s="35">
        <v>3578706</v>
      </c>
      <c r="E562" s="35" t="s">
        <v>969</v>
      </c>
      <c r="F562" s="35" t="s">
        <v>411</v>
      </c>
    </row>
    <row r="563" spans="1:6">
      <c r="A563" s="35" t="s">
        <v>971</v>
      </c>
      <c r="B563" s="37">
        <v>426.75</v>
      </c>
      <c r="C563" s="37">
        <v>323.9429931640625</v>
      </c>
      <c r="D563" s="35">
        <v>2089810</v>
      </c>
      <c r="E563" s="35" t="s">
        <v>969</v>
      </c>
      <c r="F563" s="35" t="s">
        <v>411</v>
      </c>
    </row>
    <row r="564" spans="1:6">
      <c r="A564" s="35" t="s">
        <v>972</v>
      </c>
      <c r="B564" s="37">
        <v>424.64999389648438</v>
      </c>
      <c r="C564" s="37">
        <v>322.34893798828125</v>
      </c>
      <c r="D564" s="35">
        <v>2059774</v>
      </c>
      <c r="E564" s="35" t="s">
        <v>969</v>
      </c>
      <c r="F564" s="35" t="s">
        <v>411</v>
      </c>
    </row>
    <row r="565" spans="1:6">
      <c r="A565" s="35" t="s">
        <v>973</v>
      </c>
      <c r="B565" s="37">
        <v>416.52499389648438</v>
      </c>
      <c r="C565" s="37">
        <v>316.18121337890625</v>
      </c>
      <c r="D565" s="35">
        <v>1485086</v>
      </c>
      <c r="E565" s="35" t="s">
        <v>969</v>
      </c>
      <c r="F565" s="35" t="s">
        <v>411</v>
      </c>
    </row>
    <row r="566" spans="1:6">
      <c r="A566" s="35" t="s">
        <v>974</v>
      </c>
      <c r="B566" s="37">
        <v>416.89999389648438</v>
      </c>
      <c r="C566" s="37">
        <v>316.46591186523438</v>
      </c>
      <c r="D566" s="35">
        <v>2620546</v>
      </c>
      <c r="E566" s="35" t="s">
        <v>969</v>
      </c>
      <c r="F566" s="35" t="s">
        <v>411</v>
      </c>
    </row>
    <row r="567" spans="1:6">
      <c r="A567" s="35" t="s">
        <v>975</v>
      </c>
      <c r="B567" s="37">
        <v>415.82501220703125</v>
      </c>
      <c r="C567" s="37">
        <v>315.64984130859375</v>
      </c>
      <c r="D567" s="35">
        <v>1311888</v>
      </c>
      <c r="E567" s="35" t="s">
        <v>969</v>
      </c>
      <c r="F567" s="35" t="s">
        <v>411</v>
      </c>
    </row>
    <row r="568" spans="1:6">
      <c r="A568" s="35" t="s">
        <v>976</v>
      </c>
      <c r="B568" s="37">
        <v>404.54998779296875</v>
      </c>
      <c r="C568" s="37">
        <v>307.09112548828125</v>
      </c>
      <c r="D568" s="35">
        <v>2293364</v>
      </c>
      <c r="E568" s="35" t="s">
        <v>969</v>
      </c>
      <c r="F568" s="35" t="s">
        <v>411</v>
      </c>
    </row>
    <row r="569" spans="1:6">
      <c r="A569" s="35" t="s">
        <v>977</v>
      </c>
      <c r="B569" s="37">
        <v>405.39999389648438</v>
      </c>
      <c r="C569" s="37">
        <v>307.73638916015625</v>
      </c>
      <c r="D569" s="35">
        <v>1404094</v>
      </c>
      <c r="E569" s="35" t="s">
        <v>969</v>
      </c>
      <c r="F569" s="35" t="s">
        <v>411</v>
      </c>
    </row>
    <row r="570" spans="1:6">
      <c r="A570" s="35" t="s">
        <v>978</v>
      </c>
      <c r="B570" s="37">
        <v>404.02499389648438</v>
      </c>
      <c r="C570" s="37">
        <v>306.69265747070313</v>
      </c>
      <c r="D570" s="35">
        <v>2028564</v>
      </c>
      <c r="E570" s="35" t="s">
        <v>969</v>
      </c>
      <c r="F570" s="35" t="s">
        <v>411</v>
      </c>
    </row>
    <row r="571" spans="1:6">
      <c r="A571" s="35" t="s">
        <v>979</v>
      </c>
      <c r="B571" s="37">
        <v>404.29998779296875</v>
      </c>
      <c r="C571" s="37">
        <v>306.90142822265625</v>
      </c>
      <c r="D571" s="35">
        <v>2636200</v>
      </c>
      <c r="E571" s="35" t="s">
        <v>969</v>
      </c>
      <c r="F571" s="35" t="s">
        <v>411</v>
      </c>
    </row>
    <row r="572" spans="1:6">
      <c r="A572" s="35" t="s">
        <v>980</v>
      </c>
      <c r="B572" s="37">
        <v>407.45001220703125</v>
      </c>
      <c r="C572" s="37">
        <v>309.29254150390625</v>
      </c>
      <c r="D572" s="35">
        <v>1079608</v>
      </c>
      <c r="E572" s="35" t="s">
        <v>969</v>
      </c>
      <c r="F572" s="35" t="s">
        <v>411</v>
      </c>
    </row>
    <row r="573" spans="1:6">
      <c r="A573" s="35" t="s">
        <v>981</v>
      </c>
      <c r="B573" s="37">
        <v>406.375</v>
      </c>
      <c r="C573" s="37">
        <v>308.47659301757813</v>
      </c>
      <c r="D573" s="35">
        <v>1780310</v>
      </c>
      <c r="E573" s="35" t="s">
        <v>969</v>
      </c>
      <c r="F573" s="35" t="s">
        <v>411</v>
      </c>
    </row>
    <row r="574" spans="1:6">
      <c r="A574" s="35" t="s">
        <v>982</v>
      </c>
      <c r="B574" s="37">
        <v>409.77499389648438</v>
      </c>
      <c r="C574" s="37">
        <v>311.05743408203125</v>
      </c>
      <c r="D574" s="35">
        <v>1373968</v>
      </c>
      <c r="E574" s="35" t="s">
        <v>969</v>
      </c>
      <c r="F574" s="35" t="s">
        <v>411</v>
      </c>
    </row>
    <row r="575" spans="1:6">
      <c r="A575" s="35" t="s">
        <v>983</v>
      </c>
      <c r="B575" s="37">
        <v>409.97500610351563</v>
      </c>
      <c r="C575" s="37">
        <v>311.20916748046875</v>
      </c>
      <c r="D575" s="35">
        <v>2194602</v>
      </c>
      <c r="E575" s="35" t="s">
        <v>969</v>
      </c>
      <c r="F575" s="35" t="s">
        <v>411</v>
      </c>
    </row>
    <row r="576" spans="1:6">
      <c r="A576" s="35" t="s">
        <v>984</v>
      </c>
      <c r="B576" s="37">
        <v>400.125</v>
      </c>
      <c r="C576" s="37">
        <v>303.73214721679688</v>
      </c>
      <c r="D576" s="35">
        <v>1918248</v>
      </c>
      <c r="E576" s="35" t="s">
        <v>969</v>
      </c>
      <c r="F576" s="35" t="s">
        <v>411</v>
      </c>
    </row>
    <row r="577" spans="1:6">
      <c r="A577" s="35" t="s">
        <v>985</v>
      </c>
      <c r="B577" s="37">
        <v>404.85000610351563</v>
      </c>
      <c r="C577" s="37">
        <v>307.31893920898438</v>
      </c>
      <c r="D577" s="35">
        <v>5640334</v>
      </c>
      <c r="E577" s="35" t="s">
        <v>969</v>
      </c>
      <c r="F577" s="35" t="s">
        <v>411</v>
      </c>
    </row>
    <row r="578" spans="1:6">
      <c r="A578" s="35" t="s">
        <v>986</v>
      </c>
      <c r="B578" s="37">
        <v>407.04998779296875</v>
      </c>
      <c r="C578" s="37">
        <v>308.98886108398438</v>
      </c>
      <c r="D578" s="35">
        <v>2794138</v>
      </c>
      <c r="E578" s="35" t="s">
        <v>969</v>
      </c>
      <c r="F578" s="35" t="s">
        <v>411</v>
      </c>
    </row>
    <row r="579" spans="1:6">
      <c r="A579" s="35" t="s">
        <v>987</v>
      </c>
      <c r="B579" s="37">
        <v>411.02499389648438</v>
      </c>
      <c r="C579" s="37">
        <v>312.00616455078125</v>
      </c>
      <c r="D579" s="35">
        <v>1722732</v>
      </c>
      <c r="E579" s="35" t="s">
        <v>969</v>
      </c>
      <c r="F579" s="35" t="s">
        <v>411</v>
      </c>
    </row>
    <row r="580" spans="1:6">
      <c r="A580" s="35" t="s">
        <v>988</v>
      </c>
      <c r="B580" s="37">
        <v>417.54998779296875</v>
      </c>
      <c r="C580" s="37">
        <v>316.9593505859375</v>
      </c>
      <c r="D580" s="35">
        <v>1989864</v>
      </c>
      <c r="E580" s="35" t="s">
        <v>969</v>
      </c>
      <c r="F580" s="35" t="s">
        <v>411</v>
      </c>
    </row>
    <row r="581" spans="1:6">
      <c r="A581" s="35" t="s">
        <v>989</v>
      </c>
      <c r="B581" s="37">
        <v>409</v>
      </c>
      <c r="C581" s="37">
        <v>310.4691162109375</v>
      </c>
      <c r="D581" s="35">
        <v>2758496</v>
      </c>
      <c r="E581" s="35" t="s">
        <v>969</v>
      </c>
      <c r="F581" s="35" t="s">
        <v>411</v>
      </c>
    </row>
    <row r="582" spans="1:6">
      <c r="A582" s="35" t="s">
        <v>990</v>
      </c>
      <c r="B582" s="37">
        <v>414.79998779296875</v>
      </c>
      <c r="C582" s="37">
        <v>314.87185668945313</v>
      </c>
      <c r="D582" s="35">
        <v>1856816</v>
      </c>
      <c r="E582" s="35" t="s">
        <v>969</v>
      </c>
      <c r="F582" s="35" t="s">
        <v>411</v>
      </c>
    </row>
    <row r="583" spans="1:6">
      <c r="A583" s="35" t="s">
        <v>991</v>
      </c>
      <c r="B583" s="37">
        <v>420.10000610351563</v>
      </c>
      <c r="C583" s="37">
        <v>318.89508056640625</v>
      </c>
      <c r="D583" s="35">
        <v>1581634</v>
      </c>
      <c r="E583" s="35" t="s">
        <v>969</v>
      </c>
      <c r="F583" s="35" t="s">
        <v>411</v>
      </c>
    </row>
    <row r="584" spans="1:6">
      <c r="A584" s="35" t="s">
        <v>992</v>
      </c>
      <c r="B584" s="37">
        <v>424.875</v>
      </c>
      <c r="C584" s="37">
        <v>322.51968383789063</v>
      </c>
      <c r="D584" s="35">
        <v>1814522</v>
      </c>
      <c r="E584" s="35" t="s">
        <v>969</v>
      </c>
      <c r="F584" s="35" t="s">
        <v>411</v>
      </c>
    </row>
    <row r="585" spans="1:6">
      <c r="A585" s="35" t="s">
        <v>993</v>
      </c>
      <c r="B585" s="37">
        <v>421.79998779296875</v>
      </c>
      <c r="C585" s="37">
        <v>320.18548583984375</v>
      </c>
      <c r="D585" s="35">
        <v>1515412</v>
      </c>
      <c r="E585" s="35" t="s">
        <v>969</v>
      </c>
      <c r="F585" s="35" t="s">
        <v>411</v>
      </c>
    </row>
    <row r="586" spans="1:6">
      <c r="A586" s="35" t="s">
        <v>994</v>
      </c>
      <c r="B586" s="37">
        <v>419.35000610351563</v>
      </c>
      <c r="C586" s="37">
        <v>318.32568359375</v>
      </c>
      <c r="D586" s="35">
        <v>7029834</v>
      </c>
      <c r="E586" s="35" t="s">
        <v>969</v>
      </c>
      <c r="F586" s="35" t="s">
        <v>411</v>
      </c>
    </row>
    <row r="587" spans="1:6">
      <c r="A587" s="35" t="s">
        <v>995</v>
      </c>
      <c r="B587" s="37">
        <v>423.82501220703125</v>
      </c>
      <c r="C587" s="37">
        <v>321.72265625</v>
      </c>
      <c r="D587" s="35">
        <v>3295402</v>
      </c>
      <c r="E587" s="35" t="s">
        <v>969</v>
      </c>
      <c r="F587" s="35" t="s">
        <v>411</v>
      </c>
    </row>
    <row r="588" spans="1:6">
      <c r="A588" s="35" t="s">
        <v>996</v>
      </c>
      <c r="B588" s="37">
        <v>424.27499389648438</v>
      </c>
      <c r="C588" s="37">
        <v>322.06423950195313</v>
      </c>
      <c r="D588" s="35">
        <v>1375146</v>
      </c>
      <c r="E588" s="35" t="s">
        <v>969</v>
      </c>
      <c r="F588" s="35" t="s">
        <v>411</v>
      </c>
    </row>
    <row r="589" spans="1:6">
      <c r="A589" s="35" t="s">
        <v>997</v>
      </c>
      <c r="B589" s="37">
        <v>424.79998779296875</v>
      </c>
      <c r="C589" s="37">
        <v>322.46273803710938</v>
      </c>
      <c r="D589" s="35">
        <v>5948804</v>
      </c>
      <c r="E589" s="35" t="s">
        <v>969</v>
      </c>
      <c r="F589" s="35" t="s">
        <v>411</v>
      </c>
    </row>
    <row r="590" spans="1:6">
      <c r="A590" s="35" t="s">
        <v>998</v>
      </c>
      <c r="B590" s="37">
        <v>426.77499389648438</v>
      </c>
      <c r="C590" s="37">
        <v>323.9619140625</v>
      </c>
      <c r="D590" s="35">
        <v>2747118</v>
      </c>
      <c r="E590" s="35" t="s">
        <v>969</v>
      </c>
      <c r="F590" s="35" t="s">
        <v>411</v>
      </c>
    </row>
    <row r="591" spans="1:6">
      <c r="A591" s="35" t="s">
        <v>999</v>
      </c>
      <c r="B591" s="37">
        <v>424.20001220703125</v>
      </c>
      <c r="C591" s="37">
        <v>322.00741577148438</v>
      </c>
      <c r="D591" s="35">
        <v>7317362</v>
      </c>
      <c r="E591" s="35" t="s">
        <v>969</v>
      </c>
      <c r="F591" s="35" t="s">
        <v>411</v>
      </c>
    </row>
    <row r="592" spans="1:6">
      <c r="A592" s="35" t="s">
        <v>1000</v>
      </c>
      <c r="B592" s="37">
        <v>422.35000610351563</v>
      </c>
      <c r="C592" s="37">
        <v>320.60302734375</v>
      </c>
      <c r="D592" s="35">
        <v>2896062</v>
      </c>
      <c r="E592" s="35" t="s">
        <v>969</v>
      </c>
      <c r="F592" s="35" t="s">
        <v>411</v>
      </c>
    </row>
    <row r="593" spans="1:6">
      <c r="A593" s="35" t="s">
        <v>1001</v>
      </c>
      <c r="B593" s="37">
        <v>428.72500610351563</v>
      </c>
      <c r="C593" s="37">
        <v>325.4422607421875</v>
      </c>
      <c r="D593" s="35">
        <v>5784538</v>
      </c>
      <c r="E593" s="35" t="s">
        <v>969</v>
      </c>
      <c r="F593" s="35" t="s">
        <v>411</v>
      </c>
    </row>
    <row r="594" spans="1:6">
      <c r="A594" s="35" t="s">
        <v>1002</v>
      </c>
      <c r="B594" s="37">
        <v>432.45001220703125</v>
      </c>
      <c r="C594" s="37">
        <v>328.2698974609375</v>
      </c>
      <c r="D594" s="35">
        <v>6427042</v>
      </c>
      <c r="E594" s="35" t="s">
        <v>969</v>
      </c>
      <c r="F594" s="35" t="s">
        <v>411</v>
      </c>
    </row>
    <row r="595" spans="1:6">
      <c r="A595" s="35" t="s">
        <v>1003</v>
      </c>
      <c r="B595" s="37">
        <v>427.42498779296875</v>
      </c>
      <c r="C595" s="37">
        <v>326.721923828125</v>
      </c>
      <c r="D595" s="35">
        <v>4033036</v>
      </c>
      <c r="E595" s="35" t="s">
        <v>969</v>
      </c>
      <c r="F595" s="35" t="s">
        <v>411</v>
      </c>
    </row>
    <row r="596" spans="1:6">
      <c r="A596" s="35" t="s">
        <v>1004</v>
      </c>
      <c r="B596" s="37">
        <v>429.79998779296875</v>
      </c>
      <c r="C596" s="37">
        <v>328.537353515625</v>
      </c>
      <c r="D596" s="35">
        <v>5896078</v>
      </c>
      <c r="E596" s="35" t="s">
        <v>969</v>
      </c>
      <c r="F596" s="35" t="s">
        <v>411</v>
      </c>
    </row>
    <row r="597" spans="1:6">
      <c r="A597" s="35" t="s">
        <v>1005</v>
      </c>
      <c r="B597" s="37">
        <v>429.54998779296875</v>
      </c>
      <c r="C597" s="37">
        <v>328.34625244140625</v>
      </c>
      <c r="D597" s="35">
        <v>2604830</v>
      </c>
      <c r="E597" s="35" t="s">
        <v>969</v>
      </c>
      <c r="F597" s="35" t="s">
        <v>411</v>
      </c>
    </row>
    <row r="598" spans="1:6">
      <c r="A598" s="35" t="s">
        <v>1006</v>
      </c>
      <c r="B598" s="37">
        <v>432.22500610351563</v>
      </c>
      <c r="C598" s="37">
        <v>330.39096069335938</v>
      </c>
      <c r="D598" s="35">
        <v>3686630</v>
      </c>
      <c r="E598" s="35" t="s">
        <v>969</v>
      </c>
      <c r="F598" s="35" t="s">
        <v>411</v>
      </c>
    </row>
    <row r="599" spans="1:6">
      <c r="A599" s="35" t="s">
        <v>1007</v>
      </c>
      <c r="B599" s="37">
        <v>434.07501220703125</v>
      </c>
      <c r="C599" s="37">
        <v>331.80520629882813</v>
      </c>
      <c r="D599" s="35">
        <v>2826830</v>
      </c>
      <c r="E599" s="35" t="s">
        <v>969</v>
      </c>
      <c r="F599" s="35" t="s">
        <v>411</v>
      </c>
    </row>
    <row r="600" spans="1:6">
      <c r="A600" s="35" t="s">
        <v>1008</v>
      </c>
      <c r="B600" s="37">
        <v>432.125</v>
      </c>
      <c r="C600" s="37">
        <v>330.31463623046875</v>
      </c>
      <c r="D600" s="35">
        <v>5747114</v>
      </c>
      <c r="E600" s="35" t="s">
        <v>969</v>
      </c>
      <c r="F600" s="35" t="s">
        <v>411</v>
      </c>
    </row>
    <row r="601" spans="1:6">
      <c r="A601" s="35" t="s">
        <v>1009</v>
      </c>
      <c r="B601" s="37">
        <v>431.125</v>
      </c>
      <c r="C601" s="37">
        <v>329.55032348632813</v>
      </c>
      <c r="D601" s="35">
        <v>1843166</v>
      </c>
      <c r="E601" s="35" t="s">
        <v>969</v>
      </c>
      <c r="F601" s="35" t="s">
        <v>411</v>
      </c>
    </row>
    <row r="602" spans="1:6">
      <c r="A602" s="35" t="s">
        <v>1010</v>
      </c>
      <c r="B602" s="37">
        <v>428.95001220703125</v>
      </c>
      <c r="C602" s="37">
        <v>327.88772583007813</v>
      </c>
      <c r="D602" s="35">
        <v>2223574</v>
      </c>
      <c r="E602" s="35" t="s">
        <v>969</v>
      </c>
      <c r="F602" s="35" t="s">
        <v>411</v>
      </c>
    </row>
    <row r="603" spans="1:6">
      <c r="A603" s="35" t="s">
        <v>1011</v>
      </c>
      <c r="B603" s="37">
        <v>429.35000610351563</v>
      </c>
      <c r="C603" s="37">
        <v>328.19345092773438</v>
      </c>
      <c r="D603" s="35">
        <v>2816618</v>
      </c>
      <c r="E603" s="35" t="s">
        <v>969</v>
      </c>
      <c r="F603" s="35" t="s">
        <v>411</v>
      </c>
    </row>
    <row r="604" spans="1:6">
      <c r="A604" s="35" t="s">
        <v>1012</v>
      </c>
      <c r="B604" s="37">
        <v>444.72500610351563</v>
      </c>
      <c r="C604" s="37">
        <v>339.9459228515625</v>
      </c>
      <c r="D604" s="35">
        <v>13253770</v>
      </c>
      <c r="E604" s="35" t="s">
        <v>969</v>
      </c>
      <c r="F604" s="35" t="s">
        <v>411</v>
      </c>
    </row>
    <row r="605" spans="1:6">
      <c r="A605" s="35" t="s">
        <v>1013</v>
      </c>
      <c r="B605" s="37">
        <v>440.25</v>
      </c>
      <c r="C605" s="37">
        <v>336.52545166015625</v>
      </c>
      <c r="D605" s="35">
        <v>6733948</v>
      </c>
      <c r="E605" s="35" t="s">
        <v>969</v>
      </c>
      <c r="F605" s="35" t="s">
        <v>411</v>
      </c>
    </row>
    <row r="606" spans="1:6">
      <c r="A606" s="35" t="s">
        <v>1014</v>
      </c>
      <c r="B606" s="37">
        <v>434.17498779296875</v>
      </c>
      <c r="C606" s="37">
        <v>331.88153076171875</v>
      </c>
      <c r="D606" s="35">
        <v>2830620</v>
      </c>
      <c r="E606" s="35" t="s">
        <v>969</v>
      </c>
      <c r="F606" s="35" t="s">
        <v>411</v>
      </c>
    </row>
    <row r="607" spans="1:6">
      <c r="A607" s="35" t="s">
        <v>1015</v>
      </c>
      <c r="B607" s="37">
        <v>430.375</v>
      </c>
      <c r="C607" s="37">
        <v>328.97695922851563</v>
      </c>
      <c r="D607" s="35">
        <v>2701028</v>
      </c>
      <c r="E607" s="35" t="s">
        <v>969</v>
      </c>
      <c r="F607" s="35" t="s">
        <v>411</v>
      </c>
    </row>
    <row r="608" spans="1:6">
      <c r="A608" s="35" t="s">
        <v>1016</v>
      </c>
      <c r="B608" s="37">
        <v>432.77499389648438</v>
      </c>
      <c r="C608" s="37">
        <v>330.8114013671875</v>
      </c>
      <c r="D608" s="35">
        <v>2065426</v>
      </c>
      <c r="E608" s="35" t="s">
        <v>969</v>
      </c>
      <c r="F608" s="35" t="s">
        <v>411</v>
      </c>
    </row>
    <row r="609" spans="1:6">
      <c r="A609" s="35" t="s">
        <v>1017</v>
      </c>
      <c r="B609" s="37">
        <v>423.57501220703125</v>
      </c>
      <c r="C609" s="37">
        <v>323.77896118164063</v>
      </c>
      <c r="D609" s="35">
        <v>2487790</v>
      </c>
      <c r="E609" s="35" t="s">
        <v>969</v>
      </c>
      <c r="F609" s="35" t="s">
        <v>411</v>
      </c>
    </row>
    <row r="610" spans="1:6">
      <c r="A610" s="35" t="s">
        <v>1018</v>
      </c>
      <c r="B610" s="37">
        <v>426.82501220703125</v>
      </c>
      <c r="C610" s="37">
        <v>326.26324462890625</v>
      </c>
      <c r="D610" s="35">
        <v>1801536</v>
      </c>
      <c r="E610" s="35" t="s">
        <v>969</v>
      </c>
      <c r="F610" s="35" t="s">
        <v>411</v>
      </c>
    </row>
    <row r="611" spans="1:6">
      <c r="A611" s="35" t="s">
        <v>1019</v>
      </c>
      <c r="B611" s="37">
        <v>422.20001220703125</v>
      </c>
      <c r="C611" s="37">
        <v>322.72793579101563</v>
      </c>
      <c r="D611" s="35">
        <v>3547290</v>
      </c>
      <c r="E611" s="35" t="s">
        <v>969</v>
      </c>
      <c r="F611" s="35" t="s">
        <v>411</v>
      </c>
    </row>
    <row r="612" spans="1:6">
      <c r="A612" s="35" t="s">
        <v>1020</v>
      </c>
      <c r="B612" s="37">
        <v>419.5</v>
      </c>
      <c r="C612" s="37">
        <v>320.6640625</v>
      </c>
      <c r="D612" s="35">
        <v>3824660</v>
      </c>
      <c r="E612" s="35" t="s">
        <v>969</v>
      </c>
      <c r="F612" s="35" t="s">
        <v>411</v>
      </c>
    </row>
    <row r="613" spans="1:6">
      <c r="A613" s="35" t="s">
        <v>1021</v>
      </c>
      <c r="B613" s="37">
        <v>421.25</v>
      </c>
      <c r="C613" s="37">
        <v>322.0018310546875</v>
      </c>
      <c r="D613" s="35">
        <v>1690856</v>
      </c>
      <c r="E613" s="35" t="s">
        <v>969</v>
      </c>
      <c r="F613" s="35" t="s">
        <v>411</v>
      </c>
    </row>
    <row r="614" spans="1:6">
      <c r="A614" s="35" t="s">
        <v>1022</v>
      </c>
      <c r="B614" s="37">
        <v>427.125</v>
      </c>
      <c r="C614" s="37">
        <v>326.49264526367188</v>
      </c>
      <c r="D614" s="35">
        <v>2082258</v>
      </c>
      <c r="E614" s="35" t="s">
        <v>969</v>
      </c>
      <c r="F614" s="35" t="s">
        <v>411</v>
      </c>
    </row>
    <row r="615" spans="1:6">
      <c r="A615" s="35" t="s">
        <v>1023</v>
      </c>
      <c r="B615" s="37">
        <v>421.72500610351563</v>
      </c>
      <c r="C615" s="37">
        <v>322.36483764648438</v>
      </c>
      <c r="D615" s="35">
        <v>1819308</v>
      </c>
      <c r="E615" s="35" t="s">
        <v>969</v>
      </c>
      <c r="F615" s="35" t="s">
        <v>411</v>
      </c>
    </row>
    <row r="616" spans="1:6">
      <c r="A616" s="35" t="s">
        <v>1024</v>
      </c>
      <c r="B616" s="37">
        <v>424.57501220703125</v>
      </c>
      <c r="C616" s="37">
        <v>324.54345703125</v>
      </c>
      <c r="D616" s="35">
        <v>2895584</v>
      </c>
      <c r="E616" s="35" t="s">
        <v>969</v>
      </c>
      <c r="F616" s="35" t="s">
        <v>411</v>
      </c>
    </row>
    <row r="617" spans="1:6">
      <c r="A617" s="35" t="s">
        <v>1025</v>
      </c>
      <c r="B617" s="37">
        <v>425.92498779296875</v>
      </c>
      <c r="C617" s="37">
        <v>325.57537841796875</v>
      </c>
      <c r="D617" s="35">
        <v>2161888</v>
      </c>
      <c r="E617" s="35" t="s">
        <v>969</v>
      </c>
      <c r="F617" s="35" t="s">
        <v>411</v>
      </c>
    </row>
    <row r="618" spans="1:6">
      <c r="A618" s="35" t="s">
        <v>1026</v>
      </c>
      <c r="B618" s="37">
        <v>420.10000610351563</v>
      </c>
      <c r="C618" s="37">
        <v>321.12274169921875</v>
      </c>
      <c r="D618" s="35">
        <v>2184790</v>
      </c>
      <c r="E618" s="35" t="s">
        <v>969</v>
      </c>
      <c r="F618" s="35" t="s">
        <v>411</v>
      </c>
    </row>
    <row r="619" spans="1:6">
      <c r="A619" s="35" t="s">
        <v>1027</v>
      </c>
      <c r="B619" s="37">
        <v>424.20001220703125</v>
      </c>
      <c r="C619" s="37">
        <v>324.25677490234375</v>
      </c>
      <c r="D619" s="35">
        <v>2476764</v>
      </c>
      <c r="E619" s="35" t="s">
        <v>969</v>
      </c>
      <c r="F619" s="35" t="s">
        <v>411</v>
      </c>
    </row>
    <row r="620" spans="1:6">
      <c r="A620" s="35" t="s">
        <v>1028</v>
      </c>
      <c r="B620" s="37">
        <v>423.79998779296875</v>
      </c>
      <c r="C620" s="37">
        <v>323.9510498046875</v>
      </c>
      <c r="D620" s="35">
        <v>2984220</v>
      </c>
      <c r="E620" s="35" t="s">
        <v>969</v>
      </c>
      <c r="F620" s="35" t="s">
        <v>411</v>
      </c>
    </row>
    <row r="621" spans="1:6">
      <c r="A621" s="35" t="s">
        <v>1029</v>
      </c>
      <c r="B621" s="37">
        <v>425.45001220703125</v>
      </c>
      <c r="C621" s="37">
        <v>325.2122802734375</v>
      </c>
      <c r="D621" s="35">
        <v>2257114</v>
      </c>
      <c r="E621" s="35" t="s">
        <v>969</v>
      </c>
      <c r="F621" s="35" t="s">
        <v>411</v>
      </c>
    </row>
    <row r="622" spans="1:6">
      <c r="A622" s="35" t="s">
        <v>1030</v>
      </c>
      <c r="B622" s="37">
        <v>419.07501220703125</v>
      </c>
      <c r="C622" s="37">
        <v>320.3392333984375</v>
      </c>
      <c r="D622" s="35">
        <v>3953676</v>
      </c>
      <c r="E622" s="35" t="s">
        <v>969</v>
      </c>
      <c r="F622" s="35" t="s">
        <v>411</v>
      </c>
    </row>
    <row r="623" spans="1:6">
      <c r="A623" s="35" t="s">
        <v>1031</v>
      </c>
      <c r="B623" s="37">
        <v>420.77499389648438</v>
      </c>
      <c r="C623" s="37">
        <v>321.638671875</v>
      </c>
      <c r="D623" s="35">
        <v>1981500</v>
      </c>
      <c r="E623" s="35" t="s">
        <v>969</v>
      </c>
      <c r="F623" s="35" t="s">
        <v>411</v>
      </c>
    </row>
    <row r="624" spans="1:6">
      <c r="A624" s="35" t="s">
        <v>1032</v>
      </c>
      <c r="B624" s="37">
        <v>418.75</v>
      </c>
      <c r="C624" s="37">
        <v>320.09072875976563</v>
      </c>
      <c r="D624" s="35">
        <v>2420508</v>
      </c>
      <c r="E624" s="35" t="s">
        <v>969</v>
      </c>
      <c r="F624" s="35" t="s">
        <v>411</v>
      </c>
    </row>
    <row r="625" spans="1:6">
      <c r="A625" s="35" t="s">
        <v>1033</v>
      </c>
      <c r="B625" s="37">
        <v>420.32501220703125</v>
      </c>
      <c r="C625" s="37">
        <v>321.29473876953125</v>
      </c>
      <c r="D625" s="35">
        <v>1373060</v>
      </c>
      <c r="E625" s="35" t="s">
        <v>969</v>
      </c>
      <c r="F625" s="35" t="s">
        <v>411</v>
      </c>
    </row>
    <row r="626" spans="1:6">
      <c r="A626" s="35" t="s">
        <v>1034</v>
      </c>
      <c r="B626" s="37">
        <v>415.95001220703125</v>
      </c>
      <c r="C626" s="37">
        <v>317.950439453125</v>
      </c>
      <c r="D626" s="35">
        <v>2303234</v>
      </c>
      <c r="E626" s="35" t="s">
        <v>969</v>
      </c>
      <c r="F626" s="35" t="s">
        <v>411</v>
      </c>
    </row>
    <row r="627" spans="1:6">
      <c r="A627" s="35" t="s">
        <v>1035</v>
      </c>
      <c r="B627" s="37">
        <v>424.82501220703125</v>
      </c>
      <c r="C627" s="37">
        <v>324.73440551757813</v>
      </c>
      <c r="D627" s="35">
        <v>390438</v>
      </c>
      <c r="E627" s="35" t="s">
        <v>969</v>
      </c>
      <c r="F627" s="35" t="s">
        <v>411</v>
      </c>
    </row>
    <row r="628" spans="1:6">
      <c r="A628" s="35" t="s">
        <v>1036</v>
      </c>
      <c r="B628" s="37">
        <v>425.32501220703125</v>
      </c>
      <c r="C628" s="37">
        <v>325.11676025390625</v>
      </c>
      <c r="D628" s="35">
        <v>2993400</v>
      </c>
      <c r="E628" s="35" t="s">
        <v>969</v>
      </c>
      <c r="F628" s="35" t="s">
        <v>411</v>
      </c>
    </row>
    <row r="629" spans="1:6">
      <c r="A629" s="35" t="s">
        <v>1037</v>
      </c>
      <c r="B629" s="37">
        <v>427</v>
      </c>
      <c r="C629" s="37">
        <v>326.3970947265625</v>
      </c>
      <c r="D629" s="35">
        <v>1205956</v>
      </c>
      <c r="E629" s="35" t="s">
        <v>969</v>
      </c>
      <c r="F629" s="35" t="s">
        <v>411</v>
      </c>
    </row>
    <row r="630" spans="1:6">
      <c r="A630" s="35" t="s">
        <v>1038</v>
      </c>
      <c r="B630" s="37">
        <v>429.29998779296875</v>
      </c>
      <c r="C630" s="37">
        <v>328.1552734375</v>
      </c>
      <c r="D630" s="35">
        <v>1912818</v>
      </c>
      <c r="E630" s="35" t="s">
        <v>969</v>
      </c>
      <c r="F630" s="35" t="s">
        <v>411</v>
      </c>
    </row>
    <row r="631" spans="1:6">
      <c r="A631" s="35" t="s">
        <v>1039</v>
      </c>
      <c r="B631" s="37">
        <v>425.17498779296875</v>
      </c>
      <c r="C631" s="37">
        <v>325.00204467773438</v>
      </c>
      <c r="D631" s="35">
        <v>1288116</v>
      </c>
      <c r="E631" s="35" t="s">
        <v>969</v>
      </c>
      <c r="F631" s="35" t="s">
        <v>411</v>
      </c>
    </row>
    <row r="632" spans="1:6">
      <c r="A632" s="35" t="s">
        <v>1040</v>
      </c>
      <c r="B632" s="37">
        <v>434.04998779296875</v>
      </c>
      <c r="C632" s="37">
        <v>331.78604125976563</v>
      </c>
      <c r="D632" s="35">
        <v>1818014</v>
      </c>
      <c r="E632" s="35" t="s">
        <v>969</v>
      </c>
      <c r="F632" s="35" t="s">
        <v>411</v>
      </c>
    </row>
    <row r="633" spans="1:6">
      <c r="A633" s="35" t="s">
        <v>1041</v>
      </c>
      <c r="B633" s="37">
        <v>440.35000610351563</v>
      </c>
      <c r="C633" s="37">
        <v>336.60174560546875</v>
      </c>
      <c r="D633" s="35">
        <v>1977378</v>
      </c>
      <c r="E633" s="35" t="s">
        <v>969</v>
      </c>
      <c r="F633" s="35" t="s">
        <v>411</v>
      </c>
    </row>
    <row r="634" spans="1:6">
      <c r="A634" s="35" t="s">
        <v>1042</v>
      </c>
      <c r="B634" s="37">
        <v>447.70001220703125</v>
      </c>
      <c r="C634" s="37">
        <v>342.22015380859375</v>
      </c>
      <c r="D634" s="35">
        <v>2912888</v>
      </c>
      <c r="E634" s="35" t="s">
        <v>969</v>
      </c>
      <c r="F634" s="35" t="s">
        <v>411</v>
      </c>
    </row>
    <row r="635" spans="1:6">
      <c r="A635" s="35" t="s">
        <v>1043</v>
      </c>
      <c r="B635" s="37">
        <v>442.82501220703125</v>
      </c>
      <c r="C635" s="37">
        <v>338.49371337890625</v>
      </c>
      <c r="D635" s="35">
        <v>1613768</v>
      </c>
      <c r="E635" s="35" t="s">
        <v>969</v>
      </c>
      <c r="F635" s="35" t="s">
        <v>411</v>
      </c>
    </row>
    <row r="636" spans="1:6">
      <c r="A636" s="35" t="s">
        <v>1044</v>
      </c>
      <c r="B636" s="37">
        <v>452.47500610351563</v>
      </c>
      <c r="C636" s="37">
        <v>345.87005615234375</v>
      </c>
      <c r="D636" s="35">
        <v>2483620</v>
      </c>
      <c r="E636" s="35" t="s">
        <v>969</v>
      </c>
      <c r="F636" s="35" t="s">
        <v>411</v>
      </c>
    </row>
    <row r="637" spans="1:6">
      <c r="A637" s="35" t="s">
        <v>1045</v>
      </c>
      <c r="B637" s="37">
        <v>453.70001220703125</v>
      </c>
      <c r="C637" s="37">
        <v>346.80642700195313</v>
      </c>
      <c r="D637" s="35">
        <v>3004440</v>
      </c>
      <c r="E637" s="35" t="s">
        <v>969</v>
      </c>
      <c r="F637" s="35" t="s">
        <v>411</v>
      </c>
    </row>
    <row r="638" spans="1:6">
      <c r="A638" s="35" t="s">
        <v>1046</v>
      </c>
      <c r="B638" s="37">
        <v>447.52499389648438</v>
      </c>
      <c r="C638" s="37">
        <v>342.08633422851563</v>
      </c>
      <c r="D638" s="35">
        <v>3584666</v>
      </c>
      <c r="E638" s="35" t="s">
        <v>969</v>
      </c>
      <c r="F638" s="35" t="s">
        <v>411</v>
      </c>
    </row>
    <row r="639" spans="1:6">
      <c r="A639" s="35" t="s">
        <v>1047</v>
      </c>
      <c r="B639" s="37">
        <v>446.35000610351563</v>
      </c>
      <c r="C639" s="37">
        <v>341.1881103515625</v>
      </c>
      <c r="D639" s="35">
        <v>3023714</v>
      </c>
      <c r="E639" s="35" t="s">
        <v>969</v>
      </c>
      <c r="F639" s="35" t="s">
        <v>411</v>
      </c>
    </row>
    <row r="640" spans="1:6">
      <c r="A640" s="35" t="s">
        <v>1048</v>
      </c>
      <c r="B640" s="37">
        <v>445.125</v>
      </c>
      <c r="C640" s="37">
        <v>340.251708984375</v>
      </c>
      <c r="D640" s="35">
        <v>9319652</v>
      </c>
      <c r="E640" s="35" t="s">
        <v>969</v>
      </c>
      <c r="F640" s="35" t="s">
        <v>411</v>
      </c>
    </row>
    <row r="641" spans="1:6">
      <c r="A641" s="35" t="s">
        <v>1049</v>
      </c>
      <c r="B641" s="37">
        <v>446.54998779296875</v>
      </c>
      <c r="C641" s="37">
        <v>341.34100341796875</v>
      </c>
      <c r="D641" s="35">
        <v>3042762</v>
      </c>
      <c r="E641" s="35" t="s">
        <v>969</v>
      </c>
      <c r="F641" s="35" t="s">
        <v>411</v>
      </c>
    </row>
    <row r="642" spans="1:6">
      <c r="A642" s="35" t="s">
        <v>1050</v>
      </c>
      <c r="B642" s="37">
        <v>446.45001220703125</v>
      </c>
      <c r="C642" s="37">
        <v>341.26455688476563</v>
      </c>
      <c r="D642" s="35">
        <v>1894566</v>
      </c>
      <c r="E642" s="35" t="s">
        <v>969</v>
      </c>
      <c r="F642" s="35" t="s">
        <v>411</v>
      </c>
    </row>
    <row r="643" spans="1:6">
      <c r="A643" s="35" t="s">
        <v>1051</v>
      </c>
      <c r="B643" s="37">
        <v>442.10000610351563</v>
      </c>
      <c r="C643" s="37">
        <v>337.93951416015625</v>
      </c>
      <c r="D643" s="35">
        <v>2664554</v>
      </c>
      <c r="E643" s="35" t="s">
        <v>969</v>
      </c>
      <c r="F643" s="35" t="s">
        <v>411</v>
      </c>
    </row>
    <row r="644" spans="1:6">
      <c r="A644" s="35" t="s">
        <v>1052</v>
      </c>
      <c r="B644" s="37">
        <v>441</v>
      </c>
      <c r="C644" s="37">
        <v>337.09866333007813</v>
      </c>
      <c r="D644" s="35">
        <v>1658180</v>
      </c>
      <c r="E644" s="35" t="s">
        <v>969</v>
      </c>
      <c r="F644" s="35" t="s">
        <v>411</v>
      </c>
    </row>
    <row r="645" spans="1:6">
      <c r="A645" s="35" t="s">
        <v>1053</v>
      </c>
      <c r="B645" s="37">
        <v>437.875</v>
      </c>
      <c r="C645" s="37">
        <v>335.47064208984375</v>
      </c>
      <c r="D645" s="35">
        <v>2544010</v>
      </c>
      <c r="E645" s="35" t="s">
        <v>969</v>
      </c>
      <c r="F645" s="35" t="s">
        <v>411</v>
      </c>
    </row>
    <row r="646" spans="1:6">
      <c r="A646" s="35" t="s">
        <v>1054</v>
      </c>
      <c r="B646" s="37">
        <v>445.32501220703125</v>
      </c>
      <c r="C646" s="37">
        <v>341.17822265625</v>
      </c>
      <c r="D646" s="35">
        <v>1141420</v>
      </c>
      <c r="E646" s="35" t="s">
        <v>969</v>
      </c>
      <c r="F646" s="35" t="s">
        <v>411</v>
      </c>
    </row>
    <row r="647" spans="1:6">
      <c r="A647" s="35" t="s">
        <v>1055</v>
      </c>
      <c r="B647" s="37">
        <v>443</v>
      </c>
      <c r="C647" s="37">
        <v>339.39700317382813</v>
      </c>
      <c r="D647" s="35">
        <v>1646970</v>
      </c>
      <c r="E647" s="35" t="s">
        <v>969</v>
      </c>
      <c r="F647" s="35" t="s">
        <v>411</v>
      </c>
    </row>
    <row r="648" spans="1:6">
      <c r="A648" s="35" t="s">
        <v>1056</v>
      </c>
      <c r="B648" s="37">
        <v>441</v>
      </c>
      <c r="C648" s="37">
        <v>337.86480712890625</v>
      </c>
      <c r="D648" s="35">
        <v>1731896</v>
      </c>
      <c r="E648" s="35" t="s">
        <v>969</v>
      </c>
      <c r="F648" s="35" t="s">
        <v>411</v>
      </c>
    </row>
    <row r="649" spans="1:6">
      <c r="A649" s="35" t="s">
        <v>1057</v>
      </c>
      <c r="B649" s="37">
        <v>439.375</v>
      </c>
      <c r="C649" s="37">
        <v>336.61978149414063</v>
      </c>
      <c r="D649" s="35">
        <v>1071692</v>
      </c>
      <c r="E649" s="35" t="s">
        <v>969</v>
      </c>
      <c r="F649" s="35" t="s">
        <v>411</v>
      </c>
    </row>
    <row r="650" spans="1:6">
      <c r="A650" s="35" t="s">
        <v>1058</v>
      </c>
      <c r="B650" s="37">
        <v>441.45001220703125</v>
      </c>
      <c r="C650" s="37">
        <v>338.20947265625</v>
      </c>
      <c r="D650" s="35">
        <v>1693074</v>
      </c>
      <c r="E650" s="35" t="s">
        <v>969</v>
      </c>
      <c r="F650" s="35" t="s">
        <v>411</v>
      </c>
    </row>
    <row r="651" spans="1:6">
      <c r="A651" s="35" t="s">
        <v>1059</v>
      </c>
      <c r="B651" s="37">
        <v>436.14999389648438</v>
      </c>
      <c r="C651" s="37">
        <v>334.14907836914063</v>
      </c>
      <c r="D651" s="35">
        <v>3384860</v>
      </c>
      <c r="E651" s="35" t="s">
        <v>969</v>
      </c>
      <c r="F651" s="35" t="s">
        <v>411</v>
      </c>
    </row>
    <row r="652" spans="1:6">
      <c r="A652" s="35" t="s">
        <v>1060</v>
      </c>
      <c r="B652" s="37">
        <v>430.04998779296875</v>
      </c>
      <c r="C652" s="37">
        <v>329.47555541992188</v>
      </c>
      <c r="D652" s="35">
        <v>808098</v>
      </c>
      <c r="E652" s="35" t="s">
        <v>969</v>
      </c>
      <c r="F652" s="35" t="s">
        <v>411</v>
      </c>
    </row>
    <row r="653" spans="1:6">
      <c r="A653" s="35" t="s">
        <v>1061</v>
      </c>
      <c r="B653" s="37">
        <v>432.25</v>
      </c>
      <c r="C653" s="37">
        <v>331.1611328125</v>
      </c>
      <c r="D653" s="35">
        <v>2250010</v>
      </c>
      <c r="E653" s="35" t="s">
        <v>969</v>
      </c>
      <c r="F653" s="35" t="s">
        <v>411</v>
      </c>
    </row>
    <row r="654" spans="1:6">
      <c r="A654" s="35" t="s">
        <v>1062</v>
      </c>
      <c r="B654" s="37">
        <v>435.70001220703125</v>
      </c>
      <c r="C654" s="37">
        <v>333.80419921875</v>
      </c>
      <c r="D654" s="35">
        <v>1602350</v>
      </c>
      <c r="E654" s="35" t="s">
        <v>969</v>
      </c>
      <c r="F654" s="35" t="s">
        <v>411</v>
      </c>
    </row>
    <row r="655" spans="1:6">
      <c r="A655" s="35" t="s">
        <v>1063</v>
      </c>
      <c r="B655" s="37">
        <v>438.125</v>
      </c>
      <c r="C655" s="37">
        <v>335.662109375</v>
      </c>
      <c r="D655" s="35">
        <v>2129910</v>
      </c>
      <c r="E655" s="35" t="s">
        <v>969</v>
      </c>
      <c r="F655" s="35" t="s">
        <v>411</v>
      </c>
    </row>
    <row r="656" spans="1:6">
      <c r="A656" s="35" t="s">
        <v>1064</v>
      </c>
      <c r="B656" s="37">
        <v>437.02499389648438</v>
      </c>
      <c r="C656" s="37">
        <v>334.81930541992188</v>
      </c>
      <c r="D656" s="35">
        <v>1339674</v>
      </c>
      <c r="E656" s="35" t="s">
        <v>969</v>
      </c>
      <c r="F656" s="35" t="s">
        <v>411</v>
      </c>
    </row>
    <row r="657" spans="1:6">
      <c r="A657" s="35" t="s">
        <v>1065</v>
      </c>
      <c r="B657" s="37">
        <v>437.92498779296875</v>
      </c>
      <c r="C657" s="37">
        <v>335.50888061523438</v>
      </c>
      <c r="D657" s="35">
        <v>1506462</v>
      </c>
      <c r="E657" s="35" t="s">
        <v>969</v>
      </c>
      <c r="F657" s="35" t="s">
        <v>411</v>
      </c>
    </row>
    <row r="658" spans="1:6">
      <c r="A658" s="35" t="s">
        <v>1066</v>
      </c>
      <c r="B658" s="37">
        <v>440</v>
      </c>
      <c r="C658" s="37">
        <v>337.09866333007813</v>
      </c>
      <c r="D658" s="35">
        <v>1509778</v>
      </c>
      <c r="E658" s="35" t="s">
        <v>969</v>
      </c>
      <c r="F658" s="35" t="s">
        <v>411</v>
      </c>
    </row>
    <row r="659" spans="1:6">
      <c r="A659" s="35" t="s">
        <v>1067</v>
      </c>
      <c r="B659" s="37">
        <v>433.75</v>
      </c>
      <c r="C659" s="37">
        <v>332.31039428710938</v>
      </c>
      <c r="D659" s="35">
        <v>1624246</v>
      </c>
      <c r="E659" s="35" t="s">
        <v>969</v>
      </c>
      <c r="F659" s="35" t="s">
        <v>411</v>
      </c>
    </row>
    <row r="660" spans="1:6">
      <c r="A660" s="35" t="s">
        <v>1068</v>
      </c>
      <c r="B660" s="37">
        <v>433.82501220703125</v>
      </c>
      <c r="C660" s="37">
        <v>332.36770629882813</v>
      </c>
      <c r="D660" s="35">
        <v>1792508</v>
      </c>
      <c r="E660" s="35" t="s">
        <v>969</v>
      </c>
      <c r="F660" s="35" t="s">
        <v>411</v>
      </c>
    </row>
    <row r="661" spans="1:6">
      <c r="A661" s="35" t="s">
        <v>1069</v>
      </c>
      <c r="B661" s="37">
        <v>426.27499389648438</v>
      </c>
      <c r="C661" s="37">
        <v>326.58343505859375</v>
      </c>
      <c r="D661" s="35">
        <v>1945588</v>
      </c>
      <c r="E661" s="35" t="s">
        <v>969</v>
      </c>
      <c r="F661" s="35" t="s">
        <v>411</v>
      </c>
    </row>
    <row r="662" spans="1:6">
      <c r="A662" s="35" t="s">
        <v>1070</v>
      </c>
      <c r="B662" s="37">
        <v>424.60000610351563</v>
      </c>
      <c r="C662" s="37">
        <v>325.30026245117188</v>
      </c>
      <c r="D662" s="35">
        <v>3387850</v>
      </c>
      <c r="E662" s="35" t="s">
        <v>969</v>
      </c>
      <c r="F662" s="35" t="s">
        <v>411</v>
      </c>
    </row>
    <row r="663" spans="1:6">
      <c r="A663" s="35" t="s">
        <v>1071</v>
      </c>
      <c r="B663" s="37">
        <v>432.64999389648438</v>
      </c>
      <c r="C663" s="37">
        <v>331.46746826171875</v>
      </c>
      <c r="D663" s="35">
        <v>5019082</v>
      </c>
      <c r="E663" s="35" t="s">
        <v>969</v>
      </c>
      <c r="F663" s="35" t="s">
        <v>411</v>
      </c>
    </row>
    <row r="664" spans="1:6">
      <c r="A664" s="35" t="s">
        <v>1072</v>
      </c>
      <c r="B664" s="37">
        <v>432.875</v>
      </c>
      <c r="C664" s="37">
        <v>331.63992309570313</v>
      </c>
      <c r="D664" s="35">
        <v>1600518</v>
      </c>
      <c r="E664" s="35" t="s">
        <v>969</v>
      </c>
      <c r="F664" s="35" t="s">
        <v>411</v>
      </c>
    </row>
    <row r="665" spans="1:6">
      <c r="A665" s="35" t="s">
        <v>1073</v>
      </c>
      <c r="B665" s="37">
        <v>430.29998779296875</v>
      </c>
      <c r="C665" s="37">
        <v>329.66705322265625</v>
      </c>
      <c r="D665" s="35">
        <v>1149942</v>
      </c>
      <c r="E665" s="35" t="s">
        <v>969</v>
      </c>
      <c r="F665" s="35" t="s">
        <v>411</v>
      </c>
    </row>
    <row r="666" spans="1:6">
      <c r="A666" s="35" t="s">
        <v>1074</v>
      </c>
      <c r="B666" s="37">
        <v>429.95001220703125</v>
      </c>
      <c r="C666" s="37">
        <v>329.3990478515625</v>
      </c>
      <c r="D666" s="35">
        <v>1095614</v>
      </c>
      <c r="E666" s="35" t="s">
        <v>969</v>
      </c>
      <c r="F666" s="35" t="s">
        <v>411</v>
      </c>
    </row>
    <row r="667" spans="1:6">
      <c r="A667" s="35" t="s">
        <v>1075</v>
      </c>
      <c r="B667" s="37">
        <v>425.52499389648438</v>
      </c>
      <c r="C667" s="37">
        <v>326.00875854492188</v>
      </c>
      <c r="D667" s="35">
        <v>1658772</v>
      </c>
      <c r="E667" s="35" t="s">
        <v>969</v>
      </c>
      <c r="F667" s="35" t="s">
        <v>411</v>
      </c>
    </row>
    <row r="668" spans="1:6">
      <c r="A668" s="35" t="s">
        <v>1076</v>
      </c>
      <c r="B668" s="37">
        <v>429.64999389648438</v>
      </c>
      <c r="C668" s="37">
        <v>329.16912841796875</v>
      </c>
      <c r="D668" s="35">
        <v>2949318</v>
      </c>
      <c r="E668" s="35" t="s">
        <v>969</v>
      </c>
      <c r="F668" s="35" t="s">
        <v>411</v>
      </c>
    </row>
    <row r="669" spans="1:6">
      <c r="A669" s="35" t="s">
        <v>1077</v>
      </c>
      <c r="B669" s="37">
        <v>429.75</v>
      </c>
      <c r="C669" s="37">
        <v>329.24581909179688</v>
      </c>
      <c r="D669" s="35">
        <v>2320104</v>
      </c>
      <c r="E669" s="35" t="s">
        <v>969</v>
      </c>
      <c r="F669" s="35" t="s">
        <v>411</v>
      </c>
    </row>
    <row r="670" spans="1:6">
      <c r="A670" s="35" t="s">
        <v>1078</v>
      </c>
      <c r="B670" s="37">
        <v>430.35000610351563</v>
      </c>
      <c r="C670" s="37">
        <v>329.7054443359375</v>
      </c>
      <c r="D670" s="35">
        <v>1439608</v>
      </c>
      <c r="E670" s="35" t="s">
        <v>969</v>
      </c>
      <c r="F670" s="35" t="s">
        <v>411</v>
      </c>
    </row>
    <row r="671" spans="1:6">
      <c r="A671" s="35" t="s">
        <v>1079</v>
      </c>
      <c r="B671" s="37">
        <v>432.02499389648438</v>
      </c>
      <c r="C671" s="37">
        <v>330.98873901367188</v>
      </c>
      <c r="D671" s="35">
        <v>1698738</v>
      </c>
      <c r="E671" s="35" t="s">
        <v>969</v>
      </c>
      <c r="F671" s="35" t="s">
        <v>411</v>
      </c>
    </row>
    <row r="672" spans="1:6">
      <c r="A672" s="35" t="s">
        <v>1080</v>
      </c>
      <c r="B672" s="37">
        <v>435.64999389648438</v>
      </c>
      <c r="C672" s="37">
        <v>333.76596069335938</v>
      </c>
      <c r="D672" s="35">
        <v>2237308</v>
      </c>
      <c r="E672" s="35" t="s">
        <v>969</v>
      </c>
      <c r="F672" s="35" t="s">
        <v>411</v>
      </c>
    </row>
    <row r="673" spans="1:6">
      <c r="A673" s="35" t="s">
        <v>1081</v>
      </c>
      <c r="B673" s="37">
        <v>440.39999389648438</v>
      </c>
      <c r="C673" s="37">
        <v>337.40509033203125</v>
      </c>
      <c r="D673" s="35">
        <v>2327652</v>
      </c>
      <c r="E673" s="35" t="s">
        <v>969</v>
      </c>
      <c r="F673" s="35" t="s">
        <v>411</v>
      </c>
    </row>
    <row r="674" spans="1:6">
      <c r="A674" s="35" t="s">
        <v>1082</v>
      </c>
      <c r="B674" s="37">
        <v>443.52499389648438</v>
      </c>
      <c r="C674" s="37">
        <v>339.79922485351563</v>
      </c>
      <c r="D674" s="35">
        <v>3502380</v>
      </c>
      <c r="E674" s="35" t="s">
        <v>969</v>
      </c>
      <c r="F674" s="35" t="s">
        <v>411</v>
      </c>
    </row>
    <row r="675" spans="1:6">
      <c r="A675" s="35" t="s">
        <v>1083</v>
      </c>
      <c r="B675" s="37">
        <v>448.67498779296875</v>
      </c>
      <c r="C675" s="37">
        <v>343.74484252929688</v>
      </c>
      <c r="D675" s="35">
        <v>1361938</v>
      </c>
      <c r="E675" s="35" t="s">
        <v>969</v>
      </c>
      <c r="F675" s="35" t="s">
        <v>411</v>
      </c>
    </row>
    <row r="676" spans="1:6">
      <c r="A676" s="35" t="s">
        <v>1084</v>
      </c>
      <c r="B676" s="37">
        <v>446.82501220703125</v>
      </c>
      <c r="C676" s="37">
        <v>342.32745361328125</v>
      </c>
      <c r="D676" s="35">
        <v>1095726</v>
      </c>
      <c r="E676" s="35" t="s">
        <v>969</v>
      </c>
      <c r="F676" s="35" t="s">
        <v>411</v>
      </c>
    </row>
    <row r="677" spans="1:6">
      <c r="A677" s="35" t="s">
        <v>1085</v>
      </c>
      <c r="B677" s="37">
        <v>444.72500610351563</v>
      </c>
      <c r="C677" s="37">
        <v>340.71859741210938</v>
      </c>
      <c r="D677" s="35">
        <v>1792966</v>
      </c>
      <c r="E677" s="35" t="s">
        <v>969</v>
      </c>
      <c r="F677" s="35" t="s">
        <v>411</v>
      </c>
    </row>
    <row r="678" spans="1:6">
      <c r="A678" s="35" t="s">
        <v>1086</v>
      </c>
      <c r="B678" s="37">
        <v>435.14999389648438</v>
      </c>
      <c r="C678" s="37">
        <v>333.3829345703125</v>
      </c>
      <c r="D678" s="35">
        <v>5197522</v>
      </c>
      <c r="E678" s="35" t="s">
        <v>969</v>
      </c>
      <c r="F678" s="35" t="s">
        <v>411</v>
      </c>
    </row>
    <row r="679" spans="1:6">
      <c r="A679" s="35" t="s">
        <v>1087</v>
      </c>
      <c r="B679" s="37">
        <v>442.22500610351563</v>
      </c>
      <c r="C679" s="37">
        <v>338.80331420898438</v>
      </c>
      <c r="D679" s="35">
        <v>6281534</v>
      </c>
      <c r="E679" s="35" t="s">
        <v>969</v>
      </c>
      <c r="F679" s="35" t="s">
        <v>411</v>
      </c>
    </row>
    <row r="680" spans="1:6">
      <c r="A680" s="35" t="s">
        <v>1088</v>
      </c>
      <c r="B680" s="37">
        <v>437.02499389648438</v>
      </c>
      <c r="C680" s="37">
        <v>334.81930541992188</v>
      </c>
      <c r="D680" s="35">
        <v>3550896</v>
      </c>
      <c r="E680" s="35" t="s">
        <v>969</v>
      </c>
      <c r="F680" s="35" t="s">
        <v>411</v>
      </c>
    </row>
    <row r="681" spans="1:6">
      <c r="A681" s="35" t="s">
        <v>1089</v>
      </c>
      <c r="B681" s="37">
        <v>436.82501220703125</v>
      </c>
      <c r="C681" s="37">
        <v>334.66616821289063</v>
      </c>
      <c r="D681" s="35">
        <v>3446850</v>
      </c>
      <c r="E681" s="35" t="s">
        <v>969</v>
      </c>
      <c r="F681" s="35" t="s">
        <v>411</v>
      </c>
    </row>
    <row r="682" spans="1:6">
      <c r="A682" s="35" t="s">
        <v>1090</v>
      </c>
      <c r="B682" s="37">
        <v>437.32501220703125</v>
      </c>
      <c r="C682" s="37">
        <v>335.04925537109375</v>
      </c>
      <c r="D682" s="35">
        <v>2541882</v>
      </c>
      <c r="E682" s="35" t="s">
        <v>969</v>
      </c>
      <c r="F682" s="35" t="s">
        <v>411</v>
      </c>
    </row>
    <row r="683" spans="1:6">
      <c r="A683" s="35" t="s">
        <v>1091</v>
      </c>
      <c r="B683" s="37">
        <v>437.60000610351563</v>
      </c>
      <c r="C683" s="37">
        <v>335.26004028320313</v>
      </c>
      <c r="D683" s="35">
        <v>6193068</v>
      </c>
      <c r="E683" s="35" t="s">
        <v>969</v>
      </c>
      <c r="F683" s="35" t="s">
        <v>411</v>
      </c>
    </row>
    <row r="684" spans="1:6">
      <c r="A684" s="35" t="s">
        <v>1092</v>
      </c>
      <c r="B684" s="37">
        <v>437.39999389648438</v>
      </c>
      <c r="C684" s="37">
        <v>335.10675048828125</v>
      </c>
      <c r="D684" s="35">
        <v>2360270</v>
      </c>
      <c r="E684" s="35" t="s">
        <v>969</v>
      </c>
      <c r="F684" s="35" t="s">
        <v>411</v>
      </c>
    </row>
    <row r="685" spans="1:6">
      <c r="A685" s="35" t="s">
        <v>1093</v>
      </c>
      <c r="B685" s="37">
        <v>441.27499389648438</v>
      </c>
      <c r="C685" s="37">
        <v>338.07546997070313</v>
      </c>
      <c r="D685" s="35">
        <v>2684244</v>
      </c>
      <c r="E685" s="35" t="s">
        <v>969</v>
      </c>
      <c r="F685" s="35" t="s">
        <v>411</v>
      </c>
    </row>
    <row r="686" spans="1:6">
      <c r="A686" s="35" t="s">
        <v>1094</v>
      </c>
      <c r="B686" s="37">
        <v>443.29998779296875</v>
      </c>
      <c r="C686" s="37">
        <v>339.62686157226563</v>
      </c>
      <c r="D686" s="35">
        <v>1240900</v>
      </c>
      <c r="E686" s="35" t="s">
        <v>969</v>
      </c>
      <c r="F686" s="35" t="s">
        <v>411</v>
      </c>
    </row>
    <row r="687" spans="1:6">
      <c r="A687" s="35" t="s">
        <v>1095</v>
      </c>
      <c r="B687" s="37">
        <v>446.57501220703125</v>
      </c>
      <c r="C687" s="37">
        <v>342.13595581054688</v>
      </c>
      <c r="D687" s="35">
        <v>3552176</v>
      </c>
      <c r="E687" s="35" t="s">
        <v>969</v>
      </c>
      <c r="F687" s="35" t="s">
        <v>411</v>
      </c>
    </row>
    <row r="688" spans="1:6">
      <c r="A688" s="35" t="s">
        <v>1096</v>
      </c>
      <c r="B688" s="37">
        <v>453.95001220703125</v>
      </c>
      <c r="C688" s="37">
        <v>347.78616333007813</v>
      </c>
      <c r="D688" s="35">
        <v>3640948</v>
      </c>
      <c r="E688" s="35" t="s">
        <v>969</v>
      </c>
      <c r="F688" s="35" t="s">
        <v>411</v>
      </c>
    </row>
    <row r="689" spans="1:6">
      <c r="A689" s="35" t="s">
        <v>1097</v>
      </c>
      <c r="B689" s="37">
        <v>451.39999389648438</v>
      </c>
      <c r="C689" s="37">
        <v>345.83258056640625</v>
      </c>
      <c r="D689" s="35">
        <v>1206462</v>
      </c>
      <c r="E689" s="35" t="s">
        <v>969</v>
      </c>
      <c r="F689" s="35" t="s">
        <v>411</v>
      </c>
    </row>
    <row r="690" spans="1:6">
      <c r="A690" s="35" t="s">
        <v>1098</v>
      </c>
      <c r="B690" s="37">
        <v>449.79998779296875</v>
      </c>
      <c r="C690" s="37">
        <v>344.60671997070313</v>
      </c>
      <c r="D690" s="35">
        <v>3423160</v>
      </c>
      <c r="E690" s="35" t="s">
        <v>969</v>
      </c>
      <c r="F690" s="35" t="s">
        <v>411</v>
      </c>
    </row>
    <row r="691" spans="1:6">
      <c r="A691" s="35" t="s">
        <v>1099</v>
      </c>
      <c r="B691" s="37">
        <v>454.47500610351563</v>
      </c>
      <c r="C691" s="37">
        <v>348.18841552734375</v>
      </c>
      <c r="D691" s="35">
        <v>4337494</v>
      </c>
      <c r="E691" s="35" t="s">
        <v>969</v>
      </c>
      <c r="F691" s="35" t="s">
        <v>411</v>
      </c>
    </row>
    <row r="692" spans="1:6">
      <c r="A692" s="35" t="s">
        <v>1100</v>
      </c>
      <c r="B692" s="37">
        <v>458</v>
      </c>
      <c r="C692" s="37">
        <v>350.88906860351563</v>
      </c>
      <c r="D692" s="35">
        <v>2076624</v>
      </c>
      <c r="E692" s="35" t="s">
        <v>969</v>
      </c>
      <c r="F692" s="35" t="s">
        <v>411</v>
      </c>
    </row>
    <row r="693" spans="1:6">
      <c r="A693" s="35" t="s">
        <v>1101</v>
      </c>
      <c r="B693" s="37">
        <v>463.25</v>
      </c>
      <c r="C693" s="37">
        <v>354.91128540039063</v>
      </c>
      <c r="D693" s="35">
        <v>2210684</v>
      </c>
      <c r="E693" s="35" t="s">
        <v>969</v>
      </c>
      <c r="F693" s="35" t="s">
        <v>411</v>
      </c>
    </row>
    <row r="694" spans="1:6">
      <c r="A694" s="35" t="s">
        <v>1102</v>
      </c>
      <c r="B694" s="37">
        <v>461.5</v>
      </c>
      <c r="C694" s="37">
        <v>353.57052612304688</v>
      </c>
      <c r="D694" s="35">
        <v>1651154</v>
      </c>
      <c r="E694" s="35" t="s">
        <v>969</v>
      </c>
      <c r="F694" s="35" t="s">
        <v>411</v>
      </c>
    </row>
    <row r="695" spans="1:6">
      <c r="A695" s="35" t="s">
        <v>1103</v>
      </c>
      <c r="B695" s="37">
        <v>461.64999389648438</v>
      </c>
      <c r="C695" s="37">
        <v>353.6854248046875</v>
      </c>
      <c r="D695" s="35">
        <v>960424</v>
      </c>
      <c r="E695" s="35" t="s">
        <v>969</v>
      </c>
      <c r="F695" s="35" t="s">
        <v>411</v>
      </c>
    </row>
    <row r="696" spans="1:6">
      <c r="A696" s="35" t="s">
        <v>1104</v>
      </c>
      <c r="B696" s="37">
        <v>461.85000610351563</v>
      </c>
      <c r="C696" s="37">
        <v>353.83865356445313</v>
      </c>
      <c r="D696" s="35">
        <v>1160686</v>
      </c>
      <c r="E696" s="35" t="s">
        <v>969</v>
      </c>
      <c r="F696" s="35" t="s">
        <v>411</v>
      </c>
    </row>
    <row r="697" spans="1:6">
      <c r="A697" s="35" t="s">
        <v>1105</v>
      </c>
      <c r="B697" s="37">
        <v>461.14999389648438</v>
      </c>
      <c r="C697" s="37">
        <v>353.30242919921875</v>
      </c>
      <c r="D697" s="35">
        <v>58388</v>
      </c>
      <c r="E697" s="35" t="s">
        <v>969</v>
      </c>
      <c r="F697" s="35" t="s">
        <v>411</v>
      </c>
    </row>
    <row r="698" spans="1:6">
      <c r="A698" s="35" t="s">
        <v>1106</v>
      </c>
      <c r="B698" s="37">
        <v>468.625</v>
      </c>
      <c r="C698" s="37">
        <v>359.02908325195313</v>
      </c>
      <c r="D698" s="35">
        <v>3597394</v>
      </c>
      <c r="E698" s="35" t="s">
        <v>969</v>
      </c>
      <c r="F698" s="35" t="s">
        <v>411</v>
      </c>
    </row>
    <row r="699" spans="1:6">
      <c r="A699" s="35" t="s">
        <v>1107</v>
      </c>
      <c r="B699" s="37">
        <v>457.27499389648438</v>
      </c>
      <c r="C699" s="37">
        <v>350.3336181640625</v>
      </c>
      <c r="D699" s="35">
        <v>3155652</v>
      </c>
      <c r="E699" s="35" t="s">
        <v>969</v>
      </c>
      <c r="F699" s="35" t="s">
        <v>411</v>
      </c>
    </row>
    <row r="700" spans="1:6">
      <c r="A700" s="35" t="s">
        <v>1108</v>
      </c>
      <c r="B700" s="37">
        <v>453.52499389648438</v>
      </c>
      <c r="C700" s="37">
        <v>347.46054077148438</v>
      </c>
      <c r="D700" s="35">
        <v>6147680</v>
      </c>
      <c r="E700" s="35" t="s">
        <v>969</v>
      </c>
      <c r="F700" s="35" t="s">
        <v>411</v>
      </c>
    </row>
    <row r="701" spans="1:6">
      <c r="A701" s="35" t="s">
        <v>1109</v>
      </c>
      <c r="B701" s="37">
        <v>434.52499389648438</v>
      </c>
      <c r="C701" s="37">
        <v>332.90399169921875</v>
      </c>
      <c r="D701" s="35">
        <v>11565142</v>
      </c>
      <c r="E701" s="35" t="s">
        <v>969</v>
      </c>
      <c r="F701" s="35" t="s">
        <v>411</v>
      </c>
    </row>
    <row r="702" spans="1:6">
      <c r="A702" s="35" t="s">
        <v>1110</v>
      </c>
      <c r="B702" s="37">
        <v>427.47500610351563</v>
      </c>
      <c r="C702" s="37">
        <v>327.50283813476563</v>
      </c>
      <c r="D702" s="35">
        <v>4592368</v>
      </c>
      <c r="E702" s="35" t="s">
        <v>969</v>
      </c>
      <c r="F702" s="35" t="s">
        <v>411</v>
      </c>
    </row>
    <row r="703" spans="1:6">
      <c r="A703" s="35" t="s">
        <v>1111</v>
      </c>
      <c r="B703" s="37">
        <v>418.17498779296875</v>
      </c>
      <c r="C703" s="37">
        <v>320.37771606445313</v>
      </c>
      <c r="D703" s="35">
        <v>7251452</v>
      </c>
      <c r="E703" s="35" t="s">
        <v>969</v>
      </c>
      <c r="F703" s="35" t="s">
        <v>411</v>
      </c>
    </row>
    <row r="704" spans="1:6">
      <c r="A704" s="35" t="s">
        <v>1112</v>
      </c>
      <c r="B704" s="37">
        <v>427.89999389648438</v>
      </c>
      <c r="C704" s="37">
        <v>327.828369140625</v>
      </c>
      <c r="D704" s="35">
        <v>2958728</v>
      </c>
      <c r="E704" s="35" t="s">
        <v>969</v>
      </c>
      <c r="F704" s="35" t="s">
        <v>411</v>
      </c>
    </row>
    <row r="705" spans="1:6">
      <c r="A705" s="35" t="s">
        <v>1113</v>
      </c>
      <c r="B705" s="37">
        <v>420.32501220703125</v>
      </c>
      <c r="C705" s="37">
        <v>322.77932739257813</v>
      </c>
      <c r="D705" s="35">
        <v>3257662</v>
      </c>
      <c r="E705" s="35" t="s">
        <v>969</v>
      </c>
      <c r="F705" s="35" t="s">
        <v>411</v>
      </c>
    </row>
    <row r="706" spans="1:6">
      <c r="A706" s="35" t="s">
        <v>1114</v>
      </c>
      <c r="B706" s="37">
        <v>428.95001220703125</v>
      </c>
      <c r="C706" s="37">
        <v>329.40274047851563</v>
      </c>
      <c r="D706" s="35">
        <v>2965682</v>
      </c>
      <c r="E706" s="35" t="s">
        <v>969</v>
      </c>
      <c r="F706" s="35" t="s">
        <v>411</v>
      </c>
    </row>
    <row r="707" spans="1:6">
      <c r="A707" s="35" t="s">
        <v>1115</v>
      </c>
      <c r="B707" s="37">
        <v>423.57501220703125</v>
      </c>
      <c r="C707" s="37">
        <v>325.27496337890625</v>
      </c>
      <c r="D707" s="35">
        <v>2761172</v>
      </c>
      <c r="E707" s="35" t="s">
        <v>969</v>
      </c>
      <c r="F707" s="35" t="s">
        <v>411</v>
      </c>
    </row>
    <row r="708" spans="1:6">
      <c r="A708" s="35" t="s">
        <v>1116</v>
      </c>
      <c r="B708" s="37">
        <v>422.52499389648438</v>
      </c>
      <c r="C708" s="37">
        <v>324.46868896484375</v>
      </c>
      <c r="D708" s="35">
        <v>2273368</v>
      </c>
      <c r="E708" s="35" t="s">
        <v>969</v>
      </c>
      <c r="F708" s="35" t="s">
        <v>411</v>
      </c>
    </row>
    <row r="709" spans="1:6">
      <c r="A709" s="35" t="s">
        <v>1117</v>
      </c>
      <c r="B709" s="37">
        <v>438.375</v>
      </c>
      <c r="C709" s="37">
        <v>336.64041137695313</v>
      </c>
      <c r="D709" s="35">
        <v>5960612</v>
      </c>
      <c r="E709" s="35" t="s">
        <v>969</v>
      </c>
      <c r="F709" s="35" t="s">
        <v>411</v>
      </c>
    </row>
    <row r="710" spans="1:6">
      <c r="A710" s="35" t="s">
        <v>1118</v>
      </c>
      <c r="B710" s="37">
        <v>439.29998779296875</v>
      </c>
      <c r="C710" s="37">
        <v>337.35067749023438</v>
      </c>
      <c r="D710" s="35">
        <v>3821814</v>
      </c>
      <c r="E710" s="35" t="s">
        <v>969</v>
      </c>
      <c r="F710" s="35" t="s">
        <v>411</v>
      </c>
    </row>
    <row r="711" spans="1:6">
      <c r="A711" s="35" t="s">
        <v>1119</v>
      </c>
      <c r="B711" s="37">
        <v>437.97500610351563</v>
      </c>
      <c r="C711" s="37">
        <v>336.33316040039063</v>
      </c>
      <c r="D711" s="35">
        <v>1600452</v>
      </c>
      <c r="E711" s="35" t="s">
        <v>969</v>
      </c>
      <c r="F711" s="35" t="s">
        <v>411</v>
      </c>
    </row>
    <row r="712" spans="1:6">
      <c r="A712" s="35" t="s">
        <v>1120</v>
      </c>
      <c r="B712" s="37">
        <v>433.52499389648438</v>
      </c>
      <c r="C712" s="37">
        <v>332.91592407226563</v>
      </c>
      <c r="D712" s="35">
        <v>3070800</v>
      </c>
      <c r="E712" s="35" t="s">
        <v>969</v>
      </c>
      <c r="F712" s="35" t="s">
        <v>411</v>
      </c>
    </row>
    <row r="713" spans="1:6">
      <c r="A713" s="35" t="s">
        <v>1121</v>
      </c>
      <c r="B713" s="37">
        <v>434.75</v>
      </c>
      <c r="C713" s="37">
        <v>333.856689453125</v>
      </c>
      <c r="D713" s="35">
        <v>5322040</v>
      </c>
      <c r="E713" s="35" t="s">
        <v>969</v>
      </c>
      <c r="F713" s="35" t="s">
        <v>411</v>
      </c>
    </row>
    <row r="714" spans="1:6">
      <c r="A714" s="35" t="s">
        <v>1122</v>
      </c>
      <c r="B714" s="37">
        <v>434.89999389648438</v>
      </c>
      <c r="C714" s="37">
        <v>333.97189331054688</v>
      </c>
      <c r="D714" s="35">
        <v>2012894</v>
      </c>
      <c r="E714" s="35" t="s">
        <v>969</v>
      </c>
      <c r="F714" s="35" t="s">
        <v>411</v>
      </c>
    </row>
    <row r="715" spans="1:6">
      <c r="A715" s="35" t="s">
        <v>1123</v>
      </c>
      <c r="B715" s="37">
        <v>424.17498779296875</v>
      </c>
      <c r="C715" s="37">
        <v>325.7357177734375</v>
      </c>
      <c r="D715" s="35">
        <v>3122146</v>
      </c>
      <c r="E715" s="35" t="s">
        <v>969</v>
      </c>
      <c r="F715" s="35" t="s">
        <v>411</v>
      </c>
    </row>
    <row r="716" spans="1:6">
      <c r="A716" s="35" t="s">
        <v>1124</v>
      </c>
      <c r="B716" s="37">
        <v>425.95001220703125</v>
      </c>
      <c r="C716" s="37">
        <v>327.098876953125</v>
      </c>
      <c r="D716" s="35">
        <v>2181070</v>
      </c>
      <c r="E716" s="35" t="s">
        <v>969</v>
      </c>
      <c r="F716" s="35" t="s">
        <v>411</v>
      </c>
    </row>
    <row r="717" spans="1:6">
      <c r="A717" s="35" t="s">
        <v>1125</v>
      </c>
      <c r="B717" s="37">
        <v>420</v>
      </c>
      <c r="C717" s="37">
        <v>322.52957153320313</v>
      </c>
      <c r="D717" s="35">
        <v>3096988</v>
      </c>
      <c r="E717" s="35" t="s">
        <v>969</v>
      </c>
      <c r="F717" s="35" t="s">
        <v>411</v>
      </c>
    </row>
    <row r="718" spans="1:6">
      <c r="A718" s="35" t="s">
        <v>1126</v>
      </c>
      <c r="B718" s="37">
        <v>421.07501220703125</v>
      </c>
      <c r="C718" s="37">
        <v>323.35525512695313</v>
      </c>
      <c r="D718" s="35">
        <v>2260478</v>
      </c>
      <c r="E718" s="35" t="s">
        <v>969</v>
      </c>
      <c r="F718" s="35" t="s">
        <v>411</v>
      </c>
    </row>
    <row r="719" spans="1:6">
      <c r="A719" s="35" t="s">
        <v>1127</v>
      </c>
      <c r="B719" s="37">
        <v>418.85000610351563</v>
      </c>
      <c r="C719" s="37">
        <v>321.64669799804688</v>
      </c>
      <c r="D719" s="35">
        <v>2987142</v>
      </c>
      <c r="E719" s="35" t="s">
        <v>969</v>
      </c>
      <c r="F719" s="35" t="s">
        <v>411</v>
      </c>
    </row>
    <row r="720" spans="1:6">
      <c r="A720" s="35" t="s">
        <v>1128</v>
      </c>
      <c r="B720" s="37">
        <v>421.07501220703125</v>
      </c>
      <c r="C720" s="37">
        <v>323.35525512695313</v>
      </c>
      <c r="D720" s="35">
        <v>2269436</v>
      </c>
      <c r="E720" s="35" t="s">
        <v>969</v>
      </c>
      <c r="F720" s="35" t="s">
        <v>411</v>
      </c>
    </row>
    <row r="721" spans="1:6">
      <c r="A721" s="35" t="s">
        <v>1129</v>
      </c>
      <c r="B721" s="37">
        <v>426.85000610351563</v>
      </c>
      <c r="C721" s="37">
        <v>327.79010009765625</v>
      </c>
      <c r="D721" s="35">
        <v>2332448</v>
      </c>
      <c r="E721" s="35" t="s">
        <v>969</v>
      </c>
      <c r="F721" s="35" t="s">
        <v>411</v>
      </c>
    </row>
    <row r="722" spans="1:6">
      <c r="A722" s="35" t="s">
        <v>1130</v>
      </c>
      <c r="B722" s="37">
        <v>429.20001220703125</v>
      </c>
      <c r="C722" s="37">
        <v>329.59457397460938</v>
      </c>
      <c r="D722" s="35">
        <v>1646756</v>
      </c>
      <c r="E722" s="35" t="s">
        <v>969</v>
      </c>
      <c r="F722" s="35" t="s">
        <v>411</v>
      </c>
    </row>
    <row r="723" spans="1:6">
      <c r="A723" s="35" t="s">
        <v>1131</v>
      </c>
      <c r="B723" s="37">
        <v>430.35000610351563</v>
      </c>
      <c r="C723" s="37">
        <v>330.477783203125</v>
      </c>
      <c r="D723" s="35">
        <v>1592740</v>
      </c>
      <c r="E723" s="35" t="s">
        <v>969</v>
      </c>
      <c r="F723" s="35" t="s">
        <v>411</v>
      </c>
    </row>
    <row r="724" spans="1:6">
      <c r="A724" s="35" t="s">
        <v>1132</v>
      </c>
      <c r="B724" s="37">
        <v>429.625</v>
      </c>
      <c r="C724" s="37">
        <v>329.9210205078125</v>
      </c>
      <c r="D724" s="35">
        <v>2108650</v>
      </c>
      <c r="E724" s="35" t="s">
        <v>969</v>
      </c>
      <c r="F724" s="35" t="s">
        <v>411</v>
      </c>
    </row>
    <row r="725" spans="1:6">
      <c r="A725" s="35" t="s">
        <v>1133</v>
      </c>
      <c r="B725" s="37">
        <v>426.57501220703125</v>
      </c>
      <c r="C725" s="37">
        <v>327.57891845703125</v>
      </c>
      <c r="D725" s="35">
        <v>1523670</v>
      </c>
      <c r="E725" s="35" t="s">
        <v>969</v>
      </c>
      <c r="F725" s="35" t="s">
        <v>411</v>
      </c>
    </row>
    <row r="726" spans="1:6">
      <c r="A726" s="35" t="s">
        <v>1134</v>
      </c>
      <c r="B726" s="37">
        <v>424</v>
      </c>
      <c r="C726" s="37">
        <v>325.60134887695313</v>
      </c>
      <c r="D726" s="35">
        <v>6822606</v>
      </c>
      <c r="E726" s="35" t="s">
        <v>969</v>
      </c>
      <c r="F726" s="35" t="s">
        <v>411</v>
      </c>
    </row>
    <row r="727" spans="1:6">
      <c r="A727" s="35" t="s">
        <v>1135</v>
      </c>
      <c r="B727" s="37">
        <v>415</v>
      </c>
      <c r="C727" s="37">
        <v>318.6900634765625</v>
      </c>
      <c r="D727" s="35">
        <v>2768524</v>
      </c>
      <c r="E727" s="35" t="s">
        <v>969</v>
      </c>
      <c r="F727" s="35" t="s">
        <v>411</v>
      </c>
    </row>
    <row r="728" spans="1:6">
      <c r="A728" s="35" t="s">
        <v>1136</v>
      </c>
      <c r="B728" s="37">
        <v>423.97500610351563</v>
      </c>
      <c r="C728" s="37">
        <v>325.58224487304688</v>
      </c>
      <c r="D728" s="35">
        <v>1793768</v>
      </c>
      <c r="E728" s="35" t="s">
        <v>969</v>
      </c>
      <c r="F728" s="35" t="s">
        <v>411</v>
      </c>
    </row>
    <row r="729" spans="1:6">
      <c r="A729" s="35" t="s">
        <v>1137</v>
      </c>
      <c r="B729" s="37">
        <v>424</v>
      </c>
      <c r="C729" s="37">
        <v>325.60134887695313</v>
      </c>
      <c r="D729" s="35">
        <v>1980098</v>
      </c>
      <c r="E729" s="35" t="s">
        <v>969</v>
      </c>
      <c r="F729" s="35" t="s">
        <v>411</v>
      </c>
    </row>
    <row r="730" spans="1:6">
      <c r="A730" s="35" t="s">
        <v>1138</v>
      </c>
      <c r="B730" s="37">
        <v>429.29998779296875</v>
      </c>
      <c r="C730" s="37">
        <v>329.6715087890625</v>
      </c>
      <c r="D730" s="35">
        <v>3179456</v>
      </c>
      <c r="E730" s="35" t="s">
        <v>969</v>
      </c>
      <c r="F730" s="35" t="s">
        <v>411</v>
      </c>
    </row>
    <row r="731" spans="1:6">
      <c r="A731" s="35" t="s">
        <v>1139</v>
      </c>
      <c r="B731" s="37">
        <v>431.75</v>
      </c>
      <c r="C731" s="37">
        <v>331.55288696289063</v>
      </c>
      <c r="D731" s="35">
        <v>2450146</v>
      </c>
      <c r="E731" s="35" t="s">
        <v>969</v>
      </c>
      <c r="F731" s="35" t="s">
        <v>411</v>
      </c>
    </row>
    <row r="732" spans="1:6">
      <c r="A732" s="35" t="s">
        <v>1140</v>
      </c>
      <c r="B732" s="37">
        <v>435.22500610351563</v>
      </c>
      <c r="C732" s="37">
        <v>334.22149658203125</v>
      </c>
      <c r="D732" s="35">
        <v>1739846</v>
      </c>
      <c r="E732" s="35" t="s">
        <v>969</v>
      </c>
      <c r="F732" s="35" t="s">
        <v>411</v>
      </c>
    </row>
    <row r="733" spans="1:6">
      <c r="A733" s="35" t="s">
        <v>1141</v>
      </c>
      <c r="B733" s="37">
        <v>440</v>
      </c>
      <c r="C733" s="37">
        <v>337.88833618164063</v>
      </c>
      <c r="D733" s="35">
        <v>1597008</v>
      </c>
      <c r="E733" s="35" t="s">
        <v>969</v>
      </c>
      <c r="F733" s="35" t="s">
        <v>411</v>
      </c>
    </row>
    <row r="734" spans="1:6">
      <c r="A734" s="35" t="s">
        <v>1142</v>
      </c>
      <c r="B734" s="37">
        <v>437.60000610351563</v>
      </c>
      <c r="C734" s="37">
        <v>336.04537963867188</v>
      </c>
      <c r="D734" s="35">
        <v>2921624</v>
      </c>
      <c r="E734" s="35" t="s">
        <v>969</v>
      </c>
      <c r="F734" s="35" t="s">
        <v>411</v>
      </c>
    </row>
    <row r="735" spans="1:6">
      <c r="A735" s="35" t="s">
        <v>1143</v>
      </c>
      <c r="B735" s="37">
        <v>433.17498779296875</v>
      </c>
      <c r="C735" s="37">
        <v>332.64712524414063</v>
      </c>
      <c r="D735" s="35">
        <v>8609940</v>
      </c>
      <c r="E735" s="35" t="s">
        <v>969</v>
      </c>
      <c r="F735" s="35" t="s">
        <v>411</v>
      </c>
    </row>
    <row r="736" spans="1:6">
      <c r="A736" s="35" t="s">
        <v>1144</v>
      </c>
      <c r="B736" s="37">
        <v>441.42498779296875</v>
      </c>
      <c r="C736" s="37">
        <v>338.98251342773438</v>
      </c>
      <c r="D736" s="35">
        <v>6365040</v>
      </c>
      <c r="E736" s="35" t="s">
        <v>969</v>
      </c>
      <c r="F736" s="35" t="s">
        <v>411</v>
      </c>
    </row>
    <row r="737" spans="1:6">
      <c r="A737" s="35" t="s">
        <v>1145</v>
      </c>
      <c r="B737" s="37">
        <v>445.89999389648438</v>
      </c>
      <c r="C737" s="37">
        <v>342.4190673828125</v>
      </c>
      <c r="D737" s="35">
        <v>4469222</v>
      </c>
      <c r="E737" s="35" t="s">
        <v>969</v>
      </c>
      <c r="F737" s="35" t="s">
        <v>411</v>
      </c>
    </row>
    <row r="738" spans="1:6">
      <c r="A738" s="35" t="s">
        <v>1146</v>
      </c>
      <c r="B738" s="37">
        <v>442.5</v>
      </c>
      <c r="C738" s="37">
        <v>339.80807495117188</v>
      </c>
      <c r="D738" s="35">
        <v>2615662</v>
      </c>
      <c r="E738" s="35" t="s">
        <v>969</v>
      </c>
      <c r="F738" s="35" t="s">
        <v>411</v>
      </c>
    </row>
    <row r="739" spans="1:6">
      <c r="A739" s="35" t="s">
        <v>1147</v>
      </c>
      <c r="B739" s="37">
        <v>434.72500610351563</v>
      </c>
      <c r="C739" s="37">
        <v>333.83743286132813</v>
      </c>
      <c r="D739" s="35">
        <v>3971188</v>
      </c>
      <c r="E739" s="35" t="s">
        <v>969</v>
      </c>
      <c r="F739" s="35" t="s">
        <v>411</v>
      </c>
    </row>
    <row r="740" spans="1:6">
      <c r="A740" s="35" t="s">
        <v>1148</v>
      </c>
      <c r="B740" s="37">
        <v>434.92498779296875</v>
      </c>
      <c r="C740" s="37">
        <v>333.99102783203125</v>
      </c>
      <c r="D740" s="35">
        <v>2109744</v>
      </c>
      <c r="E740" s="35" t="s">
        <v>969</v>
      </c>
      <c r="F740" s="35" t="s">
        <v>411</v>
      </c>
    </row>
    <row r="741" spans="1:6">
      <c r="A741" s="35" t="s">
        <v>1149</v>
      </c>
      <c r="B741" s="37">
        <v>445.125</v>
      </c>
      <c r="C741" s="37">
        <v>341.82388305664063</v>
      </c>
      <c r="D741" s="35">
        <v>2859366</v>
      </c>
      <c r="E741" s="35" t="s">
        <v>969</v>
      </c>
      <c r="F741" s="35" t="s">
        <v>411</v>
      </c>
    </row>
    <row r="742" spans="1:6">
      <c r="A742" s="35" t="s">
        <v>1150</v>
      </c>
      <c r="B742" s="37">
        <v>443.45001220703125</v>
      </c>
      <c r="C742" s="37">
        <v>340.53759765625</v>
      </c>
      <c r="D742" s="35">
        <v>2104074</v>
      </c>
      <c r="E742" s="35" t="s">
        <v>969</v>
      </c>
      <c r="F742" s="35" t="s">
        <v>411</v>
      </c>
    </row>
    <row r="743" spans="1:6">
      <c r="A743" s="35" t="s">
        <v>1151</v>
      </c>
      <c r="B743" s="37">
        <v>444.22500610351563</v>
      </c>
      <c r="C743" s="37">
        <v>341.13287353515625</v>
      </c>
      <c r="D743" s="35">
        <v>2127136</v>
      </c>
      <c r="E743" s="35" t="s">
        <v>969</v>
      </c>
      <c r="F743" s="35" t="s">
        <v>411</v>
      </c>
    </row>
    <row r="744" spans="1:6">
      <c r="A744" s="35" t="s">
        <v>1152</v>
      </c>
      <c r="B744" s="37">
        <v>441.82501220703125</v>
      </c>
      <c r="C744" s="37">
        <v>339.28973388671875</v>
      </c>
      <c r="D744" s="35">
        <v>801620</v>
      </c>
      <c r="E744" s="35" t="s">
        <v>969</v>
      </c>
      <c r="F744" s="35" t="s">
        <v>411</v>
      </c>
    </row>
    <row r="745" spans="1:6">
      <c r="A745" s="35" t="s">
        <v>1153</v>
      </c>
      <c r="B745" s="37">
        <v>439.14999389648438</v>
      </c>
      <c r="C745" s="37">
        <v>337.23550415039063</v>
      </c>
      <c r="D745" s="35">
        <v>2319726</v>
      </c>
      <c r="E745" s="35" t="s">
        <v>969</v>
      </c>
      <c r="F745" s="35" t="s">
        <v>411</v>
      </c>
    </row>
    <row r="746" spans="1:6">
      <c r="A746" s="35" t="s">
        <v>1154</v>
      </c>
      <c r="B746" s="37">
        <v>445.25</v>
      </c>
      <c r="C746" s="37">
        <v>341.91983032226563</v>
      </c>
      <c r="D746" s="35">
        <v>3093850</v>
      </c>
      <c r="E746" s="35" t="s">
        <v>969</v>
      </c>
      <c r="F746" s="35" t="s">
        <v>411</v>
      </c>
    </row>
    <row r="747" spans="1:6">
      <c r="A747" s="35" t="s">
        <v>1155</v>
      </c>
      <c r="B747" s="37">
        <v>439.35000610351563</v>
      </c>
      <c r="C747" s="37">
        <v>337.38916015625</v>
      </c>
      <c r="D747" s="35">
        <v>1286288</v>
      </c>
      <c r="E747" s="35" t="s">
        <v>969</v>
      </c>
      <c r="F747" s="35" t="s">
        <v>411</v>
      </c>
    </row>
    <row r="748" spans="1:6">
      <c r="A748" s="35" t="s">
        <v>1156</v>
      </c>
      <c r="B748" s="37">
        <v>446.39999389648438</v>
      </c>
      <c r="C748" s="37">
        <v>342.80300903320313</v>
      </c>
      <c r="D748" s="35">
        <v>1906518</v>
      </c>
      <c r="E748" s="35" t="s">
        <v>969</v>
      </c>
      <c r="F748" s="35" t="s">
        <v>411</v>
      </c>
    </row>
    <row r="749" spans="1:6">
      <c r="A749" s="35" t="s">
        <v>1157</v>
      </c>
      <c r="B749" s="37">
        <v>448.64999389648438</v>
      </c>
      <c r="C749" s="37">
        <v>344.53076171875</v>
      </c>
      <c r="D749" s="35">
        <v>2583906</v>
      </c>
      <c r="E749" s="35" t="s">
        <v>969</v>
      </c>
      <c r="F749" s="35" t="s">
        <v>411</v>
      </c>
    </row>
    <row r="750" spans="1:6">
      <c r="A750" s="35" t="s">
        <v>1158</v>
      </c>
      <c r="B750" s="37">
        <v>446.54998779296875</v>
      </c>
      <c r="C750" s="37">
        <v>342.91818237304688</v>
      </c>
      <c r="D750" s="35">
        <v>1193460</v>
      </c>
      <c r="E750" s="35" t="s">
        <v>969</v>
      </c>
      <c r="F750" s="35" t="s">
        <v>411</v>
      </c>
    </row>
    <row r="751" spans="1:6">
      <c r="A751" s="35" t="s">
        <v>1159</v>
      </c>
      <c r="B751" s="37">
        <v>450.02499389648438</v>
      </c>
      <c r="C751" s="37">
        <v>345.58676147460938</v>
      </c>
      <c r="D751" s="35">
        <v>1492292</v>
      </c>
      <c r="E751" s="35" t="s">
        <v>969</v>
      </c>
      <c r="F751" s="35" t="s">
        <v>411</v>
      </c>
    </row>
    <row r="752" spans="1:6">
      <c r="A752" s="35" t="s">
        <v>1160</v>
      </c>
      <c r="B752" s="37">
        <v>450.25</v>
      </c>
      <c r="C752" s="37">
        <v>345.75955200195313</v>
      </c>
      <c r="D752" s="35">
        <v>2353168</v>
      </c>
      <c r="E752" s="35" t="s">
        <v>969</v>
      </c>
      <c r="F752" s="35" t="s">
        <v>411</v>
      </c>
    </row>
    <row r="753" spans="1:6">
      <c r="A753" s="35" t="s">
        <v>1161</v>
      </c>
      <c r="B753" s="37">
        <v>446.92498779296875</v>
      </c>
      <c r="C753" s="37">
        <v>343.20614624023438</v>
      </c>
      <c r="D753" s="35">
        <v>2504270</v>
      </c>
      <c r="E753" s="35" t="s">
        <v>969</v>
      </c>
      <c r="F753" s="35" t="s">
        <v>411</v>
      </c>
    </row>
    <row r="754" spans="1:6">
      <c r="A754" s="35" t="s">
        <v>1162</v>
      </c>
      <c r="B754" s="37">
        <v>457.92498779296875</v>
      </c>
      <c r="C754" s="37">
        <v>351.6533203125</v>
      </c>
      <c r="D754" s="35">
        <v>3400572</v>
      </c>
      <c r="E754" s="35" t="s">
        <v>969</v>
      </c>
      <c r="F754" s="35" t="s">
        <v>411</v>
      </c>
    </row>
    <row r="755" spans="1:6">
      <c r="A755" s="35" t="s">
        <v>1163</v>
      </c>
      <c r="B755" s="37">
        <v>458.45001220703125</v>
      </c>
      <c r="C755" s="37">
        <v>352.05657958984375</v>
      </c>
      <c r="D755" s="35">
        <v>4243446</v>
      </c>
      <c r="E755" s="35" t="s">
        <v>969</v>
      </c>
      <c r="F755" s="35" t="s">
        <v>411</v>
      </c>
    </row>
    <row r="756" spans="1:6">
      <c r="A756" s="35" t="s">
        <v>1164</v>
      </c>
      <c r="B756" s="37">
        <v>462.95001220703125</v>
      </c>
      <c r="C756" s="37">
        <v>355.51217651367188</v>
      </c>
      <c r="D756" s="35">
        <v>1980698</v>
      </c>
      <c r="E756" s="35" t="s">
        <v>969</v>
      </c>
      <c r="F756" s="35" t="s">
        <v>411</v>
      </c>
    </row>
    <row r="757" spans="1:6">
      <c r="A757" s="35" t="s">
        <v>1165</v>
      </c>
      <c r="B757" s="37">
        <v>454.625</v>
      </c>
      <c r="C757" s="37">
        <v>349.119140625</v>
      </c>
      <c r="D757" s="35">
        <v>2536486</v>
      </c>
      <c r="E757" s="35" t="s">
        <v>969</v>
      </c>
      <c r="F757" s="35" t="s">
        <v>411</v>
      </c>
    </row>
    <row r="758" spans="1:6">
      <c r="A758" s="35" t="s">
        <v>1166</v>
      </c>
      <c r="B758" s="37">
        <v>474.625</v>
      </c>
      <c r="C758" s="37">
        <v>364.47772216796875</v>
      </c>
      <c r="D758" s="35">
        <v>8963404</v>
      </c>
      <c r="E758" s="35" t="s">
        <v>969</v>
      </c>
      <c r="F758" s="35" t="s">
        <v>411</v>
      </c>
    </row>
    <row r="759" spans="1:6">
      <c r="A759" s="35" t="s">
        <v>1167</v>
      </c>
      <c r="B759" s="37">
        <v>476.42498779296875</v>
      </c>
      <c r="C759" s="37">
        <v>365.85995483398438</v>
      </c>
      <c r="D759" s="35">
        <v>5498922</v>
      </c>
      <c r="E759" s="35" t="s">
        <v>969</v>
      </c>
      <c r="F759" s="35" t="s">
        <v>411</v>
      </c>
    </row>
    <row r="760" spans="1:6">
      <c r="A760" s="35" t="s">
        <v>1168</v>
      </c>
      <c r="B760" s="37">
        <v>477.125</v>
      </c>
      <c r="C760" s="37">
        <v>366.3975830078125</v>
      </c>
      <c r="D760" s="35">
        <v>1869500</v>
      </c>
      <c r="E760" s="35" t="s">
        <v>969</v>
      </c>
      <c r="F760" s="35" t="s">
        <v>411</v>
      </c>
    </row>
    <row r="761" spans="1:6">
      <c r="A761" s="35" t="s">
        <v>1169</v>
      </c>
      <c r="B761" s="37">
        <v>479.14999389648438</v>
      </c>
      <c r="C761" s="37">
        <v>367.95266723632813</v>
      </c>
      <c r="D761" s="35">
        <v>4748438</v>
      </c>
      <c r="E761" s="35" t="s">
        <v>969</v>
      </c>
      <c r="F761" s="35" t="s">
        <v>411</v>
      </c>
    </row>
    <row r="762" spans="1:6">
      <c r="A762" s="35" t="s">
        <v>1170</v>
      </c>
      <c r="B762" s="37">
        <v>483.17498779296875</v>
      </c>
      <c r="C762" s="37">
        <v>371.0435791015625</v>
      </c>
      <c r="D762" s="35">
        <v>4431318</v>
      </c>
      <c r="E762" s="35" t="s">
        <v>969</v>
      </c>
      <c r="F762" s="35" t="s">
        <v>411</v>
      </c>
    </row>
    <row r="763" spans="1:6">
      <c r="A763" s="35" t="s">
        <v>1171</v>
      </c>
      <c r="B763" s="37">
        <v>497.67498779296875</v>
      </c>
      <c r="C763" s="37">
        <v>382.17840576171875</v>
      </c>
      <c r="D763" s="35">
        <v>5015202</v>
      </c>
      <c r="E763" s="35" t="s">
        <v>969</v>
      </c>
      <c r="F763" s="35" t="s">
        <v>411</v>
      </c>
    </row>
    <row r="764" spans="1:6">
      <c r="A764" s="35" t="s">
        <v>1172</v>
      </c>
      <c r="B764" s="37">
        <v>509.22500610351563</v>
      </c>
      <c r="C764" s="37">
        <v>391.048095703125</v>
      </c>
      <c r="D764" s="35">
        <v>9269776</v>
      </c>
      <c r="E764" s="35" t="s">
        <v>969</v>
      </c>
      <c r="F764" s="35" t="s">
        <v>411</v>
      </c>
    </row>
    <row r="765" spans="1:6">
      <c r="A765" s="35" t="s">
        <v>1173</v>
      </c>
      <c r="B765" s="37">
        <v>504.77499389648438</v>
      </c>
      <c r="C765" s="37">
        <v>387.63082885742188</v>
      </c>
      <c r="D765" s="35">
        <v>5307454</v>
      </c>
      <c r="E765" s="35" t="s">
        <v>969</v>
      </c>
      <c r="F765" s="35" t="s">
        <v>411</v>
      </c>
    </row>
    <row r="766" spans="1:6">
      <c r="A766" s="35" t="s">
        <v>1174</v>
      </c>
      <c r="B766" s="37">
        <v>506.02499389648438</v>
      </c>
      <c r="C766" s="37">
        <v>389.36212158203125</v>
      </c>
      <c r="D766" s="35">
        <v>4013296</v>
      </c>
      <c r="E766" s="35" t="s">
        <v>969</v>
      </c>
      <c r="F766" s="35" t="s">
        <v>411</v>
      </c>
    </row>
    <row r="767" spans="1:6">
      <c r="A767" s="35" t="s">
        <v>1175</v>
      </c>
      <c r="B767" s="37">
        <v>500.20001220703125</v>
      </c>
      <c r="C767" s="37">
        <v>384.88003540039063</v>
      </c>
      <c r="D767" s="35">
        <v>2711352</v>
      </c>
      <c r="E767" s="35" t="s">
        <v>969</v>
      </c>
      <c r="F767" s="35" t="s">
        <v>411</v>
      </c>
    </row>
    <row r="768" spans="1:6">
      <c r="A768" s="35" t="s">
        <v>1176</v>
      </c>
      <c r="B768" s="37">
        <v>493.27499389648438</v>
      </c>
      <c r="C768" s="37">
        <v>379.55157470703125</v>
      </c>
      <c r="D768" s="35">
        <v>3221144</v>
      </c>
      <c r="E768" s="35" t="s">
        <v>969</v>
      </c>
      <c r="F768" s="35" t="s">
        <v>411</v>
      </c>
    </row>
    <row r="769" spans="1:6">
      <c r="A769" s="35" t="s">
        <v>1177</v>
      </c>
      <c r="B769" s="37">
        <v>492.45001220703125</v>
      </c>
      <c r="C769" s="37">
        <v>378.91671752929688</v>
      </c>
      <c r="D769" s="35">
        <v>3055658</v>
      </c>
      <c r="E769" s="35" t="s">
        <v>969</v>
      </c>
      <c r="F769" s="35" t="s">
        <v>411</v>
      </c>
    </row>
    <row r="770" spans="1:6">
      <c r="A770" s="35" t="s">
        <v>1178</v>
      </c>
      <c r="B770" s="37">
        <v>495.45001220703125</v>
      </c>
      <c r="C770" s="37">
        <v>381.22506713867188</v>
      </c>
      <c r="D770" s="35">
        <v>3345056</v>
      </c>
      <c r="E770" s="35" t="s">
        <v>969</v>
      </c>
      <c r="F770" s="35" t="s">
        <v>411</v>
      </c>
    </row>
    <row r="771" spans="1:6">
      <c r="A771" s="35" t="s">
        <v>1179</v>
      </c>
      <c r="B771" s="37">
        <v>496.57501220703125</v>
      </c>
      <c r="C771" s="37">
        <v>382.09085083007813</v>
      </c>
      <c r="D771" s="35">
        <v>2177578</v>
      </c>
      <c r="E771" s="35" t="s">
        <v>969</v>
      </c>
      <c r="F771" s="35" t="s">
        <v>411</v>
      </c>
    </row>
    <row r="772" spans="1:6">
      <c r="A772" s="35" t="s">
        <v>1180</v>
      </c>
      <c r="B772" s="37">
        <v>476.92498779296875</v>
      </c>
      <c r="C772" s="37">
        <v>366.97103881835938</v>
      </c>
      <c r="D772" s="35">
        <v>3310994</v>
      </c>
      <c r="E772" s="35" t="s">
        <v>969</v>
      </c>
      <c r="F772" s="35" t="s">
        <v>411</v>
      </c>
    </row>
    <row r="773" spans="1:6">
      <c r="A773" s="35" t="s">
        <v>1181</v>
      </c>
      <c r="B773" s="37">
        <v>469.27499389648438</v>
      </c>
      <c r="C773" s="37">
        <v>361.084716796875</v>
      </c>
      <c r="D773" s="35">
        <v>4051696</v>
      </c>
      <c r="E773" s="35" t="s">
        <v>969</v>
      </c>
      <c r="F773" s="35" t="s">
        <v>411</v>
      </c>
    </row>
    <row r="774" spans="1:6">
      <c r="A774" s="35" t="s">
        <v>1182</v>
      </c>
      <c r="B774" s="37">
        <v>472.17498779296875</v>
      </c>
      <c r="C774" s="37">
        <v>363.316162109375</v>
      </c>
      <c r="D774" s="35">
        <v>2896536</v>
      </c>
      <c r="E774" s="35" t="s">
        <v>969</v>
      </c>
      <c r="F774" s="35" t="s">
        <v>411</v>
      </c>
    </row>
    <row r="775" spans="1:6">
      <c r="A775" s="35" t="s">
        <v>1183</v>
      </c>
      <c r="B775" s="37">
        <v>482</v>
      </c>
      <c r="C775" s="37">
        <v>370.87600708007813</v>
      </c>
      <c r="D775" s="35">
        <v>3456506</v>
      </c>
      <c r="E775" s="35" t="s">
        <v>969</v>
      </c>
      <c r="F775" s="35" t="s">
        <v>411</v>
      </c>
    </row>
    <row r="776" spans="1:6">
      <c r="A776" s="35" t="s">
        <v>1184</v>
      </c>
      <c r="B776" s="37">
        <v>469.57501220703125</v>
      </c>
      <c r="C776" s="37">
        <v>361.31552124023438</v>
      </c>
      <c r="D776" s="35">
        <v>2975588</v>
      </c>
      <c r="E776" s="35" t="s">
        <v>969</v>
      </c>
      <c r="F776" s="35" t="s">
        <v>411</v>
      </c>
    </row>
    <row r="777" spans="1:6">
      <c r="A777" s="35" t="s">
        <v>1185</v>
      </c>
      <c r="B777" s="37">
        <v>468.89999389648438</v>
      </c>
      <c r="C777" s="37">
        <v>360.79620361328125</v>
      </c>
      <c r="D777" s="35">
        <v>2889532</v>
      </c>
      <c r="E777" s="35" t="s">
        <v>969</v>
      </c>
      <c r="F777" s="35" t="s">
        <v>411</v>
      </c>
    </row>
    <row r="778" spans="1:6">
      <c r="A778" s="35" t="s">
        <v>1186</v>
      </c>
      <c r="B778" s="37">
        <v>469.85000610351563</v>
      </c>
      <c r="C778" s="37">
        <v>361.52719116210938</v>
      </c>
      <c r="D778" s="35">
        <v>2281842</v>
      </c>
      <c r="E778" s="35" t="s">
        <v>969</v>
      </c>
      <c r="F778" s="35" t="s">
        <v>411</v>
      </c>
    </row>
    <row r="779" spans="1:6">
      <c r="A779" s="35" t="s">
        <v>1187</v>
      </c>
      <c r="B779" s="37">
        <v>468.54998779296875</v>
      </c>
      <c r="C779" s="37">
        <v>360.52682495117188</v>
      </c>
      <c r="D779" s="35">
        <v>5698140</v>
      </c>
      <c r="E779" s="35" t="s">
        <v>969</v>
      </c>
      <c r="F779" s="35" t="s">
        <v>411</v>
      </c>
    </row>
    <row r="780" spans="1:6">
      <c r="A780" s="35" t="s">
        <v>1188</v>
      </c>
      <c r="B780" s="37">
        <v>457.10000610351563</v>
      </c>
      <c r="C780" s="37">
        <v>351.71664428710938</v>
      </c>
      <c r="D780" s="35">
        <v>2925546</v>
      </c>
      <c r="E780" s="35" t="s">
        <v>969</v>
      </c>
      <c r="F780" s="35" t="s">
        <v>411</v>
      </c>
    </row>
    <row r="781" spans="1:6">
      <c r="A781" s="35" t="s">
        <v>1189</v>
      </c>
      <c r="B781" s="37">
        <v>453.72500610351563</v>
      </c>
      <c r="C781" s="37">
        <v>349.11965942382813</v>
      </c>
      <c r="D781" s="35">
        <v>2462802</v>
      </c>
      <c r="E781" s="35" t="s">
        <v>969</v>
      </c>
      <c r="F781" s="35" t="s">
        <v>411</v>
      </c>
    </row>
    <row r="782" spans="1:6">
      <c r="A782" s="35" t="s">
        <v>1190</v>
      </c>
      <c r="B782" s="37">
        <v>471.45001220703125</v>
      </c>
      <c r="C782" s="37">
        <v>362.75830078125</v>
      </c>
      <c r="D782" s="35">
        <v>5569512</v>
      </c>
      <c r="E782" s="35" t="s">
        <v>969</v>
      </c>
      <c r="F782" s="35" t="s">
        <v>411</v>
      </c>
    </row>
    <row r="783" spans="1:6">
      <c r="A783" s="35" t="s">
        <v>1191</v>
      </c>
      <c r="B783" s="37">
        <v>470.5</v>
      </c>
      <c r="C783" s="37">
        <v>362.02731323242188</v>
      </c>
      <c r="D783" s="35">
        <v>8186574</v>
      </c>
      <c r="E783" s="35" t="s">
        <v>969</v>
      </c>
      <c r="F783" s="35" t="s">
        <v>411</v>
      </c>
    </row>
    <row r="784" spans="1:6">
      <c r="A784" s="35" t="s">
        <v>1192</v>
      </c>
      <c r="B784" s="37">
        <v>477.79998779296875</v>
      </c>
      <c r="C784" s="37">
        <v>367.64425659179688</v>
      </c>
      <c r="D784" s="35">
        <v>5675166</v>
      </c>
      <c r="E784" s="35" t="s">
        <v>969</v>
      </c>
      <c r="F784" s="35" t="s">
        <v>411</v>
      </c>
    </row>
    <row r="785" spans="1:6">
      <c r="A785" s="35" t="s">
        <v>1193</v>
      </c>
      <c r="B785" s="37">
        <v>473.02499389648438</v>
      </c>
      <c r="C785" s="37">
        <v>363.97012329101563</v>
      </c>
      <c r="D785" s="35">
        <v>2112112</v>
      </c>
      <c r="E785" s="35" t="s">
        <v>969</v>
      </c>
      <c r="F785" s="35" t="s">
        <v>411</v>
      </c>
    </row>
    <row r="786" spans="1:6">
      <c r="A786" s="35" t="s">
        <v>1194</v>
      </c>
      <c r="B786" s="37">
        <v>474.95001220703125</v>
      </c>
      <c r="C786" s="37">
        <v>365.45138549804688</v>
      </c>
      <c r="D786" s="35">
        <v>2879428</v>
      </c>
      <c r="E786" s="35" t="s">
        <v>969</v>
      </c>
      <c r="F786" s="35" t="s">
        <v>411</v>
      </c>
    </row>
    <row r="787" spans="1:6">
      <c r="A787" s="35" t="s">
        <v>1195</v>
      </c>
      <c r="B787" s="37">
        <v>470.14999389648438</v>
      </c>
      <c r="C787" s="37">
        <v>361.7579345703125</v>
      </c>
      <c r="D787" s="35">
        <v>5119548</v>
      </c>
      <c r="E787" s="35" t="s">
        <v>969</v>
      </c>
      <c r="F787" s="35" t="s">
        <v>411</v>
      </c>
    </row>
    <row r="788" spans="1:6">
      <c r="A788" s="35" t="s">
        <v>1196</v>
      </c>
      <c r="B788" s="37">
        <v>471.39999389648438</v>
      </c>
      <c r="C788" s="37">
        <v>362.71981811523438</v>
      </c>
      <c r="D788" s="35">
        <v>2772230</v>
      </c>
      <c r="E788" s="35" t="s">
        <v>969</v>
      </c>
      <c r="F788" s="35" t="s">
        <v>411</v>
      </c>
    </row>
    <row r="789" spans="1:6">
      <c r="A789" s="35" t="s">
        <v>1197</v>
      </c>
      <c r="B789" s="37">
        <v>466.04998779296875</v>
      </c>
      <c r="C789" s="37">
        <v>358.60321044921875</v>
      </c>
      <c r="D789" s="35">
        <v>3747704</v>
      </c>
      <c r="E789" s="35" t="s">
        <v>969</v>
      </c>
      <c r="F789" s="35" t="s">
        <v>411</v>
      </c>
    </row>
    <row r="790" spans="1:6">
      <c r="A790" s="35" t="s">
        <v>1198</v>
      </c>
      <c r="B790" s="37">
        <v>466.39999389648438</v>
      </c>
      <c r="C790" s="37">
        <v>358.87255859375</v>
      </c>
      <c r="D790" s="35">
        <v>2929756</v>
      </c>
      <c r="E790" s="35" t="s">
        <v>969</v>
      </c>
      <c r="F790" s="35" t="s">
        <v>411</v>
      </c>
    </row>
    <row r="791" spans="1:6">
      <c r="A791" s="35" t="s">
        <v>1199</v>
      </c>
      <c r="B791" s="37">
        <v>474.77499389648438</v>
      </c>
      <c r="C791" s="37">
        <v>365.31668090820313</v>
      </c>
      <c r="D791" s="35">
        <v>5695220</v>
      </c>
      <c r="E791" s="35" t="s">
        <v>969</v>
      </c>
      <c r="F791" s="35" t="s">
        <v>411</v>
      </c>
    </row>
    <row r="792" spans="1:6">
      <c r="A792" s="35" t="s">
        <v>1200</v>
      </c>
      <c r="B792" s="37">
        <v>475.32501220703125</v>
      </c>
      <c r="C792" s="37">
        <v>365.73992919921875</v>
      </c>
      <c r="D792" s="35">
        <v>4238350</v>
      </c>
      <c r="E792" s="35" t="s">
        <v>969</v>
      </c>
      <c r="F792" s="35" t="s">
        <v>411</v>
      </c>
    </row>
    <row r="793" spans="1:6">
      <c r="A793" s="35" t="s">
        <v>1201</v>
      </c>
      <c r="B793" s="37">
        <v>471.5</v>
      </c>
      <c r="C793" s="37">
        <v>362.7967529296875</v>
      </c>
      <c r="D793" s="35">
        <v>1464728</v>
      </c>
      <c r="E793" s="35" t="s">
        <v>969</v>
      </c>
      <c r="F793" s="35" t="s">
        <v>411</v>
      </c>
    </row>
    <row r="794" spans="1:6">
      <c r="A794" s="35" t="s">
        <v>1202</v>
      </c>
      <c r="B794" s="37">
        <v>483.82501220703125</v>
      </c>
      <c r="C794" s="37">
        <v>372.28024291992188</v>
      </c>
      <c r="D794" s="35">
        <v>4946236</v>
      </c>
      <c r="E794" s="35" t="s">
        <v>969</v>
      </c>
      <c r="F794" s="35" t="s">
        <v>411</v>
      </c>
    </row>
    <row r="795" spans="1:6">
      <c r="A795" s="35" t="s">
        <v>1203</v>
      </c>
      <c r="B795" s="37">
        <v>478.5</v>
      </c>
      <c r="C795" s="37">
        <v>368.18295288085938</v>
      </c>
      <c r="D795" s="35">
        <v>2513508</v>
      </c>
      <c r="E795" s="35" t="s">
        <v>969</v>
      </c>
      <c r="F795" s="35" t="s">
        <v>411</v>
      </c>
    </row>
    <row r="796" spans="1:6">
      <c r="A796" s="35" t="s">
        <v>1204</v>
      </c>
      <c r="B796" s="37">
        <v>482.52499389648438</v>
      </c>
      <c r="C796" s="37">
        <v>371.27978515625</v>
      </c>
      <c r="D796" s="35">
        <v>2354082</v>
      </c>
      <c r="E796" s="35" t="s">
        <v>969</v>
      </c>
      <c r="F796" s="35" t="s">
        <v>411</v>
      </c>
    </row>
    <row r="797" spans="1:6">
      <c r="A797" s="35" t="s">
        <v>1205</v>
      </c>
      <c r="B797" s="37">
        <v>479.57501220703125</v>
      </c>
      <c r="C797" s="37">
        <v>369.010009765625</v>
      </c>
      <c r="D797" s="35">
        <v>2590154</v>
      </c>
      <c r="E797" s="35" t="s">
        <v>969</v>
      </c>
      <c r="F797" s="35" t="s">
        <v>411</v>
      </c>
    </row>
    <row r="798" spans="1:6">
      <c r="A798" s="35" t="s">
        <v>1206</v>
      </c>
      <c r="B798" s="37">
        <v>483.79998779296875</v>
      </c>
      <c r="C798" s="37">
        <v>372.26095581054688</v>
      </c>
      <c r="D798" s="35">
        <v>9482072</v>
      </c>
      <c r="E798" s="35" t="s">
        <v>969</v>
      </c>
      <c r="F798" s="35" t="s">
        <v>411</v>
      </c>
    </row>
    <row r="799" spans="1:6">
      <c r="A799" s="35" t="s">
        <v>1207</v>
      </c>
      <c r="B799" s="37">
        <v>463.25</v>
      </c>
      <c r="C799" s="37">
        <v>356.44869995117188</v>
      </c>
      <c r="D799" s="35">
        <v>3318748</v>
      </c>
      <c r="E799" s="35" t="s">
        <v>969</v>
      </c>
      <c r="F799" s="35" t="s">
        <v>411</v>
      </c>
    </row>
    <row r="800" spans="1:6">
      <c r="A800" s="35" t="s">
        <v>1208</v>
      </c>
      <c r="B800" s="37">
        <v>468.60000610351563</v>
      </c>
      <c r="C800" s="37">
        <v>360.56533813476563</v>
      </c>
      <c r="D800" s="35">
        <v>3707786</v>
      </c>
      <c r="E800" s="35" t="s">
        <v>969</v>
      </c>
      <c r="F800" s="35" t="s">
        <v>411</v>
      </c>
    </row>
    <row r="801" spans="1:6">
      <c r="A801" s="35" t="s">
        <v>1209</v>
      </c>
      <c r="B801" s="37">
        <v>468.67498779296875</v>
      </c>
      <c r="C801" s="37">
        <v>360.6229248046875</v>
      </c>
      <c r="D801" s="35">
        <v>3818980</v>
      </c>
      <c r="E801" s="35" t="s">
        <v>969</v>
      </c>
      <c r="F801" s="35" t="s">
        <v>411</v>
      </c>
    </row>
    <row r="802" spans="1:6">
      <c r="A802" s="35" t="s">
        <v>1210</v>
      </c>
      <c r="B802" s="37">
        <v>465.27499389648438</v>
      </c>
      <c r="C802" s="37">
        <v>358.00689697265625</v>
      </c>
      <c r="D802" s="35">
        <v>3095286</v>
      </c>
      <c r="E802" s="35" t="s">
        <v>969</v>
      </c>
      <c r="F802" s="35" t="s">
        <v>411</v>
      </c>
    </row>
    <row r="803" spans="1:6">
      <c r="A803" s="35" t="s">
        <v>1211</v>
      </c>
      <c r="B803" s="37">
        <v>478.70001220703125</v>
      </c>
      <c r="C803" s="37">
        <v>368.33670043945313</v>
      </c>
      <c r="D803" s="35">
        <v>5478072</v>
      </c>
      <c r="E803" s="35" t="s">
        <v>969</v>
      </c>
      <c r="F803" s="35" t="s">
        <v>411</v>
      </c>
    </row>
    <row r="804" spans="1:6">
      <c r="A804" s="35" t="s">
        <v>1212</v>
      </c>
      <c r="B804" s="37">
        <v>483.52499389648438</v>
      </c>
      <c r="C804" s="37">
        <v>372.04940795898438</v>
      </c>
      <c r="D804" s="35">
        <v>3571336</v>
      </c>
      <c r="E804" s="35" t="s">
        <v>969</v>
      </c>
      <c r="F804" s="35" t="s">
        <v>411</v>
      </c>
    </row>
    <row r="805" spans="1:6">
      <c r="A805" s="35" t="s">
        <v>1213</v>
      </c>
      <c r="B805" s="37">
        <v>486.02499389648438</v>
      </c>
      <c r="C805" s="37">
        <v>373.9730224609375</v>
      </c>
      <c r="D805" s="35">
        <v>2495200</v>
      </c>
      <c r="E805" s="35" t="s">
        <v>969</v>
      </c>
      <c r="F805" s="35" t="s">
        <v>411</v>
      </c>
    </row>
    <row r="806" spans="1:6">
      <c r="A806" s="35" t="s">
        <v>1214</v>
      </c>
      <c r="B806" s="37">
        <v>484.29998779296875</v>
      </c>
      <c r="C806" s="37">
        <v>372.64569091796875</v>
      </c>
      <c r="D806" s="35">
        <v>4620172</v>
      </c>
      <c r="E806" s="35" t="s">
        <v>969</v>
      </c>
      <c r="F806" s="35" t="s">
        <v>411</v>
      </c>
    </row>
    <row r="807" spans="1:6">
      <c r="A807" s="35" t="s">
        <v>1215</v>
      </c>
      <c r="B807" s="37">
        <v>489.75</v>
      </c>
      <c r="C807" s="37">
        <v>376.8392333984375</v>
      </c>
      <c r="D807" s="35">
        <v>1295646</v>
      </c>
      <c r="E807" s="35" t="s">
        <v>1216</v>
      </c>
      <c r="F807" s="35" t="s">
        <v>411</v>
      </c>
    </row>
    <row r="808" spans="1:6">
      <c r="A808" s="35" t="s">
        <v>1217</v>
      </c>
      <c r="B808" s="37">
        <v>484.625</v>
      </c>
      <c r="C808" s="37">
        <v>372.895751953125</v>
      </c>
      <c r="D808" s="35">
        <v>2036000</v>
      </c>
      <c r="E808" s="35" t="s">
        <v>1216</v>
      </c>
      <c r="F808" s="35" t="s">
        <v>411</v>
      </c>
    </row>
    <row r="809" spans="1:6">
      <c r="A809" s="35" t="s">
        <v>1218</v>
      </c>
      <c r="B809" s="37">
        <v>479.625</v>
      </c>
      <c r="C809" s="37">
        <v>369.04852294921875</v>
      </c>
      <c r="D809" s="35">
        <v>1804780</v>
      </c>
      <c r="E809" s="35" t="s">
        <v>1216</v>
      </c>
      <c r="F809" s="35" t="s">
        <v>411</v>
      </c>
    </row>
    <row r="810" spans="1:6">
      <c r="A810" s="35" t="s">
        <v>1219</v>
      </c>
      <c r="B810" s="37">
        <v>481.02499389648438</v>
      </c>
      <c r="C810" s="37">
        <v>370.12579345703125</v>
      </c>
      <c r="D810" s="35">
        <v>2805104</v>
      </c>
      <c r="E810" s="35" t="s">
        <v>1216</v>
      </c>
      <c r="F810" s="35" t="s">
        <v>411</v>
      </c>
    </row>
    <row r="811" spans="1:6">
      <c r="A811" s="35" t="s">
        <v>1220</v>
      </c>
      <c r="B811" s="37">
        <v>476.32501220703125</v>
      </c>
      <c r="C811" s="37">
        <v>366.50933837890625</v>
      </c>
      <c r="D811" s="35">
        <v>2515810</v>
      </c>
      <c r="E811" s="35" t="s">
        <v>1216</v>
      </c>
      <c r="F811" s="35" t="s">
        <v>411</v>
      </c>
    </row>
    <row r="812" spans="1:6">
      <c r="A812" s="35" t="s">
        <v>1221</v>
      </c>
      <c r="B812" s="37">
        <v>476.625</v>
      </c>
      <c r="C812" s="37">
        <v>366.740234375</v>
      </c>
      <c r="D812" s="35">
        <v>1708072</v>
      </c>
      <c r="E812" s="35" t="s">
        <v>1216</v>
      </c>
      <c r="F812" s="35" t="s">
        <v>411</v>
      </c>
    </row>
    <row r="813" spans="1:6">
      <c r="A813" s="35" t="s">
        <v>1222</v>
      </c>
      <c r="B813" s="37">
        <v>474.22500610351563</v>
      </c>
      <c r="C813" s="37">
        <v>364.8934326171875</v>
      </c>
      <c r="D813" s="35">
        <v>2431772</v>
      </c>
      <c r="E813" s="35" t="s">
        <v>1216</v>
      </c>
      <c r="F813" s="35" t="s">
        <v>411</v>
      </c>
    </row>
    <row r="814" spans="1:6">
      <c r="A814" s="35" t="s">
        <v>1223</v>
      </c>
      <c r="B814" s="37">
        <v>483.64999389648438</v>
      </c>
      <c r="C814" s="37">
        <v>372.14559936523438</v>
      </c>
      <c r="D814" s="35">
        <v>3716964</v>
      </c>
      <c r="E814" s="35" t="s">
        <v>1216</v>
      </c>
      <c r="F814" s="35" t="s">
        <v>411</v>
      </c>
    </row>
    <row r="815" spans="1:6">
      <c r="A815" s="35" t="s">
        <v>1224</v>
      </c>
      <c r="B815" s="37">
        <v>505.02499389648438</v>
      </c>
      <c r="C815" s="37">
        <v>388.59262084960938</v>
      </c>
      <c r="D815" s="35">
        <v>8182766</v>
      </c>
      <c r="E815" s="35" t="s">
        <v>1216</v>
      </c>
      <c r="F815" s="35" t="s">
        <v>411</v>
      </c>
    </row>
    <row r="816" spans="1:6">
      <c r="A816" s="35" t="s">
        <v>1225</v>
      </c>
      <c r="B816" s="37">
        <v>495.625</v>
      </c>
      <c r="C816" s="37">
        <v>381.35983276367188</v>
      </c>
      <c r="D816" s="35">
        <v>6361110</v>
      </c>
      <c r="E816" s="35" t="s">
        <v>1216</v>
      </c>
      <c r="F816" s="35" t="s">
        <v>411</v>
      </c>
    </row>
    <row r="817" spans="1:6">
      <c r="A817" s="35" t="s">
        <v>1226</v>
      </c>
      <c r="B817" s="37">
        <v>499.95001220703125</v>
      </c>
      <c r="C817" s="37">
        <v>384.6876220703125</v>
      </c>
      <c r="D817" s="35">
        <v>3824528</v>
      </c>
      <c r="E817" s="35" t="s">
        <v>1216</v>
      </c>
      <c r="F817" s="35" t="s">
        <v>411</v>
      </c>
    </row>
    <row r="818" spans="1:6">
      <c r="A818" s="35" t="s">
        <v>1227</v>
      </c>
      <c r="B818" s="37">
        <v>505.5</v>
      </c>
      <c r="C818" s="37">
        <v>388.95809936523438</v>
      </c>
      <c r="D818" s="35">
        <v>3729906</v>
      </c>
      <c r="E818" s="35" t="s">
        <v>1216</v>
      </c>
      <c r="F818" s="35" t="s">
        <v>411</v>
      </c>
    </row>
    <row r="819" spans="1:6">
      <c r="A819" s="35" t="s">
        <v>1228</v>
      </c>
      <c r="B819" s="37">
        <v>498.42498779296875</v>
      </c>
      <c r="C819" s="37">
        <v>383.51425170898438</v>
      </c>
      <c r="D819" s="35">
        <v>2008262</v>
      </c>
      <c r="E819" s="35" t="s">
        <v>1216</v>
      </c>
      <c r="F819" s="35" t="s">
        <v>411</v>
      </c>
    </row>
    <row r="820" spans="1:6">
      <c r="A820" s="35" t="s">
        <v>1229</v>
      </c>
      <c r="B820" s="37">
        <v>509.27499389648438</v>
      </c>
      <c r="C820" s="37">
        <v>391.86282348632813</v>
      </c>
      <c r="D820" s="35">
        <v>2301628</v>
      </c>
      <c r="E820" s="35" t="s">
        <v>1216</v>
      </c>
      <c r="F820" s="35" t="s">
        <v>411</v>
      </c>
    </row>
    <row r="821" spans="1:6">
      <c r="A821" s="35" t="s">
        <v>1230</v>
      </c>
      <c r="B821" s="37">
        <v>531.17498779296875</v>
      </c>
      <c r="C821" s="37">
        <v>408.71371459960938</v>
      </c>
      <c r="D821" s="35">
        <v>9490598</v>
      </c>
      <c r="E821" s="35" t="s">
        <v>1216</v>
      </c>
      <c r="F821" s="35" t="s">
        <v>411</v>
      </c>
    </row>
    <row r="822" spans="1:6">
      <c r="A822" s="35" t="s">
        <v>1231</v>
      </c>
      <c r="B822" s="37">
        <v>544</v>
      </c>
      <c r="C822" s="37">
        <v>418.58206176757813</v>
      </c>
      <c r="D822" s="35">
        <v>9086924</v>
      </c>
      <c r="E822" s="35" t="s">
        <v>1216</v>
      </c>
      <c r="F822" s="35" t="s">
        <v>411</v>
      </c>
    </row>
    <row r="823" spans="1:6">
      <c r="A823" s="35" t="s">
        <v>1232</v>
      </c>
      <c r="B823" s="37">
        <v>530.9749755859375</v>
      </c>
      <c r="C823" s="37">
        <v>408.559814453125</v>
      </c>
      <c r="D823" s="35">
        <v>3993618</v>
      </c>
      <c r="E823" s="35" t="s">
        <v>1216</v>
      </c>
      <c r="F823" s="35" t="s">
        <v>411</v>
      </c>
    </row>
    <row r="824" spans="1:6">
      <c r="A824" s="35" t="s">
        <v>1233</v>
      </c>
      <c r="B824" s="37">
        <v>534.4000244140625</v>
      </c>
      <c r="C824" s="37">
        <v>411.19522094726563</v>
      </c>
      <c r="D824" s="35">
        <v>3002280</v>
      </c>
      <c r="E824" s="35" t="s">
        <v>1216</v>
      </c>
      <c r="F824" s="35" t="s">
        <v>411</v>
      </c>
    </row>
    <row r="825" spans="1:6">
      <c r="A825" s="35" t="s">
        <v>1234</v>
      </c>
      <c r="B825" s="37">
        <v>538.6500244140625</v>
      </c>
      <c r="C825" s="37">
        <v>414.46542358398438</v>
      </c>
      <c r="D825" s="35">
        <v>6052212</v>
      </c>
      <c r="E825" s="35" t="s">
        <v>1216</v>
      </c>
      <c r="F825" s="35" t="s">
        <v>411</v>
      </c>
    </row>
    <row r="826" spans="1:6">
      <c r="A826" s="35" t="s">
        <v>1235</v>
      </c>
      <c r="B826" s="37">
        <v>520.82501220703125</v>
      </c>
      <c r="C826" s="37">
        <v>400.74993896484375</v>
      </c>
      <c r="D826" s="35">
        <v>4764608</v>
      </c>
      <c r="E826" s="35" t="s">
        <v>1216</v>
      </c>
      <c r="F826" s="35" t="s">
        <v>411</v>
      </c>
    </row>
    <row r="827" spans="1:6">
      <c r="A827" s="35" t="s">
        <v>1236</v>
      </c>
      <c r="B827" s="37">
        <v>526.375</v>
      </c>
      <c r="C827" s="37">
        <v>405.0203857421875</v>
      </c>
      <c r="D827" s="35">
        <v>3147666</v>
      </c>
      <c r="E827" s="35" t="s">
        <v>1216</v>
      </c>
      <c r="F827" s="35" t="s">
        <v>411</v>
      </c>
    </row>
    <row r="828" spans="1:6">
      <c r="A828" s="35" t="s">
        <v>1237</v>
      </c>
      <c r="B828" s="37">
        <v>500.25</v>
      </c>
      <c r="C828" s="37">
        <v>384.91845703125</v>
      </c>
      <c r="D828" s="35">
        <v>15014958</v>
      </c>
      <c r="E828" s="35" t="s">
        <v>1216</v>
      </c>
      <c r="F828" s="35" t="s">
        <v>411</v>
      </c>
    </row>
    <row r="829" spans="1:6">
      <c r="A829" s="35" t="s">
        <v>1238</v>
      </c>
      <c r="B829" s="37">
        <v>462.85000610351563</v>
      </c>
      <c r="C829" s="37">
        <v>356.14089965820313</v>
      </c>
      <c r="D829" s="35">
        <v>15276024</v>
      </c>
      <c r="E829" s="35" t="s">
        <v>1216</v>
      </c>
      <c r="F829" s="35" t="s">
        <v>411</v>
      </c>
    </row>
    <row r="830" spans="1:6">
      <c r="A830" s="35" t="s">
        <v>1239</v>
      </c>
      <c r="B830" s="37">
        <v>464.92498779296875</v>
      </c>
      <c r="C830" s="37">
        <v>357.73751831054688</v>
      </c>
      <c r="D830" s="35">
        <v>8365006</v>
      </c>
      <c r="E830" s="35" t="s">
        <v>1216</v>
      </c>
      <c r="F830" s="35" t="s">
        <v>411</v>
      </c>
    </row>
    <row r="831" spans="1:6">
      <c r="A831" s="35" t="s">
        <v>1240</v>
      </c>
      <c r="B831" s="37">
        <v>464.10000610351563</v>
      </c>
      <c r="C831" s="37">
        <v>357.102783203125</v>
      </c>
      <c r="D831" s="35">
        <v>2576842</v>
      </c>
      <c r="E831" s="35" t="s">
        <v>1216</v>
      </c>
      <c r="F831" s="35" t="s">
        <v>411</v>
      </c>
    </row>
    <row r="832" spans="1:6">
      <c r="A832" s="35" t="s">
        <v>1241</v>
      </c>
      <c r="B832" s="37">
        <v>460.04998779296875</v>
      </c>
      <c r="C832" s="37">
        <v>353.98651123046875</v>
      </c>
      <c r="D832" s="35">
        <v>4080268</v>
      </c>
      <c r="E832" s="35" t="s">
        <v>1216</v>
      </c>
      <c r="F832" s="35" t="s">
        <v>411</v>
      </c>
    </row>
    <row r="833" spans="1:6">
      <c r="A833" s="35" t="s">
        <v>1242</v>
      </c>
      <c r="B833" s="37">
        <v>463.75</v>
      </c>
      <c r="C833" s="37">
        <v>357.61077880859375</v>
      </c>
      <c r="D833" s="35">
        <v>2757280</v>
      </c>
      <c r="E833" s="35" t="s">
        <v>1216</v>
      </c>
      <c r="F833" s="35" t="s">
        <v>411</v>
      </c>
    </row>
    <row r="834" spans="1:6">
      <c r="A834" s="35" t="s">
        <v>1243</v>
      </c>
      <c r="B834" s="37">
        <v>465.10000610351563</v>
      </c>
      <c r="C834" s="37">
        <v>358.65182495117188</v>
      </c>
      <c r="D834" s="35">
        <v>3741482</v>
      </c>
      <c r="E834" s="35" t="s">
        <v>1216</v>
      </c>
      <c r="F834" s="35" t="s">
        <v>411</v>
      </c>
    </row>
    <row r="835" spans="1:6">
      <c r="A835" s="35" t="s">
        <v>1244</v>
      </c>
      <c r="B835" s="37">
        <v>466.42498779296875</v>
      </c>
      <c r="C835" s="37">
        <v>359.673583984375</v>
      </c>
      <c r="D835" s="35">
        <v>2117402</v>
      </c>
      <c r="E835" s="35" t="s">
        <v>1216</v>
      </c>
      <c r="F835" s="35" t="s">
        <v>411</v>
      </c>
    </row>
    <row r="836" spans="1:6">
      <c r="A836" s="35" t="s">
        <v>1245</v>
      </c>
      <c r="B836" s="37">
        <v>462.64999389648438</v>
      </c>
      <c r="C836" s="37">
        <v>356.7625732421875</v>
      </c>
      <c r="D836" s="35">
        <v>3132296</v>
      </c>
      <c r="E836" s="35" t="s">
        <v>1216</v>
      </c>
      <c r="F836" s="35" t="s">
        <v>411</v>
      </c>
    </row>
    <row r="837" spans="1:6">
      <c r="A837" s="35" t="s">
        <v>1246</v>
      </c>
      <c r="B837" s="37">
        <v>462.5</v>
      </c>
      <c r="C837" s="37">
        <v>356.64694213867188</v>
      </c>
      <c r="D837" s="35">
        <v>4239330</v>
      </c>
      <c r="E837" s="35" t="s">
        <v>1216</v>
      </c>
      <c r="F837" s="35" t="s">
        <v>411</v>
      </c>
    </row>
    <row r="838" spans="1:6">
      <c r="A838" s="35" t="s">
        <v>1247</v>
      </c>
      <c r="B838" s="37">
        <v>460.125</v>
      </c>
      <c r="C838" s="37">
        <v>354.81549072265625</v>
      </c>
      <c r="D838" s="35">
        <v>1963972</v>
      </c>
      <c r="E838" s="35" t="s">
        <v>1216</v>
      </c>
      <c r="F838" s="35" t="s">
        <v>411</v>
      </c>
    </row>
    <row r="839" spans="1:6">
      <c r="A839" s="35" t="s">
        <v>1248</v>
      </c>
      <c r="B839" s="37">
        <v>454.875</v>
      </c>
      <c r="C839" s="37">
        <v>350.76702880859375</v>
      </c>
      <c r="D839" s="35">
        <v>2899904</v>
      </c>
      <c r="E839" s="35" t="s">
        <v>1216</v>
      </c>
      <c r="F839" s="35" t="s">
        <v>411</v>
      </c>
    </row>
    <row r="840" spans="1:6">
      <c r="A840" s="35" t="s">
        <v>1249</v>
      </c>
      <c r="B840" s="37">
        <v>445.35000610351563</v>
      </c>
      <c r="C840" s="37">
        <v>343.42205810546875</v>
      </c>
      <c r="D840" s="35">
        <v>3517726</v>
      </c>
      <c r="E840" s="35" t="s">
        <v>1216</v>
      </c>
      <c r="F840" s="35" t="s">
        <v>411</v>
      </c>
    </row>
    <row r="841" spans="1:6">
      <c r="A841" s="35" t="s">
        <v>1250</v>
      </c>
      <c r="B841" s="37">
        <v>447.97500610351563</v>
      </c>
      <c r="C841" s="37">
        <v>345.4462890625</v>
      </c>
      <c r="D841" s="35">
        <v>2942476</v>
      </c>
      <c r="E841" s="35" t="s">
        <v>1216</v>
      </c>
      <c r="F841" s="35" t="s">
        <v>411</v>
      </c>
    </row>
    <row r="842" spans="1:6">
      <c r="A842" s="35" t="s">
        <v>1251</v>
      </c>
      <c r="B842" s="37">
        <v>452.45001220703125</v>
      </c>
      <c r="C842" s="37">
        <v>348.89700317382813</v>
      </c>
      <c r="D842" s="35">
        <v>2485094</v>
      </c>
      <c r="E842" s="35" t="s">
        <v>1216</v>
      </c>
      <c r="F842" s="35" t="s">
        <v>411</v>
      </c>
    </row>
    <row r="843" spans="1:6">
      <c r="A843" s="35" t="s">
        <v>1252</v>
      </c>
      <c r="B843" s="37">
        <v>447.17498779296875</v>
      </c>
      <c r="C843" s="37">
        <v>344.82928466796875</v>
      </c>
      <c r="D843" s="35">
        <v>3734828</v>
      </c>
      <c r="E843" s="35" t="s">
        <v>1216</v>
      </c>
      <c r="F843" s="35" t="s">
        <v>411</v>
      </c>
    </row>
    <row r="844" spans="1:6">
      <c r="A844" s="35" t="s">
        <v>1253</v>
      </c>
      <c r="B844" s="37">
        <v>455.85000610351563</v>
      </c>
      <c r="C844" s="37">
        <v>351.51895141601563</v>
      </c>
      <c r="D844" s="35">
        <v>6309330</v>
      </c>
      <c r="E844" s="35" t="s">
        <v>1216</v>
      </c>
      <c r="F844" s="35" t="s">
        <v>411</v>
      </c>
    </row>
    <row r="845" spans="1:6">
      <c r="A845" s="35" t="s">
        <v>1254</v>
      </c>
      <c r="B845" s="37">
        <v>458</v>
      </c>
      <c r="C845" s="37">
        <v>353.17684936523438</v>
      </c>
      <c r="D845" s="35">
        <v>2089082</v>
      </c>
      <c r="E845" s="35" t="s">
        <v>1216</v>
      </c>
      <c r="F845" s="35" t="s">
        <v>411</v>
      </c>
    </row>
    <row r="846" spans="1:6">
      <c r="A846" s="35" t="s">
        <v>1255</v>
      </c>
      <c r="B846" s="37">
        <v>447.25</v>
      </c>
      <c r="C846" s="37">
        <v>344.88711547851563</v>
      </c>
      <c r="D846" s="35">
        <v>2651764</v>
      </c>
      <c r="E846" s="35" t="s">
        <v>1216</v>
      </c>
      <c r="F846" s="35" t="s">
        <v>411</v>
      </c>
    </row>
    <row r="847" spans="1:6">
      <c r="A847" s="35" t="s">
        <v>1256</v>
      </c>
      <c r="B847" s="37">
        <v>452.54998779296875</v>
      </c>
      <c r="C847" s="37">
        <v>348.97412109375</v>
      </c>
      <c r="D847" s="35">
        <v>1985832</v>
      </c>
      <c r="E847" s="35" t="s">
        <v>1216</v>
      </c>
      <c r="F847" s="35" t="s">
        <v>411</v>
      </c>
    </row>
    <row r="848" spans="1:6">
      <c r="A848" s="35" t="s">
        <v>1257</v>
      </c>
      <c r="B848" s="37">
        <v>453.67498779296875</v>
      </c>
      <c r="C848" s="37">
        <v>349.841796875</v>
      </c>
      <c r="D848" s="35">
        <v>2374048</v>
      </c>
      <c r="E848" s="35" t="s">
        <v>1216</v>
      </c>
      <c r="F848" s="35" t="s">
        <v>411</v>
      </c>
    </row>
    <row r="849" spans="1:6">
      <c r="A849" s="35" t="s">
        <v>1258</v>
      </c>
      <c r="B849" s="37">
        <v>455.17498779296875</v>
      </c>
      <c r="C849" s="37">
        <v>350.99835205078125</v>
      </c>
      <c r="D849" s="35">
        <v>5618644</v>
      </c>
      <c r="E849" s="35" t="s">
        <v>1216</v>
      </c>
      <c r="F849" s="35" t="s">
        <v>411</v>
      </c>
    </row>
    <row r="850" spans="1:6">
      <c r="A850" s="35" t="s">
        <v>1259</v>
      </c>
      <c r="B850" s="37">
        <v>452.42498779296875</v>
      </c>
      <c r="C850" s="37">
        <v>348.87777709960938</v>
      </c>
      <c r="D850" s="35">
        <v>1939062</v>
      </c>
      <c r="E850" s="35" t="s">
        <v>1216</v>
      </c>
      <c r="F850" s="35" t="s">
        <v>411</v>
      </c>
    </row>
    <row r="851" spans="1:6">
      <c r="A851" s="35" t="s">
        <v>1260</v>
      </c>
      <c r="B851" s="37">
        <v>450.35000610351563</v>
      </c>
      <c r="C851" s="37">
        <v>347.27764892578125</v>
      </c>
      <c r="D851" s="35">
        <v>1505886</v>
      </c>
      <c r="E851" s="35" t="s">
        <v>1216</v>
      </c>
      <c r="F851" s="35" t="s">
        <v>411</v>
      </c>
    </row>
    <row r="852" spans="1:6">
      <c r="A852" s="35" t="s">
        <v>1261</v>
      </c>
      <c r="B852" s="37">
        <v>442.52499389648438</v>
      </c>
      <c r="C852" s="37">
        <v>341.24359130859375</v>
      </c>
      <c r="D852" s="35">
        <v>2547736</v>
      </c>
      <c r="E852" s="35" t="s">
        <v>1216</v>
      </c>
      <c r="F852" s="35" t="s">
        <v>411</v>
      </c>
    </row>
    <row r="853" spans="1:6">
      <c r="A853" s="35" t="s">
        <v>1262</v>
      </c>
      <c r="B853" s="37">
        <v>454.47500610351563</v>
      </c>
      <c r="C853" s="37">
        <v>350.45855712890625</v>
      </c>
      <c r="D853" s="35">
        <v>2337712</v>
      </c>
      <c r="E853" s="35" t="s">
        <v>1216</v>
      </c>
      <c r="F853" s="35" t="s">
        <v>411</v>
      </c>
    </row>
    <row r="854" spans="1:6">
      <c r="A854" s="35" t="s">
        <v>1263</v>
      </c>
      <c r="B854" s="37">
        <v>460.67498779296875</v>
      </c>
      <c r="C854" s="37">
        <v>355.23953247070313</v>
      </c>
      <c r="D854" s="35">
        <v>2137298</v>
      </c>
      <c r="E854" s="35" t="s">
        <v>1216</v>
      </c>
      <c r="F854" s="35" t="s">
        <v>411</v>
      </c>
    </row>
    <row r="855" spans="1:6">
      <c r="A855" s="35" t="s">
        <v>1264</v>
      </c>
      <c r="B855" s="37">
        <v>464.35000610351563</v>
      </c>
      <c r="C855" s="37">
        <v>358.07345581054688</v>
      </c>
      <c r="D855" s="35">
        <v>2268428</v>
      </c>
      <c r="E855" s="35" t="s">
        <v>1216</v>
      </c>
      <c r="F855" s="35" t="s">
        <v>411</v>
      </c>
    </row>
    <row r="856" spans="1:6">
      <c r="A856" s="35" t="s">
        <v>1265</v>
      </c>
      <c r="B856" s="37">
        <v>455.79998779296875</v>
      </c>
      <c r="C856" s="37">
        <v>351.4803466796875</v>
      </c>
      <c r="D856" s="35">
        <v>4105194</v>
      </c>
      <c r="E856" s="35" t="s">
        <v>1216</v>
      </c>
      <c r="F856" s="35" t="s">
        <v>411</v>
      </c>
    </row>
    <row r="857" spans="1:6">
      <c r="A857" s="35" t="s">
        <v>1266</v>
      </c>
      <c r="B857" s="37">
        <v>457.39999389648438</v>
      </c>
      <c r="C857" s="37">
        <v>352.71414184570313</v>
      </c>
      <c r="D857" s="35">
        <v>2961048</v>
      </c>
      <c r="E857" s="35" t="s">
        <v>1216</v>
      </c>
      <c r="F857" s="35" t="s">
        <v>411</v>
      </c>
    </row>
    <row r="858" spans="1:6">
      <c r="A858" s="35" t="s">
        <v>1267</v>
      </c>
      <c r="B858" s="37">
        <v>461.85000610351563</v>
      </c>
      <c r="C858" s="37">
        <v>356.14569091796875</v>
      </c>
      <c r="D858" s="35">
        <v>2113706</v>
      </c>
      <c r="E858" s="35" t="s">
        <v>1216</v>
      </c>
      <c r="F858" s="35" t="s">
        <v>411</v>
      </c>
    </row>
    <row r="859" spans="1:6">
      <c r="A859" s="35" t="s">
        <v>1268</v>
      </c>
      <c r="B859" s="37">
        <v>468.47500610351563</v>
      </c>
      <c r="C859" s="37">
        <v>361.25436401367188</v>
      </c>
      <c r="D859" s="35">
        <v>3755080</v>
      </c>
      <c r="E859" s="35" t="s">
        <v>1216</v>
      </c>
      <c r="F859" s="35" t="s">
        <v>411</v>
      </c>
    </row>
    <row r="860" spans="1:6">
      <c r="A860" s="35" t="s">
        <v>1269</v>
      </c>
      <c r="B860" s="37">
        <v>474.14999389648438</v>
      </c>
      <c r="C860" s="37">
        <v>365.6304931640625</v>
      </c>
      <c r="D860" s="35">
        <v>6186584</v>
      </c>
      <c r="E860" s="35" t="s">
        <v>1216</v>
      </c>
      <c r="F860" s="35" t="s">
        <v>411</v>
      </c>
    </row>
    <row r="861" spans="1:6">
      <c r="A861" s="35" t="s">
        <v>1270</v>
      </c>
      <c r="B861" s="37">
        <v>466.60000610351563</v>
      </c>
      <c r="C861" s="37">
        <v>359.80841064453125</v>
      </c>
      <c r="D861" s="35">
        <v>2653666</v>
      </c>
      <c r="E861" s="35" t="s">
        <v>1216</v>
      </c>
      <c r="F861" s="35" t="s">
        <v>411</v>
      </c>
    </row>
    <row r="862" spans="1:6">
      <c r="A862" s="35" t="s">
        <v>1271</v>
      </c>
      <c r="B862" s="37">
        <v>460.22500610351563</v>
      </c>
      <c r="C862" s="37">
        <v>354.89266967773438</v>
      </c>
      <c r="D862" s="35">
        <v>2812474</v>
      </c>
      <c r="E862" s="35" t="s">
        <v>1216</v>
      </c>
      <c r="F862" s="35" t="s">
        <v>411</v>
      </c>
    </row>
    <row r="863" spans="1:6">
      <c r="A863" s="35" t="s">
        <v>1272</v>
      </c>
      <c r="B863" s="37">
        <v>455.47500610351563</v>
      </c>
      <c r="C863" s="37">
        <v>351.22970581054688</v>
      </c>
      <c r="D863" s="35">
        <v>2820262</v>
      </c>
      <c r="E863" s="35" t="s">
        <v>1216</v>
      </c>
      <c r="F863" s="35" t="s">
        <v>411</v>
      </c>
    </row>
    <row r="864" spans="1:6">
      <c r="A864" s="35" t="s">
        <v>1273</v>
      </c>
      <c r="B864" s="37">
        <v>451.27499389648438</v>
      </c>
      <c r="C864" s="37">
        <v>347.99099731445313</v>
      </c>
      <c r="D864" s="35">
        <v>3208902</v>
      </c>
      <c r="E864" s="35" t="s">
        <v>1216</v>
      </c>
      <c r="F864" s="35" t="s">
        <v>411</v>
      </c>
    </row>
    <row r="865" spans="1:6">
      <c r="A865" s="35" t="s">
        <v>1274</v>
      </c>
      <c r="B865" s="37">
        <v>452.39999389648438</v>
      </c>
      <c r="C865" s="37">
        <v>348.85845947265625</v>
      </c>
      <c r="D865" s="35">
        <v>4036700</v>
      </c>
      <c r="E865" s="35" t="s">
        <v>1216</v>
      </c>
      <c r="F865" s="35" t="s">
        <v>411</v>
      </c>
    </row>
    <row r="866" spans="1:6">
      <c r="A866" s="35" t="s">
        <v>1275</v>
      </c>
      <c r="B866" s="37">
        <v>454.45001220703125</v>
      </c>
      <c r="C866" s="37">
        <v>350.43930053710938</v>
      </c>
      <c r="D866" s="35">
        <v>4255720</v>
      </c>
      <c r="E866" s="35" t="s">
        <v>1216</v>
      </c>
      <c r="F866" s="35" t="s">
        <v>411</v>
      </c>
    </row>
    <row r="867" spans="1:6">
      <c r="A867" s="35" t="s">
        <v>1276</v>
      </c>
      <c r="B867" s="37">
        <v>455.20001220703125</v>
      </c>
      <c r="C867" s="37">
        <v>351.01763916015625</v>
      </c>
      <c r="D867" s="35">
        <v>3249236</v>
      </c>
      <c r="E867" s="35" t="s">
        <v>1216</v>
      </c>
      <c r="F867" s="35" t="s">
        <v>411</v>
      </c>
    </row>
    <row r="868" spans="1:6">
      <c r="A868" s="35" t="s">
        <v>1277</v>
      </c>
      <c r="B868" s="37">
        <v>460.52499389648438</v>
      </c>
      <c r="C868" s="37">
        <v>355.12387084960938</v>
      </c>
      <c r="D868" s="35">
        <v>5751028</v>
      </c>
      <c r="E868" s="35" t="s">
        <v>1216</v>
      </c>
      <c r="F868" s="35" t="s">
        <v>411</v>
      </c>
    </row>
    <row r="869" spans="1:6">
      <c r="A869" s="35" t="s">
        <v>1278</v>
      </c>
      <c r="B869" s="37">
        <v>454.79998779296875</v>
      </c>
      <c r="C869" s="37">
        <v>350.70916748046875</v>
      </c>
      <c r="D869" s="35">
        <v>13566568</v>
      </c>
      <c r="E869" s="35" t="s">
        <v>1216</v>
      </c>
      <c r="F869" s="35" t="s">
        <v>411</v>
      </c>
    </row>
    <row r="870" spans="1:6">
      <c r="A870" s="35" t="s">
        <v>1279</v>
      </c>
      <c r="B870" s="37">
        <v>463.125</v>
      </c>
      <c r="C870" s="37">
        <v>357.12875366210938</v>
      </c>
      <c r="D870" s="35">
        <v>6059554</v>
      </c>
      <c r="E870" s="35" t="s">
        <v>1216</v>
      </c>
      <c r="F870" s="35" t="s">
        <v>411</v>
      </c>
    </row>
    <row r="871" spans="1:6">
      <c r="A871" s="35" t="s">
        <v>1280</v>
      </c>
      <c r="B871" s="37">
        <v>463.04998779296875</v>
      </c>
      <c r="C871" s="37">
        <v>357.07101440429688</v>
      </c>
      <c r="D871" s="35">
        <v>1776396</v>
      </c>
      <c r="E871" s="35" t="s">
        <v>1216</v>
      </c>
      <c r="F871" s="35" t="s">
        <v>411</v>
      </c>
    </row>
    <row r="872" spans="1:6">
      <c r="A872" s="35" t="s">
        <v>1281</v>
      </c>
      <c r="B872" s="37">
        <v>468.75</v>
      </c>
      <c r="C872" s="37">
        <v>361.46649169921875</v>
      </c>
      <c r="D872" s="35">
        <v>2054476</v>
      </c>
      <c r="E872" s="35" t="s">
        <v>1216</v>
      </c>
      <c r="F872" s="35" t="s">
        <v>411</v>
      </c>
    </row>
    <row r="873" spans="1:6">
      <c r="A873" s="35" t="s">
        <v>1282</v>
      </c>
      <c r="B873" s="37">
        <v>462.82501220703125</v>
      </c>
      <c r="C873" s="37">
        <v>356.89752197265625</v>
      </c>
      <c r="D873" s="35">
        <v>1547894</v>
      </c>
      <c r="E873" s="35" t="s">
        <v>1216</v>
      </c>
      <c r="F873" s="35" t="s">
        <v>411</v>
      </c>
    </row>
    <row r="874" spans="1:6">
      <c r="A874" s="35" t="s">
        <v>1283</v>
      </c>
      <c r="B874" s="37">
        <v>465.52499389648438</v>
      </c>
      <c r="C874" s="37">
        <v>358.9796142578125</v>
      </c>
      <c r="D874" s="35">
        <v>3416140</v>
      </c>
      <c r="E874" s="35" t="s">
        <v>1216</v>
      </c>
      <c r="F874" s="35" t="s">
        <v>411</v>
      </c>
    </row>
    <row r="875" spans="1:6">
      <c r="A875" s="35" t="s">
        <v>1284</v>
      </c>
      <c r="B875" s="37">
        <v>471.95001220703125</v>
      </c>
      <c r="C875" s="37">
        <v>363.93408203125</v>
      </c>
      <c r="D875" s="35">
        <v>5055508</v>
      </c>
      <c r="E875" s="35" t="s">
        <v>1216</v>
      </c>
      <c r="F875" s="35" t="s">
        <v>411</v>
      </c>
    </row>
    <row r="876" spans="1:6">
      <c r="A876" s="35" t="s">
        <v>1285</v>
      </c>
      <c r="B876" s="37">
        <v>480.77499389648438</v>
      </c>
      <c r="C876" s="37">
        <v>370.73931884765625</v>
      </c>
      <c r="D876" s="35">
        <v>3711984</v>
      </c>
      <c r="E876" s="35" t="s">
        <v>1216</v>
      </c>
      <c r="F876" s="35" t="s">
        <v>411</v>
      </c>
    </row>
    <row r="877" spans="1:6">
      <c r="A877" s="35" t="s">
        <v>1286</v>
      </c>
      <c r="B877" s="37">
        <v>489.77499389648438</v>
      </c>
      <c r="C877" s="37">
        <v>377.67953491210938</v>
      </c>
      <c r="D877" s="35">
        <v>11042854</v>
      </c>
      <c r="E877" s="35" t="s">
        <v>1216</v>
      </c>
      <c r="F877" s="35" t="s">
        <v>411</v>
      </c>
    </row>
    <row r="878" spans="1:6">
      <c r="A878" s="35" t="s">
        <v>1287</v>
      </c>
      <c r="B878" s="37">
        <v>496.72500610351563</v>
      </c>
      <c r="C878" s="37">
        <v>383.03875732421875</v>
      </c>
      <c r="D878" s="35">
        <v>10209714</v>
      </c>
      <c r="E878" s="35" t="s">
        <v>1216</v>
      </c>
      <c r="F878" s="35" t="s">
        <v>411</v>
      </c>
    </row>
    <row r="879" spans="1:6">
      <c r="A879" s="35" t="s">
        <v>1288</v>
      </c>
      <c r="B879" s="37">
        <v>503.02499389648438</v>
      </c>
      <c r="C879" s="37">
        <v>387.8968505859375</v>
      </c>
      <c r="D879" s="35">
        <v>10093442</v>
      </c>
      <c r="E879" s="35" t="s">
        <v>1216</v>
      </c>
      <c r="F879" s="35" t="s">
        <v>411</v>
      </c>
    </row>
    <row r="880" spans="1:6">
      <c r="A880" s="35" t="s">
        <v>1289</v>
      </c>
      <c r="B880" s="37">
        <v>491.67498779296875</v>
      </c>
      <c r="C880" s="37">
        <v>379.14453125</v>
      </c>
      <c r="D880" s="35">
        <v>11524056</v>
      </c>
      <c r="E880" s="35" t="s">
        <v>1216</v>
      </c>
      <c r="F880" s="35" t="s">
        <v>411</v>
      </c>
    </row>
    <row r="881" spans="1:6">
      <c r="A881" s="35" t="s">
        <v>1290</v>
      </c>
      <c r="B881" s="37">
        <v>486.04998779296875</v>
      </c>
      <c r="C881" s="37">
        <v>374.8070068359375</v>
      </c>
      <c r="D881" s="35">
        <v>3404444</v>
      </c>
      <c r="E881" s="35" t="s">
        <v>1216</v>
      </c>
      <c r="F881" s="35" t="s">
        <v>411</v>
      </c>
    </row>
    <row r="882" spans="1:6">
      <c r="A882" s="35" t="s">
        <v>1291</v>
      </c>
      <c r="B882" s="37">
        <v>490.14999389648438</v>
      </c>
      <c r="C882" s="37">
        <v>377.9686279296875</v>
      </c>
      <c r="D882" s="35">
        <v>3241946</v>
      </c>
      <c r="E882" s="35" t="s">
        <v>1216</v>
      </c>
      <c r="F882" s="35" t="s">
        <v>411</v>
      </c>
    </row>
    <row r="883" spans="1:6">
      <c r="A883" s="35" t="s">
        <v>1292</v>
      </c>
      <c r="B883" s="37">
        <v>494.95001220703125</v>
      </c>
      <c r="C883" s="37">
        <v>381.66995239257813</v>
      </c>
      <c r="D883" s="35">
        <v>3784400</v>
      </c>
      <c r="E883" s="35" t="s">
        <v>1216</v>
      </c>
      <c r="F883" s="35" t="s">
        <v>411</v>
      </c>
    </row>
    <row r="884" spans="1:6">
      <c r="A884" s="35" t="s">
        <v>1293</v>
      </c>
      <c r="B884" s="37">
        <v>491.04998779296875</v>
      </c>
      <c r="C884" s="37">
        <v>378.66259765625</v>
      </c>
      <c r="D884" s="35">
        <v>1501536</v>
      </c>
      <c r="E884" s="35" t="s">
        <v>1216</v>
      </c>
      <c r="F884" s="35" t="s">
        <v>411</v>
      </c>
    </row>
    <row r="885" spans="1:6">
      <c r="A885" s="35" t="s">
        <v>1294</v>
      </c>
      <c r="B885" s="37">
        <v>499.60000610351563</v>
      </c>
      <c r="C885" s="37">
        <v>385.25570678710938</v>
      </c>
      <c r="D885" s="35">
        <v>4379550</v>
      </c>
      <c r="E885" s="35" t="s">
        <v>1216</v>
      </c>
      <c r="F885" s="35" t="s">
        <v>411</v>
      </c>
    </row>
    <row r="886" spans="1:6">
      <c r="A886" s="35" t="s">
        <v>1295</v>
      </c>
      <c r="B886" s="37">
        <v>502.42498779296875</v>
      </c>
      <c r="C886" s="37">
        <v>387.4342041015625</v>
      </c>
      <c r="D886" s="35">
        <v>3296730</v>
      </c>
      <c r="E886" s="35" t="s">
        <v>1216</v>
      </c>
      <c r="F886" s="35" t="s">
        <v>411</v>
      </c>
    </row>
    <row r="887" spans="1:6">
      <c r="A887" s="35" t="s">
        <v>1296</v>
      </c>
      <c r="B887" s="37">
        <v>495.79998779296875</v>
      </c>
      <c r="C887" s="37">
        <v>382.325439453125</v>
      </c>
      <c r="D887" s="35">
        <v>2925630</v>
      </c>
      <c r="E887" s="35" t="s">
        <v>1216</v>
      </c>
      <c r="F887" s="35" t="s">
        <v>411</v>
      </c>
    </row>
    <row r="888" spans="1:6">
      <c r="A888" s="35" t="s">
        <v>1297</v>
      </c>
      <c r="B888" s="37">
        <v>482.14999389648438</v>
      </c>
      <c r="C888" s="37">
        <v>371.79959106445313</v>
      </c>
      <c r="D888" s="35">
        <v>5643672</v>
      </c>
      <c r="E888" s="35" t="s">
        <v>1216</v>
      </c>
      <c r="F888" s="35" t="s">
        <v>411</v>
      </c>
    </row>
    <row r="889" spans="1:6">
      <c r="A889" s="35" t="s">
        <v>1298</v>
      </c>
      <c r="B889" s="37">
        <v>476.29998779296875</v>
      </c>
      <c r="C889" s="37">
        <v>367.28851318359375</v>
      </c>
      <c r="D889" s="35">
        <v>7970088</v>
      </c>
      <c r="E889" s="35" t="s">
        <v>1216</v>
      </c>
      <c r="F889" s="35" t="s">
        <v>411</v>
      </c>
    </row>
    <row r="890" spans="1:6">
      <c r="A890" s="35" t="s">
        <v>1299</v>
      </c>
      <c r="B890" s="37">
        <v>481.72500610351563</v>
      </c>
      <c r="C890" s="37">
        <v>371.47186279296875</v>
      </c>
      <c r="D890" s="35">
        <v>4929768</v>
      </c>
      <c r="E890" s="35" t="s">
        <v>1216</v>
      </c>
      <c r="F890" s="35" t="s">
        <v>411</v>
      </c>
    </row>
    <row r="891" spans="1:6">
      <c r="A891" s="35" t="s">
        <v>1300</v>
      </c>
      <c r="B891" s="37">
        <v>473.57501220703125</v>
      </c>
      <c r="C891" s="37">
        <v>365.18722534179688</v>
      </c>
      <c r="D891" s="35">
        <v>6447110</v>
      </c>
      <c r="E891" s="35" t="s">
        <v>1216</v>
      </c>
      <c r="F891" s="35" t="s">
        <v>411</v>
      </c>
    </row>
    <row r="892" spans="1:6">
      <c r="A892" s="35" t="s">
        <v>1301</v>
      </c>
      <c r="B892" s="37">
        <v>482.54998779296875</v>
      </c>
      <c r="C892" s="37">
        <v>372.1080322265625</v>
      </c>
      <c r="D892" s="35">
        <v>4771570</v>
      </c>
      <c r="E892" s="35" t="s">
        <v>1216</v>
      </c>
      <c r="F892" s="35" t="s">
        <v>411</v>
      </c>
    </row>
    <row r="893" spans="1:6">
      <c r="A893" s="35" t="s">
        <v>1302</v>
      </c>
      <c r="B893" s="37">
        <v>489.32501220703125</v>
      </c>
      <c r="C893" s="37">
        <v>377.33236694335938</v>
      </c>
      <c r="D893" s="35">
        <v>3568096</v>
      </c>
      <c r="E893" s="35" t="s">
        <v>1216</v>
      </c>
      <c r="F893" s="35" t="s">
        <v>411</v>
      </c>
    </row>
    <row r="894" spans="1:6">
      <c r="A894" s="35" t="s">
        <v>1303</v>
      </c>
      <c r="B894" s="37">
        <v>480.25</v>
      </c>
      <c r="C894" s="37">
        <v>371.09271240234375</v>
      </c>
      <c r="D894" s="35">
        <v>3200706</v>
      </c>
      <c r="E894" s="35" t="s">
        <v>1216</v>
      </c>
      <c r="F894" s="35" t="s">
        <v>411</v>
      </c>
    </row>
    <row r="895" spans="1:6">
      <c r="A895" s="35" t="s">
        <v>1304</v>
      </c>
      <c r="B895" s="37">
        <v>481.82501220703125</v>
      </c>
      <c r="C895" s="37">
        <v>372.30978393554688</v>
      </c>
      <c r="D895" s="35">
        <v>2289018</v>
      </c>
      <c r="E895" s="35" t="s">
        <v>1216</v>
      </c>
      <c r="F895" s="35" t="s">
        <v>411</v>
      </c>
    </row>
    <row r="896" spans="1:6">
      <c r="A896" s="35" t="s">
        <v>1305</v>
      </c>
      <c r="B896" s="37">
        <v>478.25</v>
      </c>
      <c r="C896" s="37">
        <v>369.54736328125</v>
      </c>
      <c r="D896" s="35">
        <v>2165794</v>
      </c>
      <c r="E896" s="35" t="s">
        <v>1216</v>
      </c>
      <c r="F896" s="35" t="s">
        <v>411</v>
      </c>
    </row>
    <row r="897" spans="1:6">
      <c r="A897" s="35" t="s">
        <v>1306</v>
      </c>
      <c r="B897" s="37">
        <v>484.39999389648438</v>
      </c>
      <c r="C897" s="37">
        <v>374.299560546875</v>
      </c>
      <c r="D897" s="35">
        <v>2235882</v>
      </c>
      <c r="E897" s="35" t="s">
        <v>1216</v>
      </c>
      <c r="F897" s="35" t="s">
        <v>411</v>
      </c>
    </row>
    <row r="898" spans="1:6">
      <c r="A898" s="35" t="s">
        <v>1307</v>
      </c>
      <c r="B898" s="37">
        <v>482.27499389648438</v>
      </c>
      <c r="C898" s="37">
        <v>372.65750122070313</v>
      </c>
      <c r="D898" s="35">
        <v>1517966</v>
      </c>
      <c r="E898" s="35" t="s">
        <v>1216</v>
      </c>
      <c r="F898" s="35" t="s">
        <v>411</v>
      </c>
    </row>
    <row r="899" spans="1:6">
      <c r="A899" s="35" t="s">
        <v>1308</v>
      </c>
      <c r="B899" s="37">
        <v>478.32501220703125</v>
      </c>
      <c r="C899" s="37">
        <v>369.60528564453125</v>
      </c>
      <c r="D899" s="35">
        <v>2005458</v>
      </c>
      <c r="E899" s="35" t="s">
        <v>1216</v>
      </c>
      <c r="F899" s="35" t="s">
        <v>411</v>
      </c>
    </row>
    <row r="900" spans="1:6">
      <c r="A900" s="35" t="s">
        <v>1309</v>
      </c>
      <c r="B900" s="37">
        <v>483</v>
      </c>
      <c r="C900" s="37">
        <v>373.21768188476563</v>
      </c>
      <c r="D900" s="35">
        <v>2417448</v>
      </c>
      <c r="E900" s="35" t="s">
        <v>1216</v>
      </c>
      <c r="F900" s="35" t="s">
        <v>411</v>
      </c>
    </row>
    <row r="901" spans="1:6">
      <c r="A901" s="35" t="s">
        <v>1310</v>
      </c>
      <c r="B901" s="37">
        <v>491.5</v>
      </c>
      <c r="C901" s="37">
        <v>379.78570556640625</v>
      </c>
      <c r="D901" s="35">
        <v>2885640</v>
      </c>
      <c r="E901" s="35" t="s">
        <v>1216</v>
      </c>
      <c r="F901" s="35" t="s">
        <v>411</v>
      </c>
    </row>
    <row r="902" spans="1:6">
      <c r="A902" s="35" t="s">
        <v>1311</v>
      </c>
      <c r="B902" s="37">
        <v>499.85000610351563</v>
      </c>
      <c r="C902" s="37">
        <v>386.23782348632813</v>
      </c>
      <c r="D902" s="35">
        <v>4962034</v>
      </c>
      <c r="E902" s="35" t="s">
        <v>1216</v>
      </c>
      <c r="F902" s="35" t="s">
        <v>411</v>
      </c>
    </row>
    <row r="903" spans="1:6">
      <c r="A903" s="35" t="s">
        <v>1312</v>
      </c>
      <c r="B903" s="37">
        <v>498.625</v>
      </c>
      <c r="C903" s="37">
        <v>385.29129028320313</v>
      </c>
      <c r="D903" s="35">
        <v>5908118</v>
      </c>
      <c r="E903" s="35" t="s">
        <v>1216</v>
      </c>
      <c r="F903" s="35" t="s">
        <v>411</v>
      </c>
    </row>
    <row r="904" spans="1:6">
      <c r="A904" s="35" t="s">
        <v>1313</v>
      </c>
      <c r="B904" s="37">
        <v>501.52499389648438</v>
      </c>
      <c r="C904" s="37">
        <v>387.53216552734375</v>
      </c>
      <c r="D904" s="35">
        <v>2960410</v>
      </c>
      <c r="E904" s="35" t="s">
        <v>1216</v>
      </c>
      <c r="F904" s="35" t="s">
        <v>411</v>
      </c>
    </row>
    <row r="905" spans="1:6">
      <c r="A905" s="35" t="s">
        <v>1314</v>
      </c>
      <c r="B905" s="37">
        <v>494.125</v>
      </c>
      <c r="C905" s="37">
        <v>381.81414794921875</v>
      </c>
      <c r="D905" s="35">
        <v>2829604</v>
      </c>
      <c r="E905" s="35" t="s">
        <v>1216</v>
      </c>
      <c r="F905" s="35" t="s">
        <v>411</v>
      </c>
    </row>
    <row r="906" spans="1:6">
      <c r="A906" s="35" t="s">
        <v>1315</v>
      </c>
      <c r="B906" s="37">
        <v>502.29998779296875</v>
      </c>
      <c r="C906" s="37">
        <v>388.1309814453125</v>
      </c>
      <c r="D906" s="35">
        <v>9839198</v>
      </c>
      <c r="E906" s="35" t="s">
        <v>1216</v>
      </c>
      <c r="F906" s="35" t="s">
        <v>411</v>
      </c>
    </row>
    <row r="907" spans="1:6">
      <c r="A907" s="35" t="s">
        <v>1316</v>
      </c>
      <c r="B907" s="37">
        <v>512.82501220703125</v>
      </c>
      <c r="C907" s="37">
        <v>396.26373291015625</v>
      </c>
      <c r="D907" s="35">
        <v>5537558</v>
      </c>
      <c r="E907" s="35" t="s">
        <v>1216</v>
      </c>
      <c r="F907" s="35" t="s">
        <v>411</v>
      </c>
    </row>
    <row r="908" spans="1:6">
      <c r="A908" s="35" t="s">
        <v>1317</v>
      </c>
      <c r="B908" s="37">
        <v>511.67498779296875</v>
      </c>
      <c r="C908" s="37">
        <v>395.37503051757813</v>
      </c>
      <c r="D908" s="35">
        <v>4540390</v>
      </c>
      <c r="E908" s="35" t="s">
        <v>1216</v>
      </c>
      <c r="F908" s="35" t="s">
        <v>411</v>
      </c>
    </row>
    <row r="909" spans="1:6">
      <c r="A909" s="35" t="s">
        <v>1318</v>
      </c>
      <c r="B909" s="37">
        <v>519.5</v>
      </c>
      <c r="C909" s="37">
        <v>401.42160034179688</v>
      </c>
      <c r="D909" s="35">
        <v>2488450</v>
      </c>
      <c r="E909" s="35" t="s">
        <v>1216</v>
      </c>
      <c r="F909" s="35" t="s">
        <v>411</v>
      </c>
    </row>
    <row r="910" spans="1:6">
      <c r="A910" s="35" t="s">
        <v>1319</v>
      </c>
      <c r="B910" s="37">
        <v>520.375</v>
      </c>
      <c r="C910" s="37">
        <v>402.0977783203125</v>
      </c>
      <c r="D910" s="35">
        <v>2626156</v>
      </c>
      <c r="E910" s="35" t="s">
        <v>1216</v>
      </c>
      <c r="F910" s="35" t="s">
        <v>411</v>
      </c>
    </row>
    <row r="911" spans="1:6">
      <c r="A911" s="35" t="s">
        <v>1320</v>
      </c>
      <c r="B911" s="37">
        <v>516.42498779296875</v>
      </c>
      <c r="C911" s="37">
        <v>399.04547119140625</v>
      </c>
      <c r="D911" s="35">
        <v>4063384</v>
      </c>
      <c r="E911" s="35" t="s">
        <v>1216</v>
      </c>
      <c r="F911" s="35" t="s">
        <v>411</v>
      </c>
    </row>
    <row r="912" spans="1:6">
      <c r="A912" s="35" t="s">
        <v>1321</v>
      </c>
      <c r="B912" s="37">
        <v>508.27499389648438</v>
      </c>
      <c r="C912" s="37">
        <v>392.74795532226563</v>
      </c>
      <c r="D912" s="35">
        <v>4883942</v>
      </c>
      <c r="E912" s="35" t="s">
        <v>1216</v>
      </c>
      <c r="F912" s="35" t="s">
        <v>411</v>
      </c>
    </row>
    <row r="913" spans="1:6">
      <c r="A913" s="35" t="s">
        <v>1322</v>
      </c>
      <c r="B913" s="37">
        <v>523.2249755859375</v>
      </c>
      <c r="C913" s="37">
        <v>404.2999267578125</v>
      </c>
      <c r="D913" s="35">
        <v>6558672</v>
      </c>
      <c r="E913" s="35" t="s">
        <v>1216</v>
      </c>
      <c r="F913" s="35" t="s">
        <v>411</v>
      </c>
    </row>
    <row r="914" spans="1:6">
      <c r="A914" s="35" t="s">
        <v>1323</v>
      </c>
      <c r="B914" s="37">
        <v>524.57501220703125</v>
      </c>
      <c r="C914" s="37">
        <v>405.34304809570313</v>
      </c>
      <c r="D914" s="35">
        <v>4454306</v>
      </c>
      <c r="E914" s="35" t="s">
        <v>1216</v>
      </c>
      <c r="F914" s="35" t="s">
        <v>411</v>
      </c>
    </row>
    <row r="915" spans="1:6">
      <c r="A915" s="35" t="s">
        <v>1324</v>
      </c>
      <c r="B915" s="37">
        <v>538.17498779296875</v>
      </c>
      <c r="C915" s="37">
        <v>415.85195922851563</v>
      </c>
      <c r="D915" s="35">
        <v>5584742</v>
      </c>
      <c r="E915" s="35" t="s">
        <v>1216</v>
      </c>
      <c r="F915" s="35" t="s">
        <v>411</v>
      </c>
    </row>
    <row r="916" spans="1:6">
      <c r="A916" s="35" t="s">
        <v>1325</v>
      </c>
      <c r="B916" s="37">
        <v>539.4749755859375</v>
      </c>
      <c r="C916" s="37">
        <v>416.85641479492188</v>
      </c>
      <c r="D916" s="35">
        <v>5701112</v>
      </c>
      <c r="E916" s="35" t="s">
        <v>1216</v>
      </c>
      <c r="F916" s="35" t="s">
        <v>411</v>
      </c>
    </row>
    <row r="917" spans="1:6">
      <c r="A917" s="35" t="s">
        <v>1326</v>
      </c>
      <c r="B917" s="37">
        <v>544.4000244140625</v>
      </c>
      <c r="C917" s="37">
        <v>420.66195678710938</v>
      </c>
      <c r="D917" s="35">
        <v>5991810</v>
      </c>
      <c r="E917" s="35" t="s">
        <v>1216</v>
      </c>
      <c r="F917" s="35" t="s">
        <v>411</v>
      </c>
    </row>
    <row r="918" spans="1:6">
      <c r="A918" s="35" t="s">
        <v>1327</v>
      </c>
      <c r="B918" s="37">
        <v>536.9749755859375</v>
      </c>
      <c r="C918" s="37">
        <v>414.92453002929688</v>
      </c>
      <c r="D918" s="35">
        <v>4379878</v>
      </c>
      <c r="E918" s="35" t="s">
        <v>1216</v>
      </c>
      <c r="F918" s="35" t="s">
        <v>411</v>
      </c>
    </row>
    <row r="919" spans="1:6">
      <c r="A919" s="35" t="s">
        <v>1328</v>
      </c>
      <c r="B919" s="37">
        <v>544.3499755859375</v>
      </c>
      <c r="C919" s="37">
        <v>420.62332153320313</v>
      </c>
      <c r="D919" s="35">
        <v>8205078</v>
      </c>
      <c r="E919" s="35" t="s">
        <v>1216</v>
      </c>
      <c r="F919" s="35" t="s">
        <v>411</v>
      </c>
    </row>
    <row r="920" spans="1:6">
      <c r="A920" s="35" t="s">
        <v>1329</v>
      </c>
      <c r="B920" s="37">
        <v>542.54998779296875</v>
      </c>
      <c r="C920" s="37">
        <v>419.232421875</v>
      </c>
      <c r="D920" s="35">
        <v>8472420</v>
      </c>
      <c r="E920" s="35" t="s">
        <v>1216</v>
      </c>
      <c r="F920" s="35" t="s">
        <v>411</v>
      </c>
    </row>
    <row r="921" spans="1:6">
      <c r="A921" s="35" t="s">
        <v>1330</v>
      </c>
      <c r="B921" s="37">
        <v>543.4000244140625</v>
      </c>
      <c r="C921" s="37">
        <v>419.88931274414063</v>
      </c>
      <c r="D921" s="35">
        <v>4139134</v>
      </c>
      <c r="E921" s="35" t="s">
        <v>1216</v>
      </c>
      <c r="F921" s="35" t="s">
        <v>411</v>
      </c>
    </row>
    <row r="922" spans="1:6">
      <c r="A922" s="35" t="s">
        <v>1331</v>
      </c>
      <c r="B922" s="37">
        <v>535.3499755859375</v>
      </c>
      <c r="C922" s="37">
        <v>413.66903686523438</v>
      </c>
      <c r="D922" s="35">
        <v>7290574</v>
      </c>
      <c r="E922" s="35" t="s">
        <v>1216</v>
      </c>
      <c r="F922" s="35" t="s">
        <v>411</v>
      </c>
    </row>
    <row r="923" spans="1:6">
      <c r="A923" s="35" t="s">
        <v>1332</v>
      </c>
      <c r="B923" s="37">
        <v>539.20001220703125</v>
      </c>
      <c r="C923" s="37">
        <v>416.64398193359375</v>
      </c>
      <c r="D923" s="35">
        <v>3018112</v>
      </c>
      <c r="E923" s="35" t="s">
        <v>1216</v>
      </c>
      <c r="F923" s="35" t="s">
        <v>411</v>
      </c>
    </row>
    <row r="924" spans="1:6">
      <c r="A924" s="35" t="s">
        <v>1333</v>
      </c>
      <c r="B924" s="37">
        <v>541.95001220703125</v>
      </c>
      <c r="C924" s="37">
        <v>418.76873779296875</v>
      </c>
      <c r="D924" s="35">
        <v>2745526</v>
      </c>
      <c r="E924" s="35" t="s">
        <v>1216</v>
      </c>
      <c r="F924" s="35" t="s">
        <v>411</v>
      </c>
    </row>
    <row r="925" spans="1:6">
      <c r="A925" s="35" t="s">
        <v>1334</v>
      </c>
      <c r="B925" s="37">
        <v>543.6500244140625</v>
      </c>
      <c r="C925" s="37">
        <v>420.0823974609375</v>
      </c>
      <c r="D925" s="35">
        <v>4439812</v>
      </c>
      <c r="E925" s="35" t="s">
        <v>1216</v>
      </c>
      <c r="F925" s="35" t="s">
        <v>411</v>
      </c>
    </row>
    <row r="926" spans="1:6">
      <c r="A926" s="35" t="s">
        <v>1335</v>
      </c>
      <c r="B926" s="37">
        <v>542.45001220703125</v>
      </c>
      <c r="C926" s="37">
        <v>419.1551513671875</v>
      </c>
      <c r="D926" s="35">
        <v>6595630</v>
      </c>
      <c r="E926" s="35" t="s">
        <v>1216</v>
      </c>
      <c r="F926" s="35" t="s">
        <v>411</v>
      </c>
    </row>
    <row r="927" spans="1:6">
      <c r="A927" s="35" t="s">
        <v>1336</v>
      </c>
      <c r="B927" s="37">
        <v>548.1500244140625</v>
      </c>
      <c r="C927" s="37">
        <v>423.55963134765625</v>
      </c>
      <c r="D927" s="35">
        <v>4432578</v>
      </c>
      <c r="E927" s="35" t="s">
        <v>1216</v>
      </c>
      <c r="F927" s="35" t="s">
        <v>411</v>
      </c>
    </row>
    <row r="928" spans="1:6">
      <c r="A928" s="35" t="s">
        <v>1337</v>
      </c>
      <c r="B928" s="37">
        <v>558.17498779296875</v>
      </c>
      <c r="C928" s="37">
        <v>431.305908203125</v>
      </c>
      <c r="D928" s="35">
        <v>5664544</v>
      </c>
      <c r="E928" s="35" t="s">
        <v>1216</v>
      </c>
      <c r="F928" s="35" t="s">
        <v>411</v>
      </c>
    </row>
    <row r="929" spans="1:6">
      <c r="A929" s="35" t="s">
        <v>1338</v>
      </c>
      <c r="B929" s="37">
        <v>545.07501220703125</v>
      </c>
      <c r="C929" s="37">
        <v>421.18356323242188</v>
      </c>
      <c r="D929" s="35">
        <v>2870394</v>
      </c>
      <c r="E929" s="35" t="s">
        <v>1216</v>
      </c>
      <c r="F929" s="35" t="s">
        <v>411</v>
      </c>
    </row>
    <row r="930" spans="1:6">
      <c r="A930" s="35" t="s">
        <v>1339</v>
      </c>
      <c r="B930" s="37">
        <v>546.0999755859375</v>
      </c>
      <c r="C930" s="37">
        <v>421.97561645507813</v>
      </c>
      <c r="D930" s="35">
        <v>5731064</v>
      </c>
      <c r="E930" s="35" t="s">
        <v>1216</v>
      </c>
      <c r="F930" s="35" t="s">
        <v>411</v>
      </c>
    </row>
    <row r="931" spans="1:6">
      <c r="A931" s="35" t="s">
        <v>1340</v>
      </c>
      <c r="B931" s="37">
        <v>543.9000244140625</v>
      </c>
      <c r="C931" s="37">
        <v>420.275634765625</v>
      </c>
      <c r="D931" s="35">
        <v>4445086</v>
      </c>
      <c r="E931" s="35" t="s">
        <v>1216</v>
      </c>
      <c r="F931" s="35" t="s">
        <v>411</v>
      </c>
    </row>
    <row r="932" spans="1:6">
      <c r="A932" s="35" t="s">
        <v>1341</v>
      </c>
      <c r="B932" s="37">
        <v>549.20001220703125</v>
      </c>
      <c r="C932" s="37">
        <v>424.37103271484375</v>
      </c>
      <c r="D932" s="35">
        <v>3406600</v>
      </c>
      <c r="E932" s="35" t="s">
        <v>1216</v>
      </c>
      <c r="F932" s="35" t="s">
        <v>411</v>
      </c>
    </row>
    <row r="933" spans="1:6">
      <c r="A933" s="35" t="s">
        <v>1342</v>
      </c>
      <c r="B933" s="37">
        <v>545.6500244140625</v>
      </c>
      <c r="C933" s="37">
        <v>421.62789916992188</v>
      </c>
      <c r="D933" s="35">
        <v>4730720</v>
      </c>
      <c r="E933" s="35" t="s">
        <v>1216</v>
      </c>
      <c r="F933" s="35" t="s">
        <v>411</v>
      </c>
    </row>
    <row r="934" spans="1:6">
      <c r="A934" s="35" t="s">
        <v>1343</v>
      </c>
      <c r="B934" s="37">
        <v>538.54998779296875</v>
      </c>
      <c r="C934" s="37">
        <v>416.14166259765625</v>
      </c>
      <c r="D934" s="35">
        <v>3891118</v>
      </c>
      <c r="E934" s="35" t="s">
        <v>1216</v>
      </c>
      <c r="F934" s="35" t="s">
        <v>411</v>
      </c>
    </row>
    <row r="935" spans="1:6">
      <c r="A935" s="35" t="s">
        <v>1344</v>
      </c>
      <c r="B935" s="37">
        <v>542</v>
      </c>
      <c r="C935" s="37">
        <v>418.80752563476563</v>
      </c>
      <c r="D935" s="35">
        <v>2895914</v>
      </c>
      <c r="E935" s="35" t="s">
        <v>1216</v>
      </c>
      <c r="F935" s="35" t="s">
        <v>411</v>
      </c>
    </row>
    <row r="936" spans="1:6">
      <c r="A936" s="35" t="s">
        <v>1345</v>
      </c>
      <c r="B936" s="37">
        <v>536.04998779296875</v>
      </c>
      <c r="C936" s="37">
        <v>414.20986938476563</v>
      </c>
      <c r="D936" s="35">
        <v>2311830</v>
      </c>
      <c r="E936" s="35" t="s">
        <v>1216</v>
      </c>
      <c r="F936" s="35" t="s">
        <v>411</v>
      </c>
    </row>
    <row r="937" spans="1:6">
      <c r="A937" s="35" t="s">
        <v>1346</v>
      </c>
      <c r="B937" s="37">
        <v>534.20001220703125</v>
      </c>
      <c r="C937" s="37">
        <v>412.78030395507813</v>
      </c>
      <c r="D937" s="35">
        <v>2694524</v>
      </c>
      <c r="E937" s="35" t="s">
        <v>1216</v>
      </c>
      <c r="F937" s="35" t="s">
        <v>411</v>
      </c>
    </row>
    <row r="938" spans="1:6">
      <c r="A938" s="35" t="s">
        <v>1347</v>
      </c>
      <c r="B938" s="37">
        <v>525.9000244140625</v>
      </c>
      <c r="C938" s="37">
        <v>406.36691284179688</v>
      </c>
      <c r="D938" s="35">
        <v>4523678</v>
      </c>
      <c r="E938" s="35" t="s">
        <v>1216</v>
      </c>
      <c r="F938" s="35" t="s">
        <v>411</v>
      </c>
    </row>
    <row r="939" spans="1:6">
      <c r="A939" s="35" t="s">
        <v>1348</v>
      </c>
      <c r="B939" s="37">
        <v>504.5</v>
      </c>
      <c r="C939" s="37">
        <v>389.83087158203125</v>
      </c>
      <c r="D939" s="35">
        <v>6266576</v>
      </c>
      <c r="E939" s="35" t="s">
        <v>1216</v>
      </c>
      <c r="F939" s="35" t="s">
        <v>411</v>
      </c>
    </row>
    <row r="940" spans="1:6">
      <c r="A940" s="35" t="s">
        <v>1349</v>
      </c>
      <c r="B940" s="37">
        <v>492.57501220703125</v>
      </c>
      <c r="C940" s="37">
        <v>380.61642456054688</v>
      </c>
      <c r="D940" s="35">
        <v>4651748</v>
      </c>
      <c r="E940" s="35" t="s">
        <v>1216</v>
      </c>
      <c r="F940" s="35" t="s">
        <v>411</v>
      </c>
    </row>
    <row r="941" spans="1:6">
      <c r="A941" s="35" t="s">
        <v>1350</v>
      </c>
      <c r="B941" s="37">
        <v>501.47500610351563</v>
      </c>
      <c r="C941" s="37">
        <v>387.49349975585938</v>
      </c>
      <c r="D941" s="35">
        <v>3614908</v>
      </c>
      <c r="E941" s="35" t="s">
        <v>1216</v>
      </c>
      <c r="F941" s="35" t="s">
        <v>411</v>
      </c>
    </row>
    <row r="942" spans="1:6">
      <c r="A942" s="35" t="s">
        <v>1351</v>
      </c>
      <c r="B942" s="37">
        <v>501.70001220703125</v>
      </c>
      <c r="C942" s="37">
        <v>387.66732788085938</v>
      </c>
      <c r="D942" s="35">
        <v>3003220</v>
      </c>
      <c r="E942" s="35" t="s">
        <v>1216</v>
      </c>
      <c r="F942" s="35" t="s">
        <v>411</v>
      </c>
    </row>
    <row r="943" spans="1:6">
      <c r="A943" s="35" t="s">
        <v>1352</v>
      </c>
      <c r="B943" s="37">
        <v>512.125</v>
      </c>
      <c r="C943" s="37">
        <v>395.72280883789063</v>
      </c>
      <c r="D943" s="35">
        <v>3253970</v>
      </c>
      <c r="E943" s="35" t="s">
        <v>1216</v>
      </c>
      <c r="F943" s="35" t="s">
        <v>411</v>
      </c>
    </row>
    <row r="944" spans="1:6">
      <c r="A944" s="35" t="s">
        <v>1353</v>
      </c>
      <c r="B944" s="37">
        <v>479.25</v>
      </c>
      <c r="C944" s="37">
        <v>370.320068359375</v>
      </c>
      <c r="D944" s="35">
        <v>6869592</v>
      </c>
      <c r="E944" s="35" t="s">
        <v>1216</v>
      </c>
      <c r="F944" s="35" t="s">
        <v>411</v>
      </c>
    </row>
    <row r="945" spans="1:6">
      <c r="A945" s="35" t="s">
        <v>1354</v>
      </c>
      <c r="B945" s="37">
        <v>490.02499389648438</v>
      </c>
      <c r="C945" s="37">
        <v>378.64599609375</v>
      </c>
      <c r="D945" s="35">
        <v>3774108</v>
      </c>
      <c r="E945" s="35" t="s">
        <v>1216</v>
      </c>
      <c r="F945" s="35" t="s">
        <v>411</v>
      </c>
    </row>
    <row r="946" spans="1:6">
      <c r="A946" s="35" t="s">
        <v>1355</v>
      </c>
      <c r="B946" s="37">
        <v>475.77499389648438</v>
      </c>
      <c r="C946" s="37">
        <v>367.6348876953125</v>
      </c>
      <c r="D946" s="35">
        <v>2948962</v>
      </c>
      <c r="E946" s="35" t="s">
        <v>1216</v>
      </c>
      <c r="F946" s="35" t="s">
        <v>411</v>
      </c>
    </row>
    <row r="947" spans="1:6">
      <c r="A947" s="35" t="s">
        <v>1356</v>
      </c>
      <c r="B947" s="37">
        <v>490.35000610351563</v>
      </c>
      <c r="C947" s="37">
        <v>378.89724731445313</v>
      </c>
      <c r="D947" s="35">
        <v>8442982</v>
      </c>
      <c r="E947" s="35" t="s">
        <v>1216</v>
      </c>
      <c r="F947" s="35" t="s">
        <v>411</v>
      </c>
    </row>
    <row r="948" spans="1:6">
      <c r="A948" s="35" t="s">
        <v>1357</v>
      </c>
      <c r="B948" s="37">
        <v>502.42498779296875</v>
      </c>
      <c r="C948" s="37">
        <v>388.22760009765625</v>
      </c>
      <c r="D948" s="35">
        <v>6176258</v>
      </c>
      <c r="E948" s="35" t="s">
        <v>1216</v>
      </c>
      <c r="F948" s="35" t="s">
        <v>411</v>
      </c>
    </row>
    <row r="949" spans="1:6">
      <c r="A949" s="35" t="s">
        <v>1358</v>
      </c>
      <c r="B949" s="37">
        <v>483.29998779296875</v>
      </c>
      <c r="C949" s="37">
        <v>373.44952392578125</v>
      </c>
      <c r="D949" s="35">
        <v>3615756</v>
      </c>
      <c r="E949" s="35" t="s">
        <v>1216</v>
      </c>
      <c r="F949" s="35" t="s">
        <v>411</v>
      </c>
    </row>
    <row r="950" spans="1:6">
      <c r="A950" s="35" t="s">
        <v>1359</v>
      </c>
      <c r="B950" s="37">
        <v>492.82501220703125</v>
      </c>
      <c r="C950" s="37">
        <v>380.80960083007813</v>
      </c>
      <c r="D950" s="35">
        <v>2786080</v>
      </c>
      <c r="E950" s="35" t="s">
        <v>1216</v>
      </c>
      <c r="F950" s="35" t="s">
        <v>411</v>
      </c>
    </row>
    <row r="951" spans="1:6">
      <c r="A951" s="35" t="s">
        <v>1360</v>
      </c>
      <c r="B951" s="37">
        <v>502.42498779296875</v>
      </c>
      <c r="C951" s="37">
        <v>389.01693725585938</v>
      </c>
      <c r="D951" s="35">
        <v>6121068</v>
      </c>
      <c r="E951" s="35" t="s">
        <v>1216</v>
      </c>
      <c r="F951" s="35" t="s">
        <v>411</v>
      </c>
    </row>
    <row r="952" spans="1:6">
      <c r="A952" s="35" t="s">
        <v>1361</v>
      </c>
      <c r="B952" s="37">
        <v>527.79998779296875</v>
      </c>
      <c r="C952" s="37">
        <v>408.66427612304688</v>
      </c>
      <c r="D952" s="35">
        <v>6582228</v>
      </c>
      <c r="E952" s="35" t="s">
        <v>1216</v>
      </c>
      <c r="F952" s="35" t="s">
        <v>411</v>
      </c>
    </row>
    <row r="953" spans="1:6">
      <c r="A953" s="35" t="s">
        <v>1362</v>
      </c>
      <c r="B953" s="37">
        <v>504.45001220703125</v>
      </c>
      <c r="C953" s="37">
        <v>390.58480834960938</v>
      </c>
      <c r="D953" s="35">
        <v>3946070</v>
      </c>
      <c r="E953" s="35" t="s">
        <v>1216</v>
      </c>
      <c r="F953" s="35" t="s">
        <v>411</v>
      </c>
    </row>
    <row r="954" spans="1:6">
      <c r="A954" s="35" t="s">
        <v>1363</v>
      </c>
      <c r="B954" s="37">
        <v>502.29998779296875</v>
      </c>
      <c r="C954" s="37">
        <v>388.920166015625</v>
      </c>
      <c r="D954" s="35">
        <v>5575206</v>
      </c>
      <c r="E954" s="35" t="s">
        <v>1216</v>
      </c>
      <c r="F954" s="35" t="s">
        <v>411</v>
      </c>
    </row>
    <row r="955" spans="1:6">
      <c r="A955" s="35" t="s">
        <v>1364</v>
      </c>
      <c r="B955" s="37">
        <v>510.375</v>
      </c>
      <c r="C955" s="37">
        <v>395.17239379882813</v>
      </c>
      <c r="D955" s="35">
        <v>1938928</v>
      </c>
      <c r="E955" s="35" t="s">
        <v>1216</v>
      </c>
      <c r="F955" s="35" t="s">
        <v>411</v>
      </c>
    </row>
    <row r="956" spans="1:6">
      <c r="A956" s="35" t="s">
        <v>1365</v>
      </c>
      <c r="B956" s="37">
        <v>514.45001220703125</v>
      </c>
      <c r="C956" s="37">
        <v>398.32763671875</v>
      </c>
      <c r="D956" s="35">
        <v>2921884</v>
      </c>
      <c r="E956" s="35" t="s">
        <v>1216</v>
      </c>
      <c r="F956" s="35" t="s">
        <v>411</v>
      </c>
    </row>
    <row r="957" spans="1:6">
      <c r="A957" s="35" t="s">
        <v>1366</v>
      </c>
      <c r="B957" s="37">
        <v>515.7750244140625</v>
      </c>
      <c r="C957" s="37">
        <v>399.3536376953125</v>
      </c>
      <c r="D957" s="35">
        <v>139254</v>
      </c>
      <c r="E957" s="35" t="s">
        <v>1216</v>
      </c>
      <c r="F957" s="35" t="s">
        <v>411</v>
      </c>
    </row>
    <row r="958" spans="1:6">
      <c r="A958" s="35" t="s">
        <v>1367</v>
      </c>
      <c r="B958" s="37">
        <v>513.95001220703125</v>
      </c>
      <c r="C958" s="37">
        <v>397.94046020507813</v>
      </c>
      <c r="D958" s="35">
        <v>7343566</v>
      </c>
      <c r="E958" s="35" t="s">
        <v>1216</v>
      </c>
      <c r="F958" s="35" t="s">
        <v>411</v>
      </c>
    </row>
    <row r="959" spans="1:6">
      <c r="A959" s="35" t="s">
        <v>1368</v>
      </c>
      <c r="B959" s="37">
        <v>518.4000244140625</v>
      </c>
      <c r="C959" s="37">
        <v>401.38604736328125</v>
      </c>
      <c r="D959" s="35">
        <v>4782454</v>
      </c>
      <c r="E959" s="35" t="s">
        <v>1216</v>
      </c>
      <c r="F959" s="35" t="s">
        <v>411</v>
      </c>
    </row>
    <row r="960" spans="1:6">
      <c r="A960" s="35" t="s">
        <v>1369</v>
      </c>
      <c r="B960" s="37">
        <v>516.5999755859375</v>
      </c>
      <c r="C960" s="37">
        <v>399.99234008789063</v>
      </c>
      <c r="D960" s="35">
        <v>2737474</v>
      </c>
      <c r="E960" s="35" t="s">
        <v>1216</v>
      </c>
      <c r="F960" s="35" t="s">
        <v>411</v>
      </c>
    </row>
    <row r="961" spans="1:6">
      <c r="A961" s="35" t="s">
        <v>1370</v>
      </c>
      <c r="B961" s="37">
        <v>498.54998779296875</v>
      </c>
      <c r="C961" s="37">
        <v>386.01657104492188</v>
      </c>
      <c r="D961" s="35">
        <v>3033632</v>
      </c>
      <c r="E961" s="35" t="s">
        <v>1216</v>
      </c>
      <c r="F961" s="35" t="s">
        <v>411</v>
      </c>
    </row>
    <row r="962" spans="1:6">
      <c r="A962" s="35" t="s">
        <v>1371</v>
      </c>
      <c r="B962" s="37">
        <v>494.375</v>
      </c>
      <c r="C962" s="37">
        <v>382.783935546875</v>
      </c>
      <c r="D962" s="35">
        <v>3582306</v>
      </c>
      <c r="E962" s="35" t="s">
        <v>1216</v>
      </c>
      <c r="F962" s="35" t="s">
        <v>411</v>
      </c>
    </row>
    <row r="963" spans="1:6">
      <c r="A963" s="35" t="s">
        <v>1372</v>
      </c>
      <c r="B963" s="37">
        <v>511.10000610351563</v>
      </c>
      <c r="C963" s="37">
        <v>395.73373413085938</v>
      </c>
      <c r="D963" s="35">
        <v>6698234</v>
      </c>
      <c r="E963" s="35" t="s">
        <v>1216</v>
      </c>
      <c r="F963" s="35" t="s">
        <v>411</v>
      </c>
    </row>
    <row r="964" spans="1:6">
      <c r="A964" s="35" t="s">
        <v>1373</v>
      </c>
      <c r="B964" s="37">
        <v>520.04998779296875</v>
      </c>
      <c r="C964" s="37">
        <v>402.66360473632813</v>
      </c>
      <c r="D964" s="35">
        <v>4180070</v>
      </c>
      <c r="E964" s="35" t="s">
        <v>1216</v>
      </c>
      <c r="F964" s="35" t="s">
        <v>411</v>
      </c>
    </row>
    <row r="965" spans="1:6">
      <c r="A965" s="35" t="s">
        <v>1374</v>
      </c>
      <c r="B965" s="37">
        <v>504.47500610351563</v>
      </c>
      <c r="C965" s="37">
        <v>390.60421752929688</v>
      </c>
      <c r="D965" s="35">
        <v>2628564</v>
      </c>
      <c r="E965" s="35" t="s">
        <v>1216</v>
      </c>
      <c r="F965" s="35" t="s">
        <v>411</v>
      </c>
    </row>
    <row r="966" spans="1:6">
      <c r="A966" s="35" t="s">
        <v>1375</v>
      </c>
      <c r="B966" s="37">
        <v>492.57501220703125</v>
      </c>
      <c r="C966" s="37">
        <v>381.39028930664063</v>
      </c>
      <c r="D966" s="35">
        <v>2503064</v>
      </c>
      <c r="E966" s="35" t="s">
        <v>1216</v>
      </c>
      <c r="F966" s="35" t="s">
        <v>411</v>
      </c>
    </row>
    <row r="967" spans="1:6">
      <c r="A967" s="35" t="s">
        <v>1376</v>
      </c>
      <c r="B967" s="37">
        <v>489.52499389648438</v>
      </c>
      <c r="C967" s="37">
        <v>379.02877807617188</v>
      </c>
      <c r="D967" s="35">
        <v>3129880</v>
      </c>
      <c r="E967" s="35" t="s">
        <v>1216</v>
      </c>
      <c r="F967" s="35" t="s">
        <v>411</v>
      </c>
    </row>
    <row r="968" spans="1:6">
      <c r="A968" s="35" t="s">
        <v>1377</v>
      </c>
      <c r="B968" s="37">
        <v>500.25</v>
      </c>
      <c r="C968" s="37">
        <v>387.33285522460938</v>
      </c>
      <c r="D968" s="35">
        <v>4758562</v>
      </c>
      <c r="E968" s="35" t="s">
        <v>1216</v>
      </c>
      <c r="F968" s="35" t="s">
        <v>411</v>
      </c>
    </row>
    <row r="969" spans="1:6">
      <c r="A969" s="35" t="s">
        <v>1378</v>
      </c>
      <c r="B969" s="37">
        <v>511.57501220703125</v>
      </c>
      <c r="C969" s="37">
        <v>396.1015625</v>
      </c>
      <c r="D969" s="35">
        <v>4103018</v>
      </c>
      <c r="E969" s="35" t="s">
        <v>1216</v>
      </c>
      <c r="F969" s="35" t="s">
        <v>411</v>
      </c>
    </row>
    <row r="970" spans="1:6">
      <c r="A970" s="35" t="s">
        <v>1379</v>
      </c>
      <c r="B970" s="37">
        <v>521.54998779296875</v>
      </c>
      <c r="C970" s="37">
        <v>403.824951171875</v>
      </c>
      <c r="D970" s="35">
        <v>2460574</v>
      </c>
      <c r="E970" s="35" t="s">
        <v>1216</v>
      </c>
      <c r="F970" s="35" t="s">
        <v>411</v>
      </c>
    </row>
    <row r="971" spans="1:6">
      <c r="A971" s="35" t="s">
        <v>1380</v>
      </c>
      <c r="B971" s="37">
        <v>506.72500610351563</v>
      </c>
      <c r="C971" s="37">
        <v>392.3463134765625</v>
      </c>
      <c r="D971" s="35">
        <v>3260512</v>
      </c>
      <c r="E971" s="35" t="s">
        <v>1216</v>
      </c>
      <c r="F971" s="35" t="s">
        <v>411</v>
      </c>
    </row>
    <row r="972" spans="1:6">
      <c r="A972" s="35" t="s">
        <v>1381</v>
      </c>
      <c r="B972" s="37">
        <v>507.5</v>
      </c>
      <c r="C972" s="37">
        <v>392.9464111328125</v>
      </c>
      <c r="D972" s="35">
        <v>4219388</v>
      </c>
      <c r="E972" s="35" t="s">
        <v>1216</v>
      </c>
      <c r="F972" s="35" t="s">
        <v>411</v>
      </c>
    </row>
    <row r="973" spans="1:6">
      <c r="A973" s="35" t="s">
        <v>1382</v>
      </c>
      <c r="B973" s="37">
        <v>509.10000610351563</v>
      </c>
      <c r="C973" s="37">
        <v>394.18524169921875</v>
      </c>
      <c r="D973" s="35">
        <v>2908898</v>
      </c>
      <c r="E973" s="35" t="s">
        <v>1216</v>
      </c>
      <c r="F973" s="35" t="s">
        <v>411</v>
      </c>
    </row>
    <row r="974" spans="1:6">
      <c r="A974" s="35" t="s">
        <v>1383</v>
      </c>
      <c r="B974" s="37">
        <v>518.125</v>
      </c>
      <c r="C974" s="37">
        <v>401.17306518554688</v>
      </c>
      <c r="D974" s="35">
        <v>2836286</v>
      </c>
      <c r="E974" s="35" t="s">
        <v>1216</v>
      </c>
      <c r="F974" s="35" t="s">
        <v>411</v>
      </c>
    </row>
    <row r="975" spans="1:6">
      <c r="A975" s="35" t="s">
        <v>1384</v>
      </c>
      <c r="B975" s="37">
        <v>525.5250244140625</v>
      </c>
      <c r="C975" s="37">
        <v>406.90283203125</v>
      </c>
      <c r="D975" s="35">
        <v>3873412</v>
      </c>
      <c r="E975" s="35" t="s">
        <v>1216</v>
      </c>
      <c r="F975" s="35" t="s">
        <v>411</v>
      </c>
    </row>
    <row r="976" spans="1:6">
      <c r="A976" s="35" t="s">
        <v>1385</v>
      </c>
      <c r="B976" s="37">
        <v>506.25</v>
      </c>
      <c r="C976" s="37">
        <v>391.97857666015625</v>
      </c>
      <c r="D976" s="35">
        <v>4051262</v>
      </c>
      <c r="E976" s="35" t="s">
        <v>1216</v>
      </c>
      <c r="F976" s="35" t="s">
        <v>411</v>
      </c>
    </row>
    <row r="977" spans="1:6">
      <c r="A977" s="35" t="s">
        <v>1386</v>
      </c>
      <c r="B977" s="37">
        <v>480.97500610351563</v>
      </c>
      <c r="C977" s="37">
        <v>372.40869140625</v>
      </c>
      <c r="D977" s="35">
        <v>21093670</v>
      </c>
      <c r="E977" s="35" t="s">
        <v>1216</v>
      </c>
      <c r="F977" s="35" t="s">
        <v>411</v>
      </c>
    </row>
    <row r="978" spans="1:6">
      <c r="A978" s="35" t="s">
        <v>1387</v>
      </c>
      <c r="B978" s="37">
        <v>471</v>
      </c>
      <c r="C978" s="37">
        <v>364.68527221679688</v>
      </c>
      <c r="D978" s="35">
        <v>6182964</v>
      </c>
      <c r="E978" s="35" t="s">
        <v>1216</v>
      </c>
      <c r="F978" s="35" t="s">
        <v>411</v>
      </c>
    </row>
    <row r="979" spans="1:6">
      <c r="A979" s="35" t="s">
        <v>1388</v>
      </c>
      <c r="B979" s="37">
        <v>478.42498779296875</v>
      </c>
      <c r="C979" s="37">
        <v>370.43423461914063</v>
      </c>
      <c r="D979" s="35">
        <v>5605848</v>
      </c>
      <c r="E979" s="35" t="s">
        <v>1216</v>
      </c>
      <c r="F979" s="35" t="s">
        <v>411</v>
      </c>
    </row>
    <row r="980" spans="1:6">
      <c r="A980" s="35" t="s">
        <v>1389</v>
      </c>
      <c r="B980" s="37">
        <v>485.625</v>
      </c>
      <c r="C980" s="37">
        <v>376.00909423828125</v>
      </c>
      <c r="D980" s="35">
        <v>3653708</v>
      </c>
      <c r="E980" s="35" t="s">
        <v>1216</v>
      </c>
      <c r="F980" s="35" t="s">
        <v>411</v>
      </c>
    </row>
    <row r="981" spans="1:6">
      <c r="A981" s="35" t="s">
        <v>1390</v>
      </c>
      <c r="B981" s="37">
        <v>489.02499389648438</v>
      </c>
      <c r="C981" s="37">
        <v>378.64151000976563</v>
      </c>
      <c r="D981" s="35">
        <v>2756644</v>
      </c>
      <c r="E981" s="35" t="s">
        <v>1216</v>
      </c>
      <c r="F981" s="35" t="s">
        <v>411</v>
      </c>
    </row>
    <row r="982" spans="1:6">
      <c r="A982" s="35" t="s">
        <v>1391</v>
      </c>
      <c r="B982" s="37">
        <v>480.60000610351563</v>
      </c>
      <c r="C982" s="37">
        <v>372.11831665039063</v>
      </c>
      <c r="D982" s="35">
        <v>4611032</v>
      </c>
      <c r="E982" s="35" t="s">
        <v>1216</v>
      </c>
      <c r="F982" s="35" t="s">
        <v>411</v>
      </c>
    </row>
    <row r="983" spans="1:6">
      <c r="A983" s="35" t="s">
        <v>1392</v>
      </c>
      <c r="B983" s="37">
        <v>485.82501220703125</v>
      </c>
      <c r="C983" s="37">
        <v>376.16400146484375</v>
      </c>
      <c r="D983" s="35">
        <v>2792580</v>
      </c>
      <c r="E983" s="35" t="s">
        <v>1216</v>
      </c>
      <c r="F983" s="35" t="s">
        <v>411</v>
      </c>
    </row>
    <row r="984" spans="1:6">
      <c r="A984" s="35" t="s">
        <v>1393</v>
      </c>
      <c r="B984" s="37">
        <v>492.60000610351563</v>
      </c>
      <c r="C984" s="37">
        <v>381.40969848632813</v>
      </c>
      <c r="D984" s="35">
        <v>3874502</v>
      </c>
      <c r="E984" s="35" t="s">
        <v>1216</v>
      </c>
      <c r="F984" s="35" t="s">
        <v>411</v>
      </c>
    </row>
    <row r="985" spans="1:6">
      <c r="A985" s="35" t="s">
        <v>1394</v>
      </c>
      <c r="B985" s="37">
        <v>478.57501220703125</v>
      </c>
      <c r="C985" s="37">
        <v>370.55038452148438</v>
      </c>
      <c r="D985" s="35">
        <v>6117266</v>
      </c>
      <c r="E985" s="35" t="s">
        <v>1216</v>
      </c>
      <c r="F985" s="35" t="s">
        <v>411</v>
      </c>
    </row>
    <row r="986" spans="1:6">
      <c r="A986" s="35" t="s">
        <v>1395</v>
      </c>
      <c r="B986" s="37">
        <v>479.75</v>
      </c>
      <c r="C986" s="37">
        <v>371.46017456054688</v>
      </c>
      <c r="D986" s="35">
        <v>4527954</v>
      </c>
      <c r="E986" s="35" t="s">
        <v>1216</v>
      </c>
      <c r="F986" s="35" t="s">
        <v>411</v>
      </c>
    </row>
    <row r="987" spans="1:6">
      <c r="A987" s="35" t="s">
        <v>1396</v>
      </c>
      <c r="B987" s="37">
        <v>477.22500610351563</v>
      </c>
      <c r="C987" s="37">
        <v>369.50509643554688</v>
      </c>
      <c r="D987" s="35">
        <v>10439250</v>
      </c>
      <c r="E987" s="35" t="s">
        <v>1216</v>
      </c>
      <c r="F987" s="35" t="s">
        <v>411</v>
      </c>
    </row>
    <row r="988" spans="1:6">
      <c r="A988" s="35" t="s">
        <v>1397</v>
      </c>
      <c r="B988" s="37">
        <v>468.92498779296875</v>
      </c>
      <c r="C988" s="37">
        <v>363.07858276367188</v>
      </c>
      <c r="D988" s="35">
        <v>2941564</v>
      </c>
      <c r="E988" s="35" t="s">
        <v>1216</v>
      </c>
      <c r="F988" s="35" t="s">
        <v>411</v>
      </c>
    </row>
    <row r="989" spans="1:6">
      <c r="A989" s="35" t="s">
        <v>1398</v>
      </c>
      <c r="B989" s="37">
        <v>471.39999389648438</v>
      </c>
      <c r="C989" s="37">
        <v>364.9949951171875</v>
      </c>
      <c r="D989" s="35">
        <v>2434064</v>
      </c>
      <c r="E989" s="35" t="s">
        <v>1216</v>
      </c>
      <c r="F989" s="35" t="s">
        <v>411</v>
      </c>
    </row>
    <row r="990" spans="1:6">
      <c r="A990" s="35" t="s">
        <v>1399</v>
      </c>
      <c r="B990" s="37">
        <v>474.39999389648438</v>
      </c>
      <c r="C990" s="37">
        <v>367.31771850585938</v>
      </c>
      <c r="D990" s="35">
        <v>5096808</v>
      </c>
      <c r="E990" s="35" t="s">
        <v>1216</v>
      </c>
      <c r="F990" s="35" t="s">
        <v>411</v>
      </c>
    </row>
    <row r="991" spans="1:6">
      <c r="A991" s="35" t="s">
        <v>1400</v>
      </c>
      <c r="B991" s="37">
        <v>479.17498779296875</v>
      </c>
      <c r="C991" s="37">
        <v>371.01495361328125</v>
      </c>
      <c r="D991" s="35">
        <v>1556666</v>
      </c>
      <c r="E991" s="35" t="s">
        <v>1216</v>
      </c>
      <c r="F991" s="35" t="s">
        <v>411</v>
      </c>
    </row>
    <row r="992" spans="1:6">
      <c r="A992" s="35" t="s">
        <v>1401</v>
      </c>
      <c r="B992" s="37">
        <v>482.17498779296875</v>
      </c>
      <c r="C992" s="37">
        <v>373.3377685546875</v>
      </c>
      <c r="D992" s="35">
        <v>1437004</v>
      </c>
      <c r="E992" s="35" t="s">
        <v>1216</v>
      </c>
      <c r="F992" s="35" t="s">
        <v>411</v>
      </c>
    </row>
    <row r="993" spans="1:6">
      <c r="A993" s="35" t="s">
        <v>1402</v>
      </c>
      <c r="B993" s="37">
        <v>479.92498779296875</v>
      </c>
      <c r="C993" s="37">
        <v>371.59567260742188</v>
      </c>
      <c r="D993" s="35">
        <v>717468</v>
      </c>
      <c r="E993" s="35" t="s">
        <v>1216</v>
      </c>
      <c r="F993" s="35" t="s">
        <v>411</v>
      </c>
    </row>
    <row r="994" spans="1:6">
      <c r="A994" s="35" t="s">
        <v>1403</v>
      </c>
      <c r="B994" s="37">
        <v>473.17498779296875</v>
      </c>
      <c r="C994" s="37">
        <v>366.3692626953125</v>
      </c>
      <c r="D994" s="35">
        <v>2270096</v>
      </c>
      <c r="E994" s="35" t="s">
        <v>1216</v>
      </c>
      <c r="F994" s="35" t="s">
        <v>411</v>
      </c>
    </row>
    <row r="995" spans="1:6">
      <c r="A995" s="35" t="s">
        <v>1404</v>
      </c>
      <c r="B995" s="37">
        <v>474.17498779296875</v>
      </c>
      <c r="C995" s="37">
        <v>367.1435546875</v>
      </c>
      <c r="D995" s="35">
        <v>2809224</v>
      </c>
      <c r="E995" s="35" t="s">
        <v>1216</v>
      </c>
      <c r="F995" s="35" t="s">
        <v>411</v>
      </c>
    </row>
    <row r="996" spans="1:6">
      <c r="A996" s="35" t="s">
        <v>1405</v>
      </c>
      <c r="B996" s="37">
        <v>466.17498779296875</v>
      </c>
      <c r="C996" s="37">
        <v>360.94921875</v>
      </c>
      <c r="D996" s="35">
        <v>3077278</v>
      </c>
      <c r="E996" s="35" t="s">
        <v>1216</v>
      </c>
      <c r="F996" s="35" t="s">
        <v>411</v>
      </c>
    </row>
    <row r="997" spans="1:6">
      <c r="A997" s="35" t="s">
        <v>1406</v>
      </c>
      <c r="B997" s="37">
        <v>470.77499389648438</v>
      </c>
      <c r="C997" s="37">
        <v>364.51095581054688</v>
      </c>
      <c r="D997" s="35">
        <v>2344752</v>
      </c>
      <c r="E997" s="35" t="s">
        <v>1216</v>
      </c>
      <c r="F997" s="35" t="s">
        <v>411</v>
      </c>
    </row>
    <row r="998" spans="1:6">
      <c r="A998" s="35" t="s">
        <v>1407</v>
      </c>
      <c r="B998" s="37">
        <v>472.57501220703125</v>
      </c>
      <c r="C998" s="37">
        <v>365.90469360351563</v>
      </c>
      <c r="D998" s="35">
        <v>3031576</v>
      </c>
      <c r="E998" s="35" t="s">
        <v>1216</v>
      </c>
      <c r="F998" s="35" t="s">
        <v>411</v>
      </c>
    </row>
    <row r="999" spans="1:6">
      <c r="A999" s="35" t="s">
        <v>1408</v>
      </c>
      <c r="B999" s="37">
        <v>469.20001220703125</v>
      </c>
      <c r="C999" s="37">
        <v>363.29147338867188</v>
      </c>
      <c r="D999" s="35">
        <v>2471720</v>
      </c>
      <c r="E999" s="35" t="s">
        <v>1216</v>
      </c>
      <c r="F999" s="35" t="s">
        <v>411</v>
      </c>
    </row>
    <row r="1000" spans="1:6">
      <c r="A1000" s="35" t="s">
        <v>1409</v>
      </c>
      <c r="B1000" s="37">
        <v>467.92498779296875</v>
      </c>
      <c r="C1000" s="37">
        <v>362.30435180664063</v>
      </c>
      <c r="D1000" s="35">
        <v>1832096</v>
      </c>
      <c r="E1000" s="35" t="s">
        <v>1216</v>
      </c>
      <c r="F1000" s="35" t="s">
        <v>411</v>
      </c>
    </row>
    <row r="1001" spans="1:6">
      <c r="A1001" s="35" t="s">
        <v>1410</v>
      </c>
      <c r="B1001" s="37">
        <v>470.02499389648438</v>
      </c>
      <c r="C1001" s="37">
        <v>363.93026733398438</v>
      </c>
      <c r="D1001" s="35">
        <v>4331368</v>
      </c>
      <c r="E1001" s="35" t="s">
        <v>1216</v>
      </c>
      <c r="F1001" s="35" t="s">
        <v>411</v>
      </c>
    </row>
    <row r="1002" spans="1:6">
      <c r="A1002" s="35" t="s">
        <v>1411</v>
      </c>
      <c r="B1002" s="37">
        <v>468.60000610351563</v>
      </c>
      <c r="C1002" s="37">
        <v>362.82699584960938</v>
      </c>
      <c r="D1002" s="35">
        <v>1956808</v>
      </c>
      <c r="E1002" s="35" t="s">
        <v>1216</v>
      </c>
      <c r="F1002" s="35" t="s">
        <v>411</v>
      </c>
    </row>
    <row r="1003" spans="1:6">
      <c r="A1003" s="35" t="s">
        <v>1412</v>
      </c>
      <c r="B1003" s="37">
        <v>473.85000610351563</v>
      </c>
      <c r="C1003" s="37">
        <v>366.89187622070313</v>
      </c>
      <c r="D1003" s="35">
        <v>3693892</v>
      </c>
      <c r="E1003" s="35" t="s">
        <v>1216</v>
      </c>
      <c r="F1003" s="35" t="s">
        <v>411</v>
      </c>
    </row>
    <row r="1004" spans="1:6">
      <c r="A1004" s="35" t="s">
        <v>1413</v>
      </c>
      <c r="B1004" s="37">
        <v>469.125</v>
      </c>
      <c r="C1004" s="37">
        <v>363.23342895507813</v>
      </c>
      <c r="D1004" s="35">
        <v>1701242</v>
      </c>
      <c r="E1004" s="35" t="s">
        <v>1216</v>
      </c>
      <c r="F1004" s="35" t="s">
        <v>411</v>
      </c>
    </row>
    <row r="1005" spans="1:6">
      <c r="A1005" s="35" t="s">
        <v>1414</v>
      </c>
      <c r="B1005" s="37">
        <v>477.35000610351563</v>
      </c>
      <c r="C1005" s="37">
        <v>369.6019287109375</v>
      </c>
      <c r="D1005" s="35">
        <v>3690234</v>
      </c>
      <c r="E1005" s="35" t="s">
        <v>1216</v>
      </c>
      <c r="F1005" s="35" t="s">
        <v>411</v>
      </c>
    </row>
    <row r="1006" spans="1:6">
      <c r="A1006" s="35" t="s">
        <v>1415</v>
      </c>
      <c r="B1006" s="37">
        <v>483.14999389648438</v>
      </c>
      <c r="C1006" s="37">
        <v>374.09268188476563</v>
      </c>
      <c r="D1006" s="35">
        <v>4685056</v>
      </c>
      <c r="E1006" s="35" t="s">
        <v>1216</v>
      </c>
      <c r="F1006" s="35" t="s">
        <v>411</v>
      </c>
    </row>
    <row r="1007" spans="1:6">
      <c r="A1007" s="35" t="s">
        <v>1416</v>
      </c>
      <c r="B1007" s="37">
        <v>482.875</v>
      </c>
      <c r="C1007" s="37">
        <v>373.87982177734375</v>
      </c>
      <c r="D1007" s="35">
        <v>3265418</v>
      </c>
      <c r="E1007" s="35" t="s">
        <v>1216</v>
      </c>
      <c r="F1007" s="35" t="s">
        <v>411</v>
      </c>
    </row>
    <row r="1008" spans="1:6">
      <c r="A1008" s="35" t="s">
        <v>1417</v>
      </c>
      <c r="B1008" s="37">
        <v>470.375</v>
      </c>
      <c r="C1008" s="37">
        <v>364.20138549804688</v>
      </c>
      <c r="D1008" s="35">
        <v>4791592</v>
      </c>
      <c r="E1008" s="35" t="s">
        <v>1216</v>
      </c>
      <c r="F1008" s="35" t="s">
        <v>411</v>
      </c>
    </row>
    <row r="1009" spans="1:6">
      <c r="A1009" s="35" t="s">
        <v>1418</v>
      </c>
      <c r="B1009" s="37">
        <v>472.22500610351563</v>
      </c>
      <c r="C1009" s="37">
        <v>365.63369750976563</v>
      </c>
      <c r="D1009" s="35">
        <v>5641586</v>
      </c>
      <c r="E1009" s="35" t="s">
        <v>1216</v>
      </c>
      <c r="F1009" s="35" t="s">
        <v>411</v>
      </c>
    </row>
    <row r="1010" spans="1:6">
      <c r="A1010" s="35" t="s">
        <v>1419</v>
      </c>
      <c r="B1010" s="37">
        <v>473.22500610351563</v>
      </c>
      <c r="C1010" s="37">
        <v>366.40798950195313</v>
      </c>
      <c r="D1010" s="35">
        <v>2954782</v>
      </c>
      <c r="E1010" s="35" t="s">
        <v>1216</v>
      </c>
      <c r="F1010" s="35" t="s">
        <v>411</v>
      </c>
    </row>
    <row r="1011" spans="1:6">
      <c r="A1011" s="35" t="s">
        <v>1420</v>
      </c>
      <c r="B1011" s="37">
        <v>484.70001220703125</v>
      </c>
      <c r="C1011" s="37">
        <v>375.2928466796875</v>
      </c>
      <c r="D1011" s="35">
        <v>4310008</v>
      </c>
      <c r="E1011" s="35" t="s">
        <v>1216</v>
      </c>
      <c r="F1011" s="35" t="s">
        <v>411</v>
      </c>
    </row>
    <row r="1012" spans="1:6">
      <c r="A1012" s="35" t="s">
        <v>1421</v>
      </c>
      <c r="B1012" s="37">
        <v>488.89999389648438</v>
      </c>
      <c r="C1012" s="37">
        <v>378.54483032226563</v>
      </c>
      <c r="D1012" s="35">
        <v>3029930</v>
      </c>
      <c r="E1012" s="35" t="s">
        <v>1216</v>
      </c>
      <c r="F1012" s="35" t="s">
        <v>411</v>
      </c>
    </row>
    <row r="1013" spans="1:6">
      <c r="A1013" s="35" t="s">
        <v>1422</v>
      </c>
      <c r="B1013" s="37">
        <v>494.22500610351563</v>
      </c>
      <c r="C1013" s="37">
        <v>382.66787719726563</v>
      </c>
      <c r="D1013" s="35">
        <v>4733138</v>
      </c>
      <c r="E1013" s="35" t="s">
        <v>1216</v>
      </c>
      <c r="F1013" s="35" t="s">
        <v>411</v>
      </c>
    </row>
    <row r="1014" spans="1:6">
      <c r="A1014" s="35" t="s">
        <v>1423</v>
      </c>
      <c r="B1014" s="37">
        <v>509.20001220703125</v>
      </c>
      <c r="C1014" s="37">
        <v>394.26263427734375</v>
      </c>
      <c r="D1014" s="35">
        <v>14053348</v>
      </c>
      <c r="E1014" s="35" t="s">
        <v>1216</v>
      </c>
      <c r="F1014" s="35" t="s">
        <v>411</v>
      </c>
    </row>
    <row r="1015" spans="1:6">
      <c r="A1015" s="35" t="s">
        <v>1424</v>
      </c>
      <c r="B1015" s="37">
        <v>502.60000610351563</v>
      </c>
      <c r="C1015" s="37">
        <v>389.1524658203125</v>
      </c>
      <c r="D1015" s="35">
        <v>9058428</v>
      </c>
      <c r="E1015" s="35" t="s">
        <v>1216</v>
      </c>
      <c r="F1015" s="35" t="s">
        <v>411</v>
      </c>
    </row>
    <row r="1016" spans="1:6">
      <c r="A1016" s="35" t="s">
        <v>1425</v>
      </c>
      <c r="B1016" s="37">
        <v>521.92498779296875</v>
      </c>
      <c r="C1016" s="37">
        <v>404.11544799804688</v>
      </c>
      <c r="D1016" s="35">
        <v>6460222</v>
      </c>
      <c r="E1016" s="35" t="s">
        <v>1216</v>
      </c>
      <c r="F1016" s="35" t="s">
        <v>411</v>
      </c>
    </row>
    <row r="1017" spans="1:6">
      <c r="A1017" s="35" t="s">
        <v>1426</v>
      </c>
      <c r="B1017" s="37">
        <v>522.4000244140625</v>
      </c>
      <c r="C1017" s="37">
        <v>404.483154296875</v>
      </c>
      <c r="D1017" s="35">
        <v>4133944</v>
      </c>
      <c r="E1017" s="35" t="s">
        <v>1216</v>
      </c>
      <c r="F1017" s="35" t="s">
        <v>411</v>
      </c>
    </row>
    <row r="1018" spans="1:6">
      <c r="A1018" s="35" t="s">
        <v>1427</v>
      </c>
      <c r="B1018" s="37">
        <v>523.875</v>
      </c>
      <c r="C1018" s="37">
        <v>406.40310668945313</v>
      </c>
      <c r="D1018" s="35">
        <v>2368564</v>
      </c>
      <c r="E1018" s="35" t="s">
        <v>1216</v>
      </c>
      <c r="F1018" s="35" t="s">
        <v>411</v>
      </c>
    </row>
    <row r="1019" spans="1:6">
      <c r="A1019" s="35" t="s">
        <v>1428</v>
      </c>
      <c r="B1019" s="37">
        <v>527.5999755859375</v>
      </c>
      <c r="C1019" s="37">
        <v>409.29287719726563</v>
      </c>
      <c r="D1019" s="35">
        <v>2331000</v>
      </c>
      <c r="E1019" s="35" t="s">
        <v>1216</v>
      </c>
      <c r="F1019" s="35" t="s">
        <v>411</v>
      </c>
    </row>
    <row r="1020" spans="1:6">
      <c r="A1020" s="35" t="s">
        <v>1429</v>
      </c>
      <c r="B1020" s="37">
        <v>531.45001220703125</v>
      </c>
      <c r="C1020" s="37">
        <v>412.27957153320313</v>
      </c>
      <c r="D1020" s="35">
        <v>3251088</v>
      </c>
      <c r="E1020" s="35" t="s">
        <v>1216</v>
      </c>
      <c r="F1020" s="35" t="s">
        <v>411</v>
      </c>
    </row>
    <row r="1021" spans="1:6">
      <c r="A1021" s="35" t="s">
        <v>1430</v>
      </c>
      <c r="B1021" s="37">
        <v>534.2249755859375</v>
      </c>
      <c r="C1021" s="37">
        <v>414.4322509765625</v>
      </c>
      <c r="D1021" s="35">
        <v>3733802</v>
      </c>
      <c r="E1021" s="35" t="s">
        <v>1216</v>
      </c>
      <c r="F1021" s="35" t="s">
        <v>411</v>
      </c>
    </row>
    <row r="1022" spans="1:6">
      <c r="A1022" s="35" t="s">
        <v>1431</v>
      </c>
      <c r="B1022" s="37">
        <v>539.67498779296875</v>
      </c>
      <c r="C1022" s="37">
        <v>418.66018676757813</v>
      </c>
      <c r="D1022" s="35">
        <v>3157886</v>
      </c>
      <c r="E1022" s="35" t="s">
        <v>1216</v>
      </c>
      <c r="F1022" s="35" t="s">
        <v>411</v>
      </c>
    </row>
    <row r="1023" spans="1:6">
      <c r="A1023" s="35" t="s">
        <v>1432</v>
      </c>
      <c r="B1023" s="37">
        <v>529.4000244140625</v>
      </c>
      <c r="C1023" s="37">
        <v>410.68923950195313</v>
      </c>
      <c r="D1023" s="35">
        <v>2788882</v>
      </c>
      <c r="E1023" s="35" t="s">
        <v>1216</v>
      </c>
      <c r="F1023" s="35" t="s">
        <v>411</v>
      </c>
    </row>
    <row r="1024" spans="1:6">
      <c r="A1024" s="35" t="s">
        <v>1433</v>
      </c>
      <c r="B1024" s="37">
        <v>530.6500244140625</v>
      </c>
      <c r="C1024" s="37">
        <v>411.65896606445313</v>
      </c>
      <c r="D1024" s="35">
        <v>1970720</v>
      </c>
      <c r="E1024" s="35" t="s">
        <v>1216</v>
      </c>
      <c r="F1024" s="35" t="s">
        <v>411</v>
      </c>
    </row>
    <row r="1025" spans="1:6">
      <c r="A1025" s="35" t="s">
        <v>1434</v>
      </c>
      <c r="B1025" s="37">
        <v>528.625</v>
      </c>
      <c r="C1025" s="37">
        <v>410.08810424804688</v>
      </c>
      <c r="D1025" s="35">
        <v>2492120</v>
      </c>
      <c r="E1025" s="35" t="s">
        <v>1216</v>
      </c>
      <c r="F1025" s="35" t="s">
        <v>411</v>
      </c>
    </row>
    <row r="1026" spans="1:6">
      <c r="A1026" s="35" t="s">
        <v>1435</v>
      </c>
      <c r="B1026" s="37">
        <v>523.1500244140625</v>
      </c>
      <c r="C1026" s="37">
        <v>405.8406982421875</v>
      </c>
      <c r="D1026" s="35">
        <v>2550698</v>
      </c>
      <c r="E1026" s="35" t="s">
        <v>1216</v>
      </c>
      <c r="F1026" s="35" t="s">
        <v>411</v>
      </c>
    </row>
    <row r="1027" spans="1:6">
      <c r="A1027" s="35" t="s">
        <v>1436</v>
      </c>
      <c r="B1027" s="37">
        <v>519.5250244140625</v>
      </c>
      <c r="C1027" s="37">
        <v>403.02865600585938</v>
      </c>
      <c r="D1027" s="35">
        <v>1837440</v>
      </c>
      <c r="E1027" s="35" t="s">
        <v>1216</v>
      </c>
      <c r="F1027" s="35" t="s">
        <v>411</v>
      </c>
    </row>
    <row r="1028" spans="1:6">
      <c r="A1028" s="35" t="s">
        <v>1437</v>
      </c>
      <c r="B1028" s="37">
        <v>528.9749755859375</v>
      </c>
      <c r="C1028" s="37">
        <v>410.35955810546875</v>
      </c>
      <c r="D1028" s="35">
        <v>2558354</v>
      </c>
      <c r="E1028" s="35" t="s">
        <v>1216</v>
      </c>
      <c r="F1028" s="35" t="s">
        <v>411</v>
      </c>
    </row>
    <row r="1029" spans="1:6">
      <c r="A1029" s="35" t="s">
        <v>1438</v>
      </c>
      <c r="B1029" s="37">
        <v>526.70001220703125</v>
      </c>
      <c r="C1029" s="37">
        <v>408.59466552734375</v>
      </c>
      <c r="D1029" s="35">
        <v>2603154</v>
      </c>
      <c r="E1029" s="35" t="s">
        <v>1216</v>
      </c>
      <c r="F1029" s="35" t="s">
        <v>411</v>
      </c>
    </row>
    <row r="1030" spans="1:6">
      <c r="A1030" s="35" t="s">
        <v>1439</v>
      </c>
      <c r="B1030" s="37">
        <v>533.07501220703125</v>
      </c>
      <c r="C1030" s="37">
        <v>413.5401611328125</v>
      </c>
      <c r="D1030" s="35">
        <v>2844492</v>
      </c>
      <c r="E1030" s="35" t="s">
        <v>1216</v>
      </c>
      <c r="F1030" s="35" t="s">
        <v>411</v>
      </c>
    </row>
    <row r="1031" spans="1:6">
      <c r="A1031" s="35" t="s">
        <v>1440</v>
      </c>
      <c r="B1031" s="37">
        <v>541.125</v>
      </c>
      <c r="C1031" s="37">
        <v>419.78506469726563</v>
      </c>
      <c r="D1031" s="35">
        <v>2340940</v>
      </c>
      <c r="E1031" s="35" t="s">
        <v>1216</v>
      </c>
      <c r="F1031" s="35" t="s">
        <v>411</v>
      </c>
    </row>
    <row r="1032" spans="1:6">
      <c r="A1032" s="35" t="s">
        <v>1441</v>
      </c>
      <c r="B1032" s="37">
        <v>529.42498779296875</v>
      </c>
      <c r="C1032" s="37">
        <v>410.70864868164063</v>
      </c>
      <c r="D1032" s="35">
        <v>3726370</v>
      </c>
      <c r="E1032" s="35" t="s">
        <v>1216</v>
      </c>
      <c r="F1032" s="35" t="s">
        <v>411</v>
      </c>
    </row>
    <row r="1033" spans="1:6">
      <c r="A1033" s="35" t="s">
        <v>1442</v>
      </c>
      <c r="B1033" s="37">
        <v>530.17498779296875</v>
      </c>
      <c r="C1033" s="37">
        <v>411.29043579101563</v>
      </c>
      <c r="D1033" s="35">
        <v>3325110</v>
      </c>
      <c r="E1033" s="35" t="s">
        <v>1216</v>
      </c>
      <c r="F1033" s="35" t="s">
        <v>411</v>
      </c>
    </row>
    <row r="1034" spans="1:6">
      <c r="A1034" s="35" t="s">
        <v>1443</v>
      </c>
      <c r="B1034" s="37">
        <v>526.95001220703125</v>
      </c>
      <c r="C1034" s="37">
        <v>408.78863525390625</v>
      </c>
      <c r="D1034" s="35">
        <v>6661660</v>
      </c>
      <c r="E1034" s="35" t="s">
        <v>1216</v>
      </c>
      <c r="F1034" s="35" t="s">
        <v>411</v>
      </c>
    </row>
    <row r="1035" spans="1:6">
      <c r="A1035" s="35" t="s">
        <v>1444</v>
      </c>
      <c r="B1035" s="37">
        <v>526.29998779296875</v>
      </c>
      <c r="C1035" s="37">
        <v>408.28436279296875</v>
      </c>
      <c r="D1035" s="35">
        <v>2295910</v>
      </c>
      <c r="E1035" s="35" t="s">
        <v>1216</v>
      </c>
      <c r="F1035" s="35" t="s">
        <v>411</v>
      </c>
    </row>
    <row r="1036" spans="1:6">
      <c r="A1036" s="35" t="s">
        <v>1445</v>
      </c>
      <c r="B1036" s="37">
        <v>526.2750244140625</v>
      </c>
      <c r="C1036" s="37">
        <v>408.26504516601563</v>
      </c>
      <c r="D1036" s="35">
        <v>2117558</v>
      </c>
      <c r="E1036" s="35" t="s">
        <v>1216</v>
      </c>
      <c r="F1036" s="35" t="s">
        <v>411</v>
      </c>
    </row>
    <row r="1037" spans="1:6">
      <c r="A1037" s="35" t="s">
        <v>1446</v>
      </c>
      <c r="B1037" s="37">
        <v>521.625</v>
      </c>
      <c r="C1037" s="37">
        <v>404.65765380859375</v>
      </c>
      <c r="D1037" s="35">
        <v>2807252</v>
      </c>
      <c r="E1037" s="35" t="s">
        <v>1216</v>
      </c>
      <c r="F1037" s="35" t="s">
        <v>411</v>
      </c>
    </row>
    <row r="1038" spans="1:6">
      <c r="A1038" s="35" t="s">
        <v>1447</v>
      </c>
      <c r="B1038" s="37">
        <v>517.2750244140625</v>
      </c>
      <c r="C1038" s="37">
        <v>401.283203125</v>
      </c>
      <c r="D1038" s="35">
        <v>2073614</v>
      </c>
      <c r="E1038" s="35" t="s">
        <v>1216</v>
      </c>
      <c r="F1038" s="35" t="s">
        <v>411</v>
      </c>
    </row>
    <row r="1039" spans="1:6">
      <c r="A1039" s="35" t="s">
        <v>1448</v>
      </c>
      <c r="B1039" s="37">
        <v>504.52499389648438</v>
      </c>
      <c r="C1039" s="37">
        <v>391.39215087890625</v>
      </c>
      <c r="D1039" s="35">
        <v>3176094</v>
      </c>
      <c r="E1039" s="35" t="s">
        <v>1216</v>
      </c>
      <c r="F1039" s="35" t="s">
        <v>411</v>
      </c>
    </row>
    <row r="1040" spans="1:6">
      <c r="A1040" s="35" t="s">
        <v>1449</v>
      </c>
      <c r="B1040" s="37">
        <v>502.20001220703125</v>
      </c>
      <c r="C1040" s="37">
        <v>389.58853149414063</v>
      </c>
      <c r="D1040" s="35">
        <v>4547588</v>
      </c>
      <c r="E1040" s="35" t="s">
        <v>1216</v>
      </c>
      <c r="F1040" s="35" t="s">
        <v>411</v>
      </c>
    </row>
    <row r="1041" spans="1:6">
      <c r="A1041" s="35" t="s">
        <v>1450</v>
      </c>
      <c r="B1041" s="37">
        <v>506.67498779296875</v>
      </c>
      <c r="C1041" s="37">
        <v>393.06002807617188</v>
      </c>
      <c r="D1041" s="35">
        <v>4902188</v>
      </c>
      <c r="E1041" s="35" t="s">
        <v>1216</v>
      </c>
      <c r="F1041" s="35" t="s">
        <v>411</v>
      </c>
    </row>
    <row r="1042" spans="1:6">
      <c r="A1042" s="35" t="s">
        <v>1451</v>
      </c>
      <c r="B1042" s="37">
        <v>514.17498779296875</v>
      </c>
      <c r="C1042" s="37">
        <v>398.87820434570313</v>
      </c>
      <c r="D1042" s="35">
        <v>6803340</v>
      </c>
      <c r="E1042" s="35" t="s">
        <v>1216</v>
      </c>
      <c r="F1042" s="35" t="s">
        <v>411</v>
      </c>
    </row>
    <row r="1043" spans="1:6">
      <c r="A1043" s="35" t="s">
        <v>1452</v>
      </c>
      <c r="B1043" s="37">
        <v>503.375</v>
      </c>
      <c r="C1043" s="37">
        <v>390.49996948242188</v>
      </c>
      <c r="D1043" s="35">
        <v>3793832</v>
      </c>
      <c r="E1043" s="35" t="s">
        <v>1216</v>
      </c>
      <c r="F1043" s="35" t="s">
        <v>411</v>
      </c>
    </row>
    <row r="1044" spans="1:6">
      <c r="A1044" s="35" t="s">
        <v>1453</v>
      </c>
      <c r="B1044" s="37">
        <v>514.6500244140625</v>
      </c>
      <c r="C1044" s="37">
        <v>399.24685668945313</v>
      </c>
      <c r="D1044" s="35">
        <v>5207688</v>
      </c>
      <c r="E1044" s="35" t="s">
        <v>1216</v>
      </c>
      <c r="F1044" s="35" t="s">
        <v>411</v>
      </c>
    </row>
    <row r="1045" spans="1:6">
      <c r="A1045" s="35" t="s">
        <v>1454</v>
      </c>
      <c r="B1045" s="37">
        <v>506.625</v>
      </c>
      <c r="C1045" s="37">
        <v>393.02120971679688</v>
      </c>
      <c r="D1045" s="35">
        <v>1690728</v>
      </c>
      <c r="E1045" s="35" t="s">
        <v>1216</v>
      </c>
      <c r="F1045" s="35" t="s">
        <v>411</v>
      </c>
    </row>
    <row r="1046" spans="1:6">
      <c r="A1046" s="35" t="s">
        <v>1455</v>
      </c>
      <c r="B1046" s="37">
        <v>518.0999755859375</v>
      </c>
      <c r="C1046" s="37">
        <v>401.92315673828125</v>
      </c>
      <c r="D1046" s="35">
        <v>3242552</v>
      </c>
      <c r="E1046" s="35" t="s">
        <v>1216</v>
      </c>
      <c r="F1046" s="35" t="s">
        <v>411</v>
      </c>
    </row>
    <row r="1047" spans="1:6">
      <c r="A1047" s="35" t="s">
        <v>1456</v>
      </c>
      <c r="B1047" s="37">
        <v>518.9749755859375</v>
      </c>
      <c r="C1047" s="37">
        <v>402.6019287109375</v>
      </c>
      <c r="D1047" s="35">
        <v>4408802</v>
      </c>
      <c r="E1047" s="35" t="s">
        <v>1216</v>
      </c>
      <c r="F1047" s="35" t="s">
        <v>411</v>
      </c>
    </row>
    <row r="1048" spans="1:6">
      <c r="A1048" s="35" t="s">
        <v>1457</v>
      </c>
      <c r="B1048" s="37">
        <v>512.42498779296875</v>
      </c>
      <c r="C1048" s="37">
        <v>397.52069091796875</v>
      </c>
      <c r="D1048" s="35">
        <v>5237090</v>
      </c>
      <c r="E1048" s="35" t="s">
        <v>1216</v>
      </c>
      <c r="F1048" s="35" t="s">
        <v>411</v>
      </c>
    </row>
    <row r="1049" spans="1:6">
      <c r="A1049" s="35" t="s">
        <v>1458</v>
      </c>
      <c r="B1049" s="37">
        <v>508.82501220703125</v>
      </c>
      <c r="C1049" s="37">
        <v>394.72793579101563</v>
      </c>
      <c r="D1049" s="35">
        <v>3055910</v>
      </c>
      <c r="E1049" s="35" t="s">
        <v>1216</v>
      </c>
      <c r="F1049" s="35" t="s">
        <v>411</v>
      </c>
    </row>
    <row r="1050" spans="1:6">
      <c r="A1050" s="35" t="s">
        <v>1459</v>
      </c>
      <c r="B1050" s="37">
        <v>517.29998779296875</v>
      </c>
      <c r="C1050" s="37">
        <v>401.30258178710938</v>
      </c>
      <c r="D1050" s="35">
        <v>3311446</v>
      </c>
      <c r="E1050" s="35" t="s">
        <v>1216</v>
      </c>
      <c r="F1050" s="35" t="s">
        <v>411</v>
      </c>
    </row>
    <row r="1051" spans="1:6">
      <c r="A1051" s="35" t="s">
        <v>1460</v>
      </c>
      <c r="B1051" s="37">
        <v>521.57501220703125</v>
      </c>
      <c r="C1051" s="37">
        <v>404.61898803710938</v>
      </c>
      <c r="D1051" s="35">
        <v>2911690</v>
      </c>
      <c r="E1051" s="35" t="s">
        <v>1216</v>
      </c>
      <c r="F1051" s="35" t="s">
        <v>411</v>
      </c>
    </row>
    <row r="1052" spans="1:6">
      <c r="A1052" s="35" t="s">
        <v>1461</v>
      </c>
      <c r="B1052" s="37">
        <v>541.45001220703125</v>
      </c>
      <c r="C1052" s="37">
        <v>420.0372314453125</v>
      </c>
      <c r="D1052" s="35">
        <v>8627614</v>
      </c>
      <c r="E1052" s="35" t="s">
        <v>1216</v>
      </c>
      <c r="F1052" s="35" t="s">
        <v>411</v>
      </c>
    </row>
    <row r="1053" spans="1:6">
      <c r="A1053" s="35" t="s">
        <v>1462</v>
      </c>
      <c r="B1053" s="37">
        <v>555.375</v>
      </c>
      <c r="C1053" s="37">
        <v>430.83969116210938</v>
      </c>
      <c r="D1053" s="35">
        <v>4617730</v>
      </c>
      <c r="E1053" s="35" t="s">
        <v>1463</v>
      </c>
      <c r="F1053" s="35" t="s">
        <v>411</v>
      </c>
    </row>
    <row r="1054" spans="1:6">
      <c r="A1054" s="35" t="s">
        <v>1464</v>
      </c>
      <c r="B1054" s="37">
        <v>551.29998779296875</v>
      </c>
      <c r="C1054" s="37">
        <v>427.6785888671875</v>
      </c>
      <c r="D1054" s="35">
        <v>2787844</v>
      </c>
      <c r="E1054" s="35" t="s">
        <v>1463</v>
      </c>
      <c r="F1054" s="35" t="s">
        <v>411</v>
      </c>
    </row>
    <row r="1055" spans="1:6">
      <c r="A1055" s="35" t="s">
        <v>1465</v>
      </c>
      <c r="B1055" s="37">
        <v>560.29998779296875</v>
      </c>
      <c r="C1055" s="37">
        <v>434.66033935546875</v>
      </c>
      <c r="D1055" s="35">
        <v>5296628</v>
      </c>
      <c r="E1055" s="35" t="s">
        <v>1463</v>
      </c>
      <c r="F1055" s="35" t="s">
        <v>411</v>
      </c>
    </row>
    <row r="1056" spans="1:6">
      <c r="A1056" s="35" t="s">
        <v>1466</v>
      </c>
      <c r="B1056" s="37">
        <v>549.0250244140625</v>
      </c>
      <c r="C1056" s="37">
        <v>425.91354370117188</v>
      </c>
      <c r="D1056" s="35">
        <v>8444208</v>
      </c>
      <c r="E1056" s="35" t="s">
        <v>1463</v>
      </c>
      <c r="F1056" s="35" t="s">
        <v>411</v>
      </c>
    </row>
    <row r="1057" spans="1:6">
      <c r="A1057" s="35" t="s">
        <v>1467</v>
      </c>
      <c r="B1057" s="37">
        <v>546.4000244140625</v>
      </c>
      <c r="C1057" s="37">
        <v>423.87722778320313</v>
      </c>
      <c r="D1057" s="35">
        <v>3409044</v>
      </c>
      <c r="E1057" s="35" t="s">
        <v>1463</v>
      </c>
      <c r="F1057" s="35" t="s">
        <v>411</v>
      </c>
    </row>
    <row r="1058" spans="1:6">
      <c r="A1058" s="35" t="s">
        <v>1468</v>
      </c>
      <c r="B1058" s="37">
        <v>548.17498779296875</v>
      </c>
      <c r="C1058" s="37">
        <v>425.25430297851563</v>
      </c>
      <c r="D1058" s="35">
        <v>4027848</v>
      </c>
      <c r="E1058" s="35" t="s">
        <v>1463</v>
      </c>
      <c r="F1058" s="35" t="s">
        <v>411</v>
      </c>
    </row>
    <row r="1059" spans="1:6">
      <c r="A1059" s="35" t="s">
        <v>1469</v>
      </c>
      <c r="B1059" s="37">
        <v>559.07501220703125</v>
      </c>
      <c r="C1059" s="37">
        <v>433.71002197265625</v>
      </c>
      <c r="D1059" s="35">
        <v>6500982</v>
      </c>
      <c r="E1059" s="35" t="s">
        <v>1463</v>
      </c>
      <c r="F1059" s="35" t="s">
        <v>411</v>
      </c>
    </row>
    <row r="1060" spans="1:6">
      <c r="A1060" s="35" t="s">
        <v>1470</v>
      </c>
      <c r="B1060" s="37">
        <v>549.3499755859375</v>
      </c>
      <c r="C1060" s="37">
        <v>426.16586303710938</v>
      </c>
      <c r="D1060" s="35">
        <v>4826866</v>
      </c>
      <c r="E1060" s="35" t="s">
        <v>1463</v>
      </c>
      <c r="F1060" s="35" t="s">
        <v>411</v>
      </c>
    </row>
    <row r="1061" spans="1:6">
      <c r="A1061" s="35" t="s">
        <v>1471</v>
      </c>
      <c r="B1061" s="37">
        <v>544.42498779296875</v>
      </c>
      <c r="C1061" s="37">
        <v>422.3450927734375</v>
      </c>
      <c r="D1061" s="35">
        <v>3035580</v>
      </c>
      <c r="E1061" s="35" t="s">
        <v>1463</v>
      </c>
      <c r="F1061" s="35" t="s">
        <v>411</v>
      </c>
    </row>
    <row r="1062" spans="1:6">
      <c r="A1062" s="35" t="s">
        <v>1472</v>
      </c>
      <c r="B1062" s="37">
        <v>541.7249755859375</v>
      </c>
      <c r="C1062" s="37">
        <v>420.25057983398438</v>
      </c>
      <c r="D1062" s="35">
        <v>2839484</v>
      </c>
      <c r="E1062" s="35" t="s">
        <v>1463</v>
      </c>
      <c r="F1062" s="35" t="s">
        <v>411</v>
      </c>
    </row>
    <row r="1063" spans="1:6">
      <c r="A1063" s="35" t="s">
        <v>1473</v>
      </c>
      <c r="B1063" s="37">
        <v>551.625</v>
      </c>
      <c r="C1063" s="37">
        <v>427.93060302734375</v>
      </c>
      <c r="D1063" s="35">
        <v>3868302</v>
      </c>
      <c r="E1063" s="35" t="s">
        <v>1463</v>
      </c>
      <c r="F1063" s="35" t="s">
        <v>411</v>
      </c>
    </row>
    <row r="1064" spans="1:6">
      <c r="A1064" s="35" t="s">
        <v>1474</v>
      </c>
      <c r="B1064" s="37">
        <v>553.5250244140625</v>
      </c>
      <c r="C1064" s="37">
        <v>429.40457153320313</v>
      </c>
      <c r="D1064" s="35">
        <v>2401182</v>
      </c>
      <c r="E1064" s="35" t="s">
        <v>1463</v>
      </c>
      <c r="F1064" s="35" t="s">
        <v>411</v>
      </c>
    </row>
    <row r="1065" spans="1:6">
      <c r="A1065" s="35" t="s">
        <v>1475</v>
      </c>
      <c r="B1065" s="37">
        <v>551.32501220703125</v>
      </c>
      <c r="C1065" s="37">
        <v>427.69793701171875</v>
      </c>
      <c r="D1065" s="35">
        <v>4055238</v>
      </c>
      <c r="E1065" s="35" t="s">
        <v>1463</v>
      </c>
      <c r="F1065" s="35" t="s">
        <v>411</v>
      </c>
    </row>
    <row r="1066" spans="1:6">
      <c r="A1066" s="35" t="s">
        <v>1476</v>
      </c>
      <c r="B1066" s="37">
        <v>550.54998779296875</v>
      </c>
      <c r="C1066" s="37">
        <v>427.09661865234375</v>
      </c>
      <c r="D1066" s="35">
        <v>2230516</v>
      </c>
      <c r="E1066" s="35" t="s">
        <v>1463</v>
      </c>
      <c r="F1066" s="35" t="s">
        <v>411</v>
      </c>
    </row>
    <row r="1067" spans="1:6">
      <c r="A1067" s="35" t="s">
        <v>1477</v>
      </c>
      <c r="B1067" s="37">
        <v>551</v>
      </c>
      <c r="C1067" s="37">
        <v>427.44580078125</v>
      </c>
      <c r="D1067" s="35">
        <v>2135528</v>
      </c>
      <c r="E1067" s="35" t="s">
        <v>1463</v>
      </c>
      <c r="F1067" s="35" t="s">
        <v>411</v>
      </c>
    </row>
    <row r="1068" spans="1:6">
      <c r="A1068" s="35" t="s">
        <v>1478</v>
      </c>
      <c r="B1068" s="37">
        <v>569.4749755859375</v>
      </c>
      <c r="C1068" s="37">
        <v>441.77783203125</v>
      </c>
      <c r="D1068" s="35">
        <v>5681646</v>
      </c>
      <c r="E1068" s="35" t="s">
        <v>1463</v>
      </c>
      <c r="F1068" s="35" t="s">
        <v>411</v>
      </c>
    </row>
    <row r="1069" spans="1:6">
      <c r="A1069" s="35" t="s">
        <v>1479</v>
      </c>
      <c r="B1069" s="37">
        <v>566.8499755859375</v>
      </c>
      <c r="C1069" s="37">
        <v>439.74163818359375</v>
      </c>
      <c r="D1069" s="35">
        <v>5361098</v>
      </c>
      <c r="E1069" s="35" t="s">
        <v>1463</v>
      </c>
      <c r="F1069" s="35" t="s">
        <v>411</v>
      </c>
    </row>
    <row r="1070" spans="1:6">
      <c r="A1070" s="35" t="s">
        <v>1480</v>
      </c>
      <c r="B1070" s="37">
        <v>569.875</v>
      </c>
      <c r="C1070" s="37">
        <v>442.08831787109375</v>
      </c>
      <c r="D1070" s="35">
        <v>3465934</v>
      </c>
      <c r="E1070" s="35" t="s">
        <v>1463</v>
      </c>
      <c r="F1070" s="35" t="s">
        <v>411</v>
      </c>
    </row>
    <row r="1071" spans="1:6">
      <c r="A1071" s="35" t="s">
        <v>1481</v>
      </c>
      <c r="B1071" s="37">
        <v>591.67498779296875</v>
      </c>
      <c r="C1071" s="37">
        <v>458.99990844726563</v>
      </c>
      <c r="D1071" s="35">
        <v>8310400</v>
      </c>
      <c r="E1071" s="35" t="s">
        <v>1463</v>
      </c>
      <c r="F1071" s="35" t="s">
        <v>411</v>
      </c>
    </row>
    <row r="1072" spans="1:6">
      <c r="A1072" s="35" t="s">
        <v>1482</v>
      </c>
      <c r="B1072" s="37">
        <v>580.0250244140625</v>
      </c>
      <c r="C1072" s="37">
        <v>449.96212768554688</v>
      </c>
      <c r="D1072" s="35">
        <v>4226194</v>
      </c>
      <c r="E1072" s="35" t="s">
        <v>1463</v>
      </c>
      <c r="F1072" s="35" t="s">
        <v>411</v>
      </c>
    </row>
    <row r="1073" spans="1:6">
      <c r="A1073" s="35" t="s">
        <v>1483</v>
      </c>
      <c r="B1073" s="37">
        <v>571.5250244140625</v>
      </c>
      <c r="C1073" s="37">
        <v>443.36819458007813</v>
      </c>
      <c r="D1073" s="35">
        <v>5710316</v>
      </c>
      <c r="E1073" s="35" t="s">
        <v>1463</v>
      </c>
      <c r="F1073" s="35" t="s">
        <v>411</v>
      </c>
    </row>
    <row r="1074" spans="1:6">
      <c r="A1074" s="35" t="s">
        <v>1484</v>
      </c>
      <c r="B1074" s="37">
        <v>568.0250244140625</v>
      </c>
      <c r="C1074" s="37">
        <v>440.653076171875</v>
      </c>
      <c r="D1074" s="35">
        <v>2827130</v>
      </c>
      <c r="E1074" s="35" t="s">
        <v>1463</v>
      </c>
      <c r="F1074" s="35" t="s">
        <v>411</v>
      </c>
    </row>
    <row r="1075" spans="1:6">
      <c r="A1075" s="35" t="s">
        <v>1485</v>
      </c>
      <c r="B1075" s="37">
        <v>565.875</v>
      </c>
      <c r="C1075" s="37">
        <v>438.98529052734375</v>
      </c>
      <c r="D1075" s="35">
        <v>4689204</v>
      </c>
      <c r="E1075" s="35" t="s">
        <v>1463</v>
      </c>
      <c r="F1075" s="35" t="s">
        <v>411</v>
      </c>
    </row>
    <row r="1076" spans="1:6">
      <c r="A1076" s="35" t="s">
        <v>1486</v>
      </c>
      <c r="B1076" s="37">
        <v>566.29998779296875</v>
      </c>
      <c r="C1076" s="37">
        <v>439.31491088867188</v>
      </c>
      <c r="D1076" s="35">
        <v>2987822</v>
      </c>
      <c r="E1076" s="35" t="s">
        <v>1463</v>
      </c>
      <c r="F1076" s="35" t="s">
        <v>411</v>
      </c>
    </row>
    <row r="1077" spans="1:6">
      <c r="A1077" s="35" t="s">
        <v>1487</v>
      </c>
      <c r="B1077" s="37">
        <v>568.29998779296875</v>
      </c>
      <c r="C1077" s="37">
        <v>440.8665771484375</v>
      </c>
      <c r="D1077" s="35">
        <v>4962690</v>
      </c>
      <c r="E1077" s="35" t="s">
        <v>1463</v>
      </c>
      <c r="F1077" s="35" t="s">
        <v>411</v>
      </c>
    </row>
    <row r="1078" spans="1:6">
      <c r="A1078" s="35" t="s">
        <v>1488</v>
      </c>
      <c r="B1078" s="37">
        <v>543.32501220703125</v>
      </c>
      <c r="C1078" s="37">
        <v>421.49176025390625</v>
      </c>
      <c r="D1078" s="35">
        <v>15535450</v>
      </c>
      <c r="E1078" s="35" t="s">
        <v>1463</v>
      </c>
      <c r="F1078" s="35" t="s">
        <v>411</v>
      </c>
    </row>
    <row r="1079" spans="1:6">
      <c r="A1079" s="35" t="s">
        <v>1489</v>
      </c>
      <c r="B1079" s="37">
        <v>541.82501220703125</v>
      </c>
      <c r="C1079" s="37">
        <v>420.32821655273438</v>
      </c>
      <c r="D1079" s="35">
        <v>3368062</v>
      </c>
      <c r="E1079" s="35" t="s">
        <v>1463</v>
      </c>
      <c r="F1079" s="35" t="s">
        <v>411</v>
      </c>
    </row>
    <row r="1080" spans="1:6">
      <c r="A1080" s="35" t="s">
        <v>1490</v>
      </c>
      <c r="B1080" s="37">
        <v>533.92498779296875</v>
      </c>
      <c r="C1080" s="37">
        <v>414.19952392578125</v>
      </c>
      <c r="D1080" s="35">
        <v>4388014</v>
      </c>
      <c r="E1080" s="35" t="s">
        <v>1463</v>
      </c>
      <c r="F1080" s="35" t="s">
        <v>411</v>
      </c>
    </row>
    <row r="1081" spans="1:6">
      <c r="A1081" s="35" t="s">
        <v>1491</v>
      </c>
      <c r="B1081" s="37">
        <v>533.7249755859375</v>
      </c>
      <c r="C1081" s="37">
        <v>414.04437255859375</v>
      </c>
      <c r="D1081" s="35">
        <v>3240598</v>
      </c>
      <c r="E1081" s="35" t="s">
        <v>1463</v>
      </c>
      <c r="F1081" s="35" t="s">
        <v>411</v>
      </c>
    </row>
    <row r="1082" spans="1:6">
      <c r="A1082" s="35" t="s">
        <v>1492</v>
      </c>
      <c r="B1082" s="37">
        <v>536.125</v>
      </c>
      <c r="C1082" s="37">
        <v>416.68692016601563</v>
      </c>
      <c r="D1082" s="35">
        <v>2226902</v>
      </c>
      <c r="E1082" s="35" t="s">
        <v>1463</v>
      </c>
      <c r="F1082" s="35" t="s">
        <v>411</v>
      </c>
    </row>
    <row r="1083" spans="1:6">
      <c r="A1083" s="35" t="s">
        <v>1493</v>
      </c>
      <c r="B1083" s="37">
        <v>531.3499755859375</v>
      </c>
      <c r="C1083" s="37">
        <v>412.97567749023438</v>
      </c>
      <c r="D1083" s="35">
        <v>2780046</v>
      </c>
      <c r="E1083" s="35" t="s">
        <v>1463</v>
      </c>
      <c r="F1083" s="35" t="s">
        <v>411</v>
      </c>
    </row>
    <row r="1084" spans="1:6">
      <c r="A1084" s="35" t="s">
        <v>1494</v>
      </c>
      <c r="B1084" s="37">
        <v>536.7750244140625</v>
      </c>
      <c r="C1084" s="37">
        <v>417.19210815429688</v>
      </c>
      <c r="D1084" s="35">
        <v>2380474</v>
      </c>
      <c r="E1084" s="35" t="s">
        <v>1463</v>
      </c>
      <c r="F1084" s="35" t="s">
        <v>411</v>
      </c>
    </row>
    <row r="1085" spans="1:6">
      <c r="A1085" s="35" t="s">
        <v>1495</v>
      </c>
      <c r="B1085" s="37">
        <v>528.04998779296875</v>
      </c>
      <c r="C1085" s="37">
        <v>410.41091918945313</v>
      </c>
      <c r="D1085" s="35">
        <v>1613426</v>
      </c>
      <c r="E1085" s="35" t="s">
        <v>1463</v>
      </c>
      <c r="F1085" s="35" t="s">
        <v>411</v>
      </c>
    </row>
    <row r="1086" spans="1:6">
      <c r="A1086" s="35" t="s">
        <v>1496</v>
      </c>
      <c r="B1086" s="37">
        <v>530.5</v>
      </c>
      <c r="C1086" s="37">
        <v>412.31509399414063</v>
      </c>
      <c r="D1086" s="35">
        <v>3424864</v>
      </c>
      <c r="E1086" s="35" t="s">
        <v>1463</v>
      </c>
      <c r="F1086" s="35" t="s">
        <v>411</v>
      </c>
    </row>
    <row r="1087" spans="1:6">
      <c r="A1087" s="35" t="s">
        <v>1497</v>
      </c>
      <c r="B1087" s="37">
        <v>533.20001220703125</v>
      </c>
      <c r="C1087" s="37">
        <v>414.41360473632813</v>
      </c>
      <c r="D1087" s="35">
        <v>3884200</v>
      </c>
      <c r="E1087" s="35" t="s">
        <v>1463</v>
      </c>
      <c r="F1087" s="35" t="s">
        <v>411</v>
      </c>
    </row>
    <row r="1088" spans="1:6">
      <c r="A1088" s="35" t="s">
        <v>1498</v>
      </c>
      <c r="B1088" s="37">
        <v>532.9749755859375</v>
      </c>
      <c r="C1088" s="37">
        <v>414.23876953125</v>
      </c>
      <c r="D1088" s="35">
        <v>4340468</v>
      </c>
      <c r="E1088" s="35" t="s">
        <v>1463</v>
      </c>
      <c r="F1088" s="35" t="s">
        <v>411</v>
      </c>
    </row>
    <row r="1089" spans="1:6">
      <c r="A1089" s="35" t="s">
        <v>1499</v>
      </c>
      <c r="B1089" s="37">
        <v>532.0999755859375</v>
      </c>
      <c r="C1089" s="37">
        <v>413.55865478515625</v>
      </c>
      <c r="D1089" s="35">
        <v>3164414</v>
      </c>
      <c r="E1089" s="35" t="s">
        <v>1463</v>
      </c>
      <c r="F1089" s="35" t="s">
        <v>411</v>
      </c>
    </row>
    <row r="1090" spans="1:6">
      <c r="A1090" s="35" t="s">
        <v>1500</v>
      </c>
      <c r="B1090" s="37">
        <v>535.6500244140625</v>
      </c>
      <c r="C1090" s="37">
        <v>416.31784057617188</v>
      </c>
      <c r="D1090" s="35">
        <v>10631688</v>
      </c>
      <c r="E1090" s="35" t="s">
        <v>1463</v>
      </c>
      <c r="F1090" s="35" t="s">
        <v>411</v>
      </c>
    </row>
    <row r="1091" spans="1:6">
      <c r="A1091" s="35" t="s">
        <v>1501</v>
      </c>
      <c r="B1091" s="37">
        <v>542.5</v>
      </c>
      <c r="C1091" s="37">
        <v>421.64178466796875</v>
      </c>
      <c r="D1091" s="35">
        <v>4354812</v>
      </c>
      <c r="E1091" s="35" t="s">
        <v>1463</v>
      </c>
      <c r="F1091" s="35" t="s">
        <v>411</v>
      </c>
    </row>
    <row r="1092" spans="1:6">
      <c r="A1092" s="35" t="s">
        <v>1502</v>
      </c>
      <c r="B1092" s="37">
        <v>539.0999755859375</v>
      </c>
      <c r="C1092" s="37">
        <v>418.99917602539063</v>
      </c>
      <c r="D1092" s="35">
        <v>4745448</v>
      </c>
      <c r="E1092" s="35" t="s">
        <v>1463</v>
      </c>
      <c r="F1092" s="35" t="s">
        <v>411</v>
      </c>
    </row>
    <row r="1093" spans="1:6">
      <c r="A1093" s="35" t="s">
        <v>1503</v>
      </c>
      <c r="B1093" s="37">
        <v>546.2750244140625</v>
      </c>
      <c r="C1093" s="37">
        <v>424.57586669921875</v>
      </c>
      <c r="D1093" s="35">
        <v>4255094</v>
      </c>
      <c r="E1093" s="35" t="s">
        <v>1463</v>
      </c>
      <c r="F1093" s="35" t="s">
        <v>411</v>
      </c>
    </row>
    <row r="1094" spans="1:6">
      <c r="A1094" s="35" t="s">
        <v>1504</v>
      </c>
      <c r="B1094" s="37">
        <v>557.5999755859375</v>
      </c>
      <c r="C1094" s="37">
        <v>433.37774658203125</v>
      </c>
      <c r="D1094" s="35">
        <v>3400394</v>
      </c>
      <c r="E1094" s="35" t="s">
        <v>1463</v>
      </c>
      <c r="F1094" s="35" t="s">
        <v>411</v>
      </c>
    </row>
    <row r="1095" spans="1:6">
      <c r="A1095" s="35" t="s">
        <v>1505</v>
      </c>
      <c r="B1095" s="37">
        <v>542.92498779296875</v>
      </c>
      <c r="C1095" s="37">
        <v>421.97201538085938</v>
      </c>
      <c r="D1095" s="35">
        <v>4128970</v>
      </c>
      <c r="E1095" s="35" t="s">
        <v>1463</v>
      </c>
      <c r="F1095" s="35" t="s">
        <v>411</v>
      </c>
    </row>
    <row r="1096" spans="1:6">
      <c r="A1096" s="35" t="s">
        <v>1506</v>
      </c>
      <c r="B1096" s="37">
        <v>539.5999755859375</v>
      </c>
      <c r="C1096" s="37">
        <v>419.3878173828125</v>
      </c>
      <c r="D1096" s="35">
        <v>4701806</v>
      </c>
      <c r="E1096" s="35" t="s">
        <v>1463</v>
      </c>
      <c r="F1096" s="35" t="s">
        <v>411</v>
      </c>
    </row>
    <row r="1097" spans="1:6">
      <c r="A1097" s="35" t="s">
        <v>1507</v>
      </c>
      <c r="B1097" s="37">
        <v>539.79998779296875</v>
      </c>
      <c r="C1097" s="37">
        <v>419.54318237304688</v>
      </c>
      <c r="D1097" s="35">
        <v>3272806</v>
      </c>
      <c r="E1097" s="35" t="s">
        <v>1463</v>
      </c>
      <c r="F1097" s="35" t="s">
        <v>411</v>
      </c>
    </row>
    <row r="1098" spans="1:6">
      <c r="A1098" s="35" t="s">
        <v>1508</v>
      </c>
      <c r="B1098" s="37">
        <v>545.5999755859375</v>
      </c>
      <c r="C1098" s="37">
        <v>424.05108642578125</v>
      </c>
      <c r="D1098" s="35">
        <v>2056008</v>
      </c>
      <c r="E1098" s="35" t="s">
        <v>1463</v>
      </c>
      <c r="F1098" s="35" t="s">
        <v>411</v>
      </c>
    </row>
    <row r="1099" spans="1:6">
      <c r="A1099" s="35" t="s">
        <v>1509</v>
      </c>
      <c r="B1099" s="37">
        <v>553.95001220703125</v>
      </c>
      <c r="C1099" s="37">
        <v>430.54083251953125</v>
      </c>
      <c r="D1099" s="35">
        <v>6485078</v>
      </c>
      <c r="E1099" s="35" t="s">
        <v>1463</v>
      </c>
      <c r="F1099" s="35" t="s">
        <v>411</v>
      </c>
    </row>
    <row r="1100" spans="1:6">
      <c r="A1100" s="35" t="s">
        <v>1510</v>
      </c>
      <c r="B1100" s="37">
        <v>554.04998779296875</v>
      </c>
      <c r="C1100" s="37">
        <v>430.61865234375</v>
      </c>
      <c r="D1100" s="35">
        <v>3136202</v>
      </c>
      <c r="E1100" s="35" t="s">
        <v>1463</v>
      </c>
      <c r="F1100" s="35" t="s">
        <v>411</v>
      </c>
    </row>
    <row r="1101" spans="1:6">
      <c r="A1101" s="35" t="s">
        <v>1511</v>
      </c>
      <c r="B1101" s="37">
        <v>550.45001220703125</v>
      </c>
      <c r="C1101" s="37">
        <v>427.82064819335938</v>
      </c>
      <c r="D1101" s="35">
        <v>3951850</v>
      </c>
      <c r="E1101" s="35" t="s">
        <v>1463</v>
      </c>
      <c r="F1101" s="35" t="s">
        <v>411</v>
      </c>
    </row>
    <row r="1102" spans="1:6">
      <c r="A1102" s="35" t="s">
        <v>1512</v>
      </c>
      <c r="B1102" s="37">
        <v>543.5</v>
      </c>
      <c r="C1102" s="37">
        <v>422.4189453125</v>
      </c>
      <c r="D1102" s="35">
        <v>3467872</v>
      </c>
      <c r="E1102" s="35" t="s">
        <v>1463</v>
      </c>
      <c r="F1102" s="35" t="s">
        <v>411</v>
      </c>
    </row>
    <row r="1103" spans="1:6">
      <c r="A1103" s="35" t="s">
        <v>1513</v>
      </c>
      <c r="B1103" s="37">
        <v>537.45001220703125</v>
      </c>
      <c r="C1103" s="37">
        <v>417.716796875</v>
      </c>
      <c r="D1103" s="35">
        <v>2487348</v>
      </c>
      <c r="E1103" s="35" t="s">
        <v>1463</v>
      </c>
      <c r="F1103" s="35" t="s">
        <v>411</v>
      </c>
    </row>
    <row r="1104" spans="1:6">
      <c r="A1104" s="35" t="s">
        <v>1514</v>
      </c>
      <c r="B1104" s="37">
        <v>544.79998779296875</v>
      </c>
      <c r="C1104" s="37">
        <v>423.42935180664063</v>
      </c>
      <c r="D1104" s="35">
        <v>1412162</v>
      </c>
      <c r="E1104" s="35" t="s">
        <v>1463</v>
      </c>
      <c r="F1104" s="35" t="s">
        <v>411</v>
      </c>
    </row>
    <row r="1105" spans="1:6">
      <c r="A1105" s="35" t="s">
        <v>1515</v>
      </c>
      <c r="B1105" s="37">
        <v>542.04998779296875</v>
      </c>
      <c r="C1105" s="37">
        <v>421.29202270507813</v>
      </c>
      <c r="D1105" s="35">
        <v>2437878</v>
      </c>
      <c r="E1105" s="35" t="s">
        <v>1463</v>
      </c>
      <c r="F1105" s="35" t="s">
        <v>411</v>
      </c>
    </row>
    <row r="1106" spans="1:6">
      <c r="A1106" s="35" t="s">
        <v>1516</v>
      </c>
      <c r="B1106" s="37">
        <v>543.67498779296875</v>
      </c>
      <c r="C1106" s="37">
        <v>422.55499267578125</v>
      </c>
      <c r="D1106" s="35">
        <v>1895088</v>
      </c>
      <c r="E1106" s="35" t="s">
        <v>1463</v>
      </c>
      <c r="F1106" s="35" t="s">
        <v>411</v>
      </c>
    </row>
    <row r="1107" spans="1:6">
      <c r="A1107" s="35" t="s">
        <v>1517</v>
      </c>
      <c r="B1107" s="37">
        <v>538.125</v>
      </c>
      <c r="C1107" s="37">
        <v>418.24148559570313</v>
      </c>
      <c r="D1107" s="35">
        <v>4695110</v>
      </c>
      <c r="E1107" s="35" t="s">
        <v>1463</v>
      </c>
      <c r="F1107" s="35" t="s">
        <v>411</v>
      </c>
    </row>
    <row r="1108" spans="1:6">
      <c r="A1108" s="35" t="s">
        <v>1518</v>
      </c>
      <c r="B1108" s="37">
        <v>538.95001220703125</v>
      </c>
      <c r="C1108" s="37">
        <v>418.88265991210938</v>
      </c>
      <c r="D1108" s="35">
        <v>1350104</v>
      </c>
      <c r="E1108" s="35" t="s">
        <v>1463</v>
      </c>
      <c r="F1108" s="35" t="s">
        <v>411</v>
      </c>
    </row>
    <row r="1109" spans="1:6">
      <c r="A1109" s="35" t="s">
        <v>1519</v>
      </c>
      <c r="B1109" s="37">
        <v>539.5</v>
      </c>
      <c r="C1109" s="37">
        <v>419.31002807617188</v>
      </c>
      <c r="D1109" s="35">
        <v>2203934</v>
      </c>
      <c r="E1109" s="35" t="s">
        <v>1463</v>
      </c>
      <c r="F1109" s="35" t="s">
        <v>411</v>
      </c>
    </row>
    <row r="1110" spans="1:6">
      <c r="A1110" s="35" t="s">
        <v>1520</v>
      </c>
      <c r="B1110" s="37">
        <v>539.375</v>
      </c>
      <c r="C1110" s="37">
        <v>419.212890625</v>
      </c>
      <c r="D1110" s="35">
        <v>3277734</v>
      </c>
      <c r="E1110" s="35" t="s">
        <v>1463</v>
      </c>
      <c r="F1110" s="35" t="s">
        <v>411</v>
      </c>
    </row>
    <row r="1111" spans="1:6">
      <c r="A1111" s="35" t="s">
        <v>1521</v>
      </c>
      <c r="B1111" s="37">
        <v>531.375</v>
      </c>
      <c r="C1111" s="37">
        <v>412.99520874023438</v>
      </c>
      <c r="D1111" s="35">
        <v>2776050</v>
      </c>
      <c r="E1111" s="35" t="s">
        <v>1463</v>
      </c>
      <c r="F1111" s="35" t="s">
        <v>411</v>
      </c>
    </row>
    <row r="1112" spans="1:6">
      <c r="A1112" s="35" t="s">
        <v>1522</v>
      </c>
      <c r="B1112" s="37">
        <v>532.32501220703125</v>
      </c>
      <c r="C1112" s="37">
        <v>413.73358154296875</v>
      </c>
      <c r="D1112" s="35">
        <v>2829874</v>
      </c>
      <c r="E1112" s="35" t="s">
        <v>1463</v>
      </c>
      <c r="F1112" s="35" t="s">
        <v>411</v>
      </c>
    </row>
    <row r="1113" spans="1:6">
      <c r="A1113" s="35" t="s">
        <v>1523</v>
      </c>
      <c r="B1113" s="37">
        <v>524.54998779296875</v>
      </c>
      <c r="C1113" s="37">
        <v>407.69061279296875</v>
      </c>
      <c r="D1113" s="35">
        <v>2467696</v>
      </c>
      <c r="E1113" s="35" t="s">
        <v>1463</v>
      </c>
      <c r="F1113" s="35" t="s">
        <v>411</v>
      </c>
    </row>
    <row r="1114" spans="1:6">
      <c r="A1114" s="35" t="s">
        <v>1524</v>
      </c>
      <c r="B1114" s="37">
        <v>530</v>
      </c>
      <c r="C1114" s="37">
        <v>411.92642211914063</v>
      </c>
      <c r="D1114" s="35">
        <v>2014050</v>
      </c>
      <c r="E1114" s="35" t="s">
        <v>1463</v>
      </c>
      <c r="F1114" s="35" t="s">
        <v>411</v>
      </c>
    </row>
    <row r="1115" spans="1:6">
      <c r="A1115" s="35" t="s">
        <v>1525</v>
      </c>
      <c r="B1115" s="37">
        <v>525.5999755859375</v>
      </c>
      <c r="C1115" s="37">
        <v>408.5067138671875</v>
      </c>
      <c r="D1115" s="35">
        <v>1213340</v>
      </c>
      <c r="E1115" s="35" t="s">
        <v>1463</v>
      </c>
      <c r="F1115" s="35" t="s">
        <v>411</v>
      </c>
    </row>
    <row r="1116" spans="1:6">
      <c r="A1116" s="35" t="s">
        <v>1526</v>
      </c>
      <c r="B1116" s="37">
        <v>520.375</v>
      </c>
      <c r="C1116" s="37">
        <v>404.44580078125</v>
      </c>
      <c r="D1116" s="35">
        <v>2553038</v>
      </c>
      <c r="E1116" s="35" t="s">
        <v>1463</v>
      </c>
      <c r="F1116" s="35" t="s">
        <v>411</v>
      </c>
    </row>
    <row r="1117" spans="1:6">
      <c r="A1117" s="35" t="s">
        <v>1527</v>
      </c>
      <c r="B1117" s="37">
        <v>508.20001220703125</v>
      </c>
      <c r="C1117" s="37">
        <v>394.98321533203125</v>
      </c>
      <c r="D1117" s="35">
        <v>2514352</v>
      </c>
      <c r="E1117" s="35" t="s">
        <v>1463</v>
      </c>
      <c r="F1117" s="35" t="s">
        <v>411</v>
      </c>
    </row>
    <row r="1118" spans="1:6">
      <c r="A1118" s="35" t="s">
        <v>1528</v>
      </c>
      <c r="B1118" s="37">
        <v>519.5250244140625</v>
      </c>
      <c r="C1118" s="37">
        <v>403.78515625</v>
      </c>
      <c r="D1118" s="35">
        <v>4008224</v>
      </c>
      <c r="E1118" s="35" t="s">
        <v>1463</v>
      </c>
      <c r="F1118" s="35" t="s">
        <v>411</v>
      </c>
    </row>
    <row r="1119" spans="1:6">
      <c r="A1119" s="35" t="s">
        <v>1529</v>
      </c>
      <c r="B1119" s="37">
        <v>510.375</v>
      </c>
      <c r="C1119" s="37">
        <v>396.673583984375</v>
      </c>
      <c r="D1119" s="35">
        <v>3205934</v>
      </c>
      <c r="E1119" s="35" t="s">
        <v>1463</v>
      </c>
      <c r="F1119" s="35" t="s">
        <v>411</v>
      </c>
    </row>
    <row r="1120" spans="1:6">
      <c r="A1120" s="35" t="s">
        <v>1530</v>
      </c>
      <c r="B1120" s="37">
        <v>509.45001220703125</v>
      </c>
      <c r="C1120" s="37">
        <v>395.95468139648438</v>
      </c>
      <c r="D1120" s="35">
        <v>1731600</v>
      </c>
      <c r="E1120" s="35" t="s">
        <v>1463</v>
      </c>
      <c r="F1120" s="35" t="s">
        <v>411</v>
      </c>
    </row>
    <row r="1121" spans="1:6">
      <c r="A1121" s="35" t="s">
        <v>1531</v>
      </c>
      <c r="B1121" s="37">
        <v>510.39999389648438</v>
      </c>
      <c r="C1121" s="37">
        <v>396.69296264648438</v>
      </c>
      <c r="D1121" s="35">
        <v>1550706</v>
      </c>
      <c r="E1121" s="35" t="s">
        <v>1463</v>
      </c>
      <c r="F1121" s="35" t="s">
        <v>411</v>
      </c>
    </row>
    <row r="1122" spans="1:6">
      <c r="A1122" s="35" t="s">
        <v>1532</v>
      </c>
      <c r="B1122" s="37">
        <v>511.95001220703125</v>
      </c>
      <c r="C1122" s="37">
        <v>397.89767456054688</v>
      </c>
      <c r="D1122" s="35">
        <v>2903286</v>
      </c>
      <c r="E1122" s="35" t="s">
        <v>1463</v>
      </c>
      <c r="F1122" s="35" t="s">
        <v>411</v>
      </c>
    </row>
    <row r="1123" spans="1:6">
      <c r="A1123" s="35" t="s">
        <v>1533</v>
      </c>
      <c r="B1123" s="37">
        <v>513.75</v>
      </c>
      <c r="C1123" s="37">
        <v>399.2967529296875</v>
      </c>
      <c r="D1123" s="35">
        <v>2633206</v>
      </c>
      <c r="E1123" s="35" t="s">
        <v>1463</v>
      </c>
      <c r="F1123" s="35" t="s">
        <v>411</v>
      </c>
    </row>
    <row r="1124" spans="1:6">
      <c r="A1124" s="35" t="s">
        <v>1534</v>
      </c>
      <c r="B1124" s="37">
        <v>509.82501220703125</v>
      </c>
      <c r="C1124" s="37">
        <v>396.24612426757813</v>
      </c>
      <c r="D1124" s="35">
        <v>3450502</v>
      </c>
      <c r="E1124" s="35" t="s">
        <v>1463</v>
      </c>
      <c r="F1124" s="35" t="s">
        <v>411</v>
      </c>
    </row>
    <row r="1125" spans="1:6">
      <c r="A1125" s="35" t="s">
        <v>1535</v>
      </c>
      <c r="B1125" s="37">
        <v>520.375</v>
      </c>
      <c r="C1125" s="37">
        <v>404.44580078125</v>
      </c>
      <c r="D1125" s="35">
        <v>2291110</v>
      </c>
      <c r="E1125" s="35" t="s">
        <v>1463</v>
      </c>
      <c r="F1125" s="35" t="s">
        <v>411</v>
      </c>
    </row>
    <row r="1126" spans="1:6">
      <c r="A1126" s="35" t="s">
        <v>1536</v>
      </c>
      <c r="B1126" s="37">
        <v>509.27499389648438</v>
      </c>
      <c r="C1126" s="37">
        <v>395.81863403320313</v>
      </c>
      <c r="D1126" s="35">
        <v>2608300</v>
      </c>
      <c r="E1126" s="35" t="s">
        <v>1463</v>
      </c>
      <c r="F1126" s="35" t="s">
        <v>411</v>
      </c>
    </row>
    <row r="1127" spans="1:6">
      <c r="A1127" s="35" t="s">
        <v>1537</v>
      </c>
      <c r="B1127" s="37">
        <v>507.79998779296875</v>
      </c>
      <c r="C1127" s="37">
        <v>394.67214965820313</v>
      </c>
      <c r="D1127" s="35">
        <v>2139624</v>
      </c>
      <c r="E1127" s="35" t="s">
        <v>1463</v>
      </c>
      <c r="F1127" s="35" t="s">
        <v>411</v>
      </c>
    </row>
    <row r="1128" spans="1:6">
      <c r="A1128" s="35" t="s">
        <v>1538</v>
      </c>
      <c r="B1128" s="37">
        <v>509.47500610351563</v>
      </c>
      <c r="C1128" s="37">
        <v>395.97415161132813</v>
      </c>
      <c r="D1128" s="35">
        <v>1902156</v>
      </c>
      <c r="E1128" s="35" t="s">
        <v>1463</v>
      </c>
      <c r="F1128" s="35" t="s">
        <v>411</v>
      </c>
    </row>
    <row r="1129" spans="1:6">
      <c r="A1129" s="35" t="s">
        <v>1539</v>
      </c>
      <c r="B1129" s="37">
        <v>505.47500610351563</v>
      </c>
      <c r="C1129" s="37">
        <v>392.865234375</v>
      </c>
      <c r="D1129" s="35">
        <v>2011658</v>
      </c>
      <c r="E1129" s="35" t="s">
        <v>1463</v>
      </c>
      <c r="F1129" s="35" t="s">
        <v>411</v>
      </c>
    </row>
    <row r="1130" spans="1:6">
      <c r="A1130" s="35" t="s">
        <v>1540</v>
      </c>
      <c r="B1130" s="37">
        <v>510.64999389648438</v>
      </c>
      <c r="C1130" s="37">
        <v>396.8873291015625</v>
      </c>
      <c r="D1130" s="35">
        <v>2384560</v>
      </c>
      <c r="E1130" s="35" t="s">
        <v>1463</v>
      </c>
      <c r="F1130" s="35" t="s">
        <v>411</v>
      </c>
    </row>
    <row r="1131" spans="1:6">
      <c r="A1131" s="35" t="s">
        <v>1541</v>
      </c>
      <c r="B1131" s="37">
        <v>505.64999389648438</v>
      </c>
      <c r="C1131" s="37">
        <v>393.00112915039063</v>
      </c>
      <c r="D1131" s="35">
        <v>6042040</v>
      </c>
      <c r="E1131" s="35" t="s">
        <v>1463</v>
      </c>
      <c r="F1131" s="35" t="s">
        <v>411</v>
      </c>
    </row>
    <row r="1132" spans="1:6">
      <c r="A1132" s="35" t="s">
        <v>1542</v>
      </c>
      <c r="B1132" s="37">
        <v>500.72500610351563</v>
      </c>
      <c r="C1132" s="37">
        <v>389.17343139648438</v>
      </c>
      <c r="D1132" s="35">
        <v>2332384</v>
      </c>
      <c r="E1132" s="35" t="s">
        <v>1463</v>
      </c>
      <c r="F1132" s="35" t="s">
        <v>411</v>
      </c>
    </row>
    <row r="1133" spans="1:6">
      <c r="A1133" s="35" t="s">
        <v>1543</v>
      </c>
      <c r="B1133" s="37">
        <v>507.72500610351563</v>
      </c>
      <c r="C1133" s="37">
        <v>394.61392211914063</v>
      </c>
      <c r="D1133" s="35">
        <v>1825826</v>
      </c>
      <c r="E1133" s="35" t="s">
        <v>1463</v>
      </c>
      <c r="F1133" s="35" t="s">
        <v>411</v>
      </c>
    </row>
    <row r="1134" spans="1:6">
      <c r="A1134" s="35" t="s">
        <v>1544</v>
      </c>
      <c r="B1134" s="37">
        <v>511.79998779296875</v>
      </c>
      <c r="C1134" s="37">
        <v>397.7811279296875</v>
      </c>
      <c r="D1134" s="35">
        <v>2134474</v>
      </c>
      <c r="E1134" s="35" t="s">
        <v>1463</v>
      </c>
      <c r="F1134" s="35" t="s">
        <v>411</v>
      </c>
    </row>
    <row r="1135" spans="1:6">
      <c r="A1135" s="35" t="s">
        <v>1545</v>
      </c>
      <c r="B1135" s="37">
        <v>517.2750244140625</v>
      </c>
      <c r="C1135" s="37">
        <v>402.03643798828125</v>
      </c>
      <c r="D1135" s="35">
        <v>3714036</v>
      </c>
      <c r="E1135" s="35" t="s">
        <v>1463</v>
      </c>
      <c r="F1135" s="35" t="s">
        <v>411</v>
      </c>
    </row>
    <row r="1136" spans="1:6">
      <c r="A1136" s="35" t="s">
        <v>1546</v>
      </c>
      <c r="B1136" s="37">
        <v>510.77499389648438</v>
      </c>
      <c r="C1136" s="37">
        <v>396.98446655273438</v>
      </c>
      <c r="D1136" s="35">
        <v>3490012</v>
      </c>
      <c r="E1136" s="35" t="s">
        <v>1463</v>
      </c>
      <c r="F1136" s="35" t="s">
        <v>411</v>
      </c>
    </row>
    <row r="1137" spans="1:6">
      <c r="A1137" s="35" t="s">
        <v>1547</v>
      </c>
      <c r="B1137" s="37">
        <v>505.25</v>
      </c>
      <c r="C1137" s="37">
        <v>392.69039916992188</v>
      </c>
      <c r="D1137" s="35">
        <v>3544858</v>
      </c>
      <c r="E1137" s="35" t="s">
        <v>1463</v>
      </c>
      <c r="F1137" s="35" t="s">
        <v>411</v>
      </c>
    </row>
    <row r="1138" spans="1:6">
      <c r="A1138" s="35" t="s">
        <v>1548</v>
      </c>
      <c r="B1138" s="37">
        <v>505.54998779296875</v>
      </c>
      <c r="C1138" s="37">
        <v>392.92349243164063</v>
      </c>
      <c r="D1138" s="35">
        <v>2687280</v>
      </c>
      <c r="E1138" s="35" t="s">
        <v>1463</v>
      </c>
      <c r="F1138" s="35" t="s">
        <v>411</v>
      </c>
    </row>
    <row r="1139" spans="1:6">
      <c r="A1139" s="35" t="s">
        <v>1549</v>
      </c>
      <c r="B1139" s="37">
        <v>512.0999755859375</v>
      </c>
      <c r="C1139" s="37">
        <v>398.01416015625</v>
      </c>
      <c r="D1139" s="35">
        <v>3174832</v>
      </c>
      <c r="E1139" s="35" t="s">
        <v>1463</v>
      </c>
      <c r="F1139" s="35" t="s">
        <v>411</v>
      </c>
    </row>
    <row r="1140" spans="1:6">
      <c r="A1140" s="35" t="s">
        <v>1550</v>
      </c>
      <c r="B1140" s="37">
        <v>511.32501220703125</v>
      </c>
      <c r="C1140" s="37">
        <v>397.41189575195313</v>
      </c>
      <c r="D1140" s="35">
        <v>3967844</v>
      </c>
      <c r="E1140" s="35" t="s">
        <v>1463</v>
      </c>
      <c r="F1140" s="35" t="s">
        <v>411</v>
      </c>
    </row>
    <row r="1141" spans="1:6">
      <c r="A1141" s="35" t="s">
        <v>1551</v>
      </c>
      <c r="B1141" s="37">
        <v>544.125</v>
      </c>
      <c r="C1141" s="37">
        <v>422.90472412109375</v>
      </c>
      <c r="D1141" s="35">
        <v>12493298</v>
      </c>
      <c r="E1141" s="35" t="s">
        <v>1463</v>
      </c>
      <c r="F1141" s="35" t="s">
        <v>411</v>
      </c>
    </row>
    <row r="1142" spans="1:6">
      <c r="A1142" s="35" t="s">
        <v>1552</v>
      </c>
      <c r="B1142" s="37">
        <v>543.1500244140625</v>
      </c>
      <c r="C1142" s="37">
        <v>422.14697265625</v>
      </c>
      <c r="D1142" s="35">
        <v>5645698</v>
      </c>
      <c r="E1142" s="35" t="s">
        <v>1463</v>
      </c>
      <c r="F1142" s="35" t="s">
        <v>411</v>
      </c>
    </row>
    <row r="1143" spans="1:6">
      <c r="A1143" s="35" t="s">
        <v>1553</v>
      </c>
      <c r="B1143" s="37">
        <v>536.25</v>
      </c>
      <c r="C1143" s="37">
        <v>416.7841796875</v>
      </c>
      <c r="D1143" s="35">
        <v>2507610</v>
      </c>
      <c r="E1143" s="35" t="s">
        <v>1463</v>
      </c>
      <c r="F1143" s="35" t="s">
        <v>411</v>
      </c>
    </row>
    <row r="1144" spans="1:6">
      <c r="A1144" s="35" t="s">
        <v>1554</v>
      </c>
      <c r="B1144" s="37">
        <v>538.07501220703125</v>
      </c>
      <c r="C1144" s="37">
        <v>418.98385620117188</v>
      </c>
      <c r="D1144" s="35">
        <v>2803920</v>
      </c>
      <c r="E1144" s="35" t="s">
        <v>1463</v>
      </c>
      <c r="F1144" s="35" t="s">
        <v>411</v>
      </c>
    </row>
    <row r="1145" spans="1:6">
      <c r="A1145" s="35" t="s">
        <v>1555</v>
      </c>
      <c r="B1145" s="37">
        <v>531.375</v>
      </c>
      <c r="C1145" s="37">
        <v>413.76678466796875</v>
      </c>
      <c r="D1145" s="35">
        <v>3108220</v>
      </c>
      <c r="E1145" s="35" t="s">
        <v>1463</v>
      </c>
      <c r="F1145" s="35" t="s">
        <v>411</v>
      </c>
    </row>
    <row r="1146" spans="1:6">
      <c r="A1146" s="35" t="s">
        <v>1556</v>
      </c>
      <c r="B1146" s="37">
        <v>532.0250244140625</v>
      </c>
      <c r="C1146" s="37">
        <v>414.27288818359375</v>
      </c>
      <c r="D1146" s="35">
        <v>1682212</v>
      </c>
      <c r="E1146" s="35" t="s">
        <v>1463</v>
      </c>
      <c r="F1146" s="35" t="s">
        <v>411</v>
      </c>
    </row>
    <row r="1147" spans="1:6">
      <c r="A1147" s="35" t="s">
        <v>1557</v>
      </c>
      <c r="B1147" s="37">
        <v>542</v>
      </c>
      <c r="C1147" s="37">
        <v>422.04019165039063</v>
      </c>
      <c r="D1147" s="35">
        <v>4282308</v>
      </c>
      <c r="E1147" s="35" t="s">
        <v>1463</v>
      </c>
      <c r="F1147" s="35" t="s">
        <v>411</v>
      </c>
    </row>
    <row r="1148" spans="1:6">
      <c r="A1148" s="35" t="s">
        <v>1558</v>
      </c>
      <c r="B1148" s="37">
        <v>535.07501220703125</v>
      </c>
      <c r="C1148" s="37">
        <v>416.64785766601563</v>
      </c>
      <c r="D1148" s="35">
        <v>2555246</v>
      </c>
      <c r="E1148" s="35" t="s">
        <v>1463</v>
      </c>
      <c r="F1148" s="35" t="s">
        <v>411</v>
      </c>
    </row>
    <row r="1149" spans="1:6">
      <c r="A1149" s="35" t="s">
        <v>1559</v>
      </c>
      <c r="B1149" s="37">
        <v>539.45001220703125</v>
      </c>
      <c r="C1149" s="37">
        <v>420.05453491210938</v>
      </c>
      <c r="D1149" s="35">
        <v>2580980</v>
      </c>
      <c r="E1149" s="35" t="s">
        <v>1463</v>
      </c>
      <c r="F1149" s="35" t="s">
        <v>411</v>
      </c>
    </row>
    <row r="1150" spans="1:6">
      <c r="A1150" s="35" t="s">
        <v>1560</v>
      </c>
      <c r="B1150" s="37">
        <v>543.5</v>
      </c>
      <c r="C1150" s="37">
        <v>423.2081298828125</v>
      </c>
      <c r="D1150" s="35">
        <v>3319154</v>
      </c>
      <c r="E1150" s="35" t="s">
        <v>1463</v>
      </c>
      <c r="F1150" s="35" t="s">
        <v>411</v>
      </c>
    </row>
    <row r="1151" spans="1:6">
      <c r="A1151" s="35" t="s">
        <v>1561</v>
      </c>
      <c r="B1151" s="37">
        <v>546.42498779296875</v>
      </c>
      <c r="C1151" s="37">
        <v>425.48580932617188</v>
      </c>
      <c r="D1151" s="35">
        <v>2314884</v>
      </c>
      <c r="E1151" s="35" t="s">
        <v>1463</v>
      </c>
      <c r="F1151" s="35" t="s">
        <v>411</v>
      </c>
    </row>
    <row r="1152" spans="1:6">
      <c r="A1152" s="35" t="s">
        <v>1562</v>
      </c>
      <c r="B1152" s="37">
        <v>546.54998779296875</v>
      </c>
      <c r="C1152" s="37">
        <v>425.58309936523438</v>
      </c>
      <c r="D1152" s="35">
        <v>6604388</v>
      </c>
      <c r="E1152" s="35" t="s">
        <v>1463</v>
      </c>
      <c r="F1152" s="35" t="s">
        <v>411</v>
      </c>
    </row>
    <row r="1153" spans="1:6">
      <c r="A1153" s="35" t="s">
        <v>1563</v>
      </c>
      <c r="B1153" s="37">
        <v>561.9749755859375</v>
      </c>
      <c r="C1153" s="37">
        <v>437.59423828125</v>
      </c>
      <c r="D1153" s="35">
        <v>6985284</v>
      </c>
      <c r="E1153" s="35" t="s">
        <v>1463</v>
      </c>
      <c r="F1153" s="35" t="s">
        <v>411</v>
      </c>
    </row>
    <row r="1154" spans="1:6">
      <c r="A1154" s="35" t="s">
        <v>1564</v>
      </c>
      <c r="B1154" s="37">
        <v>558.875</v>
      </c>
      <c r="C1154" s="37">
        <v>435.18026733398438</v>
      </c>
      <c r="D1154" s="35">
        <v>2948038</v>
      </c>
      <c r="E1154" s="35" t="s">
        <v>1463</v>
      </c>
      <c r="F1154" s="35" t="s">
        <v>411</v>
      </c>
    </row>
    <row r="1155" spans="1:6">
      <c r="A1155" s="35" t="s">
        <v>1565</v>
      </c>
      <c r="B1155" s="37">
        <v>550.17498779296875</v>
      </c>
      <c r="C1155" s="37">
        <v>428.40576171875</v>
      </c>
      <c r="D1155" s="35">
        <v>6738070</v>
      </c>
      <c r="E1155" s="35" t="s">
        <v>1463</v>
      </c>
      <c r="F1155" s="35" t="s">
        <v>411</v>
      </c>
    </row>
    <row r="1156" spans="1:6">
      <c r="A1156" s="35" t="s">
        <v>1566</v>
      </c>
      <c r="B1156" s="37">
        <v>554.17498779296875</v>
      </c>
      <c r="C1156" s="37">
        <v>431.52056884765625</v>
      </c>
      <c r="D1156" s="35">
        <v>4086894</v>
      </c>
      <c r="E1156" s="35" t="s">
        <v>1463</v>
      </c>
      <c r="F1156" s="35" t="s">
        <v>411</v>
      </c>
    </row>
    <row r="1157" spans="1:6">
      <c r="A1157" s="35" t="s">
        <v>1567</v>
      </c>
      <c r="B1157" s="37">
        <v>562.82501220703125</v>
      </c>
      <c r="C1157" s="37">
        <v>438.2559814453125</v>
      </c>
      <c r="D1157" s="35">
        <v>2425690</v>
      </c>
      <c r="E1157" s="35" t="s">
        <v>1463</v>
      </c>
      <c r="F1157" s="35" t="s">
        <v>411</v>
      </c>
    </row>
    <row r="1158" spans="1:6">
      <c r="A1158" s="35" t="s">
        <v>1568</v>
      </c>
      <c r="B1158" s="37">
        <v>555.9749755859375</v>
      </c>
      <c r="C1158" s="37">
        <v>432.92208862304688</v>
      </c>
      <c r="D1158" s="35">
        <v>2775294</v>
      </c>
      <c r="E1158" s="35" t="s">
        <v>1463</v>
      </c>
      <c r="F1158" s="35" t="s">
        <v>411</v>
      </c>
    </row>
    <row r="1159" spans="1:6">
      <c r="A1159" s="35" t="s">
        <v>1569</v>
      </c>
      <c r="B1159" s="37">
        <v>550.20001220703125</v>
      </c>
      <c r="C1159" s="37">
        <v>428.42529296875</v>
      </c>
      <c r="D1159" s="35">
        <v>2075686</v>
      </c>
      <c r="E1159" s="35" t="s">
        <v>1463</v>
      </c>
      <c r="F1159" s="35" t="s">
        <v>411</v>
      </c>
    </row>
    <row r="1160" spans="1:6">
      <c r="A1160" s="35" t="s">
        <v>1570</v>
      </c>
      <c r="B1160" s="37">
        <v>542.20001220703125</v>
      </c>
      <c r="C1160" s="37">
        <v>422.19598388671875</v>
      </c>
      <c r="D1160" s="35">
        <v>3521728</v>
      </c>
      <c r="E1160" s="35" t="s">
        <v>1463</v>
      </c>
      <c r="F1160" s="35" t="s">
        <v>411</v>
      </c>
    </row>
    <row r="1161" spans="1:6">
      <c r="A1161" s="35" t="s">
        <v>1571</v>
      </c>
      <c r="B1161" s="37">
        <v>528.8499755859375</v>
      </c>
      <c r="C1161" s="37">
        <v>411.80059814453125</v>
      </c>
      <c r="D1161" s="35">
        <v>5325506</v>
      </c>
      <c r="E1161" s="35" t="s">
        <v>1463</v>
      </c>
      <c r="F1161" s="35" t="s">
        <v>411</v>
      </c>
    </row>
    <row r="1162" spans="1:6">
      <c r="A1162" s="35" t="s">
        <v>1572</v>
      </c>
      <c r="B1162" s="37">
        <v>527.45001220703125</v>
      </c>
      <c r="C1162" s="37">
        <v>410.71044921875</v>
      </c>
      <c r="D1162" s="35">
        <v>4064734</v>
      </c>
      <c r="E1162" s="35" t="s">
        <v>1463</v>
      </c>
      <c r="F1162" s="35" t="s">
        <v>411</v>
      </c>
    </row>
    <row r="1163" spans="1:6">
      <c r="A1163" s="35" t="s">
        <v>1573</v>
      </c>
      <c r="B1163" s="37">
        <v>534.25</v>
      </c>
      <c r="C1163" s="37">
        <v>416.00543212890625</v>
      </c>
      <c r="D1163" s="35">
        <v>3091588</v>
      </c>
      <c r="E1163" s="35" t="s">
        <v>1463</v>
      </c>
      <c r="F1163" s="35" t="s">
        <v>411</v>
      </c>
    </row>
    <row r="1164" spans="1:6">
      <c r="A1164" s="35" t="s">
        <v>1574</v>
      </c>
      <c r="B1164" s="37">
        <v>534.95001220703125</v>
      </c>
      <c r="C1164" s="37">
        <v>416.55050659179688</v>
      </c>
      <c r="D1164" s="35">
        <v>3888868</v>
      </c>
      <c r="E1164" s="35" t="s">
        <v>1463</v>
      </c>
      <c r="F1164" s="35" t="s">
        <v>411</v>
      </c>
    </row>
    <row r="1165" spans="1:6">
      <c r="A1165" s="35" t="s">
        <v>1575</v>
      </c>
      <c r="B1165" s="37">
        <v>527.92498779296875</v>
      </c>
      <c r="C1165" s="37">
        <v>411.08029174804688</v>
      </c>
      <c r="D1165" s="35">
        <v>3815108</v>
      </c>
      <c r="E1165" s="35" t="s">
        <v>1463</v>
      </c>
      <c r="F1165" s="35" t="s">
        <v>411</v>
      </c>
    </row>
    <row r="1166" spans="1:6">
      <c r="A1166" s="35" t="s">
        <v>1576</v>
      </c>
      <c r="B1166" s="37">
        <v>529.2249755859375</v>
      </c>
      <c r="C1166" s="37">
        <v>412.09255981445313</v>
      </c>
      <c r="D1166" s="35">
        <v>2572672</v>
      </c>
      <c r="E1166" s="35" t="s">
        <v>1463</v>
      </c>
      <c r="F1166" s="35" t="s">
        <v>411</v>
      </c>
    </row>
    <row r="1167" spans="1:6">
      <c r="A1167" s="35" t="s">
        <v>1577</v>
      </c>
      <c r="B1167" s="37">
        <v>524.7750244140625</v>
      </c>
      <c r="C1167" s="37">
        <v>408.62759399414063</v>
      </c>
      <c r="D1167" s="35">
        <v>3762272</v>
      </c>
      <c r="E1167" s="35" t="s">
        <v>1463</v>
      </c>
      <c r="F1167" s="35" t="s">
        <v>411</v>
      </c>
    </row>
    <row r="1168" spans="1:6">
      <c r="A1168" s="35" t="s">
        <v>1578</v>
      </c>
      <c r="B1168" s="37">
        <v>524.54998779296875</v>
      </c>
      <c r="C1168" s="37">
        <v>408.4522705078125</v>
      </c>
      <c r="D1168" s="35">
        <v>5736082</v>
      </c>
      <c r="E1168" s="35" t="s">
        <v>1463</v>
      </c>
      <c r="F1168" s="35" t="s">
        <v>411</v>
      </c>
    </row>
    <row r="1169" spans="1:6">
      <c r="A1169" s="35" t="s">
        <v>1579</v>
      </c>
      <c r="B1169" s="37">
        <v>516.45001220703125</v>
      </c>
      <c r="C1169" s="37">
        <v>402.14508056640625</v>
      </c>
      <c r="D1169" s="35">
        <v>4733492</v>
      </c>
      <c r="E1169" s="35" t="s">
        <v>1463</v>
      </c>
      <c r="F1169" s="35" t="s">
        <v>411</v>
      </c>
    </row>
    <row r="1170" spans="1:6">
      <c r="A1170" s="35" t="s">
        <v>1580</v>
      </c>
      <c r="B1170" s="37">
        <v>523.70001220703125</v>
      </c>
      <c r="C1170" s="37">
        <v>407.79055786132813</v>
      </c>
      <c r="D1170" s="35">
        <v>5614452</v>
      </c>
      <c r="E1170" s="35" t="s">
        <v>1463</v>
      </c>
      <c r="F1170" s="35" t="s">
        <v>411</v>
      </c>
    </row>
    <row r="1171" spans="1:6">
      <c r="A1171" s="35" t="s">
        <v>1581</v>
      </c>
      <c r="B1171" s="37">
        <v>526.92498779296875</v>
      </c>
      <c r="C1171" s="37">
        <v>410.30166625976563</v>
      </c>
      <c r="D1171" s="35">
        <v>4312820</v>
      </c>
      <c r="E1171" s="35" t="s">
        <v>1463</v>
      </c>
      <c r="F1171" s="35" t="s">
        <v>411</v>
      </c>
    </row>
    <row r="1172" spans="1:6">
      <c r="A1172" s="35" t="s">
        <v>1582</v>
      </c>
      <c r="B1172" s="37">
        <v>522.57501220703125</v>
      </c>
      <c r="C1172" s="37">
        <v>406.9144287109375</v>
      </c>
      <c r="D1172" s="35">
        <v>6062076</v>
      </c>
      <c r="E1172" s="35" t="s">
        <v>1463</v>
      </c>
      <c r="F1172" s="35" t="s">
        <v>411</v>
      </c>
    </row>
    <row r="1173" spans="1:6">
      <c r="A1173" s="35" t="s">
        <v>1583</v>
      </c>
      <c r="B1173" s="37">
        <v>520.5250244140625</v>
      </c>
      <c r="C1173" s="37">
        <v>405.3182373046875</v>
      </c>
      <c r="D1173" s="35">
        <v>4458334</v>
      </c>
      <c r="E1173" s="35" t="s">
        <v>1463</v>
      </c>
      <c r="F1173" s="35" t="s">
        <v>411</v>
      </c>
    </row>
    <row r="1174" spans="1:6">
      <c r="A1174" s="35" t="s">
        <v>1584</v>
      </c>
      <c r="B1174" s="37">
        <v>540.29998779296875</v>
      </c>
      <c r="C1174" s="37">
        <v>420.71649169921875</v>
      </c>
      <c r="D1174" s="35">
        <v>8559586</v>
      </c>
      <c r="E1174" s="35" t="s">
        <v>1463</v>
      </c>
      <c r="F1174" s="35" t="s">
        <v>411</v>
      </c>
    </row>
    <row r="1175" spans="1:6">
      <c r="A1175" s="35" t="s">
        <v>1585</v>
      </c>
      <c r="B1175" s="37">
        <v>529.7750244140625</v>
      </c>
      <c r="C1175" s="37">
        <v>412.52093505859375</v>
      </c>
      <c r="D1175" s="35">
        <v>4190696</v>
      </c>
      <c r="E1175" s="35" t="s">
        <v>1463</v>
      </c>
      <c r="F1175" s="35" t="s">
        <v>411</v>
      </c>
    </row>
    <row r="1176" spans="1:6">
      <c r="A1176" s="35" t="s">
        <v>1586</v>
      </c>
      <c r="B1176" s="37">
        <v>538.4000244140625</v>
      </c>
      <c r="C1176" s="37">
        <v>419.23684692382813</v>
      </c>
      <c r="D1176" s="35">
        <v>3435302</v>
      </c>
      <c r="E1176" s="35" t="s">
        <v>1463</v>
      </c>
      <c r="F1176" s="35" t="s">
        <v>411</v>
      </c>
    </row>
    <row r="1177" spans="1:6">
      <c r="A1177" s="35" t="s">
        <v>1587</v>
      </c>
      <c r="B1177" s="37">
        <v>539.54998779296875</v>
      </c>
      <c r="C1177" s="37">
        <v>420.13238525390625</v>
      </c>
      <c r="D1177" s="35">
        <v>2694188</v>
      </c>
      <c r="E1177" s="35" t="s">
        <v>1463</v>
      </c>
      <c r="F1177" s="35" t="s">
        <v>411</v>
      </c>
    </row>
    <row r="1178" spans="1:6">
      <c r="A1178" s="35" t="s">
        <v>1588</v>
      </c>
      <c r="B1178" s="37">
        <v>537.20001220703125</v>
      </c>
      <c r="C1178" s="37">
        <v>418.30258178710938</v>
      </c>
      <c r="D1178" s="35">
        <v>1910498</v>
      </c>
      <c r="E1178" s="35" t="s">
        <v>1463</v>
      </c>
      <c r="F1178" s="35" t="s">
        <v>411</v>
      </c>
    </row>
    <row r="1179" spans="1:6">
      <c r="A1179" s="35" t="s">
        <v>1589</v>
      </c>
      <c r="B1179" s="37">
        <v>525.54998779296875</v>
      </c>
      <c r="C1179" s="37">
        <v>409.23104858398438</v>
      </c>
      <c r="D1179" s="35">
        <v>3750540</v>
      </c>
      <c r="E1179" s="35" t="s">
        <v>1463</v>
      </c>
      <c r="F1179" s="35" t="s">
        <v>411</v>
      </c>
    </row>
    <row r="1180" spans="1:6">
      <c r="A1180" s="35" t="s">
        <v>1590</v>
      </c>
      <c r="B1180" s="37">
        <v>531.75</v>
      </c>
      <c r="C1180" s="37">
        <v>414.05877685546875</v>
      </c>
      <c r="D1180" s="35">
        <v>2707552</v>
      </c>
      <c r="E1180" s="35" t="s">
        <v>1463</v>
      </c>
      <c r="F1180" s="35" t="s">
        <v>411</v>
      </c>
    </row>
    <row r="1181" spans="1:6">
      <c r="A1181" s="35" t="s">
        <v>1591</v>
      </c>
      <c r="B1181" s="37">
        <v>539.75</v>
      </c>
      <c r="C1181" s="37">
        <v>420.28802490234375</v>
      </c>
      <c r="D1181" s="35">
        <v>4312780</v>
      </c>
      <c r="E1181" s="35" t="s">
        <v>1463</v>
      </c>
      <c r="F1181" s="35" t="s">
        <v>411</v>
      </c>
    </row>
    <row r="1182" spans="1:6">
      <c r="A1182" s="35" t="s">
        <v>1592</v>
      </c>
      <c r="B1182" s="37">
        <v>543.4000244140625</v>
      </c>
      <c r="C1182" s="37">
        <v>423.13037109375</v>
      </c>
      <c r="D1182" s="35">
        <v>2781204</v>
      </c>
      <c r="E1182" s="35" t="s">
        <v>1463</v>
      </c>
      <c r="F1182" s="35" t="s">
        <v>411</v>
      </c>
    </row>
    <row r="1183" spans="1:6">
      <c r="A1183" s="35" t="s">
        <v>1593</v>
      </c>
      <c r="B1183" s="37">
        <v>542.25</v>
      </c>
      <c r="C1183" s="37">
        <v>422.23486328125</v>
      </c>
      <c r="D1183" s="35">
        <v>3002070</v>
      </c>
      <c r="E1183" s="35" t="s">
        <v>1463</v>
      </c>
      <c r="F1183" s="35" t="s">
        <v>411</v>
      </c>
    </row>
    <row r="1184" spans="1:6">
      <c r="A1184" s="35" t="s">
        <v>1594</v>
      </c>
      <c r="B1184" s="37">
        <v>550.45001220703125</v>
      </c>
      <c r="C1184" s="37">
        <v>428.61993408203125</v>
      </c>
      <c r="D1184" s="35">
        <v>3018788</v>
      </c>
      <c r="E1184" s="35" t="s">
        <v>1463</v>
      </c>
      <c r="F1184" s="35" t="s">
        <v>411</v>
      </c>
    </row>
    <row r="1185" spans="1:6">
      <c r="A1185" s="35" t="s">
        <v>1595</v>
      </c>
      <c r="B1185" s="37">
        <v>546.5250244140625</v>
      </c>
      <c r="C1185" s="37">
        <v>425.56369018554688</v>
      </c>
      <c r="D1185" s="35">
        <v>1552278</v>
      </c>
      <c r="E1185" s="35" t="s">
        <v>1463</v>
      </c>
      <c r="F1185" s="35" t="s">
        <v>411</v>
      </c>
    </row>
    <row r="1186" spans="1:6">
      <c r="A1186" s="35" t="s">
        <v>1596</v>
      </c>
      <c r="B1186" s="37">
        <v>547.75</v>
      </c>
      <c r="C1186" s="37">
        <v>426.51751708984375</v>
      </c>
      <c r="D1186" s="35">
        <v>1647630</v>
      </c>
      <c r="E1186" s="35" t="s">
        <v>1463</v>
      </c>
      <c r="F1186" s="35" t="s">
        <v>411</v>
      </c>
    </row>
    <row r="1187" spans="1:6">
      <c r="A1187" s="35" t="s">
        <v>1597</v>
      </c>
      <c r="B1187" s="37">
        <v>532.2249755859375</v>
      </c>
      <c r="C1187" s="37">
        <v>414.42864990234375</v>
      </c>
      <c r="D1187" s="35">
        <v>5502486</v>
      </c>
      <c r="E1187" s="35" t="s">
        <v>1463</v>
      </c>
      <c r="F1187" s="35" t="s">
        <v>411</v>
      </c>
    </row>
    <row r="1188" spans="1:6">
      <c r="A1188" s="35" t="s">
        <v>1598</v>
      </c>
      <c r="B1188" s="37">
        <v>547.57501220703125</v>
      </c>
      <c r="C1188" s="37">
        <v>426.3812255859375</v>
      </c>
      <c r="D1188" s="35">
        <v>7829074</v>
      </c>
      <c r="E1188" s="35" t="s">
        <v>1463</v>
      </c>
      <c r="F1188" s="35" t="s">
        <v>411</v>
      </c>
    </row>
    <row r="1189" spans="1:6">
      <c r="A1189" s="35" t="s">
        <v>1599</v>
      </c>
      <c r="B1189" s="37">
        <v>559.5250244140625</v>
      </c>
      <c r="C1189" s="37">
        <v>435.6864013671875</v>
      </c>
      <c r="D1189" s="35">
        <v>13502160</v>
      </c>
      <c r="E1189" s="35" t="s">
        <v>1463</v>
      </c>
      <c r="F1189" s="35" t="s">
        <v>411</v>
      </c>
    </row>
    <row r="1190" spans="1:6">
      <c r="A1190" s="35" t="s">
        <v>1600</v>
      </c>
      <c r="B1190" s="37">
        <v>567.0250244140625</v>
      </c>
      <c r="C1190" s="37">
        <v>441.52658081054688</v>
      </c>
      <c r="D1190" s="35">
        <v>4587220</v>
      </c>
      <c r="E1190" s="35" t="s">
        <v>1463</v>
      </c>
      <c r="F1190" s="35" t="s">
        <v>411</v>
      </c>
    </row>
    <row r="1191" spans="1:6">
      <c r="A1191" s="35" t="s">
        <v>1601</v>
      </c>
      <c r="B1191" s="37">
        <v>565.25</v>
      </c>
      <c r="C1191" s="37">
        <v>440.144287109375</v>
      </c>
      <c r="D1191" s="35">
        <v>303910</v>
      </c>
      <c r="E1191" s="35" t="s">
        <v>1463</v>
      </c>
      <c r="F1191" s="35" t="s">
        <v>411</v>
      </c>
    </row>
    <row r="1192" spans="1:6">
      <c r="A1192" s="35" t="s">
        <v>1602</v>
      </c>
      <c r="B1192" s="37">
        <v>569.875</v>
      </c>
      <c r="C1192" s="37">
        <v>443.74566650390625</v>
      </c>
      <c r="D1192" s="35">
        <v>3218206</v>
      </c>
      <c r="E1192" s="35" t="s">
        <v>1463</v>
      </c>
      <c r="F1192" s="35" t="s">
        <v>411</v>
      </c>
    </row>
    <row r="1193" spans="1:6">
      <c r="A1193" s="35" t="s">
        <v>1603</v>
      </c>
      <c r="B1193" s="37">
        <v>573.375</v>
      </c>
      <c r="C1193" s="37">
        <v>446.47100830078125</v>
      </c>
      <c r="D1193" s="35">
        <v>2441752</v>
      </c>
      <c r="E1193" s="35" t="s">
        <v>1463</v>
      </c>
      <c r="F1193" s="35" t="s">
        <v>411</v>
      </c>
    </row>
    <row r="1194" spans="1:6">
      <c r="A1194" s="35" t="s">
        <v>1604</v>
      </c>
      <c r="B1194" s="37">
        <v>581.375</v>
      </c>
      <c r="C1194" s="37">
        <v>453.49124145507813</v>
      </c>
      <c r="D1194" s="35">
        <v>5848998</v>
      </c>
      <c r="E1194" s="35" t="s">
        <v>1463</v>
      </c>
      <c r="F1194" s="35" t="s">
        <v>411</v>
      </c>
    </row>
    <row r="1195" spans="1:6">
      <c r="A1195" s="35" t="s">
        <v>1605</v>
      </c>
      <c r="B1195" s="37">
        <v>576</v>
      </c>
      <c r="C1195" s="37">
        <v>449.29861450195313</v>
      </c>
      <c r="D1195" s="35">
        <v>2131710</v>
      </c>
      <c r="E1195" s="35" t="s">
        <v>1463</v>
      </c>
      <c r="F1195" s="35" t="s">
        <v>411</v>
      </c>
    </row>
    <row r="1196" spans="1:6">
      <c r="A1196" s="35" t="s">
        <v>1606</v>
      </c>
      <c r="B1196" s="37">
        <v>577.95001220703125</v>
      </c>
      <c r="C1196" s="37">
        <v>450.81967163085938</v>
      </c>
      <c r="D1196" s="35">
        <v>3022168</v>
      </c>
      <c r="E1196" s="35" t="s">
        <v>1463</v>
      </c>
      <c r="F1196" s="35" t="s">
        <v>411</v>
      </c>
    </row>
    <row r="1197" spans="1:6">
      <c r="A1197" s="35" t="s">
        <v>1607</v>
      </c>
      <c r="B1197" s="37">
        <v>579.3499755859375</v>
      </c>
      <c r="C1197" s="37">
        <v>451.91165161132813</v>
      </c>
      <c r="D1197" s="35">
        <v>2878100</v>
      </c>
      <c r="E1197" s="35" t="s">
        <v>1463</v>
      </c>
      <c r="F1197" s="35" t="s">
        <v>411</v>
      </c>
    </row>
    <row r="1198" spans="1:6">
      <c r="A1198" s="35" t="s">
        <v>1608</v>
      </c>
      <c r="B1198" s="37">
        <v>574.17498779296875</v>
      </c>
      <c r="C1198" s="37">
        <v>447.875</v>
      </c>
      <c r="D1198" s="35">
        <v>4576658</v>
      </c>
      <c r="E1198" s="35" t="s">
        <v>1463</v>
      </c>
      <c r="F1198" s="35" t="s">
        <v>411</v>
      </c>
    </row>
    <row r="1199" spans="1:6">
      <c r="A1199" s="35" t="s">
        <v>1609</v>
      </c>
      <c r="B1199" s="37">
        <v>574.2249755859375</v>
      </c>
      <c r="C1199" s="37">
        <v>447.91403198242188</v>
      </c>
      <c r="D1199" s="35">
        <v>2538638</v>
      </c>
      <c r="E1199" s="35" t="s">
        <v>1463</v>
      </c>
      <c r="F1199" s="35" t="s">
        <v>411</v>
      </c>
    </row>
    <row r="1200" spans="1:6">
      <c r="A1200" s="35" t="s">
        <v>1610</v>
      </c>
      <c r="B1200" s="37">
        <v>575.04998779296875</v>
      </c>
      <c r="C1200" s="37">
        <v>448.5576171875</v>
      </c>
      <c r="D1200" s="35">
        <v>4026580</v>
      </c>
      <c r="E1200" s="35" t="s">
        <v>1463</v>
      </c>
      <c r="F1200" s="35" t="s">
        <v>411</v>
      </c>
    </row>
    <row r="1201" spans="1:6">
      <c r="A1201" s="35" t="s">
        <v>1611</v>
      </c>
      <c r="B1201" s="37">
        <v>572.9749755859375</v>
      </c>
      <c r="C1201" s="37">
        <v>446.93911743164063</v>
      </c>
      <c r="D1201" s="35">
        <v>1906640</v>
      </c>
      <c r="E1201" s="35" t="s">
        <v>1463</v>
      </c>
      <c r="F1201" s="35" t="s">
        <v>411</v>
      </c>
    </row>
    <row r="1202" spans="1:6">
      <c r="A1202" s="35" t="s">
        <v>1612</v>
      </c>
      <c r="B1202" s="37">
        <v>569.29998779296875</v>
      </c>
      <c r="C1202" s="37">
        <v>444.07232666015625</v>
      </c>
      <c r="D1202" s="35">
        <v>3378350</v>
      </c>
      <c r="E1202" s="35" t="s">
        <v>1463</v>
      </c>
      <c r="F1202" s="35" t="s">
        <v>411</v>
      </c>
    </row>
    <row r="1203" spans="1:6">
      <c r="A1203" s="35" t="s">
        <v>1613</v>
      </c>
      <c r="B1203" s="37">
        <v>573.9000244140625</v>
      </c>
      <c r="C1203" s="37">
        <v>447.66058349609375</v>
      </c>
      <c r="D1203" s="35">
        <v>2540924</v>
      </c>
      <c r="E1203" s="35" t="s">
        <v>1463</v>
      </c>
      <c r="F1203" s="35" t="s">
        <v>411</v>
      </c>
    </row>
    <row r="1204" spans="1:6">
      <c r="A1204" s="35" t="s">
        <v>1614</v>
      </c>
      <c r="B1204" s="37">
        <v>571.1500244140625</v>
      </c>
      <c r="C1204" s="37">
        <v>445.51544189453125</v>
      </c>
      <c r="D1204" s="35">
        <v>3061712</v>
      </c>
      <c r="E1204" s="35" t="s">
        <v>1463</v>
      </c>
      <c r="F1204" s="35" t="s">
        <v>411</v>
      </c>
    </row>
    <row r="1205" spans="1:6">
      <c r="A1205" s="35" t="s">
        <v>1615</v>
      </c>
      <c r="B1205" s="37">
        <v>570.54998779296875</v>
      </c>
      <c r="C1205" s="37">
        <v>445.04739379882813</v>
      </c>
      <c r="D1205" s="35">
        <v>2484314</v>
      </c>
      <c r="E1205" s="35" t="s">
        <v>1463</v>
      </c>
      <c r="F1205" s="35" t="s">
        <v>411</v>
      </c>
    </row>
    <row r="1206" spans="1:6">
      <c r="A1206" s="35" t="s">
        <v>1616</v>
      </c>
      <c r="B1206" s="37">
        <v>567.32501220703125</v>
      </c>
      <c r="C1206" s="37">
        <v>442.5318603515625</v>
      </c>
      <c r="D1206" s="35">
        <v>2365020</v>
      </c>
      <c r="E1206" s="35" t="s">
        <v>1463</v>
      </c>
      <c r="F1206" s="35" t="s">
        <v>411</v>
      </c>
    </row>
    <row r="1207" spans="1:6">
      <c r="A1207" s="35" t="s">
        <v>1617</v>
      </c>
      <c r="B1207" s="37">
        <v>566.4000244140625</v>
      </c>
      <c r="C1207" s="37">
        <v>441.81027221679688</v>
      </c>
      <c r="D1207" s="35">
        <v>2225036</v>
      </c>
      <c r="E1207" s="35" t="s">
        <v>1463</v>
      </c>
      <c r="F1207" s="35" t="s">
        <v>411</v>
      </c>
    </row>
    <row r="1208" spans="1:6">
      <c r="A1208" s="35" t="s">
        <v>1618</v>
      </c>
      <c r="B1208" s="37">
        <v>568.29998779296875</v>
      </c>
      <c r="C1208" s="37">
        <v>443.29241943359375</v>
      </c>
      <c r="D1208" s="35">
        <v>3876184</v>
      </c>
      <c r="E1208" s="35" t="s">
        <v>1463</v>
      </c>
      <c r="F1208" s="35" t="s">
        <v>411</v>
      </c>
    </row>
    <row r="1209" spans="1:6">
      <c r="A1209" s="35" t="s">
        <v>1619</v>
      </c>
      <c r="B1209" s="37">
        <v>557.375</v>
      </c>
      <c r="C1209" s="37">
        <v>434.77056884765625</v>
      </c>
      <c r="D1209" s="35">
        <v>2597928</v>
      </c>
      <c r="E1209" s="35" t="s">
        <v>1463</v>
      </c>
      <c r="F1209" s="35" t="s">
        <v>411</v>
      </c>
    </row>
    <row r="1210" spans="1:6">
      <c r="A1210" s="35" t="s">
        <v>1620</v>
      </c>
      <c r="B1210" s="37">
        <v>562.375</v>
      </c>
      <c r="C1210" s="37">
        <v>438.67071533203125</v>
      </c>
      <c r="D1210" s="35">
        <v>1693202</v>
      </c>
      <c r="E1210" s="35" t="s">
        <v>1463</v>
      </c>
      <c r="F1210" s="35" t="s">
        <v>411</v>
      </c>
    </row>
    <row r="1211" spans="1:6">
      <c r="A1211" s="35" t="s">
        <v>1621</v>
      </c>
      <c r="B1211" s="37">
        <v>554.0250244140625</v>
      </c>
      <c r="C1211" s="37">
        <v>432.157470703125</v>
      </c>
      <c r="D1211" s="35">
        <v>6459924</v>
      </c>
      <c r="E1211" s="35" t="s">
        <v>1463</v>
      </c>
      <c r="F1211" s="35" t="s">
        <v>411</v>
      </c>
    </row>
    <row r="1212" spans="1:6">
      <c r="A1212" s="35" t="s">
        <v>1622</v>
      </c>
      <c r="B1212" s="37">
        <v>564.125</v>
      </c>
      <c r="C1212" s="37">
        <v>440.0357666015625</v>
      </c>
      <c r="D1212" s="35">
        <v>3354312</v>
      </c>
      <c r="E1212" s="35" t="s">
        <v>1463</v>
      </c>
      <c r="F1212" s="35" t="s">
        <v>411</v>
      </c>
    </row>
    <row r="1213" spans="1:6">
      <c r="A1213" s="35" t="s">
        <v>1623</v>
      </c>
      <c r="B1213" s="37">
        <v>566.32501220703125</v>
      </c>
      <c r="C1213" s="37">
        <v>441.7518310546875</v>
      </c>
      <c r="D1213" s="35">
        <v>2413116</v>
      </c>
      <c r="E1213" s="35" t="s">
        <v>1463</v>
      </c>
      <c r="F1213" s="35" t="s">
        <v>411</v>
      </c>
    </row>
    <row r="1214" spans="1:6">
      <c r="A1214" s="35" t="s">
        <v>1624</v>
      </c>
      <c r="B1214" s="37">
        <v>563.82501220703125</v>
      </c>
      <c r="C1214" s="37">
        <v>439.8017578125</v>
      </c>
      <c r="D1214" s="35">
        <v>2387702</v>
      </c>
      <c r="E1214" s="35" t="s">
        <v>1463</v>
      </c>
      <c r="F1214" s="35" t="s">
        <v>411</v>
      </c>
    </row>
    <row r="1215" spans="1:6">
      <c r="A1215" s="35" t="s">
        <v>1625</v>
      </c>
      <c r="B1215" s="37">
        <v>562.6500244140625</v>
      </c>
      <c r="C1215" s="37">
        <v>438.88516235351563</v>
      </c>
      <c r="D1215" s="35">
        <v>2995916</v>
      </c>
      <c r="E1215" s="35" t="s">
        <v>1463</v>
      </c>
      <c r="F1215" s="35" t="s">
        <v>411</v>
      </c>
    </row>
    <row r="1216" spans="1:6">
      <c r="A1216" s="35" t="s">
        <v>1626</v>
      </c>
      <c r="B1216" s="37">
        <v>562.2750244140625</v>
      </c>
      <c r="C1216" s="37">
        <v>438.59262084960938</v>
      </c>
      <c r="D1216" s="35">
        <v>3567662</v>
      </c>
      <c r="E1216" s="35" t="s">
        <v>1463</v>
      </c>
      <c r="F1216" s="35" t="s">
        <v>411</v>
      </c>
    </row>
    <row r="1217" spans="1:6">
      <c r="A1217" s="35" t="s">
        <v>1627</v>
      </c>
      <c r="B1217" s="37">
        <v>562.75</v>
      </c>
      <c r="C1217" s="37">
        <v>438.96316528320313</v>
      </c>
      <c r="D1217" s="35">
        <v>5903136</v>
      </c>
      <c r="E1217" s="35" t="s">
        <v>1463</v>
      </c>
      <c r="F1217" s="35" t="s">
        <v>411</v>
      </c>
    </row>
    <row r="1218" spans="1:6">
      <c r="A1218" s="35" t="s">
        <v>1628</v>
      </c>
      <c r="B1218" s="37">
        <v>560.9000244140625</v>
      </c>
      <c r="C1218" s="37">
        <v>437.52005004882813</v>
      </c>
      <c r="D1218" s="35">
        <v>2683884</v>
      </c>
      <c r="E1218" s="35" t="s">
        <v>1463</v>
      </c>
      <c r="F1218" s="35" t="s">
        <v>411</v>
      </c>
    </row>
    <row r="1219" spans="1:6">
      <c r="A1219" s="35" t="s">
        <v>1629</v>
      </c>
      <c r="B1219" s="37">
        <v>560.29998779296875</v>
      </c>
      <c r="C1219" s="37">
        <v>437.05218505859375</v>
      </c>
      <c r="D1219" s="35">
        <v>1659752</v>
      </c>
      <c r="E1219" s="35" t="s">
        <v>1463</v>
      </c>
      <c r="F1219" s="35" t="s">
        <v>411</v>
      </c>
    </row>
    <row r="1220" spans="1:6">
      <c r="A1220" s="35" t="s">
        <v>1630</v>
      </c>
      <c r="B1220" s="37">
        <v>552.04998779296875</v>
      </c>
      <c r="C1220" s="37">
        <v>430.61679077148438</v>
      </c>
      <c r="D1220" s="35">
        <v>2192234</v>
      </c>
      <c r="E1220" s="35" t="s">
        <v>1463</v>
      </c>
      <c r="F1220" s="35" t="s">
        <v>411</v>
      </c>
    </row>
    <row r="1221" spans="1:6">
      <c r="A1221" s="35" t="s">
        <v>1631</v>
      </c>
      <c r="B1221" s="37">
        <v>544.45001220703125</v>
      </c>
      <c r="C1221" s="37">
        <v>424.68862915039063</v>
      </c>
      <c r="D1221" s="35">
        <v>1628853</v>
      </c>
      <c r="E1221" s="35" t="s">
        <v>1463</v>
      </c>
      <c r="F1221" s="35" t="s">
        <v>411</v>
      </c>
    </row>
    <row r="1222" spans="1:6">
      <c r="A1222" s="35" t="s">
        <v>1632</v>
      </c>
      <c r="B1222" s="37">
        <v>543.79998779296875</v>
      </c>
      <c r="C1222" s="37">
        <v>424.18157958984375</v>
      </c>
      <c r="D1222" s="35">
        <v>2387958</v>
      </c>
      <c r="E1222" s="35" t="s">
        <v>1463</v>
      </c>
      <c r="F1222" s="35" t="s">
        <v>411</v>
      </c>
    </row>
    <row r="1223" spans="1:6">
      <c r="A1223" s="35" t="s">
        <v>1633</v>
      </c>
      <c r="B1223" s="37">
        <v>536.3499755859375</v>
      </c>
      <c r="C1223" s="37">
        <v>418.370361328125</v>
      </c>
      <c r="D1223" s="35">
        <v>2061911</v>
      </c>
      <c r="E1223" s="35" t="s">
        <v>1463</v>
      </c>
      <c r="F1223" s="35" t="s">
        <v>411</v>
      </c>
    </row>
    <row r="1224" spans="1:6">
      <c r="A1224" s="35" t="s">
        <v>1634</v>
      </c>
      <c r="B1224" s="37">
        <v>543.1500244140625</v>
      </c>
      <c r="C1224" s="37">
        <v>423.674560546875</v>
      </c>
      <c r="D1224" s="35">
        <v>2889796</v>
      </c>
      <c r="E1224" s="35" t="s">
        <v>1463</v>
      </c>
      <c r="F1224" s="35" t="s">
        <v>411</v>
      </c>
    </row>
    <row r="1225" spans="1:6">
      <c r="A1225" s="35" t="s">
        <v>1635</v>
      </c>
      <c r="B1225" s="37">
        <v>552.20001220703125</v>
      </c>
      <c r="C1225" s="37">
        <v>430.73388671875</v>
      </c>
      <c r="D1225" s="35">
        <v>4590144</v>
      </c>
      <c r="E1225" s="35" t="s">
        <v>1463</v>
      </c>
      <c r="F1225" s="35" t="s">
        <v>411</v>
      </c>
    </row>
    <row r="1226" spans="1:6">
      <c r="A1226" s="35" t="s">
        <v>1636</v>
      </c>
      <c r="B1226" s="37">
        <v>557.75</v>
      </c>
      <c r="C1226" s="37">
        <v>435.06301879882813</v>
      </c>
      <c r="D1226" s="35">
        <v>3852266</v>
      </c>
      <c r="E1226" s="35" t="s">
        <v>1463</v>
      </c>
      <c r="F1226" s="35" t="s">
        <v>411</v>
      </c>
    </row>
    <row r="1227" spans="1:6">
      <c r="A1227" s="35" t="s">
        <v>1637</v>
      </c>
      <c r="B1227" s="37">
        <v>564.70001220703125</v>
      </c>
      <c r="C1227" s="37">
        <v>440.4842529296875</v>
      </c>
      <c r="D1227" s="35">
        <v>4618387</v>
      </c>
      <c r="E1227" s="35" t="s">
        <v>1463</v>
      </c>
      <c r="F1227" s="35" t="s">
        <v>411</v>
      </c>
    </row>
    <row r="1228" spans="1:6">
      <c r="A1228" s="35" t="s">
        <v>1638</v>
      </c>
      <c r="B1228" s="37">
        <v>569.5</v>
      </c>
      <c r="C1228" s="37">
        <v>444.2283935546875</v>
      </c>
      <c r="D1228" s="35">
        <v>3465644</v>
      </c>
      <c r="E1228" s="35" t="s">
        <v>1463</v>
      </c>
      <c r="F1228" s="35" t="s">
        <v>411</v>
      </c>
    </row>
    <row r="1229" spans="1:6">
      <c r="A1229" s="35" t="s">
        <v>1639</v>
      </c>
      <c r="B1229" s="37">
        <v>569.9000244140625</v>
      </c>
      <c r="C1229" s="37">
        <v>444.5404052734375</v>
      </c>
      <c r="D1229" s="35">
        <v>3135806</v>
      </c>
      <c r="E1229" s="35" t="s">
        <v>1463</v>
      </c>
      <c r="F1229" s="35" t="s">
        <v>411</v>
      </c>
    </row>
    <row r="1230" spans="1:6">
      <c r="A1230" s="35" t="s">
        <v>1640</v>
      </c>
      <c r="B1230" s="37">
        <v>570.95001220703125</v>
      </c>
      <c r="C1230" s="37">
        <v>445.35946655273438</v>
      </c>
      <c r="D1230" s="35">
        <v>1591463</v>
      </c>
      <c r="E1230" s="35" t="s">
        <v>1463</v>
      </c>
      <c r="F1230" s="35" t="s">
        <v>411</v>
      </c>
    </row>
    <row r="1231" spans="1:6">
      <c r="A1231" s="35" t="s">
        <v>1641</v>
      </c>
      <c r="B1231" s="37">
        <v>560.54998779296875</v>
      </c>
      <c r="C1231" s="37">
        <v>437.24710083007813</v>
      </c>
      <c r="D1231" s="35">
        <v>2354963</v>
      </c>
      <c r="E1231" s="35" t="s">
        <v>1463</v>
      </c>
      <c r="F1231" s="35" t="s">
        <v>411</v>
      </c>
    </row>
    <row r="1232" spans="1:6">
      <c r="A1232" s="35" t="s">
        <v>1642</v>
      </c>
      <c r="B1232" s="37">
        <v>560.5</v>
      </c>
      <c r="C1232" s="37">
        <v>437.20803833007813</v>
      </c>
      <c r="D1232" s="35">
        <v>1848547</v>
      </c>
      <c r="E1232" s="35" t="s">
        <v>1463</v>
      </c>
      <c r="F1232" s="35" t="s">
        <v>411</v>
      </c>
    </row>
    <row r="1233" spans="1:6">
      <c r="A1233" s="35" t="s">
        <v>1643</v>
      </c>
      <c r="B1233" s="37">
        <v>567.54998779296875</v>
      </c>
      <c r="C1233" s="37">
        <v>442.70733642578125</v>
      </c>
      <c r="D1233" s="35">
        <v>2786795</v>
      </c>
      <c r="E1233" s="35" t="s">
        <v>1463</v>
      </c>
      <c r="F1233" s="35" t="s">
        <v>411</v>
      </c>
    </row>
    <row r="1234" spans="1:6">
      <c r="A1234" s="35" t="s">
        <v>1644</v>
      </c>
      <c r="B1234" s="37">
        <v>569.29998779296875</v>
      </c>
      <c r="C1234" s="37">
        <v>444.07232666015625</v>
      </c>
      <c r="D1234" s="35">
        <v>1800754</v>
      </c>
      <c r="E1234" s="35" t="s">
        <v>1463</v>
      </c>
      <c r="F1234" s="35" t="s">
        <v>411</v>
      </c>
    </row>
    <row r="1235" spans="1:6">
      <c r="A1235" s="35" t="s">
        <v>1645</v>
      </c>
      <c r="B1235" s="37">
        <v>568.0999755859375</v>
      </c>
      <c r="C1235" s="37">
        <v>443.1363525390625</v>
      </c>
      <c r="D1235" s="35">
        <v>1838808</v>
      </c>
      <c r="E1235" s="35" t="s">
        <v>1463</v>
      </c>
      <c r="F1235" s="35" t="s">
        <v>411</v>
      </c>
    </row>
    <row r="1236" spans="1:6">
      <c r="A1236" s="35" t="s">
        <v>1646</v>
      </c>
      <c r="B1236" s="37">
        <v>571.95001220703125</v>
      </c>
      <c r="C1236" s="37">
        <v>446.13949584960938</v>
      </c>
      <c r="D1236" s="35">
        <v>918373</v>
      </c>
      <c r="E1236" s="35" t="s">
        <v>1463</v>
      </c>
      <c r="F1236" s="35" t="s">
        <v>411</v>
      </c>
    </row>
    <row r="1237" spans="1:6">
      <c r="A1237" s="35" t="s">
        <v>1647</v>
      </c>
      <c r="B1237" s="37">
        <v>573.54998779296875</v>
      </c>
      <c r="C1237" s="37">
        <v>447.3875732421875</v>
      </c>
      <c r="D1237" s="35">
        <v>1075642</v>
      </c>
      <c r="E1237" s="35" t="s">
        <v>1463</v>
      </c>
      <c r="F1237" s="35" t="s">
        <v>411</v>
      </c>
    </row>
    <row r="1238" spans="1:6">
      <c r="A1238" s="35" t="s">
        <v>1648</v>
      </c>
      <c r="B1238" s="37">
        <v>585.04998779296875</v>
      </c>
      <c r="C1238" s="37">
        <v>456.35784912109375</v>
      </c>
      <c r="D1238" s="35">
        <v>3269446</v>
      </c>
      <c r="E1238" s="35" t="s">
        <v>1463</v>
      </c>
      <c r="F1238" s="35" t="s">
        <v>411</v>
      </c>
    </row>
    <row r="1239" spans="1:6">
      <c r="A1239" s="35" t="s">
        <v>1649</v>
      </c>
      <c r="B1239" s="37">
        <v>582</v>
      </c>
      <c r="C1239" s="37">
        <v>453.9786376953125</v>
      </c>
      <c r="D1239" s="35">
        <v>3589985</v>
      </c>
      <c r="E1239" s="35" t="s">
        <v>1463</v>
      </c>
      <c r="F1239" s="35" t="s">
        <v>411</v>
      </c>
    </row>
    <row r="1240" spans="1:6">
      <c r="A1240" s="35" t="s">
        <v>1650</v>
      </c>
      <c r="B1240" s="37">
        <v>584.25</v>
      </c>
      <c r="C1240" s="37">
        <v>455.7337646484375</v>
      </c>
      <c r="D1240" s="35">
        <v>3179728</v>
      </c>
      <c r="E1240" s="35" t="s">
        <v>1463</v>
      </c>
      <c r="F1240" s="35" t="s">
        <v>411</v>
      </c>
    </row>
    <row r="1241" spans="1:6">
      <c r="A1241" s="35" t="s">
        <v>1651</v>
      </c>
      <c r="B1241" s="37">
        <v>585.75</v>
      </c>
      <c r="C1241" s="37">
        <v>456.90383911132813</v>
      </c>
      <c r="D1241" s="35">
        <v>3593096</v>
      </c>
      <c r="E1241" s="35" t="s">
        <v>1463</v>
      </c>
      <c r="F1241" s="35" t="s">
        <v>411</v>
      </c>
    </row>
    <row r="1242" spans="1:6">
      <c r="A1242" s="35" t="s">
        <v>1652</v>
      </c>
      <c r="B1242" s="37">
        <v>580.29998779296875</v>
      </c>
      <c r="C1242" s="37">
        <v>452.65274047851563</v>
      </c>
      <c r="D1242" s="35">
        <v>2313648</v>
      </c>
      <c r="E1242" s="35" t="s">
        <v>1463</v>
      </c>
      <c r="F1242" s="35" t="s">
        <v>411</v>
      </c>
    </row>
    <row r="1243" spans="1:6">
      <c r="A1243" s="35" t="s">
        <v>1653</v>
      </c>
      <c r="B1243" s="37">
        <v>580.3499755859375</v>
      </c>
      <c r="C1243" s="37">
        <v>452.6917724609375</v>
      </c>
      <c r="D1243" s="35">
        <v>2049636</v>
      </c>
      <c r="E1243" s="35" t="s">
        <v>1463</v>
      </c>
      <c r="F1243" s="35" t="s">
        <v>411</v>
      </c>
    </row>
    <row r="1244" spans="1:6">
      <c r="A1244" s="35" t="s">
        <v>1654</v>
      </c>
      <c r="B1244" s="37">
        <v>586.5</v>
      </c>
      <c r="C1244" s="37">
        <v>457.48898315429688</v>
      </c>
      <c r="D1244" s="35">
        <v>4096054</v>
      </c>
      <c r="E1244" s="35" t="s">
        <v>1463</v>
      </c>
      <c r="F1244" s="35" t="s">
        <v>411</v>
      </c>
    </row>
    <row r="1245" spans="1:6">
      <c r="A1245" s="35" t="s">
        <v>1655</v>
      </c>
      <c r="B1245" s="37">
        <v>594.29998779296875</v>
      </c>
      <c r="C1245" s="37">
        <v>463.57315063476563</v>
      </c>
      <c r="D1245" s="35">
        <v>3395378</v>
      </c>
      <c r="E1245" s="35" t="s">
        <v>1463</v>
      </c>
      <c r="F1245" s="35" t="s">
        <v>411</v>
      </c>
    </row>
    <row r="1246" spans="1:6">
      <c r="A1246" s="35" t="s">
        <v>1656</v>
      </c>
      <c r="B1246" s="37">
        <v>595.75</v>
      </c>
      <c r="C1246" s="37">
        <v>464.7042236328125</v>
      </c>
      <c r="D1246" s="35">
        <v>2348102</v>
      </c>
      <c r="E1246" s="35" t="s">
        <v>1463</v>
      </c>
      <c r="F1246" s="35" t="s">
        <v>411</v>
      </c>
    </row>
    <row r="1247" spans="1:6">
      <c r="A1247" s="35" t="s">
        <v>1657</v>
      </c>
      <c r="B1247" s="37">
        <v>593.25</v>
      </c>
      <c r="C1247" s="37">
        <v>462.75411987304688</v>
      </c>
      <c r="D1247" s="35">
        <v>2107442</v>
      </c>
      <c r="E1247" s="35" t="s">
        <v>1463</v>
      </c>
      <c r="F1247" s="35" t="s">
        <v>411</v>
      </c>
    </row>
    <row r="1248" spans="1:6">
      <c r="A1248" s="35" t="s">
        <v>1658</v>
      </c>
      <c r="B1248" s="37">
        <v>598.79998779296875</v>
      </c>
      <c r="C1248" s="37">
        <v>467.083251953125</v>
      </c>
      <c r="D1248" s="35">
        <v>4555694</v>
      </c>
      <c r="E1248" s="35" t="s">
        <v>1463</v>
      </c>
      <c r="F1248" s="35" t="s">
        <v>411</v>
      </c>
    </row>
    <row r="1249" spans="1:6">
      <c r="A1249" s="35" t="s">
        <v>1659</v>
      </c>
      <c r="B1249" s="37">
        <v>589.25</v>
      </c>
      <c r="C1249" s="37">
        <v>459.63397216796875</v>
      </c>
      <c r="D1249" s="35">
        <v>10272118</v>
      </c>
      <c r="E1249" s="35" t="s">
        <v>1463</v>
      </c>
      <c r="F1249" s="35" t="s">
        <v>411</v>
      </c>
    </row>
    <row r="1250" spans="1:6">
      <c r="A1250" s="35" t="s">
        <v>1660</v>
      </c>
      <c r="B1250" s="37">
        <v>584.04998779296875</v>
      </c>
      <c r="C1250" s="37">
        <v>455.57778930664063</v>
      </c>
      <c r="D1250" s="35">
        <v>2640668</v>
      </c>
      <c r="E1250" s="35" t="s">
        <v>1463</v>
      </c>
      <c r="F1250" s="35" t="s">
        <v>411</v>
      </c>
    </row>
    <row r="1251" spans="1:6">
      <c r="A1251" s="35" t="s">
        <v>1661</v>
      </c>
      <c r="B1251" s="37">
        <v>590.6500244140625</v>
      </c>
      <c r="C1251" s="37">
        <v>460.7261962890625</v>
      </c>
      <c r="D1251" s="35">
        <v>4402650</v>
      </c>
      <c r="E1251" s="35" t="s">
        <v>1463</v>
      </c>
      <c r="F1251" s="35" t="s">
        <v>411</v>
      </c>
    </row>
    <row r="1252" spans="1:6">
      <c r="A1252" s="35" t="s">
        <v>1662</v>
      </c>
      <c r="B1252" s="37">
        <v>598.95001220703125</v>
      </c>
      <c r="C1252" s="37">
        <v>467.20046997070313</v>
      </c>
      <c r="D1252" s="35">
        <v>6089397</v>
      </c>
      <c r="E1252" s="35" t="s">
        <v>1463</v>
      </c>
      <c r="F1252" s="35" t="s">
        <v>411</v>
      </c>
    </row>
    <row r="1253" spans="1:6">
      <c r="A1253" s="35" t="s">
        <v>1663</v>
      </c>
      <c r="B1253" s="37">
        <v>607.70001220703125</v>
      </c>
      <c r="C1253" s="37">
        <v>475.61383056640625</v>
      </c>
      <c r="D1253" s="35">
        <v>3551260</v>
      </c>
      <c r="E1253" s="35" t="s">
        <v>1463</v>
      </c>
      <c r="F1253" s="35" t="s">
        <v>411</v>
      </c>
    </row>
    <row r="1254" spans="1:6">
      <c r="A1254" s="35" t="s">
        <v>1664</v>
      </c>
      <c r="B1254" s="37">
        <v>604.3499755859375</v>
      </c>
      <c r="C1254" s="37">
        <v>472.99185180664063</v>
      </c>
      <c r="D1254" s="35">
        <v>2450421</v>
      </c>
      <c r="E1254" s="35" t="s">
        <v>1463</v>
      </c>
      <c r="F1254" s="35" t="s">
        <v>411</v>
      </c>
    </row>
    <row r="1255" spans="1:6">
      <c r="A1255" s="35" t="s">
        <v>1665</v>
      </c>
      <c r="B1255" s="37">
        <v>601.45001220703125</v>
      </c>
      <c r="C1255" s="37">
        <v>470.72225952148438</v>
      </c>
      <c r="D1255" s="35">
        <v>5330709</v>
      </c>
      <c r="E1255" s="35" t="s">
        <v>1463</v>
      </c>
      <c r="F1255" s="35" t="s">
        <v>411</v>
      </c>
    </row>
    <row r="1256" spans="1:6">
      <c r="A1256" s="35" t="s">
        <v>1666</v>
      </c>
      <c r="B1256" s="37">
        <v>608.8499755859375</v>
      </c>
      <c r="C1256" s="37">
        <v>476.51385498046875</v>
      </c>
      <c r="D1256" s="35">
        <v>4281329</v>
      </c>
      <c r="E1256" s="35" t="s">
        <v>1463</v>
      </c>
      <c r="F1256" s="35" t="s">
        <v>411</v>
      </c>
    </row>
    <row r="1257" spans="1:6">
      <c r="A1257" s="35" t="s">
        <v>1667</v>
      </c>
      <c r="B1257" s="37">
        <v>607.8499755859375</v>
      </c>
      <c r="C1257" s="37">
        <v>475.73114013671875</v>
      </c>
      <c r="D1257" s="35">
        <v>3334901</v>
      </c>
      <c r="E1257" s="35" t="s">
        <v>1463</v>
      </c>
      <c r="F1257" s="35" t="s">
        <v>411</v>
      </c>
    </row>
    <row r="1258" spans="1:6">
      <c r="A1258" s="35" t="s">
        <v>1668</v>
      </c>
      <c r="B1258" s="37">
        <v>591.4000244140625</v>
      </c>
      <c r="C1258" s="37">
        <v>462.85665893554688</v>
      </c>
      <c r="D1258" s="35">
        <v>3590768</v>
      </c>
      <c r="E1258" s="35" t="s">
        <v>1463</v>
      </c>
      <c r="F1258" s="35" t="s">
        <v>411</v>
      </c>
    </row>
    <row r="1259" spans="1:6">
      <c r="A1259" s="35" t="s">
        <v>1669</v>
      </c>
      <c r="B1259" s="37">
        <v>579.0999755859375</v>
      </c>
      <c r="C1259" s="37">
        <v>453.23016357421875</v>
      </c>
      <c r="D1259" s="35">
        <v>4024193</v>
      </c>
      <c r="E1259" s="35" t="s">
        <v>1463</v>
      </c>
      <c r="F1259" s="35" t="s">
        <v>411</v>
      </c>
    </row>
    <row r="1260" spans="1:6">
      <c r="A1260" s="35" t="s">
        <v>1670</v>
      </c>
      <c r="B1260" s="37">
        <v>586.5</v>
      </c>
      <c r="C1260" s="37">
        <v>459.02169799804688</v>
      </c>
      <c r="D1260" s="35">
        <v>3246094</v>
      </c>
      <c r="E1260" s="35" t="s">
        <v>1463</v>
      </c>
      <c r="F1260" s="35" t="s">
        <v>411</v>
      </c>
    </row>
    <row r="1261" spans="1:6">
      <c r="A1261" s="35" t="s">
        <v>1671</v>
      </c>
      <c r="B1261" s="37">
        <v>595.5999755859375</v>
      </c>
      <c r="C1261" s="37">
        <v>466.14373779296875</v>
      </c>
      <c r="D1261" s="35">
        <v>3006324</v>
      </c>
      <c r="E1261" s="35" t="s">
        <v>1463</v>
      </c>
      <c r="F1261" s="35" t="s">
        <v>411</v>
      </c>
    </row>
    <row r="1262" spans="1:6">
      <c r="A1262" s="35" t="s">
        <v>1672</v>
      </c>
      <c r="B1262" s="37">
        <v>599.70001220703125</v>
      </c>
      <c r="C1262" s="37">
        <v>469.35269165039063</v>
      </c>
      <c r="D1262" s="35">
        <v>4704968</v>
      </c>
      <c r="E1262" s="35" t="s">
        <v>1463</v>
      </c>
      <c r="F1262" s="35" t="s">
        <v>411</v>
      </c>
    </row>
    <row r="1263" spans="1:6">
      <c r="A1263" s="35" t="s">
        <v>1673</v>
      </c>
      <c r="B1263" s="37">
        <v>607.70001220703125</v>
      </c>
      <c r="C1263" s="37">
        <v>475.61383056640625</v>
      </c>
      <c r="D1263" s="35">
        <v>2865379</v>
      </c>
      <c r="E1263" s="35" t="s">
        <v>1463</v>
      </c>
      <c r="F1263" s="35" t="s">
        <v>411</v>
      </c>
    </row>
    <row r="1264" spans="1:6">
      <c r="A1264" s="35" t="s">
        <v>1674</v>
      </c>
      <c r="B1264" s="37">
        <v>604.9000244140625</v>
      </c>
      <c r="C1264" s="37">
        <v>473.42245483398438</v>
      </c>
      <c r="D1264" s="35">
        <v>2286213</v>
      </c>
      <c r="E1264" s="35" t="s">
        <v>1463</v>
      </c>
      <c r="F1264" s="35" t="s">
        <v>411</v>
      </c>
    </row>
    <row r="1265" spans="1:6">
      <c r="A1265" s="35" t="s">
        <v>1675</v>
      </c>
      <c r="B1265" s="37">
        <v>610.6500244140625</v>
      </c>
      <c r="C1265" s="37">
        <v>477.92251586914063</v>
      </c>
      <c r="D1265" s="35">
        <v>2458748</v>
      </c>
      <c r="E1265" s="35" t="s">
        <v>1463</v>
      </c>
      <c r="F1265" s="35" t="s">
        <v>411</v>
      </c>
    </row>
    <row r="1266" spans="1:6">
      <c r="A1266" s="35" t="s">
        <v>1676</v>
      </c>
      <c r="B1266" s="37">
        <v>614.0999755859375</v>
      </c>
      <c r="C1266" s="37">
        <v>480.62265014648438</v>
      </c>
      <c r="D1266" s="35">
        <v>4873027</v>
      </c>
      <c r="E1266" s="35" t="s">
        <v>1463</v>
      </c>
      <c r="F1266" s="35" t="s">
        <v>411</v>
      </c>
    </row>
    <row r="1267" spans="1:6">
      <c r="A1267" s="35" t="s">
        <v>1677</v>
      </c>
      <c r="B1267" s="37">
        <v>612.45001220703125</v>
      </c>
      <c r="C1267" s="37">
        <v>479.3314208984375</v>
      </c>
      <c r="D1267" s="35">
        <v>2090363</v>
      </c>
      <c r="E1267" s="35" t="s">
        <v>1463</v>
      </c>
      <c r="F1267" s="35" t="s">
        <v>411</v>
      </c>
    </row>
    <row r="1268" spans="1:6">
      <c r="A1268" s="35" t="s">
        <v>1678</v>
      </c>
      <c r="B1268" s="37">
        <v>621.6500244140625</v>
      </c>
      <c r="C1268" s="37">
        <v>486.5316162109375</v>
      </c>
      <c r="D1268" s="35">
        <v>3650630</v>
      </c>
      <c r="E1268" s="35" t="s">
        <v>1463</v>
      </c>
      <c r="F1268" s="35" t="s">
        <v>411</v>
      </c>
    </row>
    <row r="1269" spans="1:6">
      <c r="A1269" s="35" t="s">
        <v>1679</v>
      </c>
      <c r="B1269" s="37">
        <v>613.45001220703125</v>
      </c>
      <c r="C1269" s="37">
        <v>480.11398315429688</v>
      </c>
      <c r="D1269" s="35">
        <v>2190578</v>
      </c>
      <c r="E1269" s="35" t="s">
        <v>1463</v>
      </c>
      <c r="F1269" s="35" t="s">
        <v>411</v>
      </c>
    </row>
    <row r="1270" spans="1:6">
      <c r="A1270" s="35" t="s">
        <v>1680</v>
      </c>
      <c r="B1270" s="37">
        <v>607.04998779296875</v>
      </c>
      <c r="C1270" s="37">
        <v>475.10504150390625</v>
      </c>
      <c r="D1270" s="35">
        <v>5237465</v>
      </c>
      <c r="E1270" s="35" t="s">
        <v>1463</v>
      </c>
      <c r="F1270" s="35" t="s">
        <v>411</v>
      </c>
    </row>
    <row r="1271" spans="1:6">
      <c r="A1271" s="35" t="s">
        <v>1681</v>
      </c>
      <c r="B1271" s="37">
        <v>605.75</v>
      </c>
      <c r="C1271" s="37">
        <v>474.08761596679688</v>
      </c>
      <c r="D1271" s="35">
        <v>3799862</v>
      </c>
      <c r="E1271" s="35" t="s">
        <v>1463</v>
      </c>
      <c r="F1271" s="35" t="s">
        <v>411</v>
      </c>
    </row>
    <row r="1272" spans="1:6">
      <c r="A1272" s="35" t="s">
        <v>1682</v>
      </c>
      <c r="B1272" s="37">
        <v>608.04998779296875</v>
      </c>
      <c r="C1272" s="37">
        <v>475.88766479492188</v>
      </c>
      <c r="D1272" s="35">
        <v>4820313</v>
      </c>
      <c r="E1272" s="35" t="s">
        <v>1463</v>
      </c>
      <c r="F1272" s="35" t="s">
        <v>411</v>
      </c>
    </row>
    <row r="1273" spans="1:6">
      <c r="A1273" s="35" t="s">
        <v>1683</v>
      </c>
      <c r="B1273" s="37">
        <v>595.1500244140625</v>
      </c>
      <c r="C1273" s="37">
        <v>465.79150390625</v>
      </c>
      <c r="D1273" s="35">
        <v>4070143</v>
      </c>
      <c r="E1273" s="35" t="s">
        <v>1463</v>
      </c>
      <c r="F1273" s="35" t="s">
        <v>411</v>
      </c>
    </row>
    <row r="1274" spans="1:6">
      <c r="A1274" s="35" t="s">
        <v>1684</v>
      </c>
      <c r="B1274" s="37">
        <v>582.45001220703125</v>
      </c>
      <c r="C1274" s="37">
        <v>455.8519287109375</v>
      </c>
      <c r="D1274" s="35">
        <v>5525575</v>
      </c>
      <c r="E1274" s="35" t="s">
        <v>1463</v>
      </c>
      <c r="F1274" s="35" t="s">
        <v>411</v>
      </c>
    </row>
    <row r="1275" spans="1:6">
      <c r="A1275" s="35" t="s">
        <v>1685</v>
      </c>
      <c r="B1275" s="37">
        <v>583.5999755859375</v>
      </c>
      <c r="C1275" s="37">
        <v>456.75204467773438</v>
      </c>
      <c r="D1275" s="35">
        <v>5460070</v>
      </c>
      <c r="E1275" s="35" t="s">
        <v>1463</v>
      </c>
      <c r="F1275" s="35" t="s">
        <v>411</v>
      </c>
    </row>
    <row r="1276" spans="1:6">
      <c r="A1276" s="35" t="s">
        <v>1686</v>
      </c>
      <c r="B1276" s="37">
        <v>573.04998779296875</v>
      </c>
      <c r="C1276" s="37">
        <v>448.49502563476563</v>
      </c>
      <c r="D1276" s="35">
        <v>4078174</v>
      </c>
      <c r="E1276" s="35" t="s">
        <v>1463</v>
      </c>
      <c r="F1276" s="35" t="s">
        <v>411</v>
      </c>
    </row>
    <row r="1277" spans="1:6">
      <c r="A1277" s="35" t="s">
        <v>1687</v>
      </c>
      <c r="B1277" s="37">
        <v>534.3499755859375</v>
      </c>
      <c r="C1277" s="37">
        <v>418.20672607421875</v>
      </c>
      <c r="D1277" s="35">
        <v>7894806</v>
      </c>
      <c r="E1277" s="35" t="s">
        <v>1463</v>
      </c>
      <c r="F1277" s="35" t="s">
        <v>411</v>
      </c>
    </row>
    <row r="1278" spans="1:6">
      <c r="A1278" s="35" t="s">
        <v>1688</v>
      </c>
      <c r="B1278" s="37">
        <v>549.70001220703125</v>
      </c>
      <c r="C1278" s="37">
        <v>430.22030639648438</v>
      </c>
      <c r="D1278" s="35">
        <v>8175982</v>
      </c>
      <c r="E1278" s="35" t="s">
        <v>1463</v>
      </c>
      <c r="F1278" s="35" t="s">
        <v>411</v>
      </c>
    </row>
    <row r="1279" spans="1:6">
      <c r="A1279" s="35" t="s">
        <v>1689</v>
      </c>
      <c r="B1279" s="37">
        <v>565.04998779296875</v>
      </c>
      <c r="C1279" s="37">
        <v>442.23391723632813</v>
      </c>
      <c r="D1279" s="35">
        <v>4682284</v>
      </c>
      <c r="E1279" s="35" t="s">
        <v>1463</v>
      </c>
      <c r="F1279" s="35" t="s">
        <v>411</v>
      </c>
    </row>
    <row r="1280" spans="1:6">
      <c r="A1280" s="35" t="s">
        <v>1690</v>
      </c>
      <c r="B1280" s="37">
        <v>563.0999755859375</v>
      </c>
      <c r="C1280" s="37">
        <v>440.70779418945313</v>
      </c>
      <c r="D1280" s="35">
        <v>5175180</v>
      </c>
      <c r="E1280" s="35" t="s">
        <v>1463</v>
      </c>
      <c r="F1280" s="35" t="s">
        <v>411</v>
      </c>
    </row>
    <row r="1281" spans="1:6">
      <c r="A1281" s="35" t="s">
        <v>1691</v>
      </c>
      <c r="B1281" s="37">
        <v>576.4000244140625</v>
      </c>
      <c r="C1281" s="37">
        <v>451.11700439453125</v>
      </c>
      <c r="D1281" s="35">
        <v>6061347</v>
      </c>
      <c r="E1281" s="35" t="s">
        <v>1463</v>
      </c>
      <c r="F1281" s="35" t="s">
        <v>411</v>
      </c>
    </row>
    <row r="1282" spans="1:6">
      <c r="A1282" s="35" t="s">
        <v>1692</v>
      </c>
      <c r="B1282" s="37">
        <v>566.20001220703125</v>
      </c>
      <c r="C1282" s="37">
        <v>443.13397216796875</v>
      </c>
      <c r="D1282" s="35">
        <v>3288548</v>
      </c>
      <c r="E1282" s="35" t="s">
        <v>1463</v>
      </c>
      <c r="F1282" s="35" t="s">
        <v>411</v>
      </c>
    </row>
    <row r="1283" spans="1:6">
      <c r="A1283" s="35" t="s">
        <v>1693</v>
      </c>
      <c r="B1283" s="37">
        <v>540.45001220703125</v>
      </c>
      <c r="C1283" s="37">
        <v>422.98095703125</v>
      </c>
      <c r="D1283" s="35">
        <v>3699776</v>
      </c>
      <c r="E1283" s="35" t="s">
        <v>1463</v>
      </c>
      <c r="F1283" s="35" t="s">
        <v>411</v>
      </c>
    </row>
    <row r="1284" spans="1:6">
      <c r="A1284" s="35" t="s">
        <v>1694</v>
      </c>
      <c r="B1284" s="37">
        <v>536.79998779296875</v>
      </c>
      <c r="C1284" s="37">
        <v>420.12420654296875</v>
      </c>
      <c r="D1284" s="35">
        <v>4850031</v>
      </c>
      <c r="E1284" s="35" t="s">
        <v>1463</v>
      </c>
      <c r="F1284" s="35" t="s">
        <v>411</v>
      </c>
    </row>
    <row r="1285" spans="1:6">
      <c r="A1285" s="35" t="s">
        <v>1695</v>
      </c>
      <c r="B1285" s="37">
        <v>493.35000610351563</v>
      </c>
      <c r="C1285" s="37">
        <v>386.1182861328125</v>
      </c>
      <c r="D1285" s="35">
        <v>5321388</v>
      </c>
      <c r="E1285" s="35" t="s">
        <v>1463</v>
      </c>
      <c r="F1285" s="35" t="s">
        <v>411</v>
      </c>
    </row>
    <row r="1286" spans="1:6">
      <c r="A1286" s="35" t="s">
        <v>1696</v>
      </c>
      <c r="B1286" s="37">
        <v>492.89999389648438</v>
      </c>
      <c r="C1286" s="37">
        <v>385.76602172851563</v>
      </c>
      <c r="D1286" s="35">
        <v>6859998</v>
      </c>
      <c r="E1286" s="35" t="s">
        <v>1463</v>
      </c>
      <c r="F1286" s="35" t="s">
        <v>411</v>
      </c>
    </row>
    <row r="1287" spans="1:6">
      <c r="A1287" s="35" t="s">
        <v>1697</v>
      </c>
      <c r="B1287" s="37">
        <v>450.70001220703125</v>
      </c>
      <c r="C1287" s="37">
        <v>352.73837280273438</v>
      </c>
      <c r="D1287" s="35">
        <v>5281571</v>
      </c>
      <c r="E1287" s="35" t="s">
        <v>1463</v>
      </c>
      <c r="F1287" s="35" t="s">
        <v>411</v>
      </c>
    </row>
    <row r="1288" spans="1:6">
      <c r="A1288" s="35" t="s">
        <v>1698</v>
      </c>
      <c r="B1288" s="37">
        <v>450.64999389648438</v>
      </c>
      <c r="C1288" s="37">
        <v>352.69924926757813</v>
      </c>
      <c r="D1288" s="35">
        <v>5148153</v>
      </c>
      <c r="E1288" s="35" t="s">
        <v>1463</v>
      </c>
      <c r="F1288" s="35" t="s">
        <v>411</v>
      </c>
    </row>
    <row r="1289" spans="1:6">
      <c r="A1289" s="35" t="s">
        <v>1699</v>
      </c>
      <c r="B1289" s="37">
        <v>434.25</v>
      </c>
      <c r="C1289" s="37">
        <v>339.86392211914063</v>
      </c>
      <c r="D1289" s="35">
        <v>4936397</v>
      </c>
      <c r="E1289" s="35" t="s">
        <v>1463</v>
      </c>
      <c r="F1289" s="35" t="s">
        <v>411</v>
      </c>
    </row>
    <row r="1290" spans="1:6">
      <c r="A1290" s="35" t="s">
        <v>1700</v>
      </c>
      <c r="B1290" s="37">
        <v>413.45001220703125</v>
      </c>
      <c r="C1290" s="37">
        <v>323.58486938476563</v>
      </c>
      <c r="D1290" s="35">
        <v>9270044</v>
      </c>
      <c r="E1290" s="35" t="s">
        <v>1463</v>
      </c>
      <c r="F1290" s="35" t="s">
        <v>411</v>
      </c>
    </row>
    <row r="1291" spans="1:6">
      <c r="A1291" s="35" t="s">
        <v>1701</v>
      </c>
      <c r="B1291" s="37">
        <v>444.89999389648438</v>
      </c>
      <c r="C1291" s="37">
        <v>348.19906616210938</v>
      </c>
      <c r="D1291" s="35">
        <v>11916337</v>
      </c>
      <c r="E1291" s="35" t="s">
        <v>1463</v>
      </c>
      <c r="F1291" s="35" t="s">
        <v>411</v>
      </c>
    </row>
    <row r="1292" spans="1:6">
      <c r="A1292" s="35" t="s">
        <v>1702</v>
      </c>
      <c r="B1292" s="37">
        <v>417.14999389648438</v>
      </c>
      <c r="C1292" s="37">
        <v>326.48062133789063</v>
      </c>
      <c r="D1292" s="35">
        <v>9525470</v>
      </c>
      <c r="E1292" s="35" t="s">
        <v>1463</v>
      </c>
      <c r="F1292" s="35" t="s">
        <v>411</v>
      </c>
    </row>
    <row r="1293" spans="1:6">
      <c r="A1293" s="35" t="s">
        <v>1703</v>
      </c>
      <c r="B1293" s="37">
        <v>442.04998779296875</v>
      </c>
      <c r="C1293" s="37">
        <v>345.96856689453125</v>
      </c>
      <c r="D1293" s="35">
        <v>9915953</v>
      </c>
      <c r="E1293" s="35" t="s">
        <v>1463</v>
      </c>
      <c r="F1293" s="35" t="s">
        <v>411</v>
      </c>
    </row>
    <row r="1294" spans="1:6">
      <c r="A1294" s="35" t="s">
        <v>1704</v>
      </c>
      <c r="B1294" s="37">
        <v>457.60000610351563</v>
      </c>
      <c r="C1294" s="37">
        <v>358.13864135742188</v>
      </c>
      <c r="D1294" s="35">
        <v>11976272</v>
      </c>
      <c r="E1294" s="35" t="s">
        <v>1463</v>
      </c>
      <c r="F1294" s="35" t="s">
        <v>411</v>
      </c>
    </row>
    <row r="1295" spans="1:6">
      <c r="A1295" s="35" t="s">
        <v>1705</v>
      </c>
      <c r="B1295" s="37">
        <v>447.70001220703125</v>
      </c>
      <c r="C1295" s="37">
        <v>350.39047241210938</v>
      </c>
      <c r="D1295" s="35">
        <v>9504717</v>
      </c>
      <c r="E1295" s="35" t="s">
        <v>1463</v>
      </c>
      <c r="F1295" s="35" t="s">
        <v>411</v>
      </c>
    </row>
    <row r="1296" spans="1:6">
      <c r="A1296" s="35" t="s">
        <v>1706</v>
      </c>
      <c r="B1296" s="37">
        <v>430.64999389648438</v>
      </c>
      <c r="C1296" s="37">
        <v>337.04629516601563</v>
      </c>
      <c r="D1296" s="35">
        <v>9150873</v>
      </c>
      <c r="E1296" s="35" t="s">
        <v>1463</v>
      </c>
      <c r="F1296" s="35" t="s">
        <v>411</v>
      </c>
    </row>
    <row r="1297" spans="1:6">
      <c r="A1297" s="35" t="s">
        <v>1707</v>
      </c>
      <c r="B1297" s="37">
        <v>419</v>
      </c>
      <c r="C1297" s="37">
        <v>327.92849731445313</v>
      </c>
      <c r="D1297" s="35">
        <v>6325701</v>
      </c>
      <c r="E1297" s="35" t="s">
        <v>1463</v>
      </c>
      <c r="F1297" s="35" t="s">
        <v>411</v>
      </c>
    </row>
    <row r="1298" spans="1:6">
      <c r="A1298" s="35" t="s">
        <v>1708</v>
      </c>
      <c r="B1298" s="37">
        <v>436.39999389648438</v>
      </c>
      <c r="C1298" s="37">
        <v>341.54660034179688</v>
      </c>
      <c r="D1298" s="35">
        <v>6381806</v>
      </c>
      <c r="E1298" s="35" t="s">
        <v>1463</v>
      </c>
      <c r="F1298" s="35" t="s">
        <v>411</v>
      </c>
    </row>
    <row r="1299" spans="1:6">
      <c r="A1299" s="35" t="s">
        <v>1709</v>
      </c>
      <c r="B1299" s="37">
        <v>413.54998779296875</v>
      </c>
      <c r="C1299" s="37">
        <v>323.66317749023438</v>
      </c>
      <c r="D1299" s="35">
        <v>8136746</v>
      </c>
      <c r="E1299" s="35" t="s">
        <v>1710</v>
      </c>
      <c r="F1299" s="35" t="s">
        <v>411</v>
      </c>
    </row>
    <row r="1300" spans="1:6">
      <c r="A1300" s="35" t="s">
        <v>1711</v>
      </c>
      <c r="B1300" s="37">
        <v>405.79998779296875</v>
      </c>
      <c r="C1300" s="37">
        <v>317.59762573242188</v>
      </c>
      <c r="D1300" s="35">
        <v>8166356</v>
      </c>
      <c r="E1300" s="35" t="s">
        <v>1710</v>
      </c>
      <c r="F1300" s="35" t="s">
        <v>411</v>
      </c>
    </row>
    <row r="1301" spans="1:6">
      <c r="A1301" s="35" t="s">
        <v>1712</v>
      </c>
      <c r="B1301" s="37">
        <v>451.14999389648438</v>
      </c>
      <c r="C1301" s="37">
        <v>353.09063720703125</v>
      </c>
      <c r="D1301" s="35">
        <v>5972948</v>
      </c>
      <c r="E1301" s="35" t="s">
        <v>1710</v>
      </c>
      <c r="F1301" s="35" t="s">
        <v>411</v>
      </c>
    </row>
    <row r="1302" spans="1:6">
      <c r="A1302" s="35" t="s">
        <v>1713</v>
      </c>
      <c r="B1302" s="37">
        <v>463.10000610351563</v>
      </c>
      <c r="C1302" s="37">
        <v>362.44320678710938</v>
      </c>
      <c r="D1302" s="35">
        <v>7991061</v>
      </c>
      <c r="E1302" s="35" t="s">
        <v>1710</v>
      </c>
      <c r="F1302" s="35" t="s">
        <v>411</v>
      </c>
    </row>
    <row r="1303" spans="1:6">
      <c r="A1303" s="35" t="s">
        <v>1714</v>
      </c>
      <c r="B1303" s="37">
        <v>469.04998779296875</v>
      </c>
      <c r="C1303" s="37">
        <v>367.09991455078125</v>
      </c>
      <c r="D1303" s="35">
        <v>5069225</v>
      </c>
      <c r="E1303" s="35" t="s">
        <v>1710</v>
      </c>
      <c r="F1303" s="35" t="s">
        <v>411</v>
      </c>
    </row>
    <row r="1304" spans="1:6">
      <c r="A1304" s="35" t="s">
        <v>1715</v>
      </c>
      <c r="B1304" s="37">
        <v>458.25</v>
      </c>
      <c r="C1304" s="37">
        <v>358.64736938476563</v>
      </c>
      <c r="D1304" s="35">
        <v>2236731</v>
      </c>
      <c r="E1304" s="35" t="s">
        <v>1710</v>
      </c>
      <c r="F1304" s="35" t="s">
        <v>411</v>
      </c>
    </row>
    <row r="1305" spans="1:6">
      <c r="A1305" s="35" t="s">
        <v>1716</v>
      </c>
      <c r="B1305" s="37">
        <v>478.75</v>
      </c>
      <c r="C1305" s="37">
        <v>374.69161987304688</v>
      </c>
      <c r="D1305" s="35">
        <v>6333188</v>
      </c>
      <c r="E1305" s="35" t="s">
        <v>1710</v>
      </c>
      <c r="F1305" s="35" t="s">
        <v>411</v>
      </c>
    </row>
    <row r="1306" spans="1:6">
      <c r="A1306" s="35" t="s">
        <v>1717</v>
      </c>
      <c r="B1306" s="37">
        <v>459.75</v>
      </c>
      <c r="C1306" s="37">
        <v>359.82131958007813</v>
      </c>
      <c r="D1306" s="35">
        <v>10484842</v>
      </c>
      <c r="E1306" s="35" t="s">
        <v>1710</v>
      </c>
      <c r="F1306" s="35" t="s">
        <v>411</v>
      </c>
    </row>
    <row r="1307" spans="1:6">
      <c r="A1307" s="35" t="s">
        <v>1718</v>
      </c>
      <c r="B1307" s="37">
        <v>455.25</v>
      </c>
      <c r="C1307" s="37">
        <v>356.29946899414063</v>
      </c>
      <c r="D1307" s="35">
        <v>4706460</v>
      </c>
      <c r="E1307" s="35" t="s">
        <v>1710</v>
      </c>
      <c r="F1307" s="35" t="s">
        <v>411</v>
      </c>
    </row>
    <row r="1308" spans="1:6">
      <c r="A1308" s="35" t="s">
        <v>1719</v>
      </c>
      <c r="B1308" s="37">
        <v>470</v>
      </c>
      <c r="C1308" s="37">
        <v>367.843505859375</v>
      </c>
      <c r="D1308" s="35">
        <v>4800719</v>
      </c>
      <c r="E1308" s="35" t="s">
        <v>1710</v>
      </c>
      <c r="F1308" s="35" t="s">
        <v>411</v>
      </c>
    </row>
    <row r="1309" spans="1:6">
      <c r="A1309" s="35" t="s">
        <v>1720</v>
      </c>
      <c r="B1309" s="37">
        <v>455.70001220703125</v>
      </c>
      <c r="C1309" s="37">
        <v>356.651611328125</v>
      </c>
      <c r="D1309" s="35">
        <v>3405204</v>
      </c>
      <c r="E1309" s="35" t="s">
        <v>1710</v>
      </c>
      <c r="F1309" s="35" t="s">
        <v>411</v>
      </c>
    </row>
    <row r="1310" spans="1:6">
      <c r="A1310" s="35" t="s">
        <v>1721</v>
      </c>
      <c r="B1310" s="37">
        <v>462.39999389648438</v>
      </c>
      <c r="C1310" s="37">
        <v>361.89535522460938</v>
      </c>
      <c r="D1310" s="35">
        <v>3768051</v>
      </c>
      <c r="E1310" s="35" t="s">
        <v>1710</v>
      </c>
      <c r="F1310" s="35" t="s">
        <v>411</v>
      </c>
    </row>
    <row r="1311" spans="1:6">
      <c r="A1311" s="35" t="s">
        <v>1722</v>
      </c>
      <c r="B1311" s="37">
        <v>477.70001220703125</v>
      </c>
      <c r="C1311" s="37">
        <v>373.86978149414063</v>
      </c>
      <c r="D1311" s="35">
        <v>3052968</v>
      </c>
      <c r="E1311" s="35" t="s">
        <v>1710</v>
      </c>
      <c r="F1311" s="35" t="s">
        <v>411</v>
      </c>
    </row>
    <row r="1312" spans="1:6">
      <c r="A1312" s="35" t="s">
        <v>1723</v>
      </c>
      <c r="B1312" s="37">
        <v>468.10000610351563</v>
      </c>
      <c r="C1312" s="37">
        <v>366.3564453125</v>
      </c>
      <c r="D1312" s="35">
        <v>6738184</v>
      </c>
      <c r="E1312" s="35" t="s">
        <v>1710</v>
      </c>
      <c r="F1312" s="35" t="s">
        <v>411</v>
      </c>
    </row>
    <row r="1313" spans="1:6">
      <c r="A1313" s="35" t="s">
        <v>1724</v>
      </c>
      <c r="B1313" s="37">
        <v>483.10000610351563</v>
      </c>
      <c r="C1313" s="37">
        <v>378.09613037109375</v>
      </c>
      <c r="D1313" s="35">
        <v>2914569</v>
      </c>
      <c r="E1313" s="35" t="s">
        <v>1710</v>
      </c>
      <c r="F1313" s="35" t="s">
        <v>411</v>
      </c>
    </row>
    <row r="1314" spans="1:6">
      <c r="A1314" s="35" t="s">
        <v>1725</v>
      </c>
      <c r="B1314" s="37">
        <v>471.10000610351563</v>
      </c>
      <c r="C1314" s="37">
        <v>368.70437622070313</v>
      </c>
      <c r="D1314" s="35">
        <v>4262237</v>
      </c>
      <c r="E1314" s="35" t="s">
        <v>1710</v>
      </c>
      <c r="F1314" s="35" t="s">
        <v>411</v>
      </c>
    </row>
    <row r="1315" spans="1:6">
      <c r="A1315" s="35" t="s">
        <v>1726</v>
      </c>
      <c r="B1315" s="37">
        <v>491.75</v>
      </c>
      <c r="C1315" s="37">
        <v>384.86602783203125</v>
      </c>
      <c r="D1315" s="35">
        <v>3849090</v>
      </c>
      <c r="E1315" s="35" t="s">
        <v>1710</v>
      </c>
      <c r="F1315" s="35" t="s">
        <v>411</v>
      </c>
    </row>
    <row r="1316" spans="1:6">
      <c r="A1316" s="35" t="s">
        <v>1727</v>
      </c>
      <c r="B1316" s="37">
        <v>543.54998779296875</v>
      </c>
      <c r="C1316" s="37">
        <v>425.40704345703125</v>
      </c>
      <c r="D1316" s="35">
        <v>8035267</v>
      </c>
      <c r="E1316" s="35" t="s">
        <v>1710</v>
      </c>
      <c r="F1316" s="35" t="s">
        <v>411</v>
      </c>
    </row>
    <row r="1317" spans="1:6">
      <c r="A1317" s="35" t="s">
        <v>1728</v>
      </c>
      <c r="B1317" s="37">
        <v>514.25</v>
      </c>
      <c r="C1317" s="37">
        <v>402.47549438476563</v>
      </c>
      <c r="D1317" s="35">
        <v>7032527</v>
      </c>
      <c r="E1317" s="35" t="s">
        <v>1710</v>
      </c>
      <c r="F1317" s="35" t="s">
        <v>411</v>
      </c>
    </row>
    <row r="1318" spans="1:6">
      <c r="A1318" s="35" t="s">
        <v>1729</v>
      </c>
      <c r="B1318" s="37">
        <v>520.4000244140625</v>
      </c>
      <c r="C1318" s="37">
        <v>407.288818359375</v>
      </c>
      <c r="D1318" s="35">
        <v>4592828</v>
      </c>
      <c r="E1318" s="35" t="s">
        <v>1710</v>
      </c>
      <c r="F1318" s="35" t="s">
        <v>411</v>
      </c>
    </row>
    <row r="1319" spans="1:6">
      <c r="A1319" s="35" t="s">
        <v>1730</v>
      </c>
      <c r="B1319" s="37">
        <v>519.0999755859375</v>
      </c>
      <c r="C1319" s="37">
        <v>406.2713623046875</v>
      </c>
      <c r="D1319" s="35">
        <v>6921533</v>
      </c>
      <c r="E1319" s="35" t="s">
        <v>1710</v>
      </c>
      <c r="F1319" s="35" t="s">
        <v>411</v>
      </c>
    </row>
    <row r="1320" spans="1:6">
      <c r="A1320" s="35" t="s">
        <v>1731</v>
      </c>
      <c r="B1320" s="37">
        <v>511.75</v>
      </c>
      <c r="C1320" s="37">
        <v>400.51895141601563</v>
      </c>
      <c r="D1320" s="35">
        <v>19998641</v>
      </c>
      <c r="E1320" s="35" t="s">
        <v>1710</v>
      </c>
      <c r="F1320" s="35" t="s">
        <v>411</v>
      </c>
    </row>
    <row r="1321" spans="1:6">
      <c r="A1321" s="35" t="s">
        <v>1732</v>
      </c>
      <c r="B1321" s="37">
        <v>518.4000244140625</v>
      </c>
      <c r="C1321" s="37">
        <v>405.7235107421875</v>
      </c>
      <c r="D1321" s="35">
        <v>10120968</v>
      </c>
      <c r="E1321" s="35" t="s">
        <v>1710</v>
      </c>
      <c r="F1321" s="35" t="s">
        <v>411</v>
      </c>
    </row>
    <row r="1322" spans="1:6">
      <c r="A1322" s="35" t="s">
        <v>1733</v>
      </c>
      <c r="B1322" s="37">
        <v>527.54998779296875</v>
      </c>
      <c r="C1322" s="37">
        <v>412.88467407226563</v>
      </c>
      <c r="D1322" s="35">
        <v>4425540</v>
      </c>
      <c r="E1322" s="35" t="s">
        <v>1710</v>
      </c>
      <c r="F1322" s="35" t="s">
        <v>411</v>
      </c>
    </row>
    <row r="1323" spans="1:6">
      <c r="A1323" s="35" t="s">
        <v>1734</v>
      </c>
      <c r="B1323" s="37">
        <v>527.4000244140625</v>
      </c>
      <c r="C1323" s="37">
        <v>412.76739501953125</v>
      </c>
      <c r="D1323" s="35">
        <v>6439945</v>
      </c>
      <c r="E1323" s="35" t="s">
        <v>1710</v>
      </c>
      <c r="F1323" s="35" t="s">
        <v>411</v>
      </c>
    </row>
    <row r="1324" spans="1:6">
      <c r="A1324" s="35" t="s">
        <v>1735</v>
      </c>
      <c r="B1324" s="37">
        <v>528.75</v>
      </c>
      <c r="C1324" s="37">
        <v>413.82391357421875</v>
      </c>
      <c r="D1324" s="35">
        <v>3502017</v>
      </c>
      <c r="E1324" s="35" t="s">
        <v>1710</v>
      </c>
      <c r="F1324" s="35" t="s">
        <v>411</v>
      </c>
    </row>
    <row r="1325" spans="1:6">
      <c r="A1325" s="35" t="s">
        <v>1736</v>
      </c>
      <c r="B1325" s="37">
        <v>517.45001220703125</v>
      </c>
      <c r="C1325" s="37">
        <v>404.98001098632813</v>
      </c>
      <c r="D1325" s="35">
        <v>3741672</v>
      </c>
      <c r="E1325" s="35" t="s">
        <v>1710</v>
      </c>
      <c r="F1325" s="35" t="s">
        <v>411</v>
      </c>
    </row>
    <row r="1326" spans="1:6">
      <c r="A1326" s="35" t="s">
        <v>1737</v>
      </c>
      <c r="B1326" s="37">
        <v>511.25</v>
      </c>
      <c r="C1326" s="37">
        <v>400.127685546875</v>
      </c>
      <c r="D1326" s="35">
        <v>4895121</v>
      </c>
      <c r="E1326" s="35" t="s">
        <v>1710</v>
      </c>
      <c r="F1326" s="35" t="s">
        <v>411</v>
      </c>
    </row>
    <row r="1327" spans="1:6">
      <c r="A1327" s="35" t="s">
        <v>1738</v>
      </c>
      <c r="B1327" s="37">
        <v>510.75</v>
      </c>
      <c r="C1327" s="37">
        <v>399.73626708984375</v>
      </c>
      <c r="D1327" s="35">
        <v>5159655</v>
      </c>
      <c r="E1327" s="35" t="s">
        <v>1710</v>
      </c>
      <c r="F1327" s="35" t="s">
        <v>411</v>
      </c>
    </row>
    <row r="1328" spans="1:6">
      <c r="A1328" s="35" t="s">
        <v>1739</v>
      </c>
      <c r="B1328" s="37">
        <v>518.25</v>
      </c>
      <c r="C1328" s="37">
        <v>405.60617065429688</v>
      </c>
      <c r="D1328" s="35">
        <v>3966934</v>
      </c>
      <c r="E1328" s="35" t="s">
        <v>1710</v>
      </c>
      <c r="F1328" s="35" t="s">
        <v>411</v>
      </c>
    </row>
    <row r="1329" spans="1:6">
      <c r="A1329" s="35" t="s">
        <v>1740</v>
      </c>
      <c r="B1329" s="37">
        <v>526.75</v>
      </c>
      <c r="C1329" s="37">
        <v>412.25860595703125</v>
      </c>
      <c r="D1329" s="35">
        <v>3138708</v>
      </c>
      <c r="E1329" s="35" t="s">
        <v>1710</v>
      </c>
      <c r="F1329" s="35" t="s">
        <v>411</v>
      </c>
    </row>
    <row r="1330" spans="1:6">
      <c r="A1330" s="35" t="s">
        <v>1741</v>
      </c>
      <c r="B1330" s="37">
        <v>534.8499755859375</v>
      </c>
      <c r="C1330" s="37">
        <v>418.59808349609375</v>
      </c>
      <c r="D1330" s="35">
        <v>4523685</v>
      </c>
      <c r="E1330" s="35" t="s">
        <v>1710</v>
      </c>
      <c r="F1330" s="35" t="s">
        <v>411</v>
      </c>
    </row>
    <row r="1331" spans="1:6">
      <c r="A1331" s="35" t="s">
        <v>1742</v>
      </c>
      <c r="B1331" s="37">
        <v>530.4000244140625</v>
      </c>
      <c r="C1331" s="37">
        <v>415.115234375</v>
      </c>
      <c r="D1331" s="35">
        <v>6410434</v>
      </c>
      <c r="E1331" s="35" t="s">
        <v>1710</v>
      </c>
      <c r="F1331" s="35" t="s">
        <v>411</v>
      </c>
    </row>
    <row r="1332" spans="1:6">
      <c r="A1332" s="35" t="s">
        <v>1743</v>
      </c>
      <c r="B1332" s="37">
        <v>524</v>
      </c>
      <c r="C1332" s="37">
        <v>410.10641479492188</v>
      </c>
      <c r="D1332" s="35">
        <v>4055691</v>
      </c>
      <c r="E1332" s="35" t="s">
        <v>1710</v>
      </c>
      <c r="F1332" s="35" t="s">
        <v>411</v>
      </c>
    </row>
    <row r="1333" spans="1:6">
      <c r="A1333" s="35" t="s">
        <v>1744</v>
      </c>
      <c r="B1333" s="37">
        <v>530.95001220703125</v>
      </c>
      <c r="C1333" s="37">
        <v>415.54571533203125</v>
      </c>
      <c r="D1333" s="35">
        <v>4828798</v>
      </c>
      <c r="E1333" s="35" t="s">
        <v>1710</v>
      </c>
      <c r="F1333" s="35" t="s">
        <v>411</v>
      </c>
    </row>
    <row r="1334" spans="1:6">
      <c r="A1334" s="35" t="s">
        <v>1745</v>
      </c>
      <c r="B1334" s="37">
        <v>542.6500244140625</v>
      </c>
      <c r="C1334" s="37">
        <v>424.70266723632813</v>
      </c>
      <c r="D1334" s="35">
        <v>4492767</v>
      </c>
      <c r="E1334" s="35" t="s">
        <v>1710</v>
      </c>
      <c r="F1334" s="35" t="s">
        <v>411</v>
      </c>
    </row>
    <row r="1335" spans="1:6">
      <c r="A1335" s="35" t="s">
        <v>1746</v>
      </c>
      <c r="B1335" s="37">
        <v>550.25</v>
      </c>
      <c r="C1335" s="37">
        <v>430.65081787109375</v>
      </c>
      <c r="D1335" s="35">
        <v>7853755</v>
      </c>
      <c r="E1335" s="35" t="s">
        <v>1710</v>
      </c>
      <c r="F1335" s="35" t="s">
        <v>411</v>
      </c>
    </row>
    <row r="1336" spans="1:6">
      <c r="A1336" s="35" t="s">
        <v>1747</v>
      </c>
      <c r="B1336" s="37">
        <v>559.75</v>
      </c>
      <c r="C1336" s="37">
        <v>438.08587646484375</v>
      </c>
      <c r="D1336" s="35">
        <v>4503261</v>
      </c>
      <c r="E1336" s="35" t="s">
        <v>1710</v>
      </c>
      <c r="F1336" s="35" t="s">
        <v>411</v>
      </c>
    </row>
    <row r="1337" spans="1:6">
      <c r="A1337" s="35" t="s">
        <v>1748</v>
      </c>
      <c r="B1337" s="37">
        <v>560.20001220703125</v>
      </c>
      <c r="C1337" s="37">
        <v>438.4381103515625</v>
      </c>
      <c r="D1337" s="35">
        <v>2930058</v>
      </c>
      <c r="E1337" s="35" t="s">
        <v>1710</v>
      </c>
      <c r="F1337" s="35" t="s">
        <v>411</v>
      </c>
    </row>
    <row r="1338" spans="1:6">
      <c r="A1338" s="35" t="s">
        <v>1749</v>
      </c>
      <c r="B1338" s="37">
        <v>562.79998779296875</v>
      </c>
      <c r="C1338" s="37">
        <v>440.47296142578125</v>
      </c>
      <c r="D1338" s="35">
        <v>4202273</v>
      </c>
      <c r="E1338" s="35" t="s">
        <v>1710</v>
      </c>
      <c r="F1338" s="35" t="s">
        <v>411</v>
      </c>
    </row>
    <row r="1339" spans="1:6">
      <c r="A1339" s="35" t="s">
        <v>1750</v>
      </c>
      <c r="B1339" s="37">
        <v>578.95001220703125</v>
      </c>
      <c r="C1339" s="37">
        <v>453.11285400390625</v>
      </c>
      <c r="D1339" s="35">
        <v>5315353</v>
      </c>
      <c r="E1339" s="35" t="s">
        <v>1710</v>
      </c>
      <c r="F1339" s="35" t="s">
        <v>411</v>
      </c>
    </row>
    <row r="1340" spans="1:6">
      <c r="A1340" s="35" t="s">
        <v>1751</v>
      </c>
      <c r="B1340" s="37">
        <v>575.95001220703125</v>
      </c>
      <c r="C1340" s="37">
        <v>450.76470947265625</v>
      </c>
      <c r="D1340" s="35">
        <v>3995824</v>
      </c>
      <c r="E1340" s="35" t="s">
        <v>1710</v>
      </c>
      <c r="F1340" s="35" t="s">
        <v>411</v>
      </c>
    </row>
    <row r="1341" spans="1:6">
      <c r="A1341" s="35" t="s">
        <v>1752</v>
      </c>
      <c r="B1341" s="37">
        <v>578.25</v>
      </c>
      <c r="C1341" s="37">
        <v>452.56488037109375</v>
      </c>
      <c r="D1341" s="35">
        <v>3771973</v>
      </c>
      <c r="E1341" s="35" t="s">
        <v>1710</v>
      </c>
      <c r="F1341" s="35" t="s">
        <v>411</v>
      </c>
    </row>
    <row r="1342" spans="1:6">
      <c r="A1342" s="35" t="s">
        <v>1753</v>
      </c>
      <c r="B1342" s="37">
        <v>572.8499755859375</v>
      </c>
      <c r="C1342" s="37">
        <v>448.33847045898438</v>
      </c>
      <c r="D1342" s="35">
        <v>3812291</v>
      </c>
      <c r="E1342" s="35" t="s">
        <v>1710</v>
      </c>
      <c r="F1342" s="35" t="s">
        <v>411</v>
      </c>
    </row>
    <row r="1343" spans="1:6">
      <c r="A1343" s="35" t="s">
        <v>1754</v>
      </c>
      <c r="B1343" s="37">
        <v>578.70001220703125</v>
      </c>
      <c r="C1343" s="37">
        <v>452.9171142578125</v>
      </c>
      <c r="D1343" s="35">
        <v>6491708</v>
      </c>
      <c r="E1343" s="35" t="s">
        <v>1710</v>
      </c>
      <c r="F1343" s="35" t="s">
        <v>411</v>
      </c>
    </row>
    <row r="1344" spans="1:6">
      <c r="A1344" s="35" t="s">
        <v>1755</v>
      </c>
      <c r="B1344" s="37">
        <v>578.04998779296875</v>
      </c>
      <c r="C1344" s="37">
        <v>452.40847778320313</v>
      </c>
      <c r="D1344" s="35">
        <v>4975680</v>
      </c>
      <c r="E1344" s="35" t="s">
        <v>1710</v>
      </c>
      <c r="F1344" s="35" t="s">
        <v>411</v>
      </c>
    </row>
    <row r="1345" spans="1:6">
      <c r="A1345" s="35" t="s">
        <v>1756</v>
      </c>
      <c r="B1345" s="37">
        <v>570.75</v>
      </c>
      <c r="C1345" s="37">
        <v>446.69509887695313</v>
      </c>
      <c r="D1345" s="35">
        <v>6624056</v>
      </c>
      <c r="E1345" s="35" t="s">
        <v>1710</v>
      </c>
      <c r="F1345" s="35" t="s">
        <v>411</v>
      </c>
    </row>
    <row r="1346" spans="1:6">
      <c r="A1346" s="35" t="s">
        <v>1757</v>
      </c>
      <c r="B1346" s="37">
        <v>578.95001220703125</v>
      </c>
      <c r="C1346" s="37">
        <v>453.11285400390625</v>
      </c>
      <c r="D1346" s="35">
        <v>3787100</v>
      </c>
      <c r="E1346" s="35" t="s">
        <v>1710</v>
      </c>
      <c r="F1346" s="35" t="s">
        <v>411</v>
      </c>
    </row>
    <row r="1347" spans="1:6">
      <c r="A1347" s="35" t="s">
        <v>1758</v>
      </c>
      <c r="B1347" s="37">
        <v>580.9000244140625</v>
      </c>
      <c r="C1347" s="37">
        <v>454.63888549804688</v>
      </c>
      <c r="D1347" s="35">
        <v>4728405</v>
      </c>
      <c r="E1347" s="35" t="s">
        <v>1710</v>
      </c>
      <c r="F1347" s="35" t="s">
        <v>411</v>
      </c>
    </row>
    <row r="1348" spans="1:6">
      <c r="A1348" s="35" t="s">
        <v>1759</v>
      </c>
      <c r="B1348" s="37">
        <v>575.8499755859375</v>
      </c>
      <c r="C1348" s="37">
        <v>450.68643188476563</v>
      </c>
      <c r="D1348" s="35">
        <v>3572351</v>
      </c>
      <c r="E1348" s="35" t="s">
        <v>1710</v>
      </c>
      <c r="F1348" s="35" t="s">
        <v>411</v>
      </c>
    </row>
    <row r="1349" spans="1:6">
      <c r="A1349" s="35" t="s">
        <v>1760</v>
      </c>
      <c r="B1349" s="37">
        <v>578.95001220703125</v>
      </c>
      <c r="C1349" s="37">
        <v>453.11285400390625</v>
      </c>
      <c r="D1349" s="35">
        <v>1918229</v>
      </c>
      <c r="E1349" s="35" t="s">
        <v>1710</v>
      </c>
      <c r="F1349" s="35" t="s">
        <v>411</v>
      </c>
    </row>
    <row r="1350" spans="1:6">
      <c r="A1350" s="35" t="s">
        <v>1761</v>
      </c>
      <c r="B1350" s="37">
        <v>569.5999755859375</v>
      </c>
      <c r="C1350" s="37">
        <v>445.79489135742188</v>
      </c>
      <c r="D1350" s="35">
        <v>6182627</v>
      </c>
      <c r="E1350" s="35" t="s">
        <v>1710</v>
      </c>
      <c r="F1350" s="35" t="s">
        <v>411</v>
      </c>
    </row>
    <row r="1351" spans="1:6">
      <c r="A1351" s="35" t="s">
        <v>1762</v>
      </c>
      <c r="B1351" s="37">
        <v>569.5999755859375</v>
      </c>
      <c r="C1351" s="37">
        <v>445.79489135742188</v>
      </c>
      <c r="D1351" s="35">
        <v>2666273</v>
      </c>
      <c r="E1351" s="35" t="s">
        <v>1710</v>
      </c>
      <c r="F1351" s="35" t="s">
        <v>411</v>
      </c>
    </row>
    <row r="1352" spans="1:6">
      <c r="A1352" s="35" t="s">
        <v>1763</v>
      </c>
      <c r="B1352" s="37">
        <v>580.25</v>
      </c>
      <c r="C1352" s="37">
        <v>454.13009643554688</v>
      </c>
      <c r="D1352" s="35">
        <v>4521803</v>
      </c>
      <c r="E1352" s="35" t="s">
        <v>1710</v>
      </c>
      <c r="F1352" s="35" t="s">
        <v>411</v>
      </c>
    </row>
    <row r="1353" spans="1:6">
      <c r="A1353" s="35" t="s">
        <v>1764</v>
      </c>
      <c r="B1353" s="37">
        <v>559.5999755859375</v>
      </c>
      <c r="C1353" s="37">
        <v>437.96859741210938</v>
      </c>
      <c r="D1353" s="35">
        <v>5339893</v>
      </c>
      <c r="E1353" s="35" t="s">
        <v>1710</v>
      </c>
      <c r="F1353" s="35" t="s">
        <v>411</v>
      </c>
    </row>
    <row r="1354" spans="1:6">
      <c r="A1354" s="35" t="s">
        <v>1765</v>
      </c>
      <c r="B1354" s="37">
        <v>550.04998779296875</v>
      </c>
      <c r="C1354" s="37">
        <v>430.4942626953125</v>
      </c>
      <c r="D1354" s="35">
        <v>6353371</v>
      </c>
      <c r="E1354" s="35" t="s">
        <v>1710</v>
      </c>
      <c r="F1354" s="35" t="s">
        <v>411</v>
      </c>
    </row>
    <row r="1355" spans="1:6">
      <c r="A1355" s="35" t="s">
        <v>1766</v>
      </c>
      <c r="B1355" s="37">
        <v>562.4000244140625</v>
      </c>
      <c r="C1355" s="37">
        <v>440.15994262695313</v>
      </c>
      <c r="D1355" s="35">
        <v>7034875</v>
      </c>
      <c r="E1355" s="35" t="s">
        <v>1710</v>
      </c>
      <c r="F1355" s="35" t="s">
        <v>411</v>
      </c>
    </row>
    <row r="1356" spans="1:6">
      <c r="A1356" s="35" t="s">
        <v>1767</v>
      </c>
      <c r="B1356" s="37">
        <v>553.70001220703125</v>
      </c>
      <c r="C1356" s="37">
        <v>433.35086059570313</v>
      </c>
      <c r="D1356" s="35">
        <v>3857610</v>
      </c>
      <c r="E1356" s="35" t="s">
        <v>1710</v>
      </c>
      <c r="F1356" s="35" t="s">
        <v>411</v>
      </c>
    </row>
    <row r="1357" spans="1:6">
      <c r="A1357" s="35" t="s">
        <v>1768</v>
      </c>
      <c r="B1357" s="37">
        <v>556.8499755859375</v>
      </c>
      <c r="C1357" s="37">
        <v>435.816162109375</v>
      </c>
      <c r="D1357" s="35">
        <v>3110587</v>
      </c>
      <c r="E1357" s="35" t="s">
        <v>1710</v>
      </c>
      <c r="F1357" s="35" t="s">
        <v>411</v>
      </c>
    </row>
    <row r="1358" spans="1:6">
      <c r="A1358" s="35" t="s">
        <v>1769</v>
      </c>
      <c r="B1358" s="37">
        <v>551.75</v>
      </c>
      <c r="C1358" s="37">
        <v>431.82476806640625</v>
      </c>
      <c r="D1358" s="35">
        <v>3004648</v>
      </c>
      <c r="E1358" s="35" t="s">
        <v>1710</v>
      </c>
      <c r="F1358" s="35" t="s">
        <v>411</v>
      </c>
    </row>
    <row r="1359" spans="1:6">
      <c r="A1359" s="35" t="s">
        <v>1770</v>
      </c>
      <c r="B1359" s="37">
        <v>569.20001220703125</v>
      </c>
      <c r="C1359" s="37">
        <v>445.48193359375</v>
      </c>
      <c r="D1359" s="35">
        <v>5243652</v>
      </c>
      <c r="E1359" s="35" t="s">
        <v>1710</v>
      </c>
      <c r="F1359" s="35" t="s">
        <v>411</v>
      </c>
    </row>
    <row r="1360" spans="1:6">
      <c r="A1360" s="35" t="s">
        <v>1771</v>
      </c>
      <c r="B1360" s="37">
        <v>579.1500244140625</v>
      </c>
      <c r="C1360" s="37">
        <v>453.26922607421875</v>
      </c>
      <c r="D1360" s="35">
        <v>3735570</v>
      </c>
      <c r="E1360" s="35" t="s">
        <v>1710</v>
      </c>
      <c r="F1360" s="35" t="s">
        <v>411</v>
      </c>
    </row>
    <row r="1361" spans="1:6">
      <c r="A1361" s="35" t="s">
        <v>1772</v>
      </c>
      <c r="B1361" s="37">
        <v>578.70001220703125</v>
      </c>
      <c r="C1361" s="37">
        <v>452.9171142578125</v>
      </c>
      <c r="D1361" s="35">
        <v>3288417</v>
      </c>
      <c r="E1361" s="35" t="s">
        <v>1710</v>
      </c>
      <c r="F1361" s="35" t="s">
        <v>411</v>
      </c>
    </row>
    <row r="1362" spans="1:6">
      <c r="A1362" s="35" t="s">
        <v>1773</v>
      </c>
      <c r="B1362" s="37">
        <v>592.04998779296875</v>
      </c>
      <c r="C1362" s="37">
        <v>463.3653564453125</v>
      </c>
      <c r="D1362" s="35">
        <v>7255475</v>
      </c>
      <c r="E1362" s="35" t="s">
        <v>1710</v>
      </c>
      <c r="F1362" s="35" t="s">
        <v>411</v>
      </c>
    </row>
    <row r="1363" spans="1:6">
      <c r="A1363" s="35" t="s">
        <v>1774</v>
      </c>
      <c r="B1363" s="37">
        <v>574.9000244140625</v>
      </c>
      <c r="C1363" s="37">
        <v>449.94302368164063</v>
      </c>
      <c r="D1363" s="35">
        <v>4625011</v>
      </c>
      <c r="E1363" s="35" t="s">
        <v>1710</v>
      </c>
      <c r="F1363" s="35" t="s">
        <v>411</v>
      </c>
    </row>
    <row r="1364" spans="1:6">
      <c r="A1364" s="35" t="s">
        <v>1775</v>
      </c>
      <c r="B1364" s="37">
        <v>588.25</v>
      </c>
      <c r="C1364" s="37">
        <v>460.3912353515625</v>
      </c>
      <c r="D1364" s="35">
        <v>4807930</v>
      </c>
      <c r="E1364" s="35" t="s">
        <v>1710</v>
      </c>
      <c r="F1364" s="35" t="s">
        <v>411</v>
      </c>
    </row>
    <row r="1365" spans="1:6">
      <c r="A1365" s="35" t="s">
        <v>1776</v>
      </c>
      <c r="B1365" s="37">
        <v>582.25</v>
      </c>
      <c r="C1365" s="37">
        <v>455.69546508789063</v>
      </c>
      <c r="D1365" s="35">
        <v>2376881</v>
      </c>
      <c r="E1365" s="35" t="s">
        <v>1710</v>
      </c>
      <c r="F1365" s="35" t="s">
        <v>411</v>
      </c>
    </row>
    <row r="1366" spans="1:6">
      <c r="A1366" s="35" t="s">
        <v>1777</v>
      </c>
      <c r="B1366" s="37">
        <v>602.5999755859375</v>
      </c>
      <c r="C1366" s="37">
        <v>471.6224365234375</v>
      </c>
      <c r="D1366" s="35">
        <v>5443990</v>
      </c>
      <c r="E1366" s="35" t="s">
        <v>1710</v>
      </c>
      <c r="F1366" s="35" t="s">
        <v>411</v>
      </c>
    </row>
    <row r="1367" spans="1:6">
      <c r="A1367" s="35" t="s">
        <v>1778</v>
      </c>
      <c r="B1367" s="37">
        <v>591.3499755859375</v>
      </c>
      <c r="C1367" s="37">
        <v>462.8173828125</v>
      </c>
      <c r="D1367" s="35">
        <v>6212718</v>
      </c>
      <c r="E1367" s="35" t="s">
        <v>1710</v>
      </c>
      <c r="F1367" s="35" t="s">
        <v>411</v>
      </c>
    </row>
    <row r="1368" spans="1:6">
      <c r="A1368" s="35" t="s">
        <v>1779</v>
      </c>
      <c r="B1368" s="37">
        <v>615.20001220703125</v>
      </c>
      <c r="C1368" s="37">
        <v>481.48358154296875</v>
      </c>
      <c r="D1368" s="35">
        <v>9928037</v>
      </c>
      <c r="E1368" s="35" t="s">
        <v>1710</v>
      </c>
      <c r="F1368" s="35" t="s">
        <v>411</v>
      </c>
    </row>
    <row r="1369" spans="1:6">
      <c r="A1369" s="35" t="s">
        <v>1780</v>
      </c>
      <c r="B1369" s="37">
        <v>627.75</v>
      </c>
      <c r="C1369" s="37">
        <v>491.30575561523438</v>
      </c>
      <c r="D1369" s="35">
        <v>20771204</v>
      </c>
      <c r="E1369" s="35" t="s">
        <v>1710</v>
      </c>
      <c r="F1369" s="35" t="s">
        <v>411</v>
      </c>
    </row>
    <row r="1370" spans="1:6">
      <c r="A1370" s="35" t="s">
        <v>1781</v>
      </c>
      <c r="B1370" s="37">
        <v>623.1500244140625</v>
      </c>
      <c r="C1370" s="37">
        <v>487.70571899414063</v>
      </c>
      <c r="D1370" s="35">
        <v>26830157</v>
      </c>
      <c r="E1370" s="35" t="s">
        <v>1710</v>
      </c>
      <c r="F1370" s="35" t="s">
        <v>411</v>
      </c>
    </row>
    <row r="1371" spans="1:6">
      <c r="A1371" s="35" t="s">
        <v>1782</v>
      </c>
      <c r="B1371" s="37">
        <v>648.5999755859375</v>
      </c>
      <c r="C1371" s="37">
        <v>507.62399291992188</v>
      </c>
      <c r="D1371" s="35">
        <v>10543170</v>
      </c>
      <c r="E1371" s="35" t="s">
        <v>1710</v>
      </c>
      <c r="F1371" s="35" t="s">
        <v>411</v>
      </c>
    </row>
    <row r="1372" spans="1:6">
      <c r="A1372" s="35" t="s">
        <v>1783</v>
      </c>
      <c r="B1372" s="37">
        <v>652.3499755859375</v>
      </c>
      <c r="C1372" s="37">
        <v>510.55905151367188</v>
      </c>
      <c r="D1372" s="35">
        <v>8801061</v>
      </c>
      <c r="E1372" s="35" t="s">
        <v>1710</v>
      </c>
      <c r="F1372" s="35" t="s">
        <v>411</v>
      </c>
    </row>
    <row r="1373" spans="1:6">
      <c r="A1373" s="35" t="s">
        <v>1784</v>
      </c>
      <c r="B1373" s="37">
        <v>650.1500244140625</v>
      </c>
      <c r="C1373" s="37">
        <v>508.83718872070313</v>
      </c>
      <c r="D1373" s="35">
        <v>3837958</v>
      </c>
      <c r="E1373" s="35" t="s">
        <v>1710</v>
      </c>
      <c r="F1373" s="35" t="s">
        <v>411</v>
      </c>
    </row>
    <row r="1374" spans="1:6">
      <c r="A1374" s="35" t="s">
        <v>1785</v>
      </c>
      <c r="B1374" s="37">
        <v>652.8499755859375</v>
      </c>
      <c r="C1374" s="37">
        <v>512.52685546875</v>
      </c>
      <c r="D1374" s="35">
        <v>3172594</v>
      </c>
      <c r="E1374" s="35" t="s">
        <v>1710</v>
      </c>
      <c r="F1374" s="35" t="s">
        <v>411</v>
      </c>
    </row>
    <row r="1375" spans="1:6">
      <c r="A1375" s="35" t="s">
        <v>1786</v>
      </c>
      <c r="B1375" s="37">
        <v>679.95001220703125</v>
      </c>
      <c r="C1375" s="37">
        <v>533.80194091796875</v>
      </c>
      <c r="D1375" s="35">
        <v>12365728</v>
      </c>
      <c r="E1375" s="35" t="s">
        <v>1710</v>
      </c>
      <c r="F1375" s="35" t="s">
        <v>411</v>
      </c>
    </row>
    <row r="1376" spans="1:6">
      <c r="A1376" s="35" t="s">
        <v>1787</v>
      </c>
      <c r="B1376" s="37">
        <v>701.0999755859375</v>
      </c>
      <c r="C1376" s="37">
        <v>550.406005859375</v>
      </c>
      <c r="D1376" s="35">
        <v>11348828</v>
      </c>
      <c r="E1376" s="35" t="s">
        <v>1710</v>
      </c>
      <c r="F1376" s="35" t="s">
        <v>411</v>
      </c>
    </row>
    <row r="1377" spans="1:6">
      <c r="A1377" s="35" t="s">
        <v>1788</v>
      </c>
      <c r="B1377" s="37">
        <v>712.45001220703125</v>
      </c>
      <c r="C1377" s="37">
        <v>559.31658935546875</v>
      </c>
      <c r="D1377" s="35">
        <v>8469603</v>
      </c>
      <c r="E1377" s="35" t="s">
        <v>1710</v>
      </c>
      <c r="F1377" s="35" t="s">
        <v>411</v>
      </c>
    </row>
    <row r="1378" spans="1:6">
      <c r="A1378" s="35" t="s">
        <v>1789</v>
      </c>
      <c r="B1378" s="37">
        <v>694.4000244140625</v>
      </c>
      <c r="C1378" s="37">
        <v>545.1461181640625</v>
      </c>
      <c r="D1378" s="35">
        <v>7142681</v>
      </c>
      <c r="E1378" s="35" t="s">
        <v>1710</v>
      </c>
      <c r="F1378" s="35" t="s">
        <v>411</v>
      </c>
    </row>
    <row r="1379" spans="1:6">
      <c r="A1379" s="35" t="s">
        <v>1790</v>
      </c>
      <c r="B1379" s="37">
        <v>695.45001220703125</v>
      </c>
      <c r="C1379" s="37">
        <v>545.9703369140625</v>
      </c>
      <c r="D1379" s="35">
        <v>7966760</v>
      </c>
      <c r="E1379" s="35" t="s">
        <v>1710</v>
      </c>
      <c r="F1379" s="35" t="s">
        <v>411</v>
      </c>
    </row>
    <row r="1380" spans="1:6">
      <c r="A1380" s="35" t="s">
        <v>1791</v>
      </c>
      <c r="B1380" s="37">
        <v>705.20001220703125</v>
      </c>
      <c r="C1380" s="37">
        <v>553.62481689453125</v>
      </c>
      <c r="D1380" s="35">
        <v>6322671</v>
      </c>
      <c r="E1380" s="35" t="s">
        <v>1710</v>
      </c>
      <c r="F1380" s="35" t="s">
        <v>411</v>
      </c>
    </row>
    <row r="1381" spans="1:6">
      <c r="A1381" s="35" t="s">
        <v>1792</v>
      </c>
      <c r="B1381" s="37">
        <v>705.95001220703125</v>
      </c>
      <c r="C1381" s="37">
        <v>554.21368408203125</v>
      </c>
      <c r="D1381" s="35">
        <v>5546316</v>
      </c>
      <c r="E1381" s="35" t="s">
        <v>1710</v>
      </c>
      <c r="F1381" s="35" t="s">
        <v>411</v>
      </c>
    </row>
    <row r="1382" spans="1:6">
      <c r="A1382" s="35" t="s">
        <v>1793</v>
      </c>
      <c r="B1382" s="37">
        <v>692.6500244140625</v>
      </c>
      <c r="C1382" s="37">
        <v>543.772216796875</v>
      </c>
      <c r="D1382" s="35">
        <v>6683186</v>
      </c>
      <c r="E1382" s="35" t="s">
        <v>1710</v>
      </c>
      <c r="F1382" s="35" t="s">
        <v>411</v>
      </c>
    </row>
    <row r="1383" spans="1:6">
      <c r="A1383" s="35" t="s">
        <v>1794</v>
      </c>
      <c r="B1383" s="37">
        <v>688.4000244140625</v>
      </c>
      <c r="C1383" s="37">
        <v>540.4359130859375</v>
      </c>
      <c r="D1383" s="35">
        <v>6052220</v>
      </c>
      <c r="E1383" s="35" t="s">
        <v>1710</v>
      </c>
      <c r="F1383" s="35" t="s">
        <v>411</v>
      </c>
    </row>
    <row r="1384" spans="1:6">
      <c r="A1384" s="35" t="s">
        <v>1795</v>
      </c>
      <c r="B1384" s="37">
        <v>704.9000244140625</v>
      </c>
      <c r="C1384" s="37">
        <v>553.38922119140625</v>
      </c>
      <c r="D1384" s="35">
        <v>5132907</v>
      </c>
      <c r="E1384" s="35" t="s">
        <v>1710</v>
      </c>
      <c r="F1384" s="35" t="s">
        <v>411</v>
      </c>
    </row>
    <row r="1385" spans="1:6">
      <c r="A1385" s="35" t="s">
        <v>1796</v>
      </c>
      <c r="B1385" s="37">
        <v>690.29998779296875</v>
      </c>
      <c r="C1385" s="37">
        <v>541.92730712890625</v>
      </c>
      <c r="D1385" s="35">
        <v>7371589</v>
      </c>
      <c r="E1385" s="35" t="s">
        <v>1710</v>
      </c>
      <c r="F1385" s="35" t="s">
        <v>411</v>
      </c>
    </row>
    <row r="1386" spans="1:6">
      <c r="A1386" s="35" t="s">
        <v>1797</v>
      </c>
      <c r="B1386" s="37">
        <v>692.04998779296875</v>
      </c>
      <c r="C1386" s="37">
        <v>543.30133056640625</v>
      </c>
      <c r="D1386" s="35">
        <v>3769570</v>
      </c>
      <c r="E1386" s="35" t="s">
        <v>1710</v>
      </c>
      <c r="F1386" s="35" t="s">
        <v>411</v>
      </c>
    </row>
    <row r="1387" spans="1:6">
      <c r="A1387" s="35" t="s">
        <v>1798</v>
      </c>
      <c r="B1387" s="37">
        <v>683.79998779296875</v>
      </c>
      <c r="C1387" s="37">
        <v>536.824462890625</v>
      </c>
      <c r="D1387" s="35">
        <v>3956468</v>
      </c>
      <c r="E1387" s="35" t="s">
        <v>1710</v>
      </c>
      <c r="F1387" s="35" t="s">
        <v>411</v>
      </c>
    </row>
    <row r="1388" spans="1:6">
      <c r="A1388" s="35" t="s">
        <v>1799</v>
      </c>
      <c r="B1388" s="37">
        <v>717.0999755859375</v>
      </c>
      <c r="C1388" s="37">
        <v>562.9671630859375</v>
      </c>
      <c r="D1388" s="35">
        <v>13085350</v>
      </c>
      <c r="E1388" s="35" t="s">
        <v>1710</v>
      </c>
      <c r="F1388" s="35" t="s">
        <v>411</v>
      </c>
    </row>
    <row r="1389" spans="1:6">
      <c r="A1389" s="35" t="s">
        <v>1800</v>
      </c>
      <c r="B1389" s="37">
        <v>724.5999755859375</v>
      </c>
      <c r="C1389" s="37">
        <v>568.85498046875</v>
      </c>
      <c r="D1389" s="35">
        <v>8850347</v>
      </c>
      <c r="E1389" s="35" t="s">
        <v>1710</v>
      </c>
      <c r="F1389" s="35" t="s">
        <v>411</v>
      </c>
    </row>
    <row r="1390" spans="1:6">
      <c r="A1390" s="35" t="s">
        <v>1801</v>
      </c>
      <c r="B1390" s="37">
        <v>709.0999755859375</v>
      </c>
      <c r="C1390" s="37">
        <v>556.6865234375</v>
      </c>
      <c r="D1390" s="35">
        <v>3887203</v>
      </c>
      <c r="E1390" s="35" t="s">
        <v>1710</v>
      </c>
      <c r="F1390" s="35" t="s">
        <v>411</v>
      </c>
    </row>
    <row r="1391" spans="1:6">
      <c r="A1391" s="35" t="s">
        <v>1802</v>
      </c>
      <c r="B1391" s="37">
        <v>718.8499755859375</v>
      </c>
      <c r="C1391" s="37">
        <v>564.34075927734375</v>
      </c>
      <c r="D1391" s="35">
        <v>3344102</v>
      </c>
      <c r="E1391" s="35" t="s">
        <v>1710</v>
      </c>
      <c r="F1391" s="35" t="s">
        <v>411</v>
      </c>
    </row>
    <row r="1392" spans="1:6">
      <c r="A1392" s="35" t="s">
        <v>1803</v>
      </c>
      <c r="B1392" s="37">
        <v>714.45001220703125</v>
      </c>
      <c r="C1392" s="37">
        <v>560.8865966796875</v>
      </c>
      <c r="D1392" s="35">
        <v>3634301</v>
      </c>
      <c r="E1392" s="35" t="s">
        <v>1710</v>
      </c>
      <c r="F1392" s="35" t="s">
        <v>411</v>
      </c>
    </row>
    <row r="1393" spans="1:6">
      <c r="A1393" s="35" t="s">
        <v>1804</v>
      </c>
      <c r="B1393" s="37">
        <v>709.8499755859375</v>
      </c>
      <c r="C1393" s="37">
        <v>557.275390625</v>
      </c>
      <c r="D1393" s="35">
        <v>4858027</v>
      </c>
      <c r="E1393" s="35" t="s">
        <v>1710</v>
      </c>
      <c r="F1393" s="35" t="s">
        <v>411</v>
      </c>
    </row>
    <row r="1394" spans="1:6">
      <c r="A1394" s="35" t="s">
        <v>1805</v>
      </c>
      <c r="B1394" s="37">
        <v>710.0999755859375</v>
      </c>
      <c r="C1394" s="37">
        <v>557.471435546875</v>
      </c>
      <c r="D1394" s="35">
        <v>3025569</v>
      </c>
      <c r="E1394" s="35" t="s">
        <v>1710</v>
      </c>
      <c r="F1394" s="35" t="s">
        <v>411</v>
      </c>
    </row>
    <row r="1395" spans="1:6">
      <c r="A1395" s="35" t="s">
        <v>1806</v>
      </c>
      <c r="B1395" s="37">
        <v>705.9000244140625</v>
      </c>
      <c r="C1395" s="37">
        <v>554.17431640625</v>
      </c>
      <c r="D1395" s="35">
        <v>4164686</v>
      </c>
      <c r="E1395" s="35" t="s">
        <v>1710</v>
      </c>
      <c r="F1395" s="35" t="s">
        <v>411</v>
      </c>
    </row>
    <row r="1396" spans="1:6">
      <c r="A1396" s="35" t="s">
        <v>1807</v>
      </c>
      <c r="B1396" s="37">
        <v>705.70001220703125</v>
      </c>
      <c r="C1396" s="37">
        <v>554.01727294921875</v>
      </c>
      <c r="D1396" s="35">
        <v>4066936</v>
      </c>
      <c r="E1396" s="35" t="s">
        <v>1710</v>
      </c>
      <c r="F1396" s="35" t="s">
        <v>411</v>
      </c>
    </row>
    <row r="1397" spans="1:6">
      <c r="A1397" s="35" t="s">
        <v>1808</v>
      </c>
      <c r="B1397" s="37">
        <v>701.5999755859375</v>
      </c>
      <c r="C1397" s="37">
        <v>550.79864501953125</v>
      </c>
      <c r="D1397" s="35">
        <v>3982510</v>
      </c>
      <c r="E1397" s="35" t="s">
        <v>1710</v>
      </c>
      <c r="F1397" s="35" t="s">
        <v>411</v>
      </c>
    </row>
    <row r="1398" spans="1:6">
      <c r="A1398" s="35" t="s">
        <v>1809</v>
      </c>
      <c r="B1398" s="37">
        <v>712.79998779296875</v>
      </c>
      <c r="C1398" s="37">
        <v>559.5911865234375</v>
      </c>
      <c r="D1398" s="35">
        <v>4511228</v>
      </c>
      <c r="E1398" s="35" t="s">
        <v>1710</v>
      </c>
      <c r="F1398" s="35" t="s">
        <v>411</v>
      </c>
    </row>
    <row r="1399" spans="1:6">
      <c r="A1399" s="35" t="s">
        <v>1810</v>
      </c>
      <c r="B1399" s="37">
        <v>710.1500244140625</v>
      </c>
      <c r="C1399" s="37">
        <v>557.51092529296875</v>
      </c>
      <c r="D1399" s="35">
        <v>3917059</v>
      </c>
      <c r="E1399" s="35" t="s">
        <v>1710</v>
      </c>
      <c r="F1399" s="35" t="s">
        <v>411</v>
      </c>
    </row>
    <row r="1400" spans="1:6">
      <c r="A1400" s="35" t="s">
        <v>1811</v>
      </c>
      <c r="B1400" s="37">
        <v>706.45001220703125</v>
      </c>
      <c r="C1400" s="37">
        <v>554.60626220703125</v>
      </c>
      <c r="D1400" s="35">
        <v>5416681</v>
      </c>
      <c r="E1400" s="35" t="s">
        <v>1710</v>
      </c>
      <c r="F1400" s="35" t="s">
        <v>411</v>
      </c>
    </row>
    <row r="1401" spans="1:6">
      <c r="A1401" s="35" t="s">
        <v>1812</v>
      </c>
      <c r="B1401" s="37">
        <v>694.4000244140625</v>
      </c>
      <c r="C1401" s="37">
        <v>545.1461181640625</v>
      </c>
      <c r="D1401" s="35">
        <v>7786675</v>
      </c>
      <c r="E1401" s="35" t="s">
        <v>1710</v>
      </c>
      <c r="F1401" s="35" t="s">
        <v>411</v>
      </c>
    </row>
    <row r="1402" spans="1:6">
      <c r="A1402" s="35" t="s">
        <v>1813</v>
      </c>
      <c r="B1402" s="37">
        <v>689.5999755859375</v>
      </c>
      <c r="C1402" s="37">
        <v>541.37786865234375</v>
      </c>
      <c r="D1402" s="35">
        <v>6377322</v>
      </c>
      <c r="E1402" s="35" t="s">
        <v>1710</v>
      </c>
      <c r="F1402" s="35" t="s">
        <v>411</v>
      </c>
    </row>
    <row r="1403" spans="1:6">
      <c r="A1403" s="35" t="s">
        <v>1814</v>
      </c>
      <c r="B1403" s="37">
        <v>701.95001220703125</v>
      </c>
      <c r="C1403" s="37">
        <v>551.0733642578125</v>
      </c>
      <c r="D1403" s="35">
        <v>4090511</v>
      </c>
      <c r="E1403" s="35" t="s">
        <v>1710</v>
      </c>
      <c r="F1403" s="35" t="s">
        <v>411</v>
      </c>
    </row>
    <row r="1404" spans="1:6">
      <c r="A1404" s="35" t="s">
        <v>1815</v>
      </c>
      <c r="B1404" s="37">
        <v>706.75</v>
      </c>
      <c r="C1404" s="37">
        <v>554.8416748046875</v>
      </c>
      <c r="D1404" s="35">
        <v>5467610</v>
      </c>
      <c r="E1404" s="35" t="s">
        <v>1710</v>
      </c>
      <c r="F1404" s="35" t="s">
        <v>411</v>
      </c>
    </row>
    <row r="1405" spans="1:6">
      <c r="A1405" s="35" t="s">
        <v>1816</v>
      </c>
      <c r="B1405" s="37">
        <v>700.79998779296875</v>
      </c>
      <c r="C1405" s="37">
        <v>550.170654296875</v>
      </c>
      <c r="D1405" s="35">
        <v>3354824</v>
      </c>
      <c r="E1405" s="35" t="s">
        <v>1710</v>
      </c>
      <c r="F1405" s="35" t="s">
        <v>411</v>
      </c>
    </row>
    <row r="1406" spans="1:6">
      <c r="A1406" s="35" t="s">
        <v>1817</v>
      </c>
      <c r="B1406" s="37">
        <v>708.79998779296875</v>
      </c>
      <c r="C1406" s="37">
        <v>556.4510498046875</v>
      </c>
      <c r="D1406" s="35">
        <v>4238823</v>
      </c>
      <c r="E1406" s="35" t="s">
        <v>1710</v>
      </c>
      <c r="F1406" s="35" t="s">
        <v>411</v>
      </c>
    </row>
    <row r="1407" spans="1:6">
      <c r="A1407" s="35" t="s">
        <v>1818</v>
      </c>
      <c r="B1407" s="37">
        <v>725.9000244140625</v>
      </c>
      <c r="C1407" s="37">
        <v>569.87567138671875</v>
      </c>
      <c r="D1407" s="35">
        <v>11522742</v>
      </c>
      <c r="E1407" s="35" t="s">
        <v>1710</v>
      </c>
      <c r="F1407" s="35" t="s">
        <v>411</v>
      </c>
    </row>
    <row r="1408" spans="1:6">
      <c r="A1408" s="35" t="s">
        <v>1819</v>
      </c>
      <c r="B1408" s="37">
        <v>721.95001220703125</v>
      </c>
      <c r="C1408" s="37">
        <v>566.774658203125</v>
      </c>
      <c r="D1408" s="35">
        <v>5514179</v>
      </c>
      <c r="E1408" s="35" t="s">
        <v>1710</v>
      </c>
      <c r="F1408" s="35" t="s">
        <v>411</v>
      </c>
    </row>
    <row r="1409" spans="1:6">
      <c r="A1409" s="35" t="s">
        <v>1820</v>
      </c>
      <c r="B1409" s="37">
        <v>722.4000244140625</v>
      </c>
      <c r="C1409" s="37">
        <v>567.12799072265625</v>
      </c>
      <c r="D1409" s="35">
        <v>3366359</v>
      </c>
      <c r="E1409" s="35" t="s">
        <v>1710</v>
      </c>
      <c r="F1409" s="35" t="s">
        <v>411</v>
      </c>
    </row>
    <row r="1410" spans="1:6">
      <c r="A1410" s="35" t="s">
        <v>1821</v>
      </c>
      <c r="B1410" s="37">
        <v>721.6500244140625</v>
      </c>
      <c r="C1410" s="37">
        <v>566.53900146484375</v>
      </c>
      <c r="D1410" s="35">
        <v>7221661</v>
      </c>
      <c r="E1410" s="35" t="s">
        <v>1710</v>
      </c>
      <c r="F1410" s="35" t="s">
        <v>411</v>
      </c>
    </row>
    <row r="1411" spans="1:6">
      <c r="A1411" s="35" t="s">
        <v>1822</v>
      </c>
      <c r="B1411" s="37">
        <v>794.95001220703125</v>
      </c>
      <c r="C1411" s="37">
        <v>625.818359375</v>
      </c>
      <c r="D1411" s="35">
        <v>32312474</v>
      </c>
      <c r="E1411" s="35" t="s">
        <v>1710</v>
      </c>
      <c r="F1411" s="35" t="s">
        <v>411</v>
      </c>
    </row>
    <row r="1412" spans="1:6">
      <c r="A1412" s="35" t="s">
        <v>1823</v>
      </c>
      <c r="B1412" s="37">
        <v>792.70001220703125</v>
      </c>
      <c r="C1412" s="37">
        <v>624.04718017578125</v>
      </c>
      <c r="D1412" s="35">
        <v>14024028</v>
      </c>
      <c r="E1412" s="35" t="s">
        <v>1710</v>
      </c>
      <c r="F1412" s="35" t="s">
        <v>411</v>
      </c>
    </row>
    <row r="1413" spans="1:6">
      <c r="A1413" s="35" t="s">
        <v>1824</v>
      </c>
      <c r="B1413" s="37">
        <v>789.25</v>
      </c>
      <c r="C1413" s="37">
        <v>621.33123779296875</v>
      </c>
      <c r="D1413" s="35">
        <v>7471292</v>
      </c>
      <c r="E1413" s="35" t="s">
        <v>1710</v>
      </c>
      <c r="F1413" s="35" t="s">
        <v>411</v>
      </c>
    </row>
    <row r="1414" spans="1:6">
      <c r="A1414" s="35" t="s">
        <v>1825</v>
      </c>
      <c r="B1414" s="37">
        <v>808.29998779296875</v>
      </c>
      <c r="C1414" s="37">
        <v>636.3280029296875</v>
      </c>
      <c r="D1414" s="35">
        <v>19972637</v>
      </c>
      <c r="E1414" s="35" t="s">
        <v>1710</v>
      </c>
      <c r="F1414" s="35" t="s">
        <v>411</v>
      </c>
    </row>
    <row r="1415" spans="1:6">
      <c r="A1415" s="35" t="s">
        <v>1826</v>
      </c>
      <c r="B1415" s="37">
        <v>810.5999755859375</v>
      </c>
      <c r="C1415" s="37">
        <v>638.13873291015625</v>
      </c>
      <c r="D1415" s="35">
        <v>8847382</v>
      </c>
      <c r="E1415" s="35" t="s">
        <v>1710</v>
      </c>
      <c r="F1415" s="35" t="s">
        <v>411</v>
      </c>
    </row>
    <row r="1416" spans="1:6">
      <c r="A1416" s="35" t="s">
        <v>1827</v>
      </c>
      <c r="B1416" s="37">
        <v>802.5999755859375</v>
      </c>
      <c r="C1416" s="37">
        <v>631.84075927734375</v>
      </c>
      <c r="D1416" s="35">
        <v>24911507</v>
      </c>
      <c r="E1416" s="35" t="s">
        <v>1710</v>
      </c>
      <c r="F1416" s="35" t="s">
        <v>411</v>
      </c>
    </row>
    <row r="1417" spans="1:6">
      <c r="A1417" s="35" t="s">
        <v>1828</v>
      </c>
      <c r="B1417" s="37">
        <v>821</v>
      </c>
      <c r="C1417" s="37">
        <v>646.3262939453125</v>
      </c>
      <c r="D1417" s="35">
        <v>21882919</v>
      </c>
      <c r="E1417" s="35" t="s">
        <v>1710</v>
      </c>
      <c r="F1417" s="35" t="s">
        <v>411</v>
      </c>
    </row>
    <row r="1418" spans="1:6">
      <c r="A1418" s="35" t="s">
        <v>1829</v>
      </c>
      <c r="B1418" s="37">
        <v>814.0999755859375</v>
      </c>
      <c r="C1418" s="37">
        <v>640.89404296875</v>
      </c>
      <c r="D1418" s="35">
        <v>18070370</v>
      </c>
      <c r="E1418" s="35" t="s">
        <v>1710</v>
      </c>
      <c r="F1418" s="35" t="s">
        <v>411</v>
      </c>
    </row>
    <row r="1419" spans="1:6">
      <c r="A1419" s="35" t="s">
        <v>1830</v>
      </c>
      <c r="B1419" s="37">
        <v>788.29998779296875</v>
      </c>
      <c r="C1419" s="37">
        <v>620.5833740234375</v>
      </c>
      <c r="D1419" s="35">
        <v>10553627</v>
      </c>
      <c r="E1419" s="35" t="s">
        <v>1710</v>
      </c>
      <c r="F1419" s="35" t="s">
        <v>411</v>
      </c>
    </row>
    <row r="1420" spans="1:6">
      <c r="A1420" s="35" t="s">
        <v>1831</v>
      </c>
      <c r="B1420" s="37">
        <v>827.70001220703125</v>
      </c>
      <c r="C1420" s="37">
        <v>651.60064697265625</v>
      </c>
      <c r="D1420" s="35">
        <v>19813100</v>
      </c>
      <c r="E1420" s="35" t="s">
        <v>1710</v>
      </c>
      <c r="F1420" s="35" t="s">
        <v>411</v>
      </c>
    </row>
    <row r="1421" spans="1:6">
      <c r="A1421" s="35" t="s">
        <v>1832</v>
      </c>
      <c r="B1421" s="37">
        <v>835.25</v>
      </c>
      <c r="C1421" s="37">
        <v>657.544189453125</v>
      </c>
      <c r="D1421" s="35">
        <v>11145837</v>
      </c>
      <c r="E1421" s="35" t="s">
        <v>1710</v>
      </c>
      <c r="F1421" s="35" t="s">
        <v>411</v>
      </c>
    </row>
    <row r="1422" spans="1:6">
      <c r="A1422" s="35" t="s">
        <v>1833</v>
      </c>
      <c r="B1422" s="37">
        <v>812.75</v>
      </c>
      <c r="C1422" s="37">
        <v>639.831298828125</v>
      </c>
      <c r="D1422" s="35">
        <v>10554255</v>
      </c>
      <c r="E1422" s="35" t="s">
        <v>1710</v>
      </c>
      <c r="F1422" s="35" t="s">
        <v>411</v>
      </c>
    </row>
    <row r="1423" spans="1:6">
      <c r="A1423" s="35" t="s">
        <v>1834</v>
      </c>
      <c r="B1423" s="37">
        <v>811.5999755859375</v>
      </c>
      <c r="C1423" s="37">
        <v>638.9259033203125</v>
      </c>
      <c r="D1423" s="35">
        <v>9470272</v>
      </c>
      <c r="E1423" s="35" t="s">
        <v>1710</v>
      </c>
      <c r="F1423" s="35" t="s">
        <v>411</v>
      </c>
    </row>
    <row r="1424" spans="1:6">
      <c r="A1424" s="35" t="s">
        <v>1835</v>
      </c>
      <c r="B1424" s="37">
        <v>812.95001220703125</v>
      </c>
      <c r="C1424" s="37">
        <v>639.9886474609375</v>
      </c>
      <c r="D1424" s="35">
        <v>4321350</v>
      </c>
      <c r="E1424" s="35" t="s">
        <v>1710</v>
      </c>
      <c r="F1424" s="35" t="s">
        <v>411</v>
      </c>
    </row>
    <row r="1425" spans="1:6">
      <c r="A1425" s="35" t="s">
        <v>1836</v>
      </c>
      <c r="B1425" s="37">
        <v>824.20001220703125</v>
      </c>
      <c r="C1425" s="37">
        <v>648.84527587890625</v>
      </c>
      <c r="D1425" s="35">
        <v>11889998</v>
      </c>
      <c r="E1425" s="35" t="s">
        <v>1710</v>
      </c>
      <c r="F1425" s="35" t="s">
        <v>411</v>
      </c>
    </row>
    <row r="1426" spans="1:6">
      <c r="A1426" s="35" t="s">
        <v>1837</v>
      </c>
      <c r="B1426" s="37">
        <v>829.1500244140625</v>
      </c>
      <c r="C1426" s="37">
        <v>652.74224853515625</v>
      </c>
      <c r="D1426" s="35">
        <v>7848500</v>
      </c>
      <c r="E1426" s="35" t="s">
        <v>1710</v>
      </c>
      <c r="F1426" s="35" t="s">
        <v>411</v>
      </c>
    </row>
    <row r="1427" spans="1:6">
      <c r="A1427" s="35" t="s">
        <v>1838</v>
      </c>
      <c r="B1427" s="37">
        <v>828.04998779296875</v>
      </c>
      <c r="C1427" s="37">
        <v>651.8759765625</v>
      </c>
      <c r="D1427" s="35">
        <v>6980002</v>
      </c>
      <c r="E1427" s="35" t="s">
        <v>1710</v>
      </c>
      <c r="F1427" s="35" t="s">
        <v>411</v>
      </c>
    </row>
    <row r="1428" spans="1:6">
      <c r="A1428" s="35" t="s">
        <v>1839</v>
      </c>
      <c r="B1428" s="37">
        <v>849.54998779296875</v>
      </c>
      <c r="C1428" s="37">
        <v>668.80181884765625</v>
      </c>
      <c r="D1428" s="35">
        <v>25860257</v>
      </c>
      <c r="E1428" s="35" t="s">
        <v>1710</v>
      </c>
      <c r="F1428" s="35" t="s">
        <v>411</v>
      </c>
    </row>
    <row r="1429" spans="1:6">
      <c r="A1429" s="35" t="s">
        <v>1840</v>
      </c>
      <c r="B1429" s="37">
        <v>855.75</v>
      </c>
      <c r="C1429" s="37">
        <v>673.68280029296875</v>
      </c>
      <c r="D1429" s="35">
        <v>7286954</v>
      </c>
      <c r="E1429" s="35" t="s">
        <v>1710</v>
      </c>
      <c r="F1429" s="35" t="s">
        <v>411</v>
      </c>
    </row>
    <row r="1430" spans="1:6">
      <c r="A1430" s="35" t="s">
        <v>1841</v>
      </c>
      <c r="B1430" s="37">
        <v>865.79998779296875</v>
      </c>
      <c r="C1430" s="37">
        <v>681.594482421875</v>
      </c>
      <c r="D1430" s="35">
        <v>8717550</v>
      </c>
      <c r="E1430" s="35" t="s">
        <v>1710</v>
      </c>
      <c r="F1430" s="35" t="s">
        <v>411</v>
      </c>
    </row>
    <row r="1431" spans="1:6">
      <c r="A1431" s="35" t="s">
        <v>1842</v>
      </c>
      <c r="B1431" s="37">
        <v>900.4000244140625</v>
      </c>
      <c r="C1431" s="37">
        <v>708.83319091796875</v>
      </c>
      <c r="D1431" s="35">
        <v>18948618</v>
      </c>
      <c r="E1431" s="35" t="s">
        <v>1710</v>
      </c>
      <c r="F1431" s="35" t="s">
        <v>411</v>
      </c>
    </row>
    <row r="1432" spans="1:6">
      <c r="A1432" s="35" t="s">
        <v>1843</v>
      </c>
      <c r="B1432" s="37">
        <v>890.45001220703125</v>
      </c>
      <c r="C1432" s="37">
        <v>701</v>
      </c>
      <c r="D1432" s="35">
        <v>15441198</v>
      </c>
      <c r="E1432" s="35" t="s">
        <v>1710</v>
      </c>
      <c r="F1432" s="35" t="s">
        <v>411</v>
      </c>
    </row>
    <row r="1433" spans="1:6">
      <c r="A1433" s="35" t="s">
        <v>1844</v>
      </c>
      <c r="B1433" s="37">
        <v>860</v>
      </c>
      <c r="C1433" s="37">
        <v>677.028564453125</v>
      </c>
      <c r="D1433" s="35">
        <v>15648823</v>
      </c>
      <c r="E1433" s="35" t="s">
        <v>1710</v>
      </c>
      <c r="F1433" s="35" t="s">
        <v>411</v>
      </c>
    </row>
    <row r="1434" spans="1:6">
      <c r="A1434" s="35" t="s">
        <v>1845</v>
      </c>
      <c r="B1434" s="37">
        <v>827.1500244140625</v>
      </c>
      <c r="C1434" s="37">
        <v>651.16754150390625</v>
      </c>
      <c r="D1434" s="35">
        <v>28982990</v>
      </c>
      <c r="E1434" s="35" t="s">
        <v>1710</v>
      </c>
      <c r="F1434" s="35" t="s">
        <v>411</v>
      </c>
    </row>
    <row r="1435" spans="1:6">
      <c r="A1435" s="35" t="s">
        <v>1846</v>
      </c>
      <c r="B1435" s="37">
        <v>844.75</v>
      </c>
      <c r="C1435" s="37">
        <v>665.02301025390625</v>
      </c>
      <c r="D1435" s="35">
        <v>15671485</v>
      </c>
      <c r="E1435" s="35" t="s">
        <v>1710</v>
      </c>
      <c r="F1435" s="35" t="s">
        <v>411</v>
      </c>
    </row>
    <row r="1436" spans="1:6">
      <c r="A1436" s="35" t="s">
        <v>1847</v>
      </c>
      <c r="B1436" s="37">
        <v>879.6500244140625</v>
      </c>
      <c r="C1436" s="37">
        <v>692.497802734375</v>
      </c>
      <c r="D1436" s="35">
        <v>21563969</v>
      </c>
      <c r="E1436" s="35" t="s">
        <v>1710</v>
      </c>
      <c r="F1436" s="35" t="s">
        <v>411</v>
      </c>
    </row>
    <row r="1437" spans="1:6">
      <c r="A1437" s="35" t="s">
        <v>1848</v>
      </c>
      <c r="B1437" s="37">
        <v>871.04998779296875</v>
      </c>
      <c r="C1437" s="37">
        <v>685.72760009765625</v>
      </c>
      <c r="D1437" s="35">
        <v>11161929</v>
      </c>
      <c r="E1437" s="35" t="s">
        <v>1710</v>
      </c>
      <c r="F1437" s="35" t="s">
        <v>411</v>
      </c>
    </row>
    <row r="1438" spans="1:6">
      <c r="A1438" s="35" t="s">
        <v>1849</v>
      </c>
      <c r="B1438" s="37">
        <v>866.25</v>
      </c>
      <c r="C1438" s="37">
        <v>685.09478759765625</v>
      </c>
      <c r="D1438" s="35">
        <v>9607794</v>
      </c>
      <c r="E1438" s="35" t="s">
        <v>1710</v>
      </c>
      <c r="F1438" s="35" t="s">
        <v>411</v>
      </c>
    </row>
    <row r="1439" spans="1:6">
      <c r="A1439" s="35" t="s">
        <v>1850</v>
      </c>
      <c r="B1439" s="37">
        <v>852.45001220703125</v>
      </c>
      <c r="C1439" s="37">
        <v>674.18084716796875</v>
      </c>
      <c r="D1439" s="35">
        <v>5447267</v>
      </c>
      <c r="E1439" s="35" t="s">
        <v>1710</v>
      </c>
      <c r="F1439" s="35" t="s">
        <v>411</v>
      </c>
    </row>
    <row r="1440" spans="1:6">
      <c r="A1440" s="35" t="s">
        <v>1851</v>
      </c>
      <c r="B1440" s="37">
        <v>847.79998779296875</v>
      </c>
      <c r="C1440" s="37">
        <v>670.503173828125</v>
      </c>
      <c r="D1440" s="35">
        <v>6612856</v>
      </c>
      <c r="E1440" s="35" t="s">
        <v>1710</v>
      </c>
      <c r="F1440" s="35" t="s">
        <v>411</v>
      </c>
    </row>
    <row r="1441" spans="1:6">
      <c r="A1441" s="35" t="s">
        <v>1852</v>
      </c>
      <c r="B1441" s="37">
        <v>847.25</v>
      </c>
      <c r="C1441" s="37">
        <v>670.06817626953125</v>
      </c>
      <c r="D1441" s="35">
        <v>5807904</v>
      </c>
      <c r="E1441" s="35" t="s">
        <v>1710</v>
      </c>
      <c r="F1441" s="35" t="s">
        <v>411</v>
      </c>
    </row>
    <row r="1442" spans="1:6">
      <c r="A1442" s="35" t="s">
        <v>1853</v>
      </c>
      <c r="B1442" s="37">
        <v>829.5999755859375</v>
      </c>
      <c r="C1442" s="37">
        <v>656.1092529296875</v>
      </c>
      <c r="D1442" s="35">
        <v>6853002</v>
      </c>
      <c r="E1442" s="35" t="s">
        <v>1710</v>
      </c>
      <c r="F1442" s="35" t="s">
        <v>411</v>
      </c>
    </row>
    <row r="1443" spans="1:6">
      <c r="A1443" s="35" t="s">
        <v>1854</v>
      </c>
      <c r="B1443" s="37">
        <v>840.04998779296875</v>
      </c>
      <c r="C1443" s="37">
        <v>664.3739013671875</v>
      </c>
      <c r="D1443" s="35">
        <v>6690978</v>
      </c>
      <c r="E1443" s="35" t="s">
        <v>1710</v>
      </c>
      <c r="F1443" s="35" t="s">
        <v>411</v>
      </c>
    </row>
    <row r="1444" spans="1:6">
      <c r="A1444" s="35" t="s">
        <v>1855</v>
      </c>
      <c r="B1444" s="37">
        <v>841.95001220703125</v>
      </c>
      <c r="C1444" s="37">
        <v>665.87664794921875</v>
      </c>
      <c r="D1444" s="35">
        <v>8727274</v>
      </c>
      <c r="E1444" s="35" t="s">
        <v>1710</v>
      </c>
      <c r="F1444" s="35" t="s">
        <v>411</v>
      </c>
    </row>
    <row r="1445" spans="1:6">
      <c r="A1445" s="35" t="s">
        <v>1856</v>
      </c>
      <c r="B1445" s="37">
        <v>822.4000244140625</v>
      </c>
      <c r="C1445" s="37">
        <v>650.4150390625</v>
      </c>
      <c r="D1445" s="35">
        <v>5953172</v>
      </c>
      <c r="E1445" s="35" t="s">
        <v>1710</v>
      </c>
      <c r="F1445" s="35" t="s">
        <v>411</v>
      </c>
    </row>
    <row r="1446" spans="1:6">
      <c r="A1446" s="35" t="s">
        <v>1857</v>
      </c>
      <c r="B1446" s="37">
        <v>814.04998779296875</v>
      </c>
      <c r="C1446" s="37">
        <v>643.8111572265625</v>
      </c>
      <c r="D1446" s="35">
        <v>7011687</v>
      </c>
      <c r="E1446" s="35" t="s">
        <v>1710</v>
      </c>
      <c r="F1446" s="35" t="s">
        <v>411</v>
      </c>
    </row>
    <row r="1447" spans="1:6">
      <c r="A1447" s="35" t="s">
        <v>1858</v>
      </c>
      <c r="B1447" s="37">
        <v>815.1500244140625</v>
      </c>
      <c r="C1447" s="37">
        <v>644.6812744140625</v>
      </c>
      <c r="D1447" s="35">
        <v>10077502</v>
      </c>
      <c r="E1447" s="35" t="s">
        <v>1710</v>
      </c>
      <c r="F1447" s="35" t="s">
        <v>411</v>
      </c>
    </row>
    <row r="1448" spans="1:6">
      <c r="A1448" s="35" t="s">
        <v>1859</v>
      </c>
      <c r="B1448" s="37">
        <v>842.9000244140625</v>
      </c>
      <c r="C1448" s="37">
        <v>666.62799072265625</v>
      </c>
      <c r="D1448" s="35">
        <v>8903859</v>
      </c>
      <c r="E1448" s="35" t="s">
        <v>1710</v>
      </c>
      <c r="F1448" s="35" t="s">
        <v>411</v>
      </c>
    </row>
    <row r="1449" spans="1:6">
      <c r="A1449" s="35" t="s">
        <v>1860</v>
      </c>
      <c r="B1449" s="37">
        <v>850.0999755859375</v>
      </c>
      <c r="C1449" s="37">
        <v>672.322265625</v>
      </c>
      <c r="D1449" s="35">
        <v>5871913</v>
      </c>
      <c r="E1449" s="35" t="s">
        <v>1710</v>
      </c>
      <c r="F1449" s="35" t="s">
        <v>411</v>
      </c>
    </row>
    <row r="1450" spans="1:6">
      <c r="A1450" s="35" t="s">
        <v>1861</v>
      </c>
      <c r="B1450" s="37">
        <v>855</v>
      </c>
      <c r="C1450" s="37">
        <v>676.197509765625</v>
      </c>
      <c r="D1450" s="35">
        <v>7505062</v>
      </c>
      <c r="E1450" s="35" t="s">
        <v>1710</v>
      </c>
      <c r="F1450" s="35" t="s">
        <v>411</v>
      </c>
    </row>
    <row r="1451" spans="1:6">
      <c r="A1451" s="35" t="s">
        <v>1862</v>
      </c>
      <c r="B1451" s="37">
        <v>809.70001220703125</v>
      </c>
      <c r="C1451" s="37">
        <v>640.37091064453125</v>
      </c>
      <c r="D1451" s="35">
        <v>10397497</v>
      </c>
      <c r="E1451" s="35" t="s">
        <v>1710</v>
      </c>
      <c r="F1451" s="35" t="s">
        <v>411</v>
      </c>
    </row>
    <row r="1452" spans="1:6">
      <c r="A1452" s="35" t="s">
        <v>1863</v>
      </c>
      <c r="B1452" s="37">
        <v>826.04998779296875</v>
      </c>
      <c r="C1452" s="37">
        <v>653.3017578125</v>
      </c>
      <c r="D1452" s="35">
        <v>9779484</v>
      </c>
      <c r="E1452" s="35" t="s">
        <v>1710</v>
      </c>
      <c r="F1452" s="35" t="s">
        <v>411</v>
      </c>
    </row>
    <row r="1453" spans="1:6">
      <c r="A1453" s="35" t="s">
        <v>1864</v>
      </c>
      <c r="B1453" s="37">
        <v>824.70001220703125</v>
      </c>
      <c r="C1453" s="37">
        <v>652.23394775390625</v>
      </c>
      <c r="D1453" s="35">
        <v>4699639</v>
      </c>
      <c r="E1453" s="35" t="s">
        <v>1710</v>
      </c>
      <c r="F1453" s="35" t="s">
        <v>411</v>
      </c>
    </row>
    <row r="1454" spans="1:6">
      <c r="A1454" s="35" t="s">
        <v>1865</v>
      </c>
      <c r="B1454" s="37">
        <v>828.0999755859375</v>
      </c>
      <c r="C1454" s="37">
        <v>654.9229736328125</v>
      </c>
      <c r="D1454" s="35">
        <v>3918289</v>
      </c>
      <c r="E1454" s="35" t="s">
        <v>1710</v>
      </c>
      <c r="F1454" s="35" t="s">
        <v>411</v>
      </c>
    </row>
    <row r="1455" spans="1:6">
      <c r="A1455" s="35" t="s">
        <v>1866</v>
      </c>
      <c r="B1455" s="37">
        <v>830.5</v>
      </c>
      <c r="C1455" s="37">
        <v>656.82110595703125</v>
      </c>
      <c r="D1455" s="35">
        <v>475390</v>
      </c>
      <c r="E1455" s="35" t="s">
        <v>1710</v>
      </c>
      <c r="F1455" s="35" t="s">
        <v>411</v>
      </c>
    </row>
    <row r="1456" spans="1:6">
      <c r="A1456" s="35" t="s">
        <v>1867</v>
      </c>
      <c r="B1456" s="37">
        <v>815</v>
      </c>
      <c r="C1456" s="37">
        <v>644.5625</v>
      </c>
      <c r="D1456" s="35">
        <v>5977903</v>
      </c>
      <c r="E1456" s="35" t="s">
        <v>1710</v>
      </c>
      <c r="F1456" s="35" t="s">
        <v>411</v>
      </c>
    </row>
    <row r="1457" spans="1:6">
      <c r="A1457" s="35" t="s">
        <v>1868</v>
      </c>
      <c r="B1457" s="37">
        <v>814.29998779296875</v>
      </c>
      <c r="C1457" s="37">
        <v>644.0089111328125</v>
      </c>
      <c r="D1457" s="35">
        <v>5816221</v>
      </c>
      <c r="E1457" s="35" t="s">
        <v>1710</v>
      </c>
      <c r="F1457" s="35" t="s">
        <v>411</v>
      </c>
    </row>
    <row r="1458" spans="1:6">
      <c r="A1458" s="35" t="s">
        <v>1869</v>
      </c>
      <c r="B1458" s="37">
        <v>804.54998779296875</v>
      </c>
      <c r="C1458" s="37">
        <v>636.2979736328125</v>
      </c>
      <c r="D1458" s="35">
        <v>7170339</v>
      </c>
      <c r="E1458" s="35" t="s">
        <v>1710</v>
      </c>
      <c r="F1458" s="35" t="s">
        <v>411</v>
      </c>
    </row>
    <row r="1459" spans="1:6">
      <c r="A1459" s="35" t="s">
        <v>1870</v>
      </c>
      <c r="B1459" s="37">
        <v>819.25</v>
      </c>
      <c r="C1459" s="37">
        <v>647.92376708984375</v>
      </c>
      <c r="D1459" s="35">
        <v>7455575</v>
      </c>
      <c r="E1459" s="35" t="s">
        <v>1710</v>
      </c>
      <c r="F1459" s="35" t="s">
        <v>411</v>
      </c>
    </row>
    <row r="1460" spans="1:6">
      <c r="A1460" s="35" t="s">
        <v>1871</v>
      </c>
      <c r="B1460" s="37">
        <v>839.20001220703125</v>
      </c>
      <c r="C1460" s="37">
        <v>663.70159912109375</v>
      </c>
      <c r="D1460" s="35">
        <v>7116516</v>
      </c>
      <c r="E1460" s="35" t="s">
        <v>1710</v>
      </c>
      <c r="F1460" s="35" t="s">
        <v>411</v>
      </c>
    </row>
    <row r="1461" spans="1:6">
      <c r="A1461" s="35" t="s">
        <v>1872</v>
      </c>
      <c r="B1461" s="37">
        <v>840.5</v>
      </c>
      <c r="C1461" s="37">
        <v>664.7298583984375</v>
      </c>
      <c r="D1461" s="35">
        <v>8465615</v>
      </c>
      <c r="E1461" s="35" t="s">
        <v>1710</v>
      </c>
      <c r="F1461" s="35" t="s">
        <v>411</v>
      </c>
    </row>
    <row r="1462" spans="1:6">
      <c r="A1462" s="35" t="s">
        <v>1873</v>
      </c>
      <c r="B1462" s="37">
        <v>824.70001220703125</v>
      </c>
      <c r="C1462" s="37">
        <v>652.23394775390625</v>
      </c>
      <c r="D1462" s="35">
        <v>5610232</v>
      </c>
      <c r="E1462" s="35" t="s">
        <v>1710</v>
      </c>
      <c r="F1462" s="35" t="s">
        <v>411</v>
      </c>
    </row>
    <row r="1463" spans="1:6">
      <c r="A1463" s="35" t="s">
        <v>1874</v>
      </c>
      <c r="B1463" s="37">
        <v>842.04998779296875</v>
      </c>
      <c r="C1463" s="37">
        <v>665.95562744140625</v>
      </c>
      <c r="D1463" s="35">
        <v>8414555</v>
      </c>
      <c r="E1463" s="35" t="s">
        <v>1710</v>
      </c>
      <c r="F1463" s="35" t="s">
        <v>411</v>
      </c>
    </row>
    <row r="1464" spans="1:6">
      <c r="A1464" s="35" t="s">
        <v>1875</v>
      </c>
      <c r="B1464" s="37">
        <v>822.0999755859375</v>
      </c>
      <c r="C1464" s="37">
        <v>650.177734375</v>
      </c>
      <c r="D1464" s="35">
        <v>11723771</v>
      </c>
      <c r="E1464" s="35" t="s">
        <v>1710</v>
      </c>
      <c r="F1464" s="35" t="s">
        <v>411</v>
      </c>
    </row>
    <row r="1465" spans="1:6">
      <c r="A1465" s="35" t="s">
        <v>1876</v>
      </c>
      <c r="B1465" s="37">
        <v>834.0999755859375</v>
      </c>
      <c r="C1465" s="37">
        <v>659.66827392578125</v>
      </c>
      <c r="D1465" s="35">
        <v>8078785</v>
      </c>
      <c r="E1465" s="35" t="s">
        <v>1710</v>
      </c>
      <c r="F1465" s="35" t="s">
        <v>411</v>
      </c>
    </row>
    <row r="1466" spans="1:6">
      <c r="A1466" s="35" t="s">
        <v>1877</v>
      </c>
      <c r="B1466" s="37">
        <v>843.1500244140625</v>
      </c>
      <c r="C1466" s="37">
        <v>666.82574462890625</v>
      </c>
      <c r="D1466" s="35">
        <v>7062229</v>
      </c>
      <c r="E1466" s="35" t="s">
        <v>1710</v>
      </c>
      <c r="F1466" s="35" t="s">
        <v>411</v>
      </c>
    </row>
    <row r="1467" spans="1:6">
      <c r="A1467" s="35" t="s">
        <v>1878</v>
      </c>
      <c r="B1467" s="37">
        <v>862.20001220703125</v>
      </c>
      <c r="C1467" s="37">
        <v>681.8919677734375</v>
      </c>
      <c r="D1467" s="35">
        <v>9633229</v>
      </c>
      <c r="E1467" s="35" t="s">
        <v>1710</v>
      </c>
      <c r="F1467" s="35" t="s">
        <v>411</v>
      </c>
    </row>
    <row r="1468" spans="1:6">
      <c r="A1468" s="35" t="s">
        <v>1879</v>
      </c>
      <c r="B1468" s="37">
        <v>858.5</v>
      </c>
      <c r="C1468" s="37">
        <v>678.96575927734375</v>
      </c>
      <c r="D1468" s="35">
        <v>5577388</v>
      </c>
      <c r="E1468" s="35" t="s">
        <v>1710</v>
      </c>
      <c r="F1468" s="35" t="s">
        <v>411</v>
      </c>
    </row>
    <row r="1469" spans="1:6">
      <c r="A1469" s="35" t="s">
        <v>1880</v>
      </c>
      <c r="B1469" s="37">
        <v>855.29998779296875</v>
      </c>
      <c r="C1469" s="37">
        <v>676.434814453125</v>
      </c>
      <c r="D1469" s="35">
        <v>5314265</v>
      </c>
      <c r="E1469" s="35" t="s">
        <v>1710</v>
      </c>
      <c r="F1469" s="35" t="s">
        <v>411</v>
      </c>
    </row>
    <row r="1470" spans="1:6">
      <c r="A1470" s="35" t="s">
        <v>1881</v>
      </c>
      <c r="B1470" s="37">
        <v>863.79998779296875</v>
      </c>
      <c r="C1470" s="37">
        <v>683.15728759765625</v>
      </c>
      <c r="D1470" s="35">
        <v>8722526</v>
      </c>
      <c r="E1470" s="35" t="s">
        <v>1710</v>
      </c>
      <c r="F1470" s="35" t="s">
        <v>411</v>
      </c>
    </row>
    <row r="1471" spans="1:6">
      <c r="A1471" s="35" t="s">
        <v>1882</v>
      </c>
      <c r="B1471" s="37">
        <v>870.54998779296875</v>
      </c>
      <c r="C1471" s="37">
        <v>688.4954833984375</v>
      </c>
      <c r="D1471" s="35">
        <v>5952003</v>
      </c>
      <c r="E1471" s="35" t="s">
        <v>1710</v>
      </c>
      <c r="F1471" s="35" t="s">
        <v>411</v>
      </c>
    </row>
    <row r="1472" spans="1:6">
      <c r="A1472" s="35" t="s">
        <v>1883</v>
      </c>
      <c r="B1472" s="37">
        <v>866.75</v>
      </c>
      <c r="C1472" s="37">
        <v>685.4903564453125</v>
      </c>
      <c r="D1472" s="35">
        <v>4641898</v>
      </c>
      <c r="E1472" s="35" t="s">
        <v>1710</v>
      </c>
      <c r="F1472" s="35" t="s">
        <v>411</v>
      </c>
    </row>
    <row r="1473" spans="1:6">
      <c r="A1473" s="35" t="s">
        <v>1884</v>
      </c>
      <c r="B1473" s="37">
        <v>862.25</v>
      </c>
      <c r="C1473" s="37">
        <v>681.931396484375</v>
      </c>
      <c r="D1473" s="35">
        <v>5637035</v>
      </c>
      <c r="E1473" s="35" t="s">
        <v>1710</v>
      </c>
      <c r="F1473" s="35" t="s">
        <v>411</v>
      </c>
    </row>
    <row r="1474" spans="1:6">
      <c r="A1474" s="35" t="s">
        <v>1885</v>
      </c>
      <c r="B1474" s="37">
        <v>873</v>
      </c>
      <c r="C1474" s="37">
        <v>690.43341064453125</v>
      </c>
      <c r="D1474" s="35">
        <v>5143894</v>
      </c>
      <c r="E1474" s="35" t="s">
        <v>1710</v>
      </c>
      <c r="F1474" s="35" t="s">
        <v>411</v>
      </c>
    </row>
    <row r="1475" spans="1:6">
      <c r="A1475" s="35" t="s">
        <v>1886</v>
      </c>
      <c r="B1475" s="37">
        <v>886</v>
      </c>
      <c r="C1475" s="37">
        <v>700.714599609375</v>
      </c>
      <c r="D1475" s="35">
        <v>7527270</v>
      </c>
      <c r="E1475" s="35" t="s">
        <v>1710</v>
      </c>
      <c r="F1475" s="35" t="s">
        <v>411</v>
      </c>
    </row>
    <row r="1476" spans="1:6">
      <c r="A1476" s="35" t="s">
        <v>1887</v>
      </c>
      <c r="B1476" s="37">
        <v>885.04998779296875</v>
      </c>
      <c r="C1476" s="37">
        <v>699.96331787109375</v>
      </c>
      <c r="D1476" s="35">
        <v>4378179</v>
      </c>
      <c r="E1476" s="35" t="s">
        <v>1710</v>
      </c>
      <c r="F1476" s="35" t="s">
        <v>411</v>
      </c>
    </row>
    <row r="1477" spans="1:6">
      <c r="A1477" s="35" t="s">
        <v>1888</v>
      </c>
      <c r="B1477" s="37">
        <v>879.3499755859375</v>
      </c>
      <c r="C1477" s="37">
        <v>695.4552001953125</v>
      </c>
      <c r="D1477" s="35">
        <v>4863371</v>
      </c>
      <c r="E1477" s="35" t="s">
        <v>1710</v>
      </c>
      <c r="F1477" s="35" t="s">
        <v>411</v>
      </c>
    </row>
    <row r="1478" spans="1:6">
      <c r="A1478" s="35" t="s">
        <v>1889</v>
      </c>
      <c r="B1478" s="37">
        <v>890.6500244140625</v>
      </c>
      <c r="C1478" s="37">
        <v>704.392333984375</v>
      </c>
      <c r="D1478" s="35">
        <v>11568187</v>
      </c>
      <c r="E1478" s="35" t="s">
        <v>1710</v>
      </c>
      <c r="F1478" s="35" t="s">
        <v>411</v>
      </c>
    </row>
    <row r="1479" spans="1:6">
      <c r="A1479" s="35" t="s">
        <v>1890</v>
      </c>
      <c r="B1479" s="37">
        <v>870.45001220703125</v>
      </c>
      <c r="C1479" s="37">
        <v>688.41650390625</v>
      </c>
      <c r="D1479" s="35">
        <v>8875855</v>
      </c>
      <c r="E1479" s="35" t="s">
        <v>1710</v>
      </c>
      <c r="F1479" s="35" t="s">
        <v>411</v>
      </c>
    </row>
    <row r="1480" spans="1:6">
      <c r="A1480" s="35" t="s">
        <v>1891</v>
      </c>
      <c r="B1480" s="37">
        <v>913.79998779296875</v>
      </c>
      <c r="C1480" s="37">
        <v>722.700927734375</v>
      </c>
      <c r="D1480" s="35">
        <v>10251896</v>
      </c>
      <c r="E1480" s="35" t="s">
        <v>1710</v>
      </c>
      <c r="F1480" s="35" t="s">
        <v>411</v>
      </c>
    </row>
    <row r="1481" spans="1:6">
      <c r="A1481" s="35" t="s">
        <v>1892</v>
      </c>
      <c r="B1481" s="37">
        <v>922.5999755859375</v>
      </c>
      <c r="C1481" s="37">
        <v>729.66058349609375</v>
      </c>
      <c r="D1481" s="35">
        <v>10723068</v>
      </c>
      <c r="E1481" s="35" t="s">
        <v>1710</v>
      </c>
      <c r="F1481" s="35" t="s">
        <v>411</v>
      </c>
    </row>
    <row r="1482" spans="1:6">
      <c r="A1482" s="35" t="s">
        <v>1893</v>
      </c>
      <c r="B1482" s="37">
        <v>919.3499755859375</v>
      </c>
      <c r="C1482" s="37">
        <v>727.09033203125</v>
      </c>
      <c r="D1482" s="35">
        <v>4390561</v>
      </c>
      <c r="E1482" s="35" t="s">
        <v>1710</v>
      </c>
      <c r="F1482" s="35" t="s">
        <v>411</v>
      </c>
    </row>
    <row r="1483" spans="1:6">
      <c r="A1483" s="35" t="s">
        <v>1894</v>
      </c>
      <c r="B1483" s="37">
        <v>921.79998779296875</v>
      </c>
      <c r="C1483" s="37">
        <v>729.0279541015625</v>
      </c>
      <c r="D1483" s="35">
        <v>3884750</v>
      </c>
      <c r="E1483" s="35" t="s">
        <v>1710</v>
      </c>
      <c r="F1483" s="35" t="s">
        <v>411</v>
      </c>
    </row>
    <row r="1484" spans="1:6">
      <c r="A1484" s="35" t="s">
        <v>1895</v>
      </c>
      <c r="B1484" s="37">
        <v>935.9000244140625</v>
      </c>
      <c r="C1484" s="37">
        <v>740.17938232421875</v>
      </c>
      <c r="D1484" s="35">
        <v>6760167</v>
      </c>
      <c r="E1484" s="35" t="s">
        <v>1710</v>
      </c>
      <c r="F1484" s="35" t="s">
        <v>411</v>
      </c>
    </row>
    <row r="1485" spans="1:6">
      <c r="A1485" s="35" t="s">
        <v>1896</v>
      </c>
      <c r="B1485" s="37">
        <v>940.70001220703125</v>
      </c>
      <c r="C1485" s="37">
        <v>743.9754638671875</v>
      </c>
      <c r="D1485" s="35">
        <v>6382809</v>
      </c>
      <c r="E1485" s="35" t="s">
        <v>1710</v>
      </c>
      <c r="F1485" s="35" t="s">
        <v>411</v>
      </c>
    </row>
    <row r="1486" spans="1:6">
      <c r="A1486" s="35" t="s">
        <v>1897</v>
      </c>
      <c r="B1486" s="37">
        <v>946.1500244140625</v>
      </c>
      <c r="C1486" s="37">
        <v>748.28564453125</v>
      </c>
      <c r="D1486" s="35">
        <v>3468390</v>
      </c>
      <c r="E1486" s="35" t="s">
        <v>1710</v>
      </c>
      <c r="F1486" s="35" t="s">
        <v>411</v>
      </c>
    </row>
    <row r="1487" spans="1:6">
      <c r="A1487" s="35" t="s">
        <v>1898</v>
      </c>
      <c r="B1487" s="37">
        <v>950.5</v>
      </c>
      <c r="C1487" s="37">
        <v>751.72601318359375</v>
      </c>
      <c r="D1487" s="35">
        <v>3142822</v>
      </c>
      <c r="E1487" s="35" t="s">
        <v>1710</v>
      </c>
      <c r="F1487" s="35" t="s">
        <v>411</v>
      </c>
    </row>
    <row r="1488" spans="1:6">
      <c r="A1488" s="35" t="s">
        <v>1899</v>
      </c>
      <c r="B1488" s="37">
        <v>980.4000244140625</v>
      </c>
      <c r="C1488" s="37">
        <v>775.3731689453125</v>
      </c>
      <c r="D1488" s="35">
        <v>5259092</v>
      </c>
      <c r="E1488" s="35" t="s">
        <v>1710</v>
      </c>
      <c r="F1488" s="35" t="s">
        <v>411</v>
      </c>
    </row>
    <row r="1489" spans="1:6">
      <c r="A1489" s="35" t="s">
        <v>1900</v>
      </c>
      <c r="B1489" s="37">
        <v>991.3499755859375</v>
      </c>
      <c r="C1489" s="37">
        <v>784.0333251953125</v>
      </c>
      <c r="D1489" s="35">
        <v>7150252</v>
      </c>
      <c r="E1489" s="35" t="s">
        <v>1710</v>
      </c>
      <c r="F1489" s="35" t="s">
        <v>411</v>
      </c>
    </row>
    <row r="1490" spans="1:6">
      <c r="A1490" s="35" t="s">
        <v>1901</v>
      </c>
      <c r="B1490" s="37">
        <v>978.20001220703125</v>
      </c>
      <c r="C1490" s="37">
        <v>773.63330078125</v>
      </c>
      <c r="D1490" s="35">
        <v>5995748</v>
      </c>
      <c r="E1490" s="35" t="s">
        <v>1710</v>
      </c>
      <c r="F1490" s="35" t="s">
        <v>411</v>
      </c>
    </row>
    <row r="1491" spans="1:6">
      <c r="A1491" s="35" t="s">
        <v>1902</v>
      </c>
      <c r="B1491" s="37">
        <v>962.54998779296875</v>
      </c>
      <c r="C1491" s="37">
        <v>761.256103515625</v>
      </c>
      <c r="D1491" s="35">
        <v>5261000</v>
      </c>
      <c r="E1491" s="35" t="s">
        <v>1710</v>
      </c>
      <c r="F1491" s="35" t="s">
        <v>411</v>
      </c>
    </row>
    <row r="1492" spans="1:6">
      <c r="A1492" s="35" t="s">
        <v>1903</v>
      </c>
      <c r="B1492" s="37">
        <v>994.6500244140625</v>
      </c>
      <c r="C1492" s="37">
        <v>786.6431884765625</v>
      </c>
      <c r="D1492" s="35">
        <v>8034775</v>
      </c>
      <c r="E1492" s="35" t="s">
        <v>1710</v>
      </c>
      <c r="F1492" s="35" t="s">
        <v>411</v>
      </c>
    </row>
    <row r="1493" spans="1:6">
      <c r="A1493" s="35" t="s">
        <v>1904</v>
      </c>
      <c r="B1493" s="37">
        <v>1055.0999755859375</v>
      </c>
      <c r="C1493" s="37">
        <v>834.45159912109375</v>
      </c>
      <c r="D1493" s="35">
        <v>13384331</v>
      </c>
      <c r="E1493" s="35" t="s">
        <v>1710</v>
      </c>
      <c r="F1493" s="35" t="s">
        <v>411</v>
      </c>
    </row>
    <row r="1494" spans="1:6">
      <c r="A1494" s="35" t="s">
        <v>1905</v>
      </c>
      <c r="B1494" s="37">
        <v>1062.0999755859375</v>
      </c>
      <c r="C1494" s="37">
        <v>839.98760986328125</v>
      </c>
      <c r="D1494" s="35">
        <v>6700542</v>
      </c>
      <c r="E1494" s="35" t="s">
        <v>1710</v>
      </c>
      <c r="F1494" s="35" t="s">
        <v>411</v>
      </c>
    </row>
    <row r="1495" spans="1:6">
      <c r="A1495" s="35" t="s">
        <v>1906</v>
      </c>
      <c r="B1495" s="37">
        <v>1055.949951171875</v>
      </c>
      <c r="C1495" s="37">
        <v>835.1236572265625</v>
      </c>
      <c r="D1495" s="35">
        <v>6691409</v>
      </c>
      <c r="E1495" s="35" t="s">
        <v>1710</v>
      </c>
      <c r="F1495" s="35" t="s">
        <v>411</v>
      </c>
    </row>
    <row r="1496" spans="1:6">
      <c r="A1496" s="35" t="s">
        <v>1907</v>
      </c>
      <c r="B1496" s="37">
        <v>1027.699951171875</v>
      </c>
      <c r="C1496" s="37">
        <v>812.78143310546875</v>
      </c>
      <c r="D1496" s="35">
        <v>15021108</v>
      </c>
      <c r="E1496" s="35" t="s">
        <v>1710</v>
      </c>
      <c r="F1496" s="35" t="s">
        <v>411</v>
      </c>
    </row>
    <row r="1497" spans="1:6">
      <c r="A1497" s="35" t="s">
        <v>1908</v>
      </c>
      <c r="B1497" s="37">
        <v>989.79998779296875</v>
      </c>
      <c r="C1497" s="37">
        <v>782.807373046875</v>
      </c>
      <c r="D1497" s="35">
        <v>23769415</v>
      </c>
      <c r="E1497" s="35" t="s">
        <v>1710</v>
      </c>
      <c r="F1497" s="35" t="s">
        <v>411</v>
      </c>
    </row>
    <row r="1498" spans="1:6">
      <c r="A1498" s="35" t="s">
        <v>1909</v>
      </c>
      <c r="B1498" s="37">
        <v>981.5</v>
      </c>
      <c r="C1498" s="37">
        <v>776.2432861328125</v>
      </c>
      <c r="D1498" s="35">
        <v>12947569</v>
      </c>
      <c r="E1498" s="35" t="s">
        <v>1710</v>
      </c>
      <c r="F1498" s="35" t="s">
        <v>411</v>
      </c>
    </row>
    <row r="1499" spans="1:6">
      <c r="A1499" s="35" t="s">
        <v>1910</v>
      </c>
      <c r="B1499" s="37">
        <v>983.8499755859375</v>
      </c>
      <c r="C1499" s="37">
        <v>778.10162353515625</v>
      </c>
      <c r="D1499" s="35">
        <v>6387923</v>
      </c>
      <c r="E1499" s="35" t="s">
        <v>1710</v>
      </c>
      <c r="F1499" s="35" t="s">
        <v>411</v>
      </c>
    </row>
    <row r="1500" spans="1:6">
      <c r="A1500" s="35" t="s">
        <v>1911</v>
      </c>
      <c r="B1500" s="37">
        <v>999.25</v>
      </c>
      <c r="C1500" s="37">
        <v>790.28125</v>
      </c>
      <c r="D1500" s="35">
        <v>7444118</v>
      </c>
      <c r="E1500" s="35" t="s">
        <v>1710</v>
      </c>
      <c r="F1500" s="35" t="s">
        <v>411</v>
      </c>
    </row>
    <row r="1501" spans="1:6">
      <c r="A1501" s="35" t="s">
        <v>1912</v>
      </c>
      <c r="B1501" s="37">
        <v>993.29998779296875</v>
      </c>
      <c r="C1501" s="37">
        <v>788.7327880859375</v>
      </c>
      <c r="D1501" s="35">
        <v>8857975</v>
      </c>
      <c r="E1501" s="35" t="s">
        <v>1710</v>
      </c>
      <c r="F1501" s="35" t="s">
        <v>411</v>
      </c>
    </row>
    <row r="1502" spans="1:6">
      <c r="A1502" s="35" t="s">
        <v>1913</v>
      </c>
      <c r="B1502" s="37">
        <v>985.79998779296875</v>
      </c>
      <c r="C1502" s="37">
        <v>782.77728271484375</v>
      </c>
      <c r="D1502" s="35">
        <v>5379466</v>
      </c>
      <c r="E1502" s="35" t="s">
        <v>1710</v>
      </c>
      <c r="F1502" s="35" t="s">
        <v>411</v>
      </c>
    </row>
    <row r="1503" spans="1:6">
      <c r="A1503" s="35" t="s">
        <v>1914</v>
      </c>
      <c r="B1503" s="37">
        <v>947.5</v>
      </c>
      <c r="C1503" s="37">
        <v>752.3651123046875</v>
      </c>
      <c r="D1503" s="35">
        <v>7731883</v>
      </c>
      <c r="E1503" s="35" t="s">
        <v>1710</v>
      </c>
      <c r="F1503" s="35" t="s">
        <v>411</v>
      </c>
    </row>
    <row r="1504" spans="1:6">
      <c r="A1504" s="35" t="s">
        <v>1915</v>
      </c>
      <c r="B1504" s="37">
        <v>955.5</v>
      </c>
      <c r="C1504" s="37">
        <v>758.71759033203125</v>
      </c>
      <c r="D1504" s="35">
        <v>7531736</v>
      </c>
      <c r="E1504" s="35" t="s">
        <v>1710</v>
      </c>
      <c r="F1504" s="35" t="s">
        <v>411</v>
      </c>
    </row>
    <row r="1505" spans="1:6">
      <c r="A1505" s="35" t="s">
        <v>1916</v>
      </c>
      <c r="B1505" s="37">
        <v>933.95001220703125</v>
      </c>
      <c r="C1505" s="37">
        <v>741.605712890625</v>
      </c>
      <c r="D1505" s="35">
        <v>6960905</v>
      </c>
      <c r="E1505" s="35" t="s">
        <v>1710</v>
      </c>
      <c r="F1505" s="35" t="s">
        <v>411</v>
      </c>
    </row>
    <row r="1506" spans="1:6">
      <c r="A1506" s="35" t="s">
        <v>1917</v>
      </c>
      <c r="B1506" s="37">
        <v>914</v>
      </c>
      <c r="C1506" s="37">
        <v>725.76434326171875</v>
      </c>
      <c r="D1506" s="35">
        <v>7692663</v>
      </c>
      <c r="E1506" s="35" t="s">
        <v>1710</v>
      </c>
      <c r="F1506" s="35" t="s">
        <v>411</v>
      </c>
    </row>
    <row r="1507" spans="1:6">
      <c r="A1507" s="35" t="s">
        <v>1918</v>
      </c>
      <c r="B1507" s="37">
        <v>928.3499755859375</v>
      </c>
      <c r="C1507" s="37">
        <v>737.158935546875</v>
      </c>
      <c r="D1507" s="35">
        <v>8651478</v>
      </c>
      <c r="E1507" s="35" t="s">
        <v>1710</v>
      </c>
      <c r="F1507" s="35" t="s">
        <v>411</v>
      </c>
    </row>
    <row r="1508" spans="1:6">
      <c r="A1508" s="35" t="s">
        <v>1919</v>
      </c>
      <c r="B1508" s="37">
        <v>954.6500244140625</v>
      </c>
      <c r="C1508" s="37">
        <v>758.0426025390625</v>
      </c>
      <c r="D1508" s="35">
        <v>7690178</v>
      </c>
      <c r="E1508" s="35" t="s">
        <v>1710</v>
      </c>
      <c r="F1508" s="35" t="s">
        <v>411</v>
      </c>
    </row>
    <row r="1509" spans="1:6">
      <c r="A1509" s="35" t="s">
        <v>1920</v>
      </c>
      <c r="B1509" s="37">
        <v>959.9000244140625</v>
      </c>
      <c r="C1509" s="37">
        <v>762.21142578125</v>
      </c>
      <c r="D1509" s="35">
        <v>6354619</v>
      </c>
      <c r="E1509" s="35" t="s">
        <v>1710</v>
      </c>
      <c r="F1509" s="35" t="s">
        <v>411</v>
      </c>
    </row>
    <row r="1510" spans="1:6">
      <c r="A1510" s="35" t="s">
        <v>1921</v>
      </c>
      <c r="B1510" s="37">
        <v>957.6500244140625</v>
      </c>
      <c r="C1510" s="37">
        <v>760.4248046875</v>
      </c>
      <c r="D1510" s="35">
        <v>4623148</v>
      </c>
      <c r="E1510" s="35" t="s">
        <v>1710</v>
      </c>
      <c r="F1510" s="35" t="s">
        <v>411</v>
      </c>
    </row>
    <row r="1511" spans="1:6">
      <c r="A1511" s="35" t="s">
        <v>1922</v>
      </c>
      <c r="B1511" s="37">
        <v>946.1500244140625</v>
      </c>
      <c r="C1511" s="37">
        <v>751.29302978515625</v>
      </c>
      <c r="D1511" s="35">
        <v>4631703</v>
      </c>
      <c r="E1511" s="35" t="s">
        <v>1710</v>
      </c>
      <c r="F1511" s="35" t="s">
        <v>411</v>
      </c>
    </row>
    <row r="1512" spans="1:6">
      <c r="A1512" s="35" t="s">
        <v>1923</v>
      </c>
      <c r="B1512" s="37">
        <v>957.75</v>
      </c>
      <c r="C1512" s="37">
        <v>760.50421142578125</v>
      </c>
      <c r="D1512" s="35">
        <v>6509526</v>
      </c>
      <c r="E1512" s="35" t="s">
        <v>1710</v>
      </c>
      <c r="F1512" s="35" t="s">
        <v>411</v>
      </c>
    </row>
    <row r="1513" spans="1:6">
      <c r="A1513" s="35" t="s">
        <v>1924</v>
      </c>
      <c r="B1513" s="37">
        <v>951.5999755859375</v>
      </c>
      <c r="C1513" s="37">
        <v>755.62060546875</v>
      </c>
      <c r="D1513" s="35">
        <v>7557977</v>
      </c>
      <c r="E1513" s="35" t="s">
        <v>1710</v>
      </c>
      <c r="F1513" s="35" t="s">
        <v>411</v>
      </c>
    </row>
    <row r="1514" spans="1:6">
      <c r="A1514" s="35" t="s">
        <v>1925</v>
      </c>
      <c r="B1514" s="37">
        <v>959.45001220703125</v>
      </c>
      <c r="C1514" s="37">
        <v>761.85406494140625</v>
      </c>
      <c r="D1514" s="35">
        <v>4896963</v>
      </c>
      <c r="E1514" s="35" t="s">
        <v>1710</v>
      </c>
      <c r="F1514" s="35" t="s">
        <v>411</v>
      </c>
    </row>
    <row r="1515" spans="1:6">
      <c r="A1515" s="35" t="s">
        <v>1926</v>
      </c>
      <c r="B1515" s="37">
        <v>970.4000244140625</v>
      </c>
      <c r="C1515" s="37">
        <v>770.5489501953125</v>
      </c>
      <c r="D1515" s="35">
        <v>3745595</v>
      </c>
      <c r="E1515" s="35" t="s">
        <v>1710</v>
      </c>
      <c r="F1515" s="35" t="s">
        <v>411</v>
      </c>
    </row>
    <row r="1516" spans="1:6">
      <c r="A1516" s="35" t="s">
        <v>1927</v>
      </c>
      <c r="B1516" s="37">
        <v>960.4000244140625</v>
      </c>
      <c r="C1516" s="37">
        <v>762.60833740234375</v>
      </c>
      <c r="D1516" s="35">
        <v>8045740</v>
      </c>
      <c r="E1516" s="35" t="s">
        <v>1710</v>
      </c>
      <c r="F1516" s="35" t="s">
        <v>411</v>
      </c>
    </row>
    <row r="1517" spans="1:6">
      <c r="A1517" s="35" t="s">
        <v>1928</v>
      </c>
      <c r="B1517" s="37">
        <v>954.6500244140625</v>
      </c>
      <c r="C1517" s="37">
        <v>758.0426025390625</v>
      </c>
      <c r="D1517" s="35">
        <v>4643228</v>
      </c>
      <c r="E1517" s="35" t="s">
        <v>1710</v>
      </c>
      <c r="F1517" s="35" t="s">
        <v>411</v>
      </c>
    </row>
    <row r="1518" spans="1:6">
      <c r="A1518" s="35" t="s">
        <v>1929</v>
      </c>
      <c r="B1518" s="37">
        <v>952.29998779296875</v>
      </c>
      <c r="C1518" s="37">
        <v>756.176513671875</v>
      </c>
      <c r="D1518" s="35">
        <v>3277086</v>
      </c>
      <c r="E1518" s="35" t="s">
        <v>1710</v>
      </c>
      <c r="F1518" s="35" t="s">
        <v>411</v>
      </c>
    </row>
    <row r="1519" spans="1:6">
      <c r="A1519" s="35" t="s">
        <v>1930</v>
      </c>
      <c r="B1519" s="37">
        <v>943.20001220703125</v>
      </c>
      <c r="C1519" s="37">
        <v>748.95068359375</v>
      </c>
      <c r="D1519" s="35">
        <v>3643176</v>
      </c>
      <c r="E1519" s="35" t="s">
        <v>1710</v>
      </c>
      <c r="F1519" s="35" t="s">
        <v>411</v>
      </c>
    </row>
    <row r="1520" spans="1:6">
      <c r="A1520" s="35" t="s">
        <v>1931</v>
      </c>
      <c r="B1520" s="37">
        <v>948.0999755859375</v>
      </c>
      <c r="C1520" s="37">
        <v>752.84149169921875</v>
      </c>
      <c r="D1520" s="35">
        <v>5133094</v>
      </c>
      <c r="E1520" s="35" t="s">
        <v>1710</v>
      </c>
      <c r="F1520" s="35" t="s">
        <v>411</v>
      </c>
    </row>
    <row r="1521" spans="1:6">
      <c r="A1521" s="35" t="s">
        <v>1932</v>
      </c>
      <c r="B1521" s="37">
        <v>950.1500244140625</v>
      </c>
      <c r="C1521" s="37">
        <v>754.46923828125</v>
      </c>
      <c r="D1521" s="35">
        <v>5494816</v>
      </c>
      <c r="E1521" s="35" t="s">
        <v>1710</v>
      </c>
      <c r="F1521" s="35" t="s">
        <v>411</v>
      </c>
    </row>
    <row r="1522" spans="1:6">
      <c r="A1522" s="35" t="s">
        <v>1933</v>
      </c>
      <c r="B1522" s="37">
        <v>920.1500244140625</v>
      </c>
      <c r="C1522" s="37">
        <v>730.647705078125</v>
      </c>
      <c r="D1522" s="35">
        <v>5043203</v>
      </c>
      <c r="E1522" s="35" t="s">
        <v>1710</v>
      </c>
      <c r="F1522" s="35" t="s">
        <v>411</v>
      </c>
    </row>
    <row r="1523" spans="1:6">
      <c r="A1523" s="35" t="s">
        <v>1934</v>
      </c>
      <c r="B1523" s="37">
        <v>909.95001220703125</v>
      </c>
      <c r="C1523" s="37">
        <v>722.54833984375</v>
      </c>
      <c r="D1523" s="35">
        <v>5916942</v>
      </c>
      <c r="E1523" s="35" t="s">
        <v>1710</v>
      </c>
      <c r="F1523" s="35" t="s">
        <v>411</v>
      </c>
    </row>
    <row r="1524" spans="1:6">
      <c r="A1524" s="35" t="s">
        <v>1935</v>
      </c>
      <c r="B1524" s="37">
        <v>916</v>
      </c>
      <c r="C1524" s="37">
        <v>727.35247802734375</v>
      </c>
      <c r="D1524" s="35">
        <v>3435827</v>
      </c>
      <c r="E1524" s="35" t="s">
        <v>1710</v>
      </c>
      <c r="F1524" s="35" t="s">
        <v>411</v>
      </c>
    </row>
    <row r="1525" spans="1:6">
      <c r="A1525" s="35" t="s">
        <v>1936</v>
      </c>
      <c r="B1525" s="37">
        <v>929.25</v>
      </c>
      <c r="C1525" s="37">
        <v>737.87359619140625</v>
      </c>
      <c r="D1525" s="35">
        <v>6234947</v>
      </c>
      <c r="E1525" s="35" t="s">
        <v>1710</v>
      </c>
      <c r="F1525" s="35" t="s">
        <v>411</v>
      </c>
    </row>
    <row r="1526" spans="1:6">
      <c r="A1526" s="35" t="s">
        <v>1937</v>
      </c>
      <c r="B1526" s="37">
        <v>909.45001220703125</v>
      </c>
      <c r="C1526" s="37">
        <v>722.15142822265625</v>
      </c>
      <c r="D1526" s="35">
        <v>9198218</v>
      </c>
      <c r="E1526" s="35" t="s">
        <v>1710</v>
      </c>
      <c r="F1526" s="35" t="s">
        <v>411</v>
      </c>
    </row>
    <row r="1527" spans="1:6">
      <c r="A1527" s="35" t="s">
        <v>1938</v>
      </c>
      <c r="B1527" s="37">
        <v>930.3499755859375</v>
      </c>
      <c r="C1527" s="37">
        <v>738.74700927734375</v>
      </c>
      <c r="D1527" s="35">
        <v>5397960</v>
      </c>
      <c r="E1527" s="35" t="s">
        <v>1710</v>
      </c>
      <c r="F1527" s="35" t="s">
        <v>411</v>
      </c>
    </row>
    <row r="1528" spans="1:6">
      <c r="A1528" s="35" t="s">
        <v>1939</v>
      </c>
      <c r="B1528" s="37">
        <v>953.75</v>
      </c>
      <c r="C1528" s="37">
        <v>757.327880859375</v>
      </c>
      <c r="D1528" s="35">
        <v>6715548</v>
      </c>
      <c r="E1528" s="35" t="s">
        <v>1710</v>
      </c>
      <c r="F1528" s="35" t="s">
        <v>411</v>
      </c>
    </row>
    <row r="1529" spans="1:6">
      <c r="A1529" s="35" t="s">
        <v>1940</v>
      </c>
      <c r="B1529" s="37">
        <v>965.25</v>
      </c>
      <c r="C1529" s="37">
        <v>766.45947265625</v>
      </c>
      <c r="D1529" s="35">
        <v>5742015</v>
      </c>
      <c r="E1529" s="35" t="s">
        <v>1710</v>
      </c>
      <c r="F1529" s="35" t="s">
        <v>411</v>
      </c>
    </row>
    <row r="1530" spans="1:6">
      <c r="A1530" s="35" t="s">
        <v>1941</v>
      </c>
      <c r="B1530" s="37">
        <v>958</v>
      </c>
      <c r="C1530" s="37">
        <v>760.70269775390625</v>
      </c>
      <c r="D1530" s="35">
        <v>6268541</v>
      </c>
      <c r="E1530" s="35" t="s">
        <v>1710</v>
      </c>
      <c r="F1530" s="35" t="s">
        <v>411</v>
      </c>
    </row>
    <row r="1531" spans="1:6">
      <c r="A1531" s="35" t="s">
        <v>1942</v>
      </c>
      <c r="B1531" s="37">
        <v>941.5</v>
      </c>
      <c r="C1531" s="37">
        <v>747.60076904296875</v>
      </c>
      <c r="D1531" s="35">
        <v>5992152</v>
      </c>
      <c r="E1531" s="35" t="s">
        <v>1710</v>
      </c>
      <c r="F1531" s="35" t="s">
        <v>411</v>
      </c>
    </row>
    <row r="1532" spans="1:6">
      <c r="A1532" s="35" t="s">
        <v>1943</v>
      </c>
      <c r="B1532" s="37">
        <v>961.9000244140625</v>
      </c>
      <c r="C1532" s="37">
        <v>763.79949951171875</v>
      </c>
      <c r="D1532" s="35">
        <v>5621823</v>
      </c>
      <c r="E1532" s="35" t="s">
        <v>1710</v>
      </c>
      <c r="F1532" s="35" t="s">
        <v>411</v>
      </c>
    </row>
    <row r="1533" spans="1:6">
      <c r="A1533" s="35" t="s">
        <v>1944</v>
      </c>
      <c r="B1533" s="37">
        <v>973.1500244140625</v>
      </c>
      <c r="C1533" s="37">
        <v>772.7325439453125</v>
      </c>
      <c r="D1533" s="35">
        <v>5440319</v>
      </c>
      <c r="E1533" s="35" t="s">
        <v>1710</v>
      </c>
      <c r="F1533" s="35" t="s">
        <v>411</v>
      </c>
    </row>
    <row r="1534" spans="1:6">
      <c r="A1534" s="35" t="s">
        <v>1945</v>
      </c>
      <c r="B1534" s="37">
        <v>988.5</v>
      </c>
      <c r="C1534" s="37">
        <v>784.92138671875</v>
      </c>
      <c r="D1534" s="35">
        <v>7694950</v>
      </c>
      <c r="E1534" s="35" t="s">
        <v>1710</v>
      </c>
      <c r="F1534" s="35" t="s">
        <v>411</v>
      </c>
    </row>
    <row r="1535" spans="1:6">
      <c r="A1535" s="35" t="s">
        <v>1946</v>
      </c>
      <c r="B1535" s="37">
        <v>979.25</v>
      </c>
      <c r="C1535" s="37">
        <v>777.5762939453125</v>
      </c>
      <c r="D1535" s="35">
        <v>6447010</v>
      </c>
      <c r="E1535" s="35" t="s">
        <v>1710</v>
      </c>
      <c r="F1535" s="35" t="s">
        <v>411</v>
      </c>
    </row>
    <row r="1536" spans="1:6">
      <c r="A1536" s="35" t="s">
        <v>1947</v>
      </c>
      <c r="B1536" s="37">
        <v>992.3499755859375</v>
      </c>
      <c r="C1536" s="37">
        <v>787.9783935546875</v>
      </c>
      <c r="D1536" s="35">
        <v>5321071</v>
      </c>
      <c r="E1536" s="35" t="s">
        <v>1710</v>
      </c>
      <c r="F1536" s="35" t="s">
        <v>411</v>
      </c>
    </row>
    <row r="1537" spans="1:6">
      <c r="A1537" s="35" t="s">
        <v>1948</v>
      </c>
      <c r="B1537" s="37">
        <v>1007.25</v>
      </c>
      <c r="C1537" s="37">
        <v>799.809814453125</v>
      </c>
      <c r="D1537" s="35">
        <v>8094575</v>
      </c>
      <c r="E1537" s="35" t="s">
        <v>1710</v>
      </c>
      <c r="F1537" s="35" t="s">
        <v>411</v>
      </c>
    </row>
    <row r="1538" spans="1:6">
      <c r="A1538" s="35" t="s">
        <v>1949</v>
      </c>
      <c r="B1538" s="37">
        <v>987.45001220703125</v>
      </c>
      <c r="C1538" s="37">
        <v>784.08746337890625</v>
      </c>
      <c r="D1538" s="35">
        <v>6758901</v>
      </c>
      <c r="E1538" s="35" t="s">
        <v>1710</v>
      </c>
      <c r="F1538" s="35" t="s">
        <v>411</v>
      </c>
    </row>
    <row r="1539" spans="1:6">
      <c r="A1539" s="35" t="s">
        <v>1950</v>
      </c>
      <c r="B1539" s="37">
        <v>947.75</v>
      </c>
      <c r="C1539" s="37">
        <v>752.5635986328125</v>
      </c>
      <c r="D1539" s="35">
        <v>8269566</v>
      </c>
      <c r="E1539" s="35" t="s">
        <v>1710</v>
      </c>
      <c r="F1539" s="35" t="s">
        <v>411</v>
      </c>
    </row>
    <row r="1540" spans="1:6">
      <c r="A1540" s="35" t="s">
        <v>1951</v>
      </c>
      <c r="B1540" s="37">
        <v>960.45001220703125</v>
      </c>
      <c r="C1540" s="37">
        <v>762.64813232421875</v>
      </c>
      <c r="D1540" s="35">
        <v>9004154</v>
      </c>
      <c r="E1540" s="35" t="s">
        <v>1710</v>
      </c>
      <c r="F1540" s="35" t="s">
        <v>411</v>
      </c>
    </row>
    <row r="1541" spans="1:6">
      <c r="A1541" s="35" t="s">
        <v>1952</v>
      </c>
      <c r="B1541" s="37">
        <v>978.75</v>
      </c>
      <c r="C1541" s="37">
        <v>777.17938232421875</v>
      </c>
      <c r="D1541" s="35">
        <v>4745254</v>
      </c>
      <c r="E1541" s="35" t="s">
        <v>1710</v>
      </c>
      <c r="F1541" s="35" t="s">
        <v>411</v>
      </c>
    </row>
    <row r="1542" spans="1:6">
      <c r="A1542" s="35" t="s">
        <v>1953</v>
      </c>
      <c r="B1542" s="37">
        <v>980.8499755859375</v>
      </c>
      <c r="C1542" s="37">
        <v>778.84674072265625</v>
      </c>
      <c r="D1542" s="35">
        <v>5158305</v>
      </c>
      <c r="E1542" s="35" t="s">
        <v>1710</v>
      </c>
      <c r="F1542" s="35" t="s">
        <v>411</v>
      </c>
    </row>
    <row r="1543" spans="1:6">
      <c r="A1543" s="35" t="s">
        <v>1954</v>
      </c>
      <c r="B1543" s="37">
        <v>975.6500244140625</v>
      </c>
      <c r="C1543" s="37">
        <v>774.7177734375</v>
      </c>
      <c r="D1543" s="35">
        <v>3874331</v>
      </c>
      <c r="E1543" s="35" t="s">
        <v>1710</v>
      </c>
      <c r="F1543" s="35" t="s">
        <v>411</v>
      </c>
    </row>
    <row r="1544" spans="1:6">
      <c r="A1544" s="35" t="s">
        <v>1955</v>
      </c>
      <c r="B1544" s="37">
        <v>957.04998779296875</v>
      </c>
      <c r="C1544" s="37">
        <v>759.9483642578125</v>
      </c>
      <c r="D1544" s="35">
        <v>4879437</v>
      </c>
      <c r="E1544" s="35" t="s">
        <v>1710</v>
      </c>
      <c r="F1544" s="35" t="s">
        <v>411</v>
      </c>
    </row>
    <row r="1545" spans="1:6">
      <c r="A1545" s="35" t="s">
        <v>1956</v>
      </c>
      <c r="B1545" s="37">
        <v>958.54998779296875</v>
      </c>
      <c r="C1545" s="37">
        <v>761.1392822265625</v>
      </c>
      <c r="D1545" s="35">
        <v>4271178</v>
      </c>
      <c r="E1545" s="35" t="s">
        <v>1710</v>
      </c>
      <c r="F1545" s="35" t="s">
        <v>411</v>
      </c>
    </row>
    <row r="1546" spans="1:6">
      <c r="A1546" s="35" t="s">
        <v>1957</v>
      </c>
      <c r="B1546" s="37">
        <v>995.79998779296875</v>
      </c>
      <c r="C1546" s="37">
        <v>790.71771240234375</v>
      </c>
      <c r="D1546" s="35">
        <v>5475000</v>
      </c>
      <c r="E1546" s="35" t="s">
        <v>1710</v>
      </c>
      <c r="F1546" s="35" t="s">
        <v>411</v>
      </c>
    </row>
    <row r="1547" spans="1:6">
      <c r="A1547" s="35" t="s">
        <v>1958</v>
      </c>
      <c r="B1547" s="37">
        <v>982.6500244140625</v>
      </c>
      <c r="C1547" s="37">
        <v>780.2760009765625</v>
      </c>
      <c r="D1547" s="35">
        <v>4445140</v>
      </c>
      <c r="E1547" s="35" t="s">
        <v>1710</v>
      </c>
      <c r="F1547" s="35" t="s">
        <v>411</v>
      </c>
    </row>
    <row r="1548" spans="1:6">
      <c r="A1548" s="35" t="s">
        <v>1959</v>
      </c>
      <c r="B1548" s="37">
        <v>1002.5999755859375</v>
      </c>
      <c r="C1548" s="37">
        <v>796.117431640625</v>
      </c>
      <c r="D1548" s="35">
        <v>5269079</v>
      </c>
      <c r="E1548" s="35" t="s">
        <v>1960</v>
      </c>
      <c r="F1548" s="35" t="s">
        <v>411</v>
      </c>
    </row>
    <row r="1549" spans="1:6">
      <c r="A1549" s="35" t="s">
        <v>1961</v>
      </c>
      <c r="B1549" s="37">
        <v>1033.5</v>
      </c>
      <c r="C1549" s="37">
        <v>820.653564453125</v>
      </c>
      <c r="D1549" s="35">
        <v>9452833</v>
      </c>
      <c r="E1549" s="35" t="s">
        <v>1960</v>
      </c>
      <c r="F1549" s="35" t="s">
        <v>411</v>
      </c>
    </row>
    <row r="1550" spans="1:6">
      <c r="A1550" s="35" t="s">
        <v>1962</v>
      </c>
      <c r="B1550" s="37">
        <v>1028.4000244140625</v>
      </c>
      <c r="C1550" s="37">
        <v>816.60394287109375</v>
      </c>
      <c r="D1550" s="35">
        <v>4260257</v>
      </c>
      <c r="E1550" s="35" t="s">
        <v>1960</v>
      </c>
      <c r="F1550" s="35" t="s">
        <v>411</v>
      </c>
    </row>
    <row r="1551" spans="1:6">
      <c r="A1551" s="35" t="s">
        <v>1963</v>
      </c>
      <c r="B1551" s="37">
        <v>1037.199951171875</v>
      </c>
      <c r="C1551" s="37">
        <v>823.59149169921875</v>
      </c>
      <c r="D1551" s="35">
        <v>3551106</v>
      </c>
      <c r="E1551" s="35" t="s">
        <v>1960</v>
      </c>
      <c r="F1551" s="35" t="s">
        <v>411</v>
      </c>
    </row>
    <row r="1552" spans="1:6">
      <c r="A1552" s="35" t="s">
        <v>1964</v>
      </c>
      <c r="B1552" s="37">
        <v>1037.5</v>
      </c>
      <c r="C1552" s="37">
        <v>823.82977294921875</v>
      </c>
      <c r="D1552" s="35">
        <v>4852068</v>
      </c>
      <c r="E1552" s="35" t="s">
        <v>1960</v>
      </c>
      <c r="F1552" s="35" t="s">
        <v>411</v>
      </c>
    </row>
    <row r="1553" spans="1:6">
      <c r="A1553" s="35" t="s">
        <v>1965</v>
      </c>
      <c r="B1553" s="37">
        <v>1045.4000244140625</v>
      </c>
      <c r="C1553" s="37">
        <v>830.1029052734375</v>
      </c>
      <c r="D1553" s="35">
        <v>3708082</v>
      </c>
      <c r="E1553" s="35" t="s">
        <v>1960</v>
      </c>
      <c r="F1553" s="35" t="s">
        <v>411</v>
      </c>
    </row>
    <row r="1554" spans="1:6">
      <c r="A1554" s="35" t="s">
        <v>1966</v>
      </c>
      <c r="B1554" s="37">
        <v>1009.4000244140625</v>
      </c>
      <c r="C1554" s="37">
        <v>801.51702880859375</v>
      </c>
      <c r="D1554" s="35">
        <v>5976427</v>
      </c>
      <c r="E1554" s="35" t="s">
        <v>1960</v>
      </c>
      <c r="F1554" s="35" t="s">
        <v>411</v>
      </c>
    </row>
    <row r="1555" spans="1:6">
      <c r="A1555" s="35" t="s">
        <v>1967</v>
      </c>
      <c r="B1555" s="37">
        <v>983.4000244140625</v>
      </c>
      <c r="C1555" s="37">
        <v>780.87158203125</v>
      </c>
      <c r="D1555" s="35">
        <v>7773994</v>
      </c>
      <c r="E1555" s="35" t="s">
        <v>1960</v>
      </c>
      <c r="F1555" s="35" t="s">
        <v>411</v>
      </c>
    </row>
    <row r="1556" spans="1:6">
      <c r="A1556" s="35" t="s">
        <v>1968</v>
      </c>
      <c r="B1556" s="37">
        <v>991.9000244140625</v>
      </c>
      <c r="C1556" s="37">
        <v>787.62103271484375</v>
      </c>
      <c r="D1556" s="35">
        <v>7430279</v>
      </c>
      <c r="E1556" s="35" t="s">
        <v>1960</v>
      </c>
      <c r="F1556" s="35" t="s">
        <v>411</v>
      </c>
    </row>
    <row r="1557" spans="1:6">
      <c r="A1557" s="35" t="s">
        <v>1969</v>
      </c>
      <c r="B1557" s="37">
        <v>1012.75</v>
      </c>
      <c r="C1557" s="37">
        <v>804.1771240234375</v>
      </c>
      <c r="D1557" s="35">
        <v>4677808</v>
      </c>
      <c r="E1557" s="35" t="s">
        <v>1960</v>
      </c>
      <c r="F1557" s="35" t="s">
        <v>411</v>
      </c>
    </row>
    <row r="1558" spans="1:6">
      <c r="A1558" s="35" t="s">
        <v>1970</v>
      </c>
      <c r="B1558" s="37">
        <v>994.5999755859375</v>
      </c>
      <c r="C1558" s="37">
        <v>789.76507568359375</v>
      </c>
      <c r="D1558" s="35">
        <v>6239343</v>
      </c>
      <c r="E1558" s="35" t="s">
        <v>1960</v>
      </c>
      <c r="F1558" s="35" t="s">
        <v>411</v>
      </c>
    </row>
    <row r="1559" spans="1:6">
      <c r="A1559" s="35" t="s">
        <v>1971</v>
      </c>
      <c r="B1559" s="37">
        <v>961.29998779296875</v>
      </c>
      <c r="C1559" s="37">
        <v>763.322998046875</v>
      </c>
      <c r="D1559" s="35">
        <v>9742418</v>
      </c>
      <c r="E1559" s="35" t="s">
        <v>1960</v>
      </c>
      <c r="F1559" s="35" t="s">
        <v>411</v>
      </c>
    </row>
    <row r="1560" spans="1:6">
      <c r="A1560" s="35" t="s">
        <v>1972</v>
      </c>
      <c r="B1560" s="37">
        <v>961.9000244140625</v>
      </c>
      <c r="C1560" s="37">
        <v>763.79949951171875</v>
      </c>
      <c r="D1560" s="35">
        <v>4970596</v>
      </c>
      <c r="E1560" s="35" t="s">
        <v>1960</v>
      </c>
      <c r="F1560" s="35" t="s">
        <v>411</v>
      </c>
    </row>
    <row r="1561" spans="1:6">
      <c r="A1561" s="35" t="s">
        <v>1973</v>
      </c>
      <c r="B1561" s="37">
        <v>955.6500244140625</v>
      </c>
      <c r="C1561" s="37">
        <v>758.83673095703125</v>
      </c>
      <c r="D1561" s="35">
        <v>6023490</v>
      </c>
      <c r="E1561" s="35" t="s">
        <v>1960</v>
      </c>
      <c r="F1561" s="35" t="s">
        <v>411</v>
      </c>
    </row>
    <row r="1562" spans="1:6">
      <c r="A1562" s="35" t="s">
        <v>1974</v>
      </c>
      <c r="B1562" s="37">
        <v>928.79998779296875</v>
      </c>
      <c r="C1562" s="37">
        <v>737.516357421875</v>
      </c>
      <c r="D1562" s="35">
        <v>19619972</v>
      </c>
      <c r="E1562" s="35" t="s">
        <v>1960</v>
      </c>
      <c r="F1562" s="35" t="s">
        <v>411</v>
      </c>
    </row>
    <row r="1563" spans="1:6">
      <c r="A1563" s="35" t="s">
        <v>1975</v>
      </c>
      <c r="B1563" s="37">
        <v>928.8499755859375</v>
      </c>
      <c r="C1563" s="37">
        <v>737.5560302734375</v>
      </c>
      <c r="D1563" s="35">
        <v>6406825</v>
      </c>
      <c r="E1563" s="35" t="s">
        <v>1960</v>
      </c>
      <c r="F1563" s="35" t="s">
        <v>411</v>
      </c>
    </row>
    <row r="1564" spans="1:6">
      <c r="A1564" s="35" t="s">
        <v>1976</v>
      </c>
      <c r="B1564" s="37">
        <v>923.79998779296875</v>
      </c>
      <c r="C1564" s="37">
        <v>733.54608154296875</v>
      </c>
      <c r="D1564" s="35">
        <v>6845677</v>
      </c>
      <c r="E1564" s="35" t="s">
        <v>1960</v>
      </c>
      <c r="F1564" s="35" t="s">
        <v>411</v>
      </c>
    </row>
    <row r="1565" spans="1:6">
      <c r="A1565" s="35" t="s">
        <v>1977</v>
      </c>
      <c r="B1565" s="37">
        <v>909.54998779296875</v>
      </c>
      <c r="C1565" s="37">
        <v>734.960205078125</v>
      </c>
      <c r="D1565" s="35">
        <v>8588734</v>
      </c>
      <c r="E1565" s="35" t="s">
        <v>1960</v>
      </c>
      <c r="F1565" s="35" t="s">
        <v>411</v>
      </c>
    </row>
    <row r="1566" spans="1:6">
      <c r="A1566" s="35" t="s">
        <v>1978</v>
      </c>
      <c r="B1566" s="37">
        <v>898.95001220703125</v>
      </c>
      <c r="C1566" s="37">
        <v>726.39471435546875</v>
      </c>
      <c r="D1566" s="35">
        <v>10921664</v>
      </c>
      <c r="E1566" s="35" t="s">
        <v>1960</v>
      </c>
      <c r="F1566" s="35" t="s">
        <v>411</v>
      </c>
    </row>
    <row r="1567" spans="1:6">
      <c r="A1567" s="35" t="s">
        <v>1979</v>
      </c>
      <c r="B1567" s="37">
        <v>907.70001220703125</v>
      </c>
      <c r="C1567" s="37">
        <v>733.4652099609375</v>
      </c>
      <c r="D1567" s="35">
        <v>6871176</v>
      </c>
      <c r="E1567" s="35" t="s">
        <v>1960</v>
      </c>
      <c r="F1567" s="35" t="s">
        <v>411</v>
      </c>
    </row>
    <row r="1568" spans="1:6">
      <c r="A1568" s="35" t="s">
        <v>1980</v>
      </c>
      <c r="B1568" s="37">
        <v>900.95001220703125</v>
      </c>
      <c r="C1568" s="37">
        <v>728.010986328125</v>
      </c>
      <c r="D1568" s="35">
        <v>6217026</v>
      </c>
      <c r="E1568" s="35" t="s">
        <v>1960</v>
      </c>
      <c r="F1568" s="35" t="s">
        <v>411</v>
      </c>
    </row>
    <row r="1569" spans="1:6">
      <c r="A1569" s="35" t="s">
        <v>1981</v>
      </c>
      <c r="B1569" s="37">
        <v>909.4000244140625</v>
      </c>
      <c r="C1569" s="37">
        <v>734.839111328125</v>
      </c>
      <c r="D1569" s="35">
        <v>2696835</v>
      </c>
      <c r="E1569" s="35" t="s">
        <v>1960</v>
      </c>
      <c r="F1569" s="35" t="s">
        <v>411</v>
      </c>
    </row>
    <row r="1570" spans="1:6">
      <c r="A1570" s="35" t="s">
        <v>1982</v>
      </c>
      <c r="B1570" s="37">
        <v>916</v>
      </c>
      <c r="C1570" s="37">
        <v>740.17205810546875</v>
      </c>
      <c r="D1570" s="35">
        <v>6319104</v>
      </c>
      <c r="E1570" s="35" t="s">
        <v>1960</v>
      </c>
      <c r="F1570" s="35" t="s">
        <v>411</v>
      </c>
    </row>
    <row r="1571" spans="1:6">
      <c r="A1571" s="35" t="s">
        <v>1983</v>
      </c>
      <c r="B1571" s="37">
        <v>916.4000244140625</v>
      </c>
      <c r="C1571" s="37">
        <v>740.49517822265625</v>
      </c>
      <c r="D1571" s="35">
        <v>3651558</v>
      </c>
      <c r="E1571" s="35" t="s">
        <v>1960</v>
      </c>
      <c r="F1571" s="35" t="s">
        <v>411</v>
      </c>
    </row>
    <row r="1572" spans="1:6">
      <c r="A1572" s="35" t="s">
        <v>1984</v>
      </c>
      <c r="B1572" s="37">
        <v>913.95001220703125</v>
      </c>
      <c r="C1572" s="37">
        <v>738.515625</v>
      </c>
      <c r="D1572" s="35">
        <v>4029147</v>
      </c>
      <c r="E1572" s="35" t="s">
        <v>1960</v>
      </c>
      <c r="F1572" s="35" t="s">
        <v>411</v>
      </c>
    </row>
    <row r="1573" spans="1:6">
      <c r="A1573" s="35" t="s">
        <v>1985</v>
      </c>
      <c r="B1573" s="37">
        <v>907.29998779296875</v>
      </c>
      <c r="C1573" s="37">
        <v>733.14190673828125</v>
      </c>
      <c r="D1573" s="35">
        <v>3818154</v>
      </c>
      <c r="E1573" s="35" t="s">
        <v>1960</v>
      </c>
      <c r="F1573" s="35" t="s">
        <v>411</v>
      </c>
    </row>
    <row r="1574" spans="1:6">
      <c r="A1574" s="35" t="s">
        <v>1986</v>
      </c>
      <c r="B1574" s="37">
        <v>906.0999755859375</v>
      </c>
      <c r="C1574" s="37">
        <v>732.17242431640625</v>
      </c>
      <c r="D1574" s="35">
        <v>4076940</v>
      </c>
      <c r="E1574" s="35" t="s">
        <v>1960</v>
      </c>
      <c r="F1574" s="35" t="s">
        <v>411</v>
      </c>
    </row>
    <row r="1575" spans="1:6">
      <c r="A1575" s="35" t="s">
        <v>1987</v>
      </c>
      <c r="B1575" s="37">
        <v>910.3499755859375</v>
      </c>
      <c r="C1575" s="37">
        <v>735.6065673828125</v>
      </c>
      <c r="D1575" s="35">
        <v>5184569</v>
      </c>
      <c r="E1575" s="35" t="s">
        <v>1960</v>
      </c>
      <c r="F1575" s="35" t="s">
        <v>411</v>
      </c>
    </row>
    <row r="1576" spans="1:6">
      <c r="A1576" s="35" t="s">
        <v>1988</v>
      </c>
      <c r="B1576" s="37">
        <v>922.1500244140625</v>
      </c>
      <c r="C1576" s="37">
        <v>745.14154052734375</v>
      </c>
      <c r="D1576" s="35">
        <v>7956551</v>
      </c>
      <c r="E1576" s="35" t="s">
        <v>1960</v>
      </c>
      <c r="F1576" s="35" t="s">
        <v>411</v>
      </c>
    </row>
    <row r="1577" spans="1:6">
      <c r="A1577" s="35" t="s">
        <v>1989</v>
      </c>
      <c r="B1577" s="37">
        <v>931.5999755859375</v>
      </c>
      <c r="C1577" s="37">
        <v>752.7774658203125</v>
      </c>
      <c r="D1577" s="35">
        <v>5913426</v>
      </c>
      <c r="E1577" s="35" t="s">
        <v>1960</v>
      </c>
      <c r="F1577" s="35" t="s">
        <v>411</v>
      </c>
    </row>
    <row r="1578" spans="1:6">
      <c r="A1578" s="35" t="s">
        <v>1990</v>
      </c>
      <c r="B1578" s="37">
        <v>931.4000244140625</v>
      </c>
      <c r="C1578" s="37">
        <v>752.61590576171875</v>
      </c>
      <c r="D1578" s="35">
        <v>4178834</v>
      </c>
      <c r="E1578" s="35" t="s">
        <v>1960</v>
      </c>
      <c r="F1578" s="35" t="s">
        <v>411</v>
      </c>
    </row>
    <row r="1579" spans="1:6">
      <c r="A1579" s="35" t="s">
        <v>1991</v>
      </c>
      <c r="B1579" s="37">
        <v>924.4000244140625</v>
      </c>
      <c r="C1579" s="37">
        <v>746.959716796875</v>
      </c>
      <c r="D1579" s="35">
        <v>4753782</v>
      </c>
      <c r="E1579" s="35" t="s">
        <v>1960</v>
      </c>
      <c r="F1579" s="35" t="s">
        <v>411</v>
      </c>
    </row>
    <row r="1580" spans="1:6">
      <c r="A1580" s="35" t="s">
        <v>1992</v>
      </c>
      <c r="B1580" s="37">
        <v>930.6500244140625</v>
      </c>
      <c r="C1580" s="37">
        <v>752.00994873046875</v>
      </c>
      <c r="D1580" s="35">
        <v>4161547</v>
      </c>
      <c r="E1580" s="35" t="s">
        <v>1960</v>
      </c>
      <c r="F1580" s="35" t="s">
        <v>411</v>
      </c>
    </row>
    <row r="1581" spans="1:6">
      <c r="A1581" s="35" t="s">
        <v>1993</v>
      </c>
      <c r="B1581" s="37">
        <v>932.79998779296875</v>
      </c>
      <c r="C1581" s="37">
        <v>753.74725341796875</v>
      </c>
      <c r="D1581" s="35">
        <v>4191877</v>
      </c>
      <c r="E1581" s="35" t="s">
        <v>1960</v>
      </c>
      <c r="F1581" s="35" t="s">
        <v>411</v>
      </c>
    </row>
    <row r="1582" spans="1:6">
      <c r="A1582" s="35" t="s">
        <v>1994</v>
      </c>
      <c r="B1582" s="37">
        <v>940.5999755859375</v>
      </c>
      <c r="C1582" s="37">
        <v>760.04998779296875</v>
      </c>
      <c r="D1582" s="35">
        <v>5032874</v>
      </c>
      <c r="E1582" s="35" t="s">
        <v>1960</v>
      </c>
      <c r="F1582" s="35" t="s">
        <v>411</v>
      </c>
    </row>
    <row r="1583" spans="1:6">
      <c r="A1583" s="35" t="s">
        <v>1995</v>
      </c>
      <c r="B1583" s="37">
        <v>945.79998779296875</v>
      </c>
      <c r="C1583" s="37">
        <v>764.2518310546875</v>
      </c>
      <c r="D1583" s="35">
        <v>5017674</v>
      </c>
      <c r="E1583" s="35" t="s">
        <v>1960</v>
      </c>
      <c r="F1583" s="35" t="s">
        <v>411</v>
      </c>
    </row>
    <row r="1584" spans="1:6">
      <c r="A1584" s="35" t="s">
        <v>1996</v>
      </c>
      <c r="B1584" s="37">
        <v>942.4000244140625</v>
      </c>
      <c r="C1584" s="37">
        <v>761.50457763671875</v>
      </c>
      <c r="D1584" s="35">
        <v>9078274</v>
      </c>
      <c r="E1584" s="35" t="s">
        <v>1960</v>
      </c>
      <c r="F1584" s="35" t="s">
        <v>411</v>
      </c>
    </row>
    <row r="1585" spans="1:6">
      <c r="A1585" s="35" t="s">
        <v>1997</v>
      </c>
      <c r="B1585" s="37">
        <v>942.54998779296875</v>
      </c>
      <c r="C1585" s="37">
        <v>761.625732421875</v>
      </c>
      <c r="D1585" s="35">
        <v>4098094</v>
      </c>
      <c r="E1585" s="35" t="s">
        <v>1960</v>
      </c>
      <c r="F1585" s="35" t="s">
        <v>411</v>
      </c>
    </row>
    <row r="1586" spans="1:6">
      <c r="A1586" s="35" t="s">
        <v>1998</v>
      </c>
      <c r="B1586" s="37">
        <v>945.20001220703125</v>
      </c>
      <c r="C1586" s="37">
        <v>763.76702880859375</v>
      </c>
      <c r="D1586" s="35">
        <v>4171524</v>
      </c>
      <c r="E1586" s="35" t="s">
        <v>1960</v>
      </c>
      <c r="F1586" s="35" t="s">
        <v>411</v>
      </c>
    </row>
    <row r="1587" spans="1:6">
      <c r="A1587" s="35" t="s">
        <v>1999</v>
      </c>
      <c r="B1587" s="37">
        <v>950.70001220703125</v>
      </c>
      <c r="C1587" s="37">
        <v>768.21142578125</v>
      </c>
      <c r="D1587" s="35">
        <v>2944472</v>
      </c>
      <c r="E1587" s="35" t="s">
        <v>1960</v>
      </c>
      <c r="F1587" s="35" t="s">
        <v>411</v>
      </c>
    </row>
    <row r="1588" spans="1:6">
      <c r="A1588" s="35" t="s">
        <v>2000</v>
      </c>
      <c r="B1588" s="37">
        <v>943.75</v>
      </c>
      <c r="C1588" s="37">
        <v>762.59539794921875</v>
      </c>
      <c r="D1588" s="35">
        <v>3657189</v>
      </c>
      <c r="E1588" s="35" t="s">
        <v>1960</v>
      </c>
      <c r="F1588" s="35" t="s">
        <v>411</v>
      </c>
    </row>
    <row r="1589" spans="1:6">
      <c r="A1589" s="35" t="s">
        <v>2001</v>
      </c>
      <c r="B1589" s="37">
        <v>939.45001220703125</v>
      </c>
      <c r="C1589" s="37">
        <v>759.1207275390625</v>
      </c>
      <c r="D1589" s="35">
        <v>4164240</v>
      </c>
      <c r="E1589" s="35" t="s">
        <v>1960</v>
      </c>
      <c r="F1589" s="35" t="s">
        <v>411</v>
      </c>
    </row>
    <row r="1590" spans="1:6">
      <c r="A1590" s="35" t="s">
        <v>2002</v>
      </c>
      <c r="B1590" s="37">
        <v>936.54998779296875</v>
      </c>
      <c r="C1590" s="37">
        <v>756.777587890625</v>
      </c>
      <c r="D1590" s="35">
        <v>3550303</v>
      </c>
      <c r="E1590" s="35" t="s">
        <v>1960</v>
      </c>
      <c r="F1590" s="35" t="s">
        <v>411</v>
      </c>
    </row>
    <row r="1591" spans="1:6">
      <c r="A1591" s="35" t="s">
        <v>2003</v>
      </c>
      <c r="B1591" s="37">
        <v>949.5999755859375</v>
      </c>
      <c r="C1591" s="37">
        <v>767.32232666015625</v>
      </c>
      <c r="D1591" s="35">
        <v>3282517</v>
      </c>
      <c r="E1591" s="35" t="s">
        <v>1960</v>
      </c>
      <c r="F1591" s="35" t="s">
        <v>411</v>
      </c>
    </row>
    <row r="1592" spans="1:6">
      <c r="A1592" s="35" t="s">
        <v>2004</v>
      </c>
      <c r="B1592" s="37">
        <v>967.20001220703125</v>
      </c>
      <c r="C1592" s="37">
        <v>781.5440673828125</v>
      </c>
      <c r="D1592" s="35">
        <v>6385642</v>
      </c>
      <c r="E1592" s="35" t="s">
        <v>1960</v>
      </c>
      <c r="F1592" s="35" t="s">
        <v>411</v>
      </c>
    </row>
    <row r="1593" spans="1:6">
      <c r="A1593" s="35" t="s">
        <v>2005</v>
      </c>
      <c r="B1593" s="37">
        <v>971.29998779296875</v>
      </c>
      <c r="C1593" s="37">
        <v>784.857177734375</v>
      </c>
      <c r="D1593" s="35">
        <v>5521459</v>
      </c>
      <c r="E1593" s="35" t="s">
        <v>1960</v>
      </c>
      <c r="F1593" s="35" t="s">
        <v>411</v>
      </c>
    </row>
    <row r="1594" spans="1:6">
      <c r="A1594" s="35" t="s">
        <v>2006</v>
      </c>
      <c r="B1594" s="37">
        <v>968.54998779296875</v>
      </c>
      <c r="C1594" s="37">
        <v>782.63494873046875</v>
      </c>
      <c r="D1594" s="35">
        <v>3878256</v>
      </c>
      <c r="E1594" s="35" t="s">
        <v>1960</v>
      </c>
      <c r="F1594" s="35" t="s">
        <v>411</v>
      </c>
    </row>
    <row r="1595" spans="1:6">
      <c r="A1595" s="35" t="s">
        <v>2007</v>
      </c>
      <c r="B1595" s="37">
        <v>983.3499755859375</v>
      </c>
      <c r="C1595" s="37">
        <v>794.59405517578125</v>
      </c>
      <c r="D1595" s="35">
        <v>4777035</v>
      </c>
      <c r="E1595" s="35" t="s">
        <v>1960</v>
      </c>
      <c r="F1595" s="35" t="s">
        <v>411</v>
      </c>
    </row>
    <row r="1596" spans="1:6">
      <c r="A1596" s="35" t="s">
        <v>2008</v>
      </c>
      <c r="B1596" s="37">
        <v>984.20001220703125</v>
      </c>
      <c r="C1596" s="37">
        <v>795.281005859375</v>
      </c>
      <c r="D1596" s="35">
        <v>2236373</v>
      </c>
      <c r="E1596" s="35" t="s">
        <v>1960</v>
      </c>
      <c r="F1596" s="35" t="s">
        <v>411</v>
      </c>
    </row>
    <row r="1597" spans="1:6">
      <c r="A1597" s="35" t="s">
        <v>2009</v>
      </c>
      <c r="B1597" s="37">
        <v>985.45001220703125</v>
      </c>
      <c r="C1597" s="37">
        <v>796.29107666015625</v>
      </c>
      <c r="D1597" s="35">
        <v>2559001</v>
      </c>
      <c r="E1597" s="35" t="s">
        <v>1960</v>
      </c>
      <c r="F1597" s="35" t="s">
        <v>411</v>
      </c>
    </row>
    <row r="1598" spans="1:6">
      <c r="A1598" s="35" t="s">
        <v>2010</v>
      </c>
      <c r="B1598" s="37">
        <v>979.4000244140625</v>
      </c>
      <c r="C1598" s="37">
        <v>791.40234375</v>
      </c>
      <c r="D1598" s="35">
        <v>3138753</v>
      </c>
      <c r="E1598" s="35" t="s">
        <v>1960</v>
      </c>
      <c r="F1598" s="35" t="s">
        <v>411</v>
      </c>
    </row>
    <row r="1599" spans="1:6">
      <c r="A1599" s="35" t="s">
        <v>2011</v>
      </c>
      <c r="B1599" s="37">
        <v>986.4000244140625</v>
      </c>
      <c r="C1599" s="37">
        <v>797.05853271484375</v>
      </c>
      <c r="D1599" s="35">
        <v>3609989</v>
      </c>
      <c r="E1599" s="35" t="s">
        <v>1960</v>
      </c>
      <c r="F1599" s="35" t="s">
        <v>411</v>
      </c>
    </row>
    <row r="1600" spans="1:6">
      <c r="A1600" s="35" t="s">
        <v>2012</v>
      </c>
      <c r="B1600" s="37">
        <v>975.25</v>
      </c>
      <c r="C1600" s="37">
        <v>788.04888916015625</v>
      </c>
      <c r="D1600" s="35">
        <v>5622783</v>
      </c>
      <c r="E1600" s="35" t="s">
        <v>1960</v>
      </c>
      <c r="F1600" s="35" t="s">
        <v>411</v>
      </c>
    </row>
    <row r="1601" spans="1:6">
      <c r="A1601" s="35" t="s">
        <v>2013</v>
      </c>
      <c r="B1601" s="37">
        <v>982</v>
      </c>
      <c r="C1601" s="37">
        <v>793.5032958984375</v>
      </c>
      <c r="D1601" s="35">
        <v>1639495</v>
      </c>
      <c r="E1601" s="35" t="s">
        <v>1960</v>
      </c>
      <c r="F1601" s="35" t="s">
        <v>411</v>
      </c>
    </row>
    <row r="1602" spans="1:6">
      <c r="A1602" s="35" t="s">
        <v>2014</v>
      </c>
      <c r="B1602" s="37">
        <v>980.0999755859375</v>
      </c>
      <c r="C1602" s="37">
        <v>791.968017578125</v>
      </c>
      <c r="D1602" s="35">
        <v>2529648</v>
      </c>
      <c r="E1602" s="35" t="s">
        <v>1960</v>
      </c>
      <c r="F1602" s="35" t="s">
        <v>411</v>
      </c>
    </row>
    <row r="1603" spans="1:6">
      <c r="A1603" s="35" t="s">
        <v>2015</v>
      </c>
      <c r="B1603" s="37">
        <v>972.9000244140625</v>
      </c>
      <c r="C1603" s="37">
        <v>786.14996337890625</v>
      </c>
      <c r="D1603" s="35">
        <v>2395543</v>
      </c>
      <c r="E1603" s="35" t="s">
        <v>1960</v>
      </c>
      <c r="F1603" s="35" t="s">
        <v>411</v>
      </c>
    </row>
    <row r="1604" spans="1:6">
      <c r="A1604" s="35" t="s">
        <v>2016</v>
      </c>
      <c r="B1604" s="37">
        <v>989.70001220703125</v>
      </c>
      <c r="C1604" s="37">
        <v>799.72515869140625</v>
      </c>
      <c r="D1604" s="35">
        <v>4686567</v>
      </c>
      <c r="E1604" s="35" t="s">
        <v>1960</v>
      </c>
      <c r="F1604" s="35" t="s">
        <v>411</v>
      </c>
    </row>
    <row r="1605" spans="1:6">
      <c r="A1605" s="35" t="s">
        <v>2017</v>
      </c>
      <c r="B1605" s="37">
        <v>995.6500244140625</v>
      </c>
      <c r="C1605" s="37">
        <v>804.532958984375</v>
      </c>
      <c r="D1605" s="35">
        <v>5196000</v>
      </c>
      <c r="E1605" s="35" t="s">
        <v>1960</v>
      </c>
      <c r="F1605" s="35" t="s">
        <v>411</v>
      </c>
    </row>
    <row r="1606" spans="1:6">
      <c r="A1606" s="35" t="s">
        <v>2018</v>
      </c>
      <c r="B1606" s="37">
        <v>985.29998779296875</v>
      </c>
      <c r="C1606" s="37">
        <v>796.1697998046875</v>
      </c>
      <c r="D1606" s="35">
        <v>1844159</v>
      </c>
      <c r="E1606" s="35" t="s">
        <v>1960</v>
      </c>
      <c r="F1606" s="35" t="s">
        <v>411</v>
      </c>
    </row>
    <row r="1607" spans="1:6">
      <c r="A1607" s="35" t="s">
        <v>2019</v>
      </c>
      <c r="B1607" s="37">
        <v>983.5999755859375</v>
      </c>
      <c r="C1607" s="37">
        <v>794.7960205078125</v>
      </c>
      <c r="D1607" s="35">
        <v>1895170</v>
      </c>
      <c r="E1607" s="35" t="s">
        <v>1960</v>
      </c>
      <c r="F1607" s="35" t="s">
        <v>411</v>
      </c>
    </row>
    <row r="1608" spans="1:6">
      <c r="A1608" s="35" t="s">
        <v>2020</v>
      </c>
      <c r="B1608" s="37">
        <v>983.5</v>
      </c>
      <c r="C1608" s="37">
        <v>794.71527099609375</v>
      </c>
      <c r="D1608" s="35">
        <v>2682591</v>
      </c>
      <c r="E1608" s="35" t="s">
        <v>1960</v>
      </c>
      <c r="F1608" s="35" t="s">
        <v>411</v>
      </c>
    </row>
    <row r="1609" spans="1:6">
      <c r="A1609" s="35" t="s">
        <v>2021</v>
      </c>
      <c r="B1609" s="37">
        <v>985.5</v>
      </c>
      <c r="C1609" s="37">
        <v>796.33135986328125</v>
      </c>
      <c r="D1609" s="35">
        <v>2861509</v>
      </c>
      <c r="E1609" s="35" t="s">
        <v>1960</v>
      </c>
      <c r="F1609" s="35" t="s">
        <v>411</v>
      </c>
    </row>
    <row r="1610" spans="1:6">
      <c r="A1610" s="35" t="s">
        <v>2022</v>
      </c>
      <c r="B1610" s="37">
        <v>984.6500244140625</v>
      </c>
      <c r="C1610" s="37">
        <v>795.64459228515625</v>
      </c>
      <c r="D1610" s="35">
        <v>1646631</v>
      </c>
      <c r="E1610" s="35" t="s">
        <v>1960</v>
      </c>
      <c r="F1610" s="35" t="s">
        <v>411</v>
      </c>
    </row>
    <row r="1611" spans="1:6">
      <c r="A1611" s="35" t="s">
        <v>2023</v>
      </c>
      <c r="B1611" s="37">
        <v>979.75</v>
      </c>
      <c r="C1611" s="37">
        <v>791.68505859375</v>
      </c>
      <c r="D1611" s="35">
        <v>2598033</v>
      </c>
      <c r="E1611" s="35" t="s">
        <v>1960</v>
      </c>
      <c r="F1611" s="35" t="s">
        <v>411</v>
      </c>
    </row>
    <row r="1612" spans="1:6">
      <c r="A1612" s="35" t="s">
        <v>2024</v>
      </c>
      <c r="B1612" s="37">
        <v>972.04998779296875</v>
      </c>
      <c r="C1612" s="37">
        <v>785.46319580078125</v>
      </c>
      <c r="D1612" s="35">
        <v>2486069</v>
      </c>
      <c r="E1612" s="35" t="s">
        <v>1960</v>
      </c>
      <c r="F1612" s="35" t="s">
        <v>411</v>
      </c>
    </row>
    <row r="1613" spans="1:6">
      <c r="A1613" s="35" t="s">
        <v>2025</v>
      </c>
      <c r="B1613" s="37">
        <v>975.3499755859375</v>
      </c>
      <c r="C1613" s="37">
        <v>788.1297607421875</v>
      </c>
      <c r="D1613" s="35">
        <v>3014899</v>
      </c>
      <c r="E1613" s="35" t="s">
        <v>1960</v>
      </c>
      <c r="F1613" s="35" t="s">
        <v>411</v>
      </c>
    </row>
    <row r="1614" spans="1:6">
      <c r="A1614" s="35" t="s">
        <v>2026</v>
      </c>
      <c r="B1614" s="37">
        <v>976.79998779296875</v>
      </c>
      <c r="C1614" s="37">
        <v>789.30133056640625</v>
      </c>
      <c r="D1614" s="35">
        <v>2555624</v>
      </c>
      <c r="E1614" s="35" t="s">
        <v>1960</v>
      </c>
      <c r="F1614" s="35" t="s">
        <v>411</v>
      </c>
    </row>
    <row r="1615" spans="1:6">
      <c r="A1615" s="35" t="s">
        <v>2027</v>
      </c>
      <c r="B1615" s="37">
        <v>976.8499755859375</v>
      </c>
      <c r="C1615" s="37">
        <v>789.34173583984375</v>
      </c>
      <c r="D1615" s="35">
        <v>3218471</v>
      </c>
      <c r="E1615" s="35" t="s">
        <v>1960</v>
      </c>
      <c r="F1615" s="35" t="s">
        <v>411</v>
      </c>
    </row>
    <row r="1616" spans="1:6">
      <c r="A1616" s="35" t="s">
        <v>2028</v>
      </c>
      <c r="B1616" s="37">
        <v>979.45001220703125</v>
      </c>
      <c r="C1616" s="37">
        <v>791.442626953125</v>
      </c>
      <c r="D1616" s="35">
        <v>2037878</v>
      </c>
      <c r="E1616" s="35" t="s">
        <v>1960</v>
      </c>
      <c r="F1616" s="35" t="s">
        <v>411</v>
      </c>
    </row>
    <row r="1617" spans="1:6">
      <c r="A1617" s="35" t="s">
        <v>2029</v>
      </c>
      <c r="B1617" s="37">
        <v>967.95001220703125</v>
      </c>
      <c r="C1617" s="37">
        <v>782.15020751953125</v>
      </c>
      <c r="D1617" s="35">
        <v>2997764</v>
      </c>
      <c r="E1617" s="35" t="s">
        <v>1960</v>
      </c>
      <c r="F1617" s="35" t="s">
        <v>411</v>
      </c>
    </row>
    <row r="1618" spans="1:6">
      <c r="A1618" s="35" t="s">
        <v>2030</v>
      </c>
      <c r="B1618" s="37">
        <v>989.45001220703125</v>
      </c>
      <c r="C1618" s="37">
        <v>799.5230712890625</v>
      </c>
      <c r="D1618" s="35">
        <v>4371180</v>
      </c>
      <c r="E1618" s="35" t="s">
        <v>1960</v>
      </c>
      <c r="F1618" s="35" t="s">
        <v>411</v>
      </c>
    </row>
    <row r="1619" spans="1:6">
      <c r="A1619" s="35" t="s">
        <v>2031</v>
      </c>
      <c r="B1619" s="37">
        <v>1039.75</v>
      </c>
      <c r="C1619" s="37">
        <v>840.16802978515625</v>
      </c>
      <c r="D1619" s="35">
        <v>12701032</v>
      </c>
      <c r="E1619" s="35" t="s">
        <v>1960</v>
      </c>
      <c r="F1619" s="35" t="s">
        <v>411</v>
      </c>
    </row>
    <row r="1620" spans="1:6">
      <c r="A1620" s="35" t="s">
        <v>2032</v>
      </c>
      <c r="B1620" s="37">
        <v>1005</v>
      </c>
      <c r="C1620" s="37">
        <v>812.08819580078125</v>
      </c>
      <c r="D1620" s="35">
        <v>8665827</v>
      </c>
      <c r="E1620" s="35" t="s">
        <v>1960</v>
      </c>
      <c r="F1620" s="35" t="s">
        <v>411</v>
      </c>
    </row>
    <row r="1621" spans="1:6">
      <c r="A1621" s="35" t="s">
        <v>2033</v>
      </c>
      <c r="B1621" s="37">
        <v>1000.2000122070313</v>
      </c>
      <c r="C1621" s="37">
        <v>808.2095947265625</v>
      </c>
      <c r="D1621" s="35">
        <v>4644600</v>
      </c>
      <c r="E1621" s="35" t="s">
        <v>1960</v>
      </c>
      <c r="F1621" s="35" t="s">
        <v>411</v>
      </c>
    </row>
    <row r="1622" spans="1:6">
      <c r="A1622" s="35" t="s">
        <v>2034</v>
      </c>
      <c r="B1622" s="37">
        <v>977.20001220703125</v>
      </c>
      <c r="C1622" s="37">
        <v>789.62451171875</v>
      </c>
      <c r="D1622" s="35">
        <v>10216774</v>
      </c>
      <c r="E1622" s="35" t="s">
        <v>1960</v>
      </c>
      <c r="F1622" s="35" t="s">
        <v>411</v>
      </c>
    </row>
    <row r="1623" spans="1:6">
      <c r="A1623" s="35" t="s">
        <v>2035</v>
      </c>
      <c r="B1623" s="37">
        <v>978.5999755859375</v>
      </c>
      <c r="C1623" s="37">
        <v>790.755859375</v>
      </c>
      <c r="D1623" s="35">
        <v>6156400</v>
      </c>
      <c r="E1623" s="35" t="s">
        <v>1960</v>
      </c>
      <c r="F1623" s="35" t="s">
        <v>411</v>
      </c>
    </row>
    <row r="1624" spans="1:6">
      <c r="A1624" s="35" t="s">
        <v>2036</v>
      </c>
      <c r="B1624" s="37">
        <v>994</v>
      </c>
      <c r="C1624" s="37">
        <v>803.1998291015625</v>
      </c>
      <c r="D1624" s="35">
        <v>5265839</v>
      </c>
      <c r="E1624" s="35" t="s">
        <v>1960</v>
      </c>
      <c r="F1624" s="35" t="s">
        <v>411</v>
      </c>
    </row>
    <row r="1625" spans="1:6">
      <c r="A1625" s="35" t="s">
        <v>2037</v>
      </c>
      <c r="B1625" s="37">
        <v>1000.2999877929688</v>
      </c>
      <c r="C1625" s="37">
        <v>808.29046630859375</v>
      </c>
      <c r="D1625" s="35">
        <v>2477027</v>
      </c>
      <c r="E1625" s="35" t="s">
        <v>1960</v>
      </c>
      <c r="F1625" s="35" t="s">
        <v>411</v>
      </c>
    </row>
    <row r="1626" spans="1:6">
      <c r="A1626" s="35" t="s">
        <v>2038</v>
      </c>
      <c r="B1626" s="37">
        <v>992</v>
      </c>
      <c r="C1626" s="37">
        <v>806.420654296875</v>
      </c>
      <c r="D1626" s="35">
        <v>2883514</v>
      </c>
      <c r="E1626" s="35" t="s">
        <v>1960</v>
      </c>
      <c r="F1626" s="35" t="s">
        <v>411</v>
      </c>
    </row>
    <row r="1627" spans="1:6">
      <c r="A1627" s="35" t="s">
        <v>2039</v>
      </c>
      <c r="B1627" s="37">
        <v>983.0999755859375</v>
      </c>
      <c r="C1627" s="37">
        <v>799.18572998046875</v>
      </c>
      <c r="D1627" s="35">
        <v>2952249</v>
      </c>
      <c r="E1627" s="35" t="s">
        <v>1960</v>
      </c>
      <c r="F1627" s="35" t="s">
        <v>411</v>
      </c>
    </row>
    <row r="1628" spans="1:6">
      <c r="A1628" s="35" t="s">
        <v>2040</v>
      </c>
      <c r="B1628" s="37">
        <v>1007.5999755859375</v>
      </c>
      <c r="C1628" s="37">
        <v>819.102294921875</v>
      </c>
      <c r="D1628" s="35">
        <v>4732101</v>
      </c>
      <c r="E1628" s="35" t="s">
        <v>1960</v>
      </c>
      <c r="F1628" s="35" t="s">
        <v>411</v>
      </c>
    </row>
    <row r="1629" spans="1:6">
      <c r="A1629" s="35" t="s">
        <v>2041</v>
      </c>
      <c r="B1629" s="37">
        <v>1024.949951171875</v>
      </c>
      <c r="C1629" s="37">
        <v>833.20660400390625</v>
      </c>
      <c r="D1629" s="35">
        <v>9330054</v>
      </c>
      <c r="E1629" s="35" t="s">
        <v>1960</v>
      </c>
      <c r="F1629" s="35" t="s">
        <v>411</v>
      </c>
    </row>
    <row r="1630" spans="1:6">
      <c r="A1630" s="35" t="s">
        <v>2042</v>
      </c>
      <c r="B1630" s="37">
        <v>1035.4000244140625</v>
      </c>
      <c r="C1630" s="37">
        <v>841.70172119140625</v>
      </c>
      <c r="D1630" s="35">
        <v>2536478</v>
      </c>
      <c r="E1630" s="35" t="s">
        <v>1960</v>
      </c>
      <c r="F1630" s="35" t="s">
        <v>411</v>
      </c>
    </row>
    <row r="1631" spans="1:6">
      <c r="A1631" s="35" t="s">
        <v>2043</v>
      </c>
      <c r="B1631" s="37">
        <v>1039.449951171875</v>
      </c>
      <c r="C1631" s="37">
        <v>844.9940185546875</v>
      </c>
      <c r="D1631" s="35">
        <v>3359006</v>
      </c>
      <c r="E1631" s="35" t="s">
        <v>1960</v>
      </c>
      <c r="F1631" s="35" t="s">
        <v>411</v>
      </c>
    </row>
    <row r="1632" spans="1:6">
      <c r="A1632" s="35" t="s">
        <v>2044</v>
      </c>
      <c r="B1632" s="37">
        <v>1039.949951171875</v>
      </c>
      <c r="C1632" s="37">
        <v>845.400390625</v>
      </c>
      <c r="D1632" s="35">
        <v>3122161</v>
      </c>
      <c r="E1632" s="35" t="s">
        <v>1960</v>
      </c>
      <c r="F1632" s="35" t="s">
        <v>411</v>
      </c>
    </row>
    <row r="1633" spans="1:6">
      <c r="A1633" s="35" t="s">
        <v>2045</v>
      </c>
      <c r="B1633" s="37">
        <v>1061.1500244140625</v>
      </c>
      <c r="C1633" s="37">
        <v>862.634521484375</v>
      </c>
      <c r="D1633" s="35">
        <v>7896314</v>
      </c>
      <c r="E1633" s="35" t="s">
        <v>1960</v>
      </c>
      <c r="F1633" s="35" t="s">
        <v>411</v>
      </c>
    </row>
    <row r="1634" spans="1:6">
      <c r="A1634" s="35" t="s">
        <v>2046</v>
      </c>
      <c r="B1634" s="37">
        <v>1049.949951171875</v>
      </c>
      <c r="C1634" s="37">
        <v>853.5296630859375</v>
      </c>
      <c r="D1634" s="35">
        <v>11584782</v>
      </c>
      <c r="E1634" s="35" t="s">
        <v>1960</v>
      </c>
      <c r="F1634" s="35" t="s">
        <v>411</v>
      </c>
    </row>
    <row r="1635" spans="1:6">
      <c r="A1635" s="35" t="s">
        <v>2047</v>
      </c>
      <c r="B1635" s="37">
        <v>1050.550048828125</v>
      </c>
      <c r="C1635" s="37">
        <v>854.01763916015625</v>
      </c>
      <c r="D1635" s="35">
        <v>6321578</v>
      </c>
      <c r="E1635" s="35" t="s">
        <v>1960</v>
      </c>
      <c r="F1635" s="35" t="s">
        <v>411</v>
      </c>
    </row>
    <row r="1636" spans="1:6">
      <c r="A1636" s="35" t="s">
        <v>2048</v>
      </c>
      <c r="B1636" s="37">
        <v>1063.699951171875</v>
      </c>
      <c r="C1636" s="37">
        <v>864.7073974609375</v>
      </c>
      <c r="D1636" s="35">
        <v>5871606</v>
      </c>
      <c r="E1636" s="35" t="s">
        <v>1960</v>
      </c>
      <c r="F1636" s="35" t="s">
        <v>411</v>
      </c>
    </row>
    <row r="1637" spans="1:6">
      <c r="A1637" s="35" t="s">
        <v>2049</v>
      </c>
      <c r="B1637" s="37">
        <v>1066.949951171875</v>
      </c>
      <c r="C1637" s="37">
        <v>867.3494873046875</v>
      </c>
      <c r="D1637" s="35">
        <v>5011239</v>
      </c>
      <c r="E1637" s="35" t="s">
        <v>1960</v>
      </c>
      <c r="F1637" s="35" t="s">
        <v>411</v>
      </c>
    </row>
    <row r="1638" spans="1:6">
      <c r="A1638" s="35" t="s">
        <v>2050</v>
      </c>
      <c r="B1638" s="37">
        <v>1096.5</v>
      </c>
      <c r="C1638" s="37">
        <v>891.37139892578125</v>
      </c>
      <c r="D1638" s="35">
        <v>6540144</v>
      </c>
      <c r="E1638" s="35" t="s">
        <v>1960</v>
      </c>
      <c r="F1638" s="35" t="s">
        <v>411</v>
      </c>
    </row>
    <row r="1639" spans="1:6">
      <c r="A1639" s="35" t="s">
        <v>2051</v>
      </c>
      <c r="B1639" s="37">
        <v>1119.449951171875</v>
      </c>
      <c r="C1639" s="37">
        <v>910.02789306640625</v>
      </c>
      <c r="D1639" s="35">
        <v>7270809</v>
      </c>
      <c r="E1639" s="35" t="s">
        <v>1960</v>
      </c>
      <c r="F1639" s="35" t="s">
        <v>411</v>
      </c>
    </row>
    <row r="1640" spans="1:6">
      <c r="A1640" s="35" t="s">
        <v>2052</v>
      </c>
      <c r="B1640" s="37">
        <v>1123.6500244140625</v>
      </c>
      <c r="C1640" s="37">
        <v>913.4422607421875</v>
      </c>
      <c r="D1640" s="35">
        <v>3159376</v>
      </c>
      <c r="E1640" s="35" t="s">
        <v>1960</v>
      </c>
      <c r="F1640" s="35" t="s">
        <v>411</v>
      </c>
    </row>
    <row r="1641" spans="1:6">
      <c r="A1641" s="35" t="s">
        <v>2053</v>
      </c>
      <c r="B1641" s="37">
        <v>1142.949951171875</v>
      </c>
      <c r="C1641" s="37">
        <v>929.13165283203125</v>
      </c>
      <c r="D1641" s="35">
        <v>5295838</v>
      </c>
      <c r="E1641" s="35" t="s">
        <v>1960</v>
      </c>
      <c r="F1641" s="35" t="s">
        <v>411</v>
      </c>
    </row>
    <row r="1642" spans="1:6">
      <c r="A1642" s="35" t="s">
        <v>2054</v>
      </c>
      <c r="B1642" s="37">
        <v>1134.25</v>
      </c>
      <c r="C1642" s="37">
        <v>922.05938720703125</v>
      </c>
      <c r="D1642" s="35">
        <v>4871006</v>
      </c>
      <c r="E1642" s="35" t="s">
        <v>1960</v>
      </c>
      <c r="F1642" s="35" t="s">
        <v>411</v>
      </c>
    </row>
    <row r="1643" spans="1:6">
      <c r="A1643" s="35" t="s">
        <v>2055</v>
      </c>
      <c r="B1643" s="37">
        <v>1117.3499755859375</v>
      </c>
      <c r="C1643" s="37">
        <v>908.3206787109375</v>
      </c>
      <c r="D1643" s="35">
        <v>3467046</v>
      </c>
      <c r="E1643" s="35" t="s">
        <v>1960</v>
      </c>
      <c r="F1643" s="35" t="s">
        <v>411</v>
      </c>
    </row>
    <row r="1644" spans="1:6">
      <c r="A1644" s="35" t="s">
        <v>2056</v>
      </c>
      <c r="B1644" s="37">
        <v>1163.0999755859375</v>
      </c>
      <c r="C1644" s="37">
        <v>945.5120849609375</v>
      </c>
      <c r="D1644" s="35">
        <v>9383780</v>
      </c>
      <c r="E1644" s="35" t="s">
        <v>1960</v>
      </c>
      <c r="F1644" s="35" t="s">
        <v>411</v>
      </c>
    </row>
    <row r="1645" spans="1:6">
      <c r="A1645" s="35" t="s">
        <v>2057</v>
      </c>
      <c r="B1645" s="37">
        <v>1152.9000244140625</v>
      </c>
      <c r="C1645" s="37">
        <v>937.2203369140625</v>
      </c>
      <c r="D1645" s="35">
        <v>3947317</v>
      </c>
      <c r="E1645" s="35" t="s">
        <v>1960</v>
      </c>
      <c r="F1645" s="35" t="s">
        <v>411</v>
      </c>
    </row>
    <row r="1646" spans="1:6">
      <c r="A1646" s="35" t="s">
        <v>2058</v>
      </c>
      <c r="B1646" s="37">
        <v>1154.3499755859375</v>
      </c>
      <c r="C1646" s="37">
        <v>938.39898681640625</v>
      </c>
      <c r="D1646" s="35">
        <v>3447912</v>
      </c>
      <c r="E1646" s="35" t="s">
        <v>1960</v>
      </c>
      <c r="F1646" s="35" t="s">
        <v>411</v>
      </c>
    </row>
    <row r="1647" spans="1:6">
      <c r="A1647" s="35" t="s">
        <v>2059</v>
      </c>
      <c r="B1647" s="37">
        <v>1167.449951171875</v>
      </c>
      <c r="C1647" s="37">
        <v>949.04815673828125</v>
      </c>
      <c r="D1647" s="35">
        <v>4654833</v>
      </c>
      <c r="E1647" s="35" t="s">
        <v>1960</v>
      </c>
      <c r="F1647" s="35" t="s">
        <v>411</v>
      </c>
    </row>
    <row r="1648" spans="1:6">
      <c r="A1648" s="35" t="s">
        <v>2060</v>
      </c>
      <c r="B1648" s="37">
        <v>1162.949951171875</v>
      </c>
      <c r="C1648" s="37">
        <v>945.39007568359375</v>
      </c>
      <c r="D1648" s="35">
        <v>3050466</v>
      </c>
      <c r="E1648" s="35" t="s">
        <v>1960</v>
      </c>
      <c r="F1648" s="35" t="s">
        <v>411</v>
      </c>
    </row>
    <row r="1649" spans="1:6">
      <c r="A1649" s="35" t="s">
        <v>2061</v>
      </c>
      <c r="B1649" s="37">
        <v>1163.4000244140625</v>
      </c>
      <c r="C1649" s="37">
        <v>945.75592041015625</v>
      </c>
      <c r="D1649" s="35">
        <v>2956868</v>
      </c>
      <c r="E1649" s="35" t="s">
        <v>1960</v>
      </c>
      <c r="F1649" s="35" t="s">
        <v>411</v>
      </c>
    </row>
    <row r="1650" spans="1:6">
      <c r="A1650" s="35" t="s">
        <v>2062</v>
      </c>
      <c r="B1650" s="37">
        <v>1182.300048828125</v>
      </c>
      <c r="C1650" s="37">
        <v>961.12017822265625</v>
      </c>
      <c r="D1650" s="35">
        <v>7199002</v>
      </c>
      <c r="E1650" s="35" t="s">
        <v>1960</v>
      </c>
      <c r="F1650" s="35" t="s">
        <v>411</v>
      </c>
    </row>
    <row r="1651" spans="1:6">
      <c r="A1651" s="35" t="s">
        <v>2063</v>
      </c>
      <c r="B1651" s="37">
        <v>1164.6500244140625</v>
      </c>
      <c r="C1651" s="37">
        <v>946.77227783203125</v>
      </c>
      <c r="D1651" s="35">
        <v>3200410</v>
      </c>
      <c r="E1651" s="35" t="s">
        <v>1960</v>
      </c>
      <c r="F1651" s="35" t="s">
        <v>411</v>
      </c>
    </row>
    <row r="1652" spans="1:6">
      <c r="A1652" s="35" t="s">
        <v>2064</v>
      </c>
      <c r="B1652" s="37">
        <v>1172.75</v>
      </c>
      <c r="C1652" s="37">
        <v>953.3568115234375</v>
      </c>
      <c r="D1652" s="35">
        <v>5224479</v>
      </c>
      <c r="E1652" s="35" t="s">
        <v>1960</v>
      </c>
      <c r="F1652" s="35" t="s">
        <v>411</v>
      </c>
    </row>
    <row r="1653" spans="1:6">
      <c r="A1653" s="35" t="s">
        <v>2065</v>
      </c>
      <c r="B1653" s="37">
        <v>1174.75</v>
      </c>
      <c r="C1653" s="37">
        <v>954.982666015625</v>
      </c>
      <c r="D1653" s="35">
        <v>4533364</v>
      </c>
      <c r="E1653" s="35" t="s">
        <v>1960</v>
      </c>
      <c r="F1653" s="35" t="s">
        <v>411</v>
      </c>
    </row>
    <row r="1654" spans="1:6">
      <c r="A1654" s="35" t="s">
        <v>2066</v>
      </c>
      <c r="B1654" s="37">
        <v>1200.1500244140625</v>
      </c>
      <c r="C1654" s="37">
        <v>975.6309814453125</v>
      </c>
      <c r="D1654" s="35">
        <v>4331916</v>
      </c>
      <c r="E1654" s="35" t="s">
        <v>1960</v>
      </c>
      <c r="F1654" s="35" t="s">
        <v>411</v>
      </c>
    </row>
    <row r="1655" spans="1:6">
      <c r="A1655" s="35" t="s">
        <v>2067</v>
      </c>
      <c r="B1655" s="37">
        <v>1182.199951171875</v>
      </c>
      <c r="C1655" s="37">
        <v>961.03900146484375</v>
      </c>
      <c r="D1655" s="35">
        <v>3721585</v>
      </c>
      <c r="E1655" s="35" t="s">
        <v>1960</v>
      </c>
      <c r="F1655" s="35" t="s">
        <v>411</v>
      </c>
    </row>
    <row r="1656" spans="1:6">
      <c r="A1656" s="35" t="s">
        <v>2068</v>
      </c>
      <c r="B1656" s="37">
        <v>1188.800048828125</v>
      </c>
      <c r="C1656" s="37">
        <v>966.40399169921875</v>
      </c>
      <c r="D1656" s="35">
        <v>3118518</v>
      </c>
      <c r="E1656" s="35" t="s">
        <v>1960</v>
      </c>
      <c r="F1656" s="35" t="s">
        <v>411</v>
      </c>
    </row>
    <row r="1657" spans="1:6">
      <c r="A1657" s="35" t="s">
        <v>2069</v>
      </c>
      <c r="B1657" s="37">
        <v>1198.550048828125</v>
      </c>
      <c r="C1657" s="37">
        <v>974.33026123046875</v>
      </c>
      <c r="D1657" s="35">
        <v>3388292</v>
      </c>
      <c r="E1657" s="35" t="s">
        <v>1960</v>
      </c>
      <c r="F1657" s="35" t="s">
        <v>411</v>
      </c>
    </row>
    <row r="1658" spans="1:6">
      <c r="A1658" s="35" t="s">
        <v>2070</v>
      </c>
      <c r="B1658" s="37">
        <v>1208.4000244140625</v>
      </c>
      <c r="C1658" s="37">
        <v>982.3375244140625</v>
      </c>
      <c r="D1658" s="35">
        <v>3723138</v>
      </c>
      <c r="E1658" s="35" t="s">
        <v>1960</v>
      </c>
      <c r="F1658" s="35" t="s">
        <v>411</v>
      </c>
    </row>
    <row r="1659" spans="1:6">
      <c r="A1659" s="35" t="s">
        <v>2071</v>
      </c>
      <c r="B1659" s="37">
        <v>1238.6500244140625</v>
      </c>
      <c r="C1659" s="37">
        <v>1006.9285888671875</v>
      </c>
      <c r="D1659" s="35">
        <v>5593286</v>
      </c>
      <c r="E1659" s="35" t="s">
        <v>1960</v>
      </c>
      <c r="F1659" s="35" t="s">
        <v>411</v>
      </c>
    </row>
    <row r="1660" spans="1:6">
      <c r="A1660" s="35" t="s">
        <v>2072</v>
      </c>
      <c r="B1660" s="37">
        <v>1273.25</v>
      </c>
      <c r="C1660" s="37">
        <v>1035.0557861328125</v>
      </c>
      <c r="D1660" s="35">
        <v>6063895</v>
      </c>
      <c r="E1660" s="35" t="s">
        <v>1960</v>
      </c>
      <c r="F1660" s="35" t="s">
        <v>411</v>
      </c>
    </row>
    <row r="1661" spans="1:6">
      <c r="A1661" s="35" t="s">
        <v>2073</v>
      </c>
      <c r="B1661" s="37">
        <v>1263.0999755859375</v>
      </c>
      <c r="C1661" s="37">
        <v>1026.8043212890625</v>
      </c>
      <c r="D1661" s="35">
        <v>3616292</v>
      </c>
      <c r="E1661" s="35" t="s">
        <v>1960</v>
      </c>
      <c r="F1661" s="35" t="s">
        <v>411</v>
      </c>
    </row>
    <row r="1662" spans="1:6">
      <c r="A1662" s="35" t="s">
        <v>2074</v>
      </c>
      <c r="B1662" s="37">
        <v>1263.300048828125</v>
      </c>
      <c r="C1662" s="37">
        <v>1026.9671630859375</v>
      </c>
      <c r="D1662" s="35">
        <v>4817180</v>
      </c>
      <c r="E1662" s="35" t="s">
        <v>1960</v>
      </c>
      <c r="F1662" s="35" t="s">
        <v>411</v>
      </c>
    </row>
    <row r="1663" spans="1:6">
      <c r="A1663" s="35" t="s">
        <v>2075</v>
      </c>
      <c r="B1663" s="37">
        <v>1276.1500244140625</v>
      </c>
      <c r="C1663" s="37">
        <v>1037.4130859375</v>
      </c>
      <c r="D1663" s="35">
        <v>5453683</v>
      </c>
      <c r="E1663" s="35" t="s">
        <v>1960</v>
      </c>
      <c r="F1663" s="35" t="s">
        <v>411</v>
      </c>
    </row>
    <row r="1664" spans="1:6">
      <c r="A1664" s="35" t="s">
        <v>2076</v>
      </c>
      <c r="B1664" s="37">
        <v>1299.5</v>
      </c>
      <c r="C1664" s="37">
        <v>1056.3948974609375</v>
      </c>
      <c r="D1664" s="35">
        <v>4645597</v>
      </c>
      <c r="E1664" s="35" t="s">
        <v>1960</v>
      </c>
      <c r="F1664" s="35" t="s">
        <v>411</v>
      </c>
    </row>
    <row r="1665" spans="1:6">
      <c r="A1665" s="35" t="s">
        <v>2077</v>
      </c>
      <c r="B1665" s="37">
        <v>1315.5</v>
      </c>
      <c r="C1665" s="37">
        <v>1069.4014892578125</v>
      </c>
      <c r="D1665" s="35">
        <v>5367303</v>
      </c>
      <c r="E1665" s="35" t="s">
        <v>1960</v>
      </c>
      <c r="F1665" s="35" t="s">
        <v>411</v>
      </c>
    </row>
    <row r="1666" spans="1:6">
      <c r="A1666" s="35" t="s">
        <v>2078</v>
      </c>
      <c r="B1666" s="37">
        <v>1328.300048828125</v>
      </c>
      <c r="C1666" s="37">
        <v>1079.8070068359375</v>
      </c>
      <c r="D1666" s="35">
        <v>3037295</v>
      </c>
      <c r="E1666" s="35" t="s">
        <v>1960</v>
      </c>
      <c r="F1666" s="35" t="s">
        <v>411</v>
      </c>
    </row>
    <row r="1667" spans="1:6">
      <c r="A1667" s="35" t="s">
        <v>2079</v>
      </c>
      <c r="B1667" s="37">
        <v>1358.199951171875</v>
      </c>
      <c r="C1667" s="37">
        <v>1104.1136474609375</v>
      </c>
      <c r="D1667" s="35">
        <v>7951730</v>
      </c>
      <c r="E1667" s="35" t="s">
        <v>1960</v>
      </c>
      <c r="F1667" s="35" t="s">
        <v>411</v>
      </c>
    </row>
    <row r="1668" spans="1:6">
      <c r="A1668" s="35" t="s">
        <v>2080</v>
      </c>
      <c r="B1668" s="37">
        <v>1295.199951171875</v>
      </c>
      <c r="C1668" s="37">
        <v>1052.8994140625</v>
      </c>
      <c r="D1668" s="35">
        <v>7653504</v>
      </c>
      <c r="E1668" s="35" t="s">
        <v>1960</v>
      </c>
      <c r="F1668" s="35" t="s">
        <v>411</v>
      </c>
    </row>
    <row r="1669" spans="1:6">
      <c r="A1669" s="35" t="s">
        <v>2081</v>
      </c>
      <c r="B1669" s="37">
        <v>1269</v>
      </c>
      <c r="C1669" s="37">
        <v>1031.6007080078125</v>
      </c>
      <c r="D1669" s="35">
        <v>8572321</v>
      </c>
      <c r="E1669" s="35" t="s">
        <v>1960</v>
      </c>
      <c r="F1669" s="35" t="s">
        <v>411</v>
      </c>
    </row>
    <row r="1670" spans="1:6">
      <c r="A1670" s="35" t="s">
        <v>2082</v>
      </c>
      <c r="B1670" s="37">
        <v>1281.199951171875</v>
      </c>
      <c r="C1670" s="37">
        <v>1041.5184326171875</v>
      </c>
      <c r="D1670" s="35">
        <v>4639821</v>
      </c>
      <c r="E1670" s="35" t="s">
        <v>1960</v>
      </c>
      <c r="F1670" s="35" t="s">
        <v>411</v>
      </c>
    </row>
    <row r="1671" spans="1:6">
      <c r="A1671" s="35" t="s">
        <v>2083</v>
      </c>
      <c r="B1671" s="37">
        <v>1279.550048828125</v>
      </c>
      <c r="C1671" s="37">
        <v>1040.17724609375</v>
      </c>
      <c r="D1671" s="35">
        <v>3589722</v>
      </c>
      <c r="E1671" s="35" t="s">
        <v>1960</v>
      </c>
      <c r="F1671" s="35" t="s">
        <v>411</v>
      </c>
    </row>
    <row r="1672" spans="1:6">
      <c r="A1672" s="35" t="s">
        <v>2084</v>
      </c>
      <c r="B1672" s="37">
        <v>1273.75</v>
      </c>
      <c r="C1672" s="37">
        <v>1035.462158203125</v>
      </c>
      <c r="D1672" s="35">
        <v>3372796</v>
      </c>
      <c r="E1672" s="35" t="s">
        <v>1960</v>
      </c>
      <c r="F1672" s="35" t="s">
        <v>411</v>
      </c>
    </row>
    <row r="1673" spans="1:6">
      <c r="A1673" s="35" t="s">
        <v>2085</v>
      </c>
      <c r="B1673" s="37">
        <v>1278.6500244140625</v>
      </c>
      <c r="C1673" s="37">
        <v>1039.4453125</v>
      </c>
      <c r="D1673" s="35">
        <v>2706626</v>
      </c>
      <c r="E1673" s="35" t="s">
        <v>1960</v>
      </c>
      <c r="F1673" s="35" t="s">
        <v>411</v>
      </c>
    </row>
    <row r="1674" spans="1:6">
      <c r="A1674" s="35" t="s">
        <v>2086</v>
      </c>
      <c r="B1674" s="37">
        <v>1305.1500244140625</v>
      </c>
      <c r="C1674" s="37">
        <v>1060.9879150390625</v>
      </c>
      <c r="D1674" s="35">
        <v>3710314</v>
      </c>
      <c r="E1674" s="35" t="s">
        <v>1960</v>
      </c>
      <c r="F1674" s="35" t="s">
        <v>411</v>
      </c>
    </row>
    <row r="1675" spans="1:6">
      <c r="A1675" s="35" t="s">
        <v>2087</v>
      </c>
      <c r="B1675" s="37">
        <v>1275.449951171875</v>
      </c>
      <c r="C1675" s="37">
        <v>1036.84423828125</v>
      </c>
      <c r="D1675" s="35">
        <v>2861608</v>
      </c>
      <c r="E1675" s="35" t="s">
        <v>1960</v>
      </c>
      <c r="F1675" s="35" t="s">
        <v>411</v>
      </c>
    </row>
    <row r="1676" spans="1:6">
      <c r="A1676" s="35" t="s">
        <v>2088</v>
      </c>
      <c r="B1676" s="37">
        <v>1306.300048828125</v>
      </c>
      <c r="C1676" s="37">
        <v>1061.9227294921875</v>
      </c>
      <c r="D1676" s="35">
        <v>2421641</v>
      </c>
      <c r="E1676" s="35" t="s">
        <v>1960</v>
      </c>
      <c r="F1676" s="35" t="s">
        <v>411</v>
      </c>
    </row>
    <row r="1677" spans="1:6">
      <c r="A1677" s="35" t="s">
        <v>2089</v>
      </c>
      <c r="B1677" s="37">
        <v>1322.1500244140625</v>
      </c>
      <c r="C1677" s="37">
        <v>1074.8077392578125</v>
      </c>
      <c r="D1677" s="35">
        <v>5197831</v>
      </c>
      <c r="E1677" s="35" t="s">
        <v>1960</v>
      </c>
      <c r="F1677" s="35" t="s">
        <v>411</v>
      </c>
    </row>
    <row r="1678" spans="1:6">
      <c r="A1678" s="35" t="s">
        <v>2090</v>
      </c>
      <c r="B1678" s="37">
        <v>1302.9000244140625</v>
      </c>
      <c r="C1678" s="37">
        <v>1059.1588134765625</v>
      </c>
      <c r="D1678" s="35">
        <v>5264998</v>
      </c>
      <c r="E1678" s="35" t="s">
        <v>1960</v>
      </c>
      <c r="F1678" s="35" t="s">
        <v>411</v>
      </c>
    </row>
    <row r="1679" spans="1:6">
      <c r="A1679" s="35" t="s">
        <v>2091</v>
      </c>
      <c r="B1679" s="37">
        <v>1250.3499755859375</v>
      </c>
      <c r="C1679" s="37">
        <v>1016.4395141601563</v>
      </c>
      <c r="D1679" s="35">
        <v>12811641</v>
      </c>
      <c r="E1679" s="35" t="s">
        <v>1960</v>
      </c>
      <c r="F1679" s="35" t="s">
        <v>411</v>
      </c>
    </row>
    <row r="1680" spans="1:6">
      <c r="A1680" s="35" t="s">
        <v>2092</v>
      </c>
      <c r="B1680" s="37">
        <v>1265.3499755859375</v>
      </c>
      <c r="C1680" s="37">
        <v>1028.633544921875</v>
      </c>
      <c r="D1680" s="35">
        <v>5705730</v>
      </c>
      <c r="E1680" s="35" t="s">
        <v>1960</v>
      </c>
      <c r="F1680" s="35" t="s">
        <v>411</v>
      </c>
    </row>
    <row r="1681" spans="1:6">
      <c r="A1681" s="35" t="s">
        <v>2093</v>
      </c>
      <c r="B1681" s="37">
        <v>1251.1500244140625</v>
      </c>
      <c r="C1681" s="37">
        <v>1017.0902709960938</v>
      </c>
      <c r="D1681" s="35">
        <v>10360519</v>
      </c>
      <c r="E1681" s="35" t="s">
        <v>1960</v>
      </c>
      <c r="F1681" s="35" t="s">
        <v>411</v>
      </c>
    </row>
    <row r="1682" spans="1:6">
      <c r="A1682" s="35" t="s">
        <v>2094</v>
      </c>
      <c r="B1682" s="37">
        <v>1221.4000244140625</v>
      </c>
      <c r="C1682" s="37">
        <v>992.9056396484375</v>
      </c>
      <c r="D1682" s="35">
        <v>23861603</v>
      </c>
      <c r="E1682" s="35" t="s">
        <v>1960</v>
      </c>
      <c r="F1682" s="35" t="s">
        <v>411</v>
      </c>
    </row>
    <row r="1683" spans="1:6">
      <c r="A1683" s="35" t="s">
        <v>2095</v>
      </c>
      <c r="B1683" s="37">
        <v>1232.0999755859375</v>
      </c>
      <c r="C1683" s="37">
        <v>1001.6036987304688</v>
      </c>
      <c r="D1683" s="35">
        <v>10189780</v>
      </c>
      <c r="E1683" s="35" t="s">
        <v>1960</v>
      </c>
      <c r="F1683" s="35" t="s">
        <v>411</v>
      </c>
    </row>
    <row r="1684" spans="1:6">
      <c r="A1684" s="35" t="s">
        <v>2096</v>
      </c>
      <c r="B1684" s="37">
        <v>1232.9000244140625</v>
      </c>
      <c r="C1684" s="37">
        <v>1002.254150390625</v>
      </c>
      <c r="D1684" s="35">
        <v>8222562</v>
      </c>
      <c r="E1684" s="35" t="s">
        <v>1960</v>
      </c>
      <c r="F1684" s="35" t="s">
        <v>411</v>
      </c>
    </row>
    <row r="1685" spans="1:6">
      <c r="A1685" s="35" t="s">
        <v>2097</v>
      </c>
      <c r="B1685" s="37">
        <v>1210.699951171875</v>
      </c>
      <c r="C1685" s="37">
        <v>992.2554931640625</v>
      </c>
      <c r="D1685" s="35">
        <v>5998795</v>
      </c>
      <c r="E1685" s="35" t="s">
        <v>1960</v>
      </c>
      <c r="F1685" s="35" t="s">
        <v>411</v>
      </c>
    </row>
    <row r="1686" spans="1:6">
      <c r="A1686" s="35" t="s">
        <v>2098</v>
      </c>
      <c r="B1686" s="37">
        <v>1194</v>
      </c>
      <c r="C1686" s="37">
        <v>978.568603515625</v>
      </c>
      <c r="D1686" s="35">
        <v>3812305</v>
      </c>
      <c r="E1686" s="35" t="s">
        <v>1960</v>
      </c>
      <c r="F1686" s="35" t="s">
        <v>411</v>
      </c>
    </row>
    <row r="1687" spans="1:6">
      <c r="A1687" s="35" t="s">
        <v>2099</v>
      </c>
      <c r="B1687" s="37">
        <v>1165.4000244140625</v>
      </c>
      <c r="C1687" s="37">
        <v>955.1287841796875</v>
      </c>
      <c r="D1687" s="35">
        <v>6690819</v>
      </c>
      <c r="E1687" s="35" t="s">
        <v>1960</v>
      </c>
      <c r="F1687" s="35" t="s">
        <v>411</v>
      </c>
    </row>
    <row r="1688" spans="1:6">
      <c r="A1688" s="35" t="s">
        <v>2100</v>
      </c>
      <c r="B1688" s="37">
        <v>1166.800048828125</v>
      </c>
      <c r="C1688" s="37">
        <v>956.27618408203125</v>
      </c>
      <c r="D1688" s="35">
        <v>5126660</v>
      </c>
      <c r="E1688" s="35" t="s">
        <v>1960</v>
      </c>
      <c r="F1688" s="35" t="s">
        <v>411</v>
      </c>
    </row>
    <row r="1689" spans="1:6">
      <c r="A1689" s="35" t="s">
        <v>2101</v>
      </c>
      <c r="B1689" s="37">
        <v>1177.1500244140625</v>
      </c>
      <c r="C1689" s="37">
        <v>964.75885009765625</v>
      </c>
      <c r="D1689" s="35">
        <v>3536653</v>
      </c>
      <c r="E1689" s="35" t="s">
        <v>1960</v>
      </c>
      <c r="F1689" s="35" t="s">
        <v>411</v>
      </c>
    </row>
    <row r="1690" spans="1:6">
      <c r="A1690" s="35" t="s">
        <v>2102</v>
      </c>
      <c r="B1690" s="37">
        <v>1152</v>
      </c>
      <c r="C1690" s="37">
        <v>944.14654541015625</v>
      </c>
      <c r="D1690" s="35">
        <v>4096585</v>
      </c>
      <c r="E1690" s="35" t="s">
        <v>1960</v>
      </c>
      <c r="F1690" s="35" t="s">
        <v>411</v>
      </c>
    </row>
    <row r="1691" spans="1:6">
      <c r="A1691" s="35" t="s">
        <v>2103</v>
      </c>
      <c r="B1691" s="37">
        <v>1143.75</v>
      </c>
      <c r="C1691" s="37">
        <v>937.38519287109375</v>
      </c>
      <c r="D1691" s="35">
        <v>3558520</v>
      </c>
      <c r="E1691" s="35" t="s">
        <v>1960</v>
      </c>
      <c r="F1691" s="35" t="s">
        <v>411</v>
      </c>
    </row>
    <row r="1692" spans="1:6">
      <c r="A1692" s="35" t="s">
        <v>2104</v>
      </c>
      <c r="B1692" s="37">
        <v>1189.199951171875</v>
      </c>
      <c r="C1692" s="37">
        <v>974.6346435546875</v>
      </c>
      <c r="D1692" s="35">
        <v>4511112</v>
      </c>
      <c r="E1692" s="35" t="s">
        <v>1960</v>
      </c>
      <c r="F1692" s="35" t="s">
        <v>411</v>
      </c>
    </row>
    <row r="1693" spans="1:6">
      <c r="A1693" s="35" t="s">
        <v>2105</v>
      </c>
      <c r="B1693" s="37">
        <v>1170.6500244140625</v>
      </c>
      <c r="C1693" s="37">
        <v>959.43157958984375</v>
      </c>
      <c r="D1693" s="35">
        <v>3016082</v>
      </c>
      <c r="E1693" s="35" t="s">
        <v>1960</v>
      </c>
      <c r="F1693" s="35" t="s">
        <v>411</v>
      </c>
    </row>
    <row r="1694" spans="1:6">
      <c r="A1694" s="35" t="s">
        <v>2106</v>
      </c>
      <c r="B1694" s="37">
        <v>1176.3499755859375</v>
      </c>
      <c r="C1694" s="37">
        <v>964.10333251953125</v>
      </c>
      <c r="D1694" s="35">
        <v>2063067</v>
      </c>
      <c r="E1694" s="35" t="s">
        <v>1960</v>
      </c>
      <c r="F1694" s="35" t="s">
        <v>411</v>
      </c>
    </row>
    <row r="1695" spans="1:6">
      <c r="A1695" s="35" t="s">
        <v>2107</v>
      </c>
      <c r="B1695" s="37">
        <v>1183.0999755859375</v>
      </c>
      <c r="C1695" s="37">
        <v>969.63519287109375</v>
      </c>
      <c r="D1695" s="35">
        <v>256369</v>
      </c>
      <c r="E1695" s="35" t="s">
        <v>1960</v>
      </c>
      <c r="F1695" s="35" t="s">
        <v>411</v>
      </c>
    </row>
    <row r="1696" spans="1:6">
      <c r="A1696" s="35" t="s">
        <v>2108</v>
      </c>
      <c r="B1696" s="37">
        <v>1182.8499755859375</v>
      </c>
      <c r="C1696" s="37">
        <v>969.43023681640625</v>
      </c>
      <c r="D1696" s="35">
        <v>3808317</v>
      </c>
      <c r="E1696" s="35" t="s">
        <v>1960</v>
      </c>
      <c r="F1696" s="35" t="s">
        <v>411</v>
      </c>
    </row>
    <row r="1697" spans="1:6">
      <c r="A1697" s="35" t="s">
        <v>2109</v>
      </c>
      <c r="B1697" s="37">
        <v>1172.800048828125</v>
      </c>
      <c r="C1697" s="37">
        <v>961.19378662109375</v>
      </c>
      <c r="D1697" s="35">
        <v>3565461</v>
      </c>
      <c r="E1697" s="35" t="s">
        <v>1960</v>
      </c>
      <c r="F1697" s="35" t="s">
        <v>411</v>
      </c>
    </row>
    <row r="1698" spans="1:6">
      <c r="A1698" s="35" t="s">
        <v>2110</v>
      </c>
      <c r="B1698" s="37">
        <v>1169.1500244140625</v>
      </c>
      <c r="C1698" s="37">
        <v>958.2021484375</v>
      </c>
      <c r="D1698" s="35">
        <v>2401325</v>
      </c>
      <c r="E1698" s="35" t="s">
        <v>1960</v>
      </c>
      <c r="F1698" s="35" t="s">
        <v>411</v>
      </c>
    </row>
    <row r="1699" spans="1:6">
      <c r="A1699" s="35" t="s">
        <v>2111</v>
      </c>
      <c r="B1699" s="37">
        <v>1160.699951171875</v>
      </c>
      <c r="C1699" s="37">
        <v>951.2767333984375</v>
      </c>
      <c r="D1699" s="35">
        <v>2861259</v>
      </c>
      <c r="E1699" s="35" t="s">
        <v>1960</v>
      </c>
      <c r="F1699" s="35" t="s">
        <v>411</v>
      </c>
    </row>
    <row r="1700" spans="1:6">
      <c r="A1700" s="35" t="s">
        <v>2112</v>
      </c>
      <c r="B1700" s="37">
        <v>1172.3499755859375</v>
      </c>
      <c r="C1700" s="37">
        <v>960.82476806640625</v>
      </c>
      <c r="D1700" s="35">
        <v>3812518</v>
      </c>
      <c r="E1700" s="35" t="s">
        <v>1960</v>
      </c>
      <c r="F1700" s="35" t="s">
        <v>411</v>
      </c>
    </row>
    <row r="1701" spans="1:6">
      <c r="A1701" s="35" t="s">
        <v>2113</v>
      </c>
      <c r="B1701" s="37">
        <v>1170.8499755859375</v>
      </c>
      <c r="C1701" s="37">
        <v>959.595458984375</v>
      </c>
      <c r="D1701" s="35">
        <v>3619915</v>
      </c>
      <c r="E1701" s="35" t="s">
        <v>1960</v>
      </c>
      <c r="F1701" s="35" t="s">
        <v>411</v>
      </c>
    </row>
    <row r="1702" spans="1:6">
      <c r="A1702" s="35" t="s">
        <v>2114</v>
      </c>
      <c r="B1702" s="37">
        <v>1163.4000244140625</v>
      </c>
      <c r="C1702" s="37">
        <v>953.48974609375</v>
      </c>
      <c r="D1702" s="35">
        <v>3141207</v>
      </c>
      <c r="E1702" s="35" t="s">
        <v>1960</v>
      </c>
      <c r="F1702" s="35" t="s">
        <v>411</v>
      </c>
    </row>
    <row r="1703" spans="1:6">
      <c r="A1703" s="35" t="s">
        <v>2115</v>
      </c>
      <c r="B1703" s="37">
        <v>1152.449951171875</v>
      </c>
      <c r="C1703" s="37">
        <v>944.51519775390625</v>
      </c>
      <c r="D1703" s="35">
        <v>3172985</v>
      </c>
      <c r="E1703" s="35" t="s">
        <v>1960</v>
      </c>
      <c r="F1703" s="35" t="s">
        <v>411</v>
      </c>
    </row>
    <row r="1704" spans="1:6">
      <c r="A1704" s="35" t="s">
        <v>2116</v>
      </c>
      <c r="B1704" s="37">
        <v>1120.199951171875</v>
      </c>
      <c r="C1704" s="37">
        <v>918.083984375</v>
      </c>
      <c r="D1704" s="35">
        <v>5384530</v>
      </c>
      <c r="E1704" s="35" t="s">
        <v>1960</v>
      </c>
      <c r="F1704" s="35" t="s">
        <v>411</v>
      </c>
    </row>
    <row r="1705" spans="1:6">
      <c r="A1705" s="35" t="s">
        <v>2117</v>
      </c>
      <c r="B1705" s="37">
        <v>1110.0999755859375</v>
      </c>
      <c r="C1705" s="37">
        <v>909.8065185546875</v>
      </c>
      <c r="D1705" s="35">
        <v>3961223</v>
      </c>
      <c r="E1705" s="35" t="s">
        <v>1960</v>
      </c>
      <c r="F1705" s="35" t="s">
        <v>411</v>
      </c>
    </row>
    <row r="1706" spans="1:6">
      <c r="A1706" s="35" t="s">
        <v>2118</v>
      </c>
      <c r="B1706" s="37">
        <v>1112.5999755859375</v>
      </c>
      <c r="C1706" s="37">
        <v>911.8553466796875</v>
      </c>
      <c r="D1706" s="35">
        <v>4545069</v>
      </c>
      <c r="E1706" s="35" t="s">
        <v>1960</v>
      </c>
      <c r="F1706" s="35" t="s">
        <v>411</v>
      </c>
    </row>
    <row r="1707" spans="1:6">
      <c r="A1707" s="35" t="s">
        <v>2119</v>
      </c>
      <c r="B1707" s="37">
        <v>1119.449951171875</v>
      </c>
      <c r="C1707" s="37">
        <v>917.46942138671875</v>
      </c>
      <c r="D1707" s="35">
        <v>2675632</v>
      </c>
      <c r="E1707" s="35" t="s">
        <v>1960</v>
      </c>
      <c r="F1707" s="35" t="s">
        <v>411</v>
      </c>
    </row>
    <row r="1708" spans="1:6">
      <c r="A1708" s="35" t="s">
        <v>2120</v>
      </c>
      <c r="B1708" s="37">
        <v>1124.800048828125</v>
      </c>
      <c r="C1708" s="37">
        <v>921.8543701171875</v>
      </c>
      <c r="D1708" s="35">
        <v>3106454</v>
      </c>
      <c r="E1708" s="35" t="s">
        <v>1960</v>
      </c>
      <c r="F1708" s="35" t="s">
        <v>411</v>
      </c>
    </row>
    <row r="1709" spans="1:6">
      <c r="A1709" s="35" t="s">
        <v>2121</v>
      </c>
      <c r="B1709" s="37">
        <v>1110.050048828125</v>
      </c>
      <c r="C1709" s="37">
        <v>909.76544189453125</v>
      </c>
      <c r="D1709" s="35">
        <v>2207274</v>
      </c>
      <c r="E1709" s="35" t="s">
        <v>1960</v>
      </c>
      <c r="F1709" s="35" t="s">
        <v>411</v>
      </c>
    </row>
    <row r="1710" spans="1:6">
      <c r="A1710" s="35" t="s">
        <v>2122</v>
      </c>
      <c r="B1710" s="37">
        <v>1133.1500244140625</v>
      </c>
      <c r="C1710" s="37">
        <v>928.697509765625</v>
      </c>
      <c r="D1710" s="35">
        <v>3661152</v>
      </c>
      <c r="E1710" s="35" t="s">
        <v>1960</v>
      </c>
      <c r="F1710" s="35" t="s">
        <v>411</v>
      </c>
    </row>
    <row r="1711" spans="1:6">
      <c r="A1711" s="35" t="s">
        <v>2123</v>
      </c>
      <c r="B1711" s="37">
        <v>1138.6500244140625</v>
      </c>
      <c r="C1711" s="37">
        <v>933.2054443359375</v>
      </c>
      <c r="D1711" s="35">
        <v>7421904</v>
      </c>
      <c r="E1711" s="35" t="s">
        <v>1960</v>
      </c>
      <c r="F1711" s="35" t="s">
        <v>411</v>
      </c>
    </row>
    <row r="1712" spans="1:6">
      <c r="A1712" s="35" t="s">
        <v>2124</v>
      </c>
      <c r="B1712" s="37">
        <v>1156.699951171875</v>
      </c>
      <c r="C1712" s="37">
        <v>947.9984130859375</v>
      </c>
      <c r="D1712" s="35">
        <v>2918586</v>
      </c>
      <c r="E1712" s="35" t="s">
        <v>1960</v>
      </c>
      <c r="F1712" s="35" t="s">
        <v>411</v>
      </c>
    </row>
    <row r="1713" spans="1:6">
      <c r="A1713" s="35" t="s">
        <v>2125</v>
      </c>
      <c r="B1713" s="37">
        <v>1184.699951171875</v>
      </c>
      <c r="C1713" s="37">
        <v>970.94635009765625</v>
      </c>
      <c r="D1713" s="35">
        <v>4011279</v>
      </c>
      <c r="E1713" s="35" t="s">
        <v>1960</v>
      </c>
      <c r="F1713" s="35" t="s">
        <v>411</v>
      </c>
    </row>
    <row r="1714" spans="1:6">
      <c r="A1714" s="35" t="s">
        <v>2126</v>
      </c>
      <c r="B1714" s="37">
        <v>1171.4000244140625</v>
      </c>
      <c r="C1714" s="37">
        <v>960.04620361328125</v>
      </c>
      <c r="D1714" s="35">
        <v>2571036</v>
      </c>
      <c r="E1714" s="35" t="s">
        <v>1960</v>
      </c>
      <c r="F1714" s="35" t="s">
        <v>411</v>
      </c>
    </row>
    <row r="1715" spans="1:6">
      <c r="A1715" s="35" t="s">
        <v>2127</v>
      </c>
      <c r="B1715" s="37">
        <v>1136.550048828125</v>
      </c>
      <c r="C1715" s="37">
        <v>931.48419189453125</v>
      </c>
      <c r="D1715" s="35">
        <v>2493755</v>
      </c>
      <c r="E1715" s="35" t="s">
        <v>1960</v>
      </c>
      <c r="F1715" s="35" t="s">
        <v>411</v>
      </c>
    </row>
    <row r="1716" spans="1:6">
      <c r="A1716" s="35" t="s">
        <v>2128</v>
      </c>
      <c r="B1716" s="37">
        <v>1149.6500244140625</v>
      </c>
      <c r="C1716" s="37">
        <v>942.22052001953125</v>
      </c>
      <c r="D1716" s="35">
        <v>2299958</v>
      </c>
      <c r="E1716" s="35" t="s">
        <v>1960</v>
      </c>
      <c r="F1716" s="35" t="s">
        <v>411</v>
      </c>
    </row>
    <row r="1717" spans="1:6">
      <c r="A1717" s="35" t="s">
        <v>2129</v>
      </c>
      <c r="B1717" s="37">
        <v>1171.5999755859375</v>
      </c>
      <c r="C1717" s="37">
        <v>960.2103271484375</v>
      </c>
      <c r="D1717" s="35">
        <v>2525711</v>
      </c>
      <c r="E1717" s="35" t="s">
        <v>1960</v>
      </c>
      <c r="F1717" s="35" t="s">
        <v>411</v>
      </c>
    </row>
    <row r="1718" spans="1:6">
      <c r="A1718" s="35" t="s">
        <v>2130</v>
      </c>
      <c r="B1718" s="37">
        <v>1168.550048828125</v>
      </c>
      <c r="C1718" s="37">
        <v>957.71063232421875</v>
      </c>
      <c r="D1718" s="35">
        <v>1734844</v>
      </c>
      <c r="E1718" s="35" t="s">
        <v>1960</v>
      </c>
      <c r="F1718" s="35" t="s">
        <v>411</v>
      </c>
    </row>
    <row r="1719" spans="1:6">
      <c r="A1719" s="35" t="s">
        <v>2131</v>
      </c>
      <c r="B1719" s="37">
        <v>1162.199951171875</v>
      </c>
      <c r="C1719" s="37">
        <v>952.506103515625</v>
      </c>
      <c r="D1719" s="35">
        <v>957733</v>
      </c>
      <c r="E1719" s="35" t="s">
        <v>1960</v>
      </c>
      <c r="F1719" s="35" t="s">
        <v>411</v>
      </c>
    </row>
    <row r="1720" spans="1:6">
      <c r="A1720" s="35" t="s">
        <v>2132</v>
      </c>
      <c r="B1720" s="37">
        <v>1159.0999755859375</v>
      </c>
      <c r="C1720" s="37">
        <v>949.9654541015625</v>
      </c>
      <c r="D1720" s="35">
        <v>2225682</v>
      </c>
      <c r="E1720" s="35" t="s">
        <v>1960</v>
      </c>
      <c r="F1720" s="35" t="s">
        <v>411</v>
      </c>
    </row>
    <row r="1721" spans="1:6">
      <c r="A1721" s="35" t="s">
        <v>2133</v>
      </c>
      <c r="B1721" s="37">
        <v>1162.3499755859375</v>
      </c>
      <c r="C1721" s="37">
        <v>952.62890625</v>
      </c>
      <c r="D1721" s="35">
        <v>1972685</v>
      </c>
      <c r="E1721" s="35" t="s">
        <v>1960</v>
      </c>
      <c r="F1721" s="35" t="s">
        <v>411</v>
      </c>
    </row>
    <row r="1722" spans="1:6">
      <c r="A1722" s="35" t="s">
        <v>2134</v>
      </c>
      <c r="B1722" s="37">
        <v>1148.9000244140625</v>
      </c>
      <c r="C1722" s="37">
        <v>941.6058349609375</v>
      </c>
      <c r="D1722" s="35">
        <v>1604301</v>
      </c>
      <c r="E1722" s="35" t="s">
        <v>1960</v>
      </c>
      <c r="F1722" s="35" t="s">
        <v>411</v>
      </c>
    </row>
    <row r="1723" spans="1:6">
      <c r="A1723" s="35" t="s">
        <v>2135</v>
      </c>
      <c r="B1723" s="37">
        <v>1159.75</v>
      </c>
      <c r="C1723" s="37">
        <v>950.498291015625</v>
      </c>
      <c r="D1723" s="35">
        <v>2121810</v>
      </c>
      <c r="E1723" s="35" t="s">
        <v>1960</v>
      </c>
      <c r="F1723" s="35" t="s">
        <v>411</v>
      </c>
    </row>
    <row r="1724" spans="1:6">
      <c r="A1724" s="35" t="s">
        <v>2136</v>
      </c>
      <c r="B1724" s="37">
        <v>1171.4000244140625</v>
      </c>
      <c r="C1724" s="37">
        <v>960.04620361328125</v>
      </c>
      <c r="D1724" s="35">
        <v>6373455</v>
      </c>
      <c r="E1724" s="35" t="s">
        <v>1960</v>
      </c>
      <c r="F1724" s="35" t="s">
        <v>411</v>
      </c>
    </row>
    <row r="1725" spans="1:6">
      <c r="A1725" s="35" t="s">
        <v>2137</v>
      </c>
      <c r="B1725" s="37">
        <v>1159.9000244140625</v>
      </c>
      <c r="C1725" s="37">
        <v>950.6212158203125</v>
      </c>
      <c r="D1725" s="35">
        <v>3091768</v>
      </c>
      <c r="E1725" s="35" t="s">
        <v>1960</v>
      </c>
      <c r="F1725" s="35" t="s">
        <v>411</v>
      </c>
    </row>
    <row r="1726" spans="1:6">
      <c r="A1726" s="35" t="s">
        <v>2138</v>
      </c>
      <c r="B1726" s="37">
        <v>1205</v>
      </c>
      <c r="C1726" s="37">
        <v>987.583984375</v>
      </c>
      <c r="D1726" s="35">
        <v>6217986</v>
      </c>
      <c r="E1726" s="35" t="s">
        <v>1960</v>
      </c>
      <c r="F1726" s="35" t="s">
        <v>411</v>
      </c>
    </row>
    <row r="1727" spans="1:6">
      <c r="A1727" s="35" t="s">
        <v>2139</v>
      </c>
      <c r="B1727" s="37">
        <v>1222.800048828125</v>
      </c>
      <c r="C1727" s="37">
        <v>1002.1722412109375</v>
      </c>
      <c r="D1727" s="35">
        <v>3809814</v>
      </c>
      <c r="E1727" s="35" t="s">
        <v>1960</v>
      </c>
      <c r="F1727" s="35" t="s">
        <v>411</v>
      </c>
    </row>
    <row r="1728" spans="1:6">
      <c r="A1728" s="35" t="s">
        <v>2140</v>
      </c>
      <c r="B1728" s="37">
        <v>1227.449951171875</v>
      </c>
      <c r="C1728" s="37">
        <v>1005.9832153320313</v>
      </c>
      <c r="D1728" s="35">
        <v>2814281</v>
      </c>
      <c r="E1728" s="35" t="s">
        <v>1960</v>
      </c>
      <c r="F1728" s="35" t="s">
        <v>411</v>
      </c>
    </row>
    <row r="1729" spans="1:6">
      <c r="A1729" s="35" t="s">
        <v>2141</v>
      </c>
      <c r="B1729" s="37">
        <v>1265.199951171875</v>
      </c>
      <c r="C1729" s="37">
        <v>1036.922119140625</v>
      </c>
      <c r="D1729" s="35">
        <v>15952929</v>
      </c>
      <c r="E1729" s="35" t="s">
        <v>1960</v>
      </c>
      <c r="F1729" s="35" t="s">
        <v>411</v>
      </c>
    </row>
    <row r="1730" spans="1:6">
      <c r="A1730" s="35" t="s">
        <v>2142</v>
      </c>
      <c r="B1730" s="37">
        <v>1267.199951171875</v>
      </c>
      <c r="C1730" s="37">
        <v>1038.5609130859375</v>
      </c>
      <c r="D1730" s="35">
        <v>3372907</v>
      </c>
      <c r="E1730" s="35" t="s">
        <v>1960</v>
      </c>
      <c r="F1730" s="35" t="s">
        <v>411</v>
      </c>
    </row>
    <row r="1731" spans="1:6">
      <c r="A1731" s="35" t="s">
        <v>2143</v>
      </c>
      <c r="B1731" s="37">
        <v>1283.9000244140625</v>
      </c>
      <c r="C1731" s="37">
        <v>1052.2479248046875</v>
      </c>
      <c r="D1731" s="35">
        <v>3446067</v>
      </c>
      <c r="E1731" s="35" t="s">
        <v>1960</v>
      </c>
      <c r="F1731" s="35" t="s">
        <v>411</v>
      </c>
    </row>
    <row r="1732" spans="1:6">
      <c r="A1732" s="35" t="s">
        <v>2144</v>
      </c>
      <c r="B1732" s="37">
        <v>1291.9000244140625</v>
      </c>
      <c r="C1732" s="37">
        <v>1058.804443359375</v>
      </c>
      <c r="D1732" s="35">
        <v>2254162</v>
      </c>
      <c r="E1732" s="35" t="s">
        <v>1960</v>
      </c>
      <c r="F1732" s="35" t="s">
        <v>411</v>
      </c>
    </row>
    <row r="1733" spans="1:6">
      <c r="A1733" s="35" t="s">
        <v>2145</v>
      </c>
      <c r="B1733" s="37">
        <v>1317.050048828125</v>
      </c>
      <c r="C1733" s="37">
        <v>1079.4168701171875</v>
      </c>
      <c r="D1733" s="35">
        <v>4518139</v>
      </c>
      <c r="E1733" s="35" t="s">
        <v>1960</v>
      </c>
      <c r="F1733" s="35" t="s">
        <v>411</v>
      </c>
    </row>
    <row r="1734" spans="1:6">
      <c r="A1734" s="35" t="s">
        <v>2146</v>
      </c>
      <c r="B1734" s="37">
        <v>1319.0999755859375</v>
      </c>
      <c r="C1734" s="37">
        <v>1081.09716796875</v>
      </c>
      <c r="D1734" s="35">
        <v>2231508</v>
      </c>
      <c r="E1734" s="35" t="s">
        <v>1960</v>
      </c>
      <c r="F1734" s="35" t="s">
        <v>411</v>
      </c>
    </row>
    <row r="1735" spans="1:6">
      <c r="A1735" s="35" t="s">
        <v>2147</v>
      </c>
      <c r="B1735" s="37">
        <v>1326.1500244140625</v>
      </c>
      <c r="C1735" s="37">
        <v>1086.874755859375</v>
      </c>
      <c r="D1735" s="35">
        <v>2661272</v>
      </c>
      <c r="E1735" s="35" t="s">
        <v>1960</v>
      </c>
      <c r="F1735" s="35" t="s">
        <v>411</v>
      </c>
    </row>
    <row r="1736" spans="1:6">
      <c r="A1736" s="35" t="s">
        <v>2148</v>
      </c>
      <c r="B1736" s="37">
        <v>1333.449951171875</v>
      </c>
      <c r="C1736" s="37">
        <v>1092.858154296875</v>
      </c>
      <c r="D1736" s="35">
        <v>3367100</v>
      </c>
      <c r="E1736" s="35" t="s">
        <v>1960</v>
      </c>
      <c r="F1736" s="35" t="s">
        <v>411</v>
      </c>
    </row>
    <row r="1737" spans="1:6">
      <c r="A1737" s="35" t="s">
        <v>2149</v>
      </c>
      <c r="B1737" s="37">
        <v>1310.75</v>
      </c>
      <c r="C1737" s="37">
        <v>1074.25341796875</v>
      </c>
      <c r="D1737" s="35">
        <v>3510253</v>
      </c>
      <c r="E1737" s="35" t="s">
        <v>1960</v>
      </c>
      <c r="F1737" s="35" t="s">
        <v>411</v>
      </c>
    </row>
    <row r="1738" spans="1:6">
      <c r="A1738" s="35" t="s">
        <v>2150</v>
      </c>
      <c r="B1738" s="37">
        <v>1284.9000244140625</v>
      </c>
      <c r="C1738" s="37">
        <v>1053.0677490234375</v>
      </c>
      <c r="D1738" s="35">
        <v>4409632</v>
      </c>
      <c r="E1738" s="35" t="s">
        <v>1960</v>
      </c>
      <c r="F1738" s="35" t="s">
        <v>411</v>
      </c>
    </row>
    <row r="1739" spans="1:6">
      <c r="A1739" s="35" t="s">
        <v>2151</v>
      </c>
      <c r="B1739" s="37">
        <v>1290.550048828125</v>
      </c>
      <c r="C1739" s="37">
        <v>1057.6981201171875</v>
      </c>
      <c r="D1739" s="35">
        <v>3898684</v>
      </c>
      <c r="E1739" s="35" t="s">
        <v>1960</v>
      </c>
      <c r="F1739" s="35" t="s">
        <v>411</v>
      </c>
    </row>
    <row r="1740" spans="1:6">
      <c r="A1740" s="35" t="s">
        <v>2152</v>
      </c>
      <c r="B1740" s="37">
        <v>1288.0999755859375</v>
      </c>
      <c r="C1740" s="37">
        <v>1055.6904296875</v>
      </c>
      <c r="D1740" s="35">
        <v>2529949</v>
      </c>
      <c r="E1740" s="35" t="s">
        <v>1960</v>
      </c>
      <c r="F1740" s="35" t="s">
        <v>411</v>
      </c>
    </row>
    <row r="1741" spans="1:6">
      <c r="A1741" s="35" t="s">
        <v>2153</v>
      </c>
      <c r="B1741" s="37">
        <v>1343.6500244140625</v>
      </c>
      <c r="C1741" s="37">
        <v>1101.21728515625</v>
      </c>
      <c r="D1741" s="35">
        <v>6772189</v>
      </c>
      <c r="E1741" s="35" t="s">
        <v>1960</v>
      </c>
      <c r="F1741" s="35" t="s">
        <v>411</v>
      </c>
    </row>
    <row r="1742" spans="1:6">
      <c r="A1742" s="35" t="s">
        <v>2154</v>
      </c>
      <c r="B1742" s="37">
        <v>1352.1500244140625</v>
      </c>
      <c r="C1742" s="37">
        <v>1108.18408203125</v>
      </c>
      <c r="D1742" s="35">
        <v>3162044</v>
      </c>
      <c r="E1742" s="35" t="s">
        <v>1960</v>
      </c>
      <c r="F1742" s="35" t="s">
        <v>411</v>
      </c>
    </row>
    <row r="1743" spans="1:6">
      <c r="A1743" s="35" t="s">
        <v>2155</v>
      </c>
      <c r="B1743" s="37">
        <v>1334.25</v>
      </c>
      <c r="C1743" s="37">
        <v>1093.5135498046875</v>
      </c>
      <c r="D1743" s="35">
        <v>4598005</v>
      </c>
      <c r="E1743" s="35" t="s">
        <v>1960</v>
      </c>
      <c r="F1743" s="35" t="s">
        <v>411</v>
      </c>
    </row>
    <row r="1744" spans="1:6">
      <c r="A1744" s="35" t="s">
        <v>2156</v>
      </c>
      <c r="B1744" s="37">
        <v>1337.199951171875</v>
      </c>
      <c r="C1744" s="37">
        <v>1095.9310302734375</v>
      </c>
      <c r="D1744" s="35">
        <v>5636243</v>
      </c>
      <c r="E1744" s="35" t="s">
        <v>1960</v>
      </c>
      <c r="F1744" s="35" t="s">
        <v>411</v>
      </c>
    </row>
    <row r="1745" spans="1:6">
      <c r="A1745" s="35" t="s">
        <v>2157</v>
      </c>
      <c r="B1745" s="37">
        <v>1258.75</v>
      </c>
      <c r="C1745" s="37">
        <v>1031.6357421875</v>
      </c>
      <c r="D1745" s="35">
        <v>11973283</v>
      </c>
      <c r="E1745" s="35" t="s">
        <v>1960</v>
      </c>
      <c r="F1745" s="35" t="s">
        <v>411</v>
      </c>
    </row>
    <row r="1746" spans="1:6">
      <c r="A1746" s="35" t="s">
        <v>2158</v>
      </c>
      <c r="B1746" s="37">
        <v>1219.75</v>
      </c>
      <c r="C1746" s="37">
        <v>999.6724853515625</v>
      </c>
      <c r="D1746" s="35">
        <v>7799487</v>
      </c>
      <c r="E1746" s="35" t="s">
        <v>1960</v>
      </c>
      <c r="F1746" s="35" t="s">
        <v>411</v>
      </c>
    </row>
    <row r="1747" spans="1:6">
      <c r="A1747" s="35" t="s">
        <v>2159</v>
      </c>
      <c r="B1747" s="37">
        <v>1199.199951171875</v>
      </c>
      <c r="C1747" s="37">
        <v>982.830322265625</v>
      </c>
      <c r="D1747" s="35">
        <v>8464215</v>
      </c>
      <c r="E1747" s="35" t="s">
        <v>1960</v>
      </c>
      <c r="F1747" s="35" t="s">
        <v>411</v>
      </c>
    </row>
    <row r="1748" spans="1:6">
      <c r="A1748" s="35" t="s">
        <v>2160</v>
      </c>
      <c r="B1748" s="37">
        <v>1175.3499755859375</v>
      </c>
      <c r="C1748" s="37">
        <v>971.3836669921875</v>
      </c>
      <c r="D1748" s="35">
        <v>6172404</v>
      </c>
      <c r="E1748" s="35" t="s">
        <v>1960</v>
      </c>
      <c r="F1748" s="35" t="s">
        <v>411</v>
      </c>
    </row>
    <row r="1749" spans="1:6">
      <c r="A1749" s="35" t="s">
        <v>2161</v>
      </c>
      <c r="B1749" s="37">
        <v>1167.949951171875</v>
      </c>
      <c r="C1749" s="37">
        <v>965.26812744140625</v>
      </c>
      <c r="D1749" s="35">
        <v>5514748</v>
      </c>
      <c r="E1749" s="35" t="s">
        <v>1960</v>
      </c>
      <c r="F1749" s="35" t="s">
        <v>411</v>
      </c>
    </row>
    <row r="1750" spans="1:6">
      <c r="A1750" s="35" t="s">
        <v>2162</v>
      </c>
      <c r="B1750" s="37">
        <v>1124.9000244140625</v>
      </c>
      <c r="C1750" s="37">
        <v>929.68878173828125</v>
      </c>
      <c r="D1750" s="35">
        <v>5878438</v>
      </c>
      <c r="E1750" s="35" t="s">
        <v>1960</v>
      </c>
      <c r="F1750" s="35" t="s">
        <v>411</v>
      </c>
    </row>
    <row r="1751" spans="1:6">
      <c r="A1751" s="35" t="s">
        <v>2163</v>
      </c>
      <c r="B1751" s="37">
        <v>1123.699951171875</v>
      </c>
      <c r="C1751" s="37">
        <v>928.69683837890625</v>
      </c>
      <c r="D1751" s="35">
        <v>4725254</v>
      </c>
      <c r="E1751" s="35" t="s">
        <v>1960</v>
      </c>
      <c r="F1751" s="35" t="s">
        <v>411</v>
      </c>
    </row>
    <row r="1752" spans="1:6">
      <c r="A1752" s="35" t="s">
        <v>2164</v>
      </c>
      <c r="B1752" s="37">
        <v>1077.75</v>
      </c>
      <c r="C1752" s="37">
        <v>890.720947265625</v>
      </c>
      <c r="D1752" s="35">
        <v>8304735</v>
      </c>
      <c r="E1752" s="35" t="s">
        <v>1960</v>
      </c>
      <c r="F1752" s="35" t="s">
        <v>411</v>
      </c>
    </row>
    <row r="1753" spans="1:6">
      <c r="A1753" s="35" t="s">
        <v>2165</v>
      </c>
      <c r="B1753" s="37">
        <v>1080.449951171875</v>
      </c>
      <c r="C1753" s="37">
        <v>892.952392578125</v>
      </c>
      <c r="D1753" s="35">
        <v>7654724</v>
      </c>
      <c r="E1753" s="35" t="s">
        <v>1960</v>
      </c>
      <c r="F1753" s="35" t="s">
        <v>411</v>
      </c>
    </row>
    <row r="1754" spans="1:6">
      <c r="A1754" s="35" t="s">
        <v>2166</v>
      </c>
      <c r="B1754" s="37">
        <v>1099.4000244140625</v>
      </c>
      <c r="C1754" s="37">
        <v>908.61370849609375</v>
      </c>
      <c r="D1754" s="35">
        <v>7572995</v>
      </c>
      <c r="E1754" s="35" t="s">
        <v>1960</v>
      </c>
      <c r="F1754" s="35" t="s">
        <v>411</v>
      </c>
    </row>
    <row r="1755" spans="1:6">
      <c r="A1755" s="35" t="s">
        <v>2167</v>
      </c>
      <c r="B1755" s="37">
        <v>1132.800048828125</v>
      </c>
      <c r="C1755" s="37">
        <v>936.21795654296875</v>
      </c>
      <c r="D1755" s="35">
        <v>6783774</v>
      </c>
      <c r="E1755" s="35" t="s">
        <v>1960</v>
      </c>
      <c r="F1755" s="35" t="s">
        <v>411</v>
      </c>
    </row>
    <row r="1756" spans="1:6">
      <c r="A1756" s="35" t="s">
        <v>2168</v>
      </c>
      <c r="B1756" s="37">
        <v>1170.949951171875</v>
      </c>
      <c r="C1756" s="37">
        <v>967.747314453125</v>
      </c>
      <c r="D1756" s="35">
        <v>6982539</v>
      </c>
      <c r="E1756" s="35" t="s">
        <v>1960</v>
      </c>
      <c r="F1756" s="35" t="s">
        <v>411</v>
      </c>
    </row>
    <row r="1757" spans="1:6">
      <c r="A1757" s="35" t="s">
        <v>2169</v>
      </c>
      <c r="B1757" s="37">
        <v>1156.75</v>
      </c>
      <c r="C1757" s="37">
        <v>956.01177978515625</v>
      </c>
      <c r="D1757" s="35">
        <v>4169794</v>
      </c>
      <c r="E1757" s="35" t="s">
        <v>1960</v>
      </c>
      <c r="F1757" s="35" t="s">
        <v>411</v>
      </c>
    </row>
    <row r="1758" spans="1:6">
      <c r="A1758" s="35" t="s">
        <v>2170</v>
      </c>
      <c r="B1758" s="37">
        <v>1163.800048828125</v>
      </c>
      <c r="C1758" s="37">
        <v>961.83831787109375</v>
      </c>
      <c r="D1758" s="35">
        <v>3625482</v>
      </c>
      <c r="E1758" s="35" t="s">
        <v>1960</v>
      </c>
      <c r="F1758" s="35" t="s">
        <v>411</v>
      </c>
    </row>
    <row r="1759" spans="1:6">
      <c r="A1759" s="35" t="s">
        <v>2171</v>
      </c>
      <c r="B1759" s="37">
        <v>1157.3499755859375</v>
      </c>
      <c r="C1759" s="37">
        <v>956.50750732421875</v>
      </c>
      <c r="D1759" s="35">
        <v>3824483</v>
      </c>
      <c r="E1759" s="35" t="s">
        <v>1960</v>
      </c>
      <c r="F1759" s="35" t="s">
        <v>411</v>
      </c>
    </row>
    <row r="1760" spans="1:6">
      <c r="A1760" s="35" t="s">
        <v>2172</v>
      </c>
      <c r="B1760" s="37">
        <v>1161.949951171875</v>
      </c>
      <c r="C1760" s="37">
        <v>960.30914306640625</v>
      </c>
      <c r="D1760" s="35">
        <v>3267641</v>
      </c>
      <c r="E1760" s="35" t="s">
        <v>1960</v>
      </c>
      <c r="F1760" s="35" t="s">
        <v>411</v>
      </c>
    </row>
    <row r="1761" spans="1:6">
      <c r="A1761" s="35" t="s">
        <v>2173</v>
      </c>
      <c r="B1761" s="37">
        <v>1180.9000244140625</v>
      </c>
      <c r="C1761" s="37">
        <v>975.970458984375</v>
      </c>
      <c r="D1761" s="35">
        <v>3772972</v>
      </c>
      <c r="E1761" s="35" t="s">
        <v>1960</v>
      </c>
      <c r="F1761" s="35" t="s">
        <v>411</v>
      </c>
    </row>
    <row r="1762" spans="1:6">
      <c r="A1762" s="35" t="s">
        <v>2174</v>
      </c>
      <c r="B1762" s="37">
        <v>1190.3499755859375</v>
      </c>
      <c r="C1762" s="37">
        <v>983.78070068359375</v>
      </c>
      <c r="D1762" s="35">
        <v>2053245</v>
      </c>
      <c r="E1762" s="35" t="s">
        <v>1960</v>
      </c>
      <c r="F1762" s="35" t="s">
        <v>411</v>
      </c>
    </row>
    <row r="1763" spans="1:6">
      <c r="A1763" s="35" t="s">
        <v>2175</v>
      </c>
      <c r="B1763" s="37">
        <v>1163.699951171875</v>
      </c>
      <c r="C1763" s="37">
        <v>961.75555419921875</v>
      </c>
      <c r="D1763" s="35">
        <v>3912397</v>
      </c>
      <c r="E1763" s="35" t="s">
        <v>1960</v>
      </c>
      <c r="F1763" s="35" t="s">
        <v>411</v>
      </c>
    </row>
    <row r="1764" spans="1:6">
      <c r="A1764" s="35" t="s">
        <v>2176</v>
      </c>
      <c r="B1764" s="37">
        <v>1146.449951171875</v>
      </c>
      <c r="C1764" s="37">
        <v>947.49896240234375</v>
      </c>
      <c r="D1764" s="35">
        <v>3243813</v>
      </c>
      <c r="E1764" s="35" t="s">
        <v>1960</v>
      </c>
      <c r="F1764" s="35" t="s">
        <v>411</v>
      </c>
    </row>
    <row r="1765" spans="1:6">
      <c r="A1765" s="35" t="s">
        <v>2177</v>
      </c>
      <c r="B1765" s="37">
        <v>1168.550048828125</v>
      </c>
      <c r="C1765" s="37">
        <v>965.763916015625</v>
      </c>
      <c r="D1765" s="35">
        <v>3000492</v>
      </c>
      <c r="E1765" s="35" t="s">
        <v>1960</v>
      </c>
      <c r="F1765" s="35" t="s">
        <v>411</v>
      </c>
    </row>
    <row r="1766" spans="1:6">
      <c r="A1766" s="35" t="s">
        <v>2178</v>
      </c>
      <c r="B1766" s="37">
        <v>1167.800048828125</v>
      </c>
      <c r="C1766" s="37">
        <v>965.14404296875</v>
      </c>
      <c r="D1766" s="35">
        <v>1885868</v>
      </c>
      <c r="E1766" s="35" t="s">
        <v>1960</v>
      </c>
      <c r="F1766" s="35" t="s">
        <v>411</v>
      </c>
    </row>
    <row r="1767" spans="1:6">
      <c r="A1767" s="35" t="s">
        <v>2179</v>
      </c>
      <c r="B1767" s="37">
        <v>1163.050048828125</v>
      </c>
      <c r="C1767" s="37">
        <v>961.2183837890625</v>
      </c>
      <c r="D1767" s="35">
        <v>1644055</v>
      </c>
      <c r="E1767" s="35" t="s">
        <v>1960</v>
      </c>
      <c r="F1767" s="35" t="s">
        <v>411</v>
      </c>
    </row>
    <row r="1768" spans="1:6">
      <c r="A1768" s="35" t="s">
        <v>2180</v>
      </c>
      <c r="B1768" s="37">
        <v>1165</v>
      </c>
      <c r="C1768" s="37">
        <v>962.8299560546875</v>
      </c>
      <c r="D1768" s="35">
        <v>2166690</v>
      </c>
      <c r="E1768" s="35" t="s">
        <v>1960</v>
      </c>
      <c r="F1768" s="35" t="s">
        <v>411</v>
      </c>
    </row>
    <row r="1769" spans="1:6">
      <c r="A1769" s="35" t="s">
        <v>2181</v>
      </c>
      <c r="B1769" s="37">
        <v>1164.75</v>
      </c>
      <c r="C1769" s="37">
        <v>962.62335205078125</v>
      </c>
      <c r="D1769" s="35">
        <v>1706058</v>
      </c>
      <c r="E1769" s="35" t="s">
        <v>1960</v>
      </c>
      <c r="F1769" s="35" t="s">
        <v>411</v>
      </c>
    </row>
    <row r="1770" spans="1:6">
      <c r="A1770" s="35" t="s">
        <v>2182</v>
      </c>
      <c r="B1770" s="37">
        <v>1149.550048828125</v>
      </c>
      <c r="C1770" s="37">
        <v>950.06121826171875</v>
      </c>
      <c r="D1770" s="35">
        <v>3254855</v>
      </c>
      <c r="E1770" s="35" t="s">
        <v>1960</v>
      </c>
      <c r="F1770" s="35" t="s">
        <v>411</v>
      </c>
    </row>
    <row r="1771" spans="1:6">
      <c r="A1771" s="35" t="s">
        <v>2183</v>
      </c>
      <c r="B1771" s="37">
        <v>1153</v>
      </c>
      <c r="C1771" s="37">
        <v>952.912109375</v>
      </c>
      <c r="D1771" s="35">
        <v>1937649</v>
      </c>
      <c r="E1771" s="35" t="s">
        <v>1960</v>
      </c>
      <c r="F1771" s="35" t="s">
        <v>411</v>
      </c>
    </row>
    <row r="1772" spans="1:6">
      <c r="A1772" s="35" t="s">
        <v>2184</v>
      </c>
      <c r="B1772" s="37">
        <v>1098.550048828125</v>
      </c>
      <c r="C1772" s="37">
        <v>907.91131591796875</v>
      </c>
      <c r="D1772" s="35">
        <v>5469084</v>
      </c>
      <c r="E1772" s="35" t="s">
        <v>1960</v>
      </c>
      <c r="F1772" s="35" t="s">
        <v>411</v>
      </c>
    </row>
    <row r="1773" spans="1:6">
      <c r="A1773" s="35" t="s">
        <v>2185</v>
      </c>
      <c r="B1773" s="37">
        <v>1129.699951171875</v>
      </c>
      <c r="C1773" s="37">
        <v>933.65570068359375</v>
      </c>
      <c r="D1773" s="35">
        <v>3213276</v>
      </c>
      <c r="E1773" s="35" t="s">
        <v>1960</v>
      </c>
      <c r="F1773" s="35" t="s">
        <v>411</v>
      </c>
    </row>
    <row r="1774" spans="1:6">
      <c r="A1774" s="35" t="s">
        <v>2186</v>
      </c>
      <c r="B1774" s="37">
        <v>1126.949951171875</v>
      </c>
      <c r="C1774" s="37">
        <v>931.38299560546875</v>
      </c>
      <c r="D1774" s="35">
        <v>4571884</v>
      </c>
      <c r="E1774" s="35" t="s">
        <v>1960</v>
      </c>
      <c r="F1774" s="35" t="s">
        <v>411</v>
      </c>
    </row>
    <row r="1775" spans="1:6">
      <c r="A1775" s="35" t="s">
        <v>2187</v>
      </c>
      <c r="B1775" s="37">
        <v>1115.550048828125</v>
      </c>
      <c r="C1775" s="37">
        <v>921.9613037109375</v>
      </c>
      <c r="D1775" s="35">
        <v>3867328</v>
      </c>
      <c r="E1775" s="35" t="s">
        <v>1960</v>
      </c>
      <c r="F1775" s="35" t="s">
        <v>411</v>
      </c>
    </row>
    <row r="1776" spans="1:6">
      <c r="A1776" s="35" t="s">
        <v>2188</v>
      </c>
      <c r="B1776" s="37">
        <v>1139.699951171875</v>
      </c>
      <c r="C1776" s="37">
        <v>941.92022705078125</v>
      </c>
      <c r="D1776" s="35">
        <v>3969380</v>
      </c>
      <c r="E1776" s="35" t="s">
        <v>1960</v>
      </c>
      <c r="F1776" s="35" t="s">
        <v>411</v>
      </c>
    </row>
    <row r="1777" spans="1:6">
      <c r="A1777" s="35" t="s">
        <v>2189</v>
      </c>
      <c r="B1777" s="37">
        <v>1138.449951171875</v>
      </c>
      <c r="C1777" s="37">
        <v>940.88720703125</v>
      </c>
      <c r="D1777" s="35">
        <v>3522375</v>
      </c>
      <c r="E1777" s="35" t="s">
        <v>1960</v>
      </c>
      <c r="F1777" s="35" t="s">
        <v>411</v>
      </c>
    </row>
    <row r="1778" spans="1:6">
      <c r="A1778" s="35" t="s">
        <v>2190</v>
      </c>
      <c r="B1778" s="37">
        <v>1154.199951171875</v>
      </c>
      <c r="C1778" s="37">
        <v>953.9041748046875</v>
      </c>
      <c r="D1778" s="35">
        <v>5249845</v>
      </c>
      <c r="E1778" s="35" t="s">
        <v>1960</v>
      </c>
      <c r="F1778" s="35" t="s">
        <v>411</v>
      </c>
    </row>
    <row r="1779" spans="1:6">
      <c r="A1779" s="35" t="s">
        <v>2191</v>
      </c>
      <c r="B1779" s="37">
        <v>1175.300048828125</v>
      </c>
      <c r="C1779" s="37">
        <v>971.34259033203125</v>
      </c>
      <c r="D1779" s="35">
        <v>3805165</v>
      </c>
      <c r="E1779" s="35" t="s">
        <v>1960</v>
      </c>
      <c r="F1779" s="35" t="s">
        <v>411</v>
      </c>
    </row>
    <row r="1780" spans="1:6">
      <c r="A1780" s="35" t="s">
        <v>2192</v>
      </c>
      <c r="B1780" s="37">
        <v>1182.699951171875</v>
      </c>
      <c r="C1780" s="37">
        <v>977.45831298828125</v>
      </c>
      <c r="D1780" s="35">
        <v>3781326</v>
      </c>
      <c r="E1780" s="35" t="s">
        <v>1960</v>
      </c>
      <c r="F1780" s="35" t="s">
        <v>411</v>
      </c>
    </row>
    <row r="1781" spans="1:6">
      <c r="A1781" s="35" t="s">
        <v>2193</v>
      </c>
      <c r="B1781" s="37">
        <v>1192.1500244140625</v>
      </c>
      <c r="C1781" s="37">
        <v>985.2684326171875</v>
      </c>
      <c r="D1781" s="35">
        <v>3834327</v>
      </c>
      <c r="E1781" s="35" t="s">
        <v>1960</v>
      </c>
      <c r="F1781" s="35" t="s">
        <v>411</v>
      </c>
    </row>
    <row r="1782" spans="1:6">
      <c r="A1782" s="35" t="s">
        <v>2194</v>
      </c>
      <c r="B1782" s="37">
        <v>1193.449951171875</v>
      </c>
      <c r="C1782" s="37">
        <v>986.34283447265625</v>
      </c>
      <c r="D1782" s="35">
        <v>2770879</v>
      </c>
      <c r="E1782" s="35" t="s">
        <v>1960</v>
      </c>
      <c r="F1782" s="35" t="s">
        <v>411</v>
      </c>
    </row>
    <row r="1783" spans="1:6">
      <c r="A1783" s="35" t="s">
        <v>2195</v>
      </c>
      <c r="B1783" s="37">
        <v>1202.8499755859375</v>
      </c>
      <c r="C1783" s="37">
        <v>994.11163330078125</v>
      </c>
      <c r="D1783" s="35">
        <v>5740660</v>
      </c>
      <c r="E1783" s="35" t="s">
        <v>1960</v>
      </c>
      <c r="F1783" s="35" t="s">
        <v>411</v>
      </c>
    </row>
    <row r="1784" spans="1:6">
      <c r="A1784" s="35" t="s">
        <v>2196</v>
      </c>
      <c r="B1784" s="37">
        <v>1176.8499755859375</v>
      </c>
      <c r="C1784" s="37">
        <v>972.6234130859375</v>
      </c>
      <c r="D1784" s="35">
        <v>3003066</v>
      </c>
      <c r="E1784" s="35" t="s">
        <v>1960</v>
      </c>
      <c r="F1784" s="35" t="s">
        <v>411</v>
      </c>
    </row>
    <row r="1785" spans="1:6">
      <c r="A1785" s="35" t="s">
        <v>2197</v>
      </c>
      <c r="B1785" s="37">
        <v>1199.5</v>
      </c>
      <c r="C1785" s="37">
        <v>991.34283447265625</v>
      </c>
      <c r="D1785" s="35">
        <v>1894018</v>
      </c>
      <c r="E1785" s="35" t="s">
        <v>1960</v>
      </c>
      <c r="F1785" s="35" t="s">
        <v>411</v>
      </c>
    </row>
    <row r="1786" spans="1:6">
      <c r="A1786" s="35" t="s">
        <v>2198</v>
      </c>
      <c r="B1786" s="37">
        <v>1196.9000244140625</v>
      </c>
      <c r="C1786" s="37">
        <v>989.1939697265625</v>
      </c>
      <c r="D1786" s="35">
        <v>6987787</v>
      </c>
      <c r="E1786" s="35" t="s">
        <v>1960</v>
      </c>
      <c r="F1786" s="35" t="s">
        <v>411</v>
      </c>
    </row>
    <row r="1787" spans="1:6">
      <c r="A1787" s="35" t="s">
        <v>2199</v>
      </c>
      <c r="B1787" s="37">
        <v>1168.050048828125</v>
      </c>
      <c r="C1787" s="37">
        <v>965.35089111328125</v>
      </c>
      <c r="D1787" s="35">
        <v>4046440</v>
      </c>
      <c r="E1787" s="35" t="s">
        <v>1960</v>
      </c>
      <c r="F1787" s="35" t="s">
        <v>411</v>
      </c>
    </row>
    <row r="1788" spans="1:6">
      <c r="A1788" s="35" t="s">
        <v>2200</v>
      </c>
      <c r="B1788" s="37">
        <v>1176.4000244140625</v>
      </c>
      <c r="C1788" s="37">
        <v>972.25152587890625</v>
      </c>
      <c r="D1788" s="35">
        <v>4516870</v>
      </c>
      <c r="E1788" s="35" t="s">
        <v>1960</v>
      </c>
      <c r="F1788" s="35" t="s">
        <v>411</v>
      </c>
    </row>
    <row r="1789" spans="1:6">
      <c r="A1789" s="35" t="s">
        <v>2201</v>
      </c>
      <c r="B1789" s="37">
        <v>1180.699951171875</v>
      </c>
      <c r="C1789" s="37">
        <v>975.8052978515625</v>
      </c>
      <c r="D1789" s="35">
        <v>2338886</v>
      </c>
      <c r="E1789" s="35" t="s">
        <v>1960</v>
      </c>
      <c r="F1789" s="35" t="s">
        <v>411</v>
      </c>
    </row>
    <row r="1790" spans="1:6">
      <c r="A1790" s="35" t="s">
        <v>2202</v>
      </c>
      <c r="B1790" s="37">
        <v>1192.0999755859375</v>
      </c>
      <c r="C1790" s="37">
        <v>985.22698974609375</v>
      </c>
      <c r="D1790" s="35">
        <v>2351703</v>
      </c>
      <c r="E1790" s="35" t="s">
        <v>1960</v>
      </c>
      <c r="F1790" s="35" t="s">
        <v>411</v>
      </c>
    </row>
    <row r="1791" spans="1:6">
      <c r="A1791" s="35" t="s">
        <v>2203</v>
      </c>
      <c r="B1791" s="37">
        <v>1179.3499755859375</v>
      </c>
      <c r="C1791" s="37">
        <v>974.689697265625</v>
      </c>
      <c r="D1791" s="35">
        <v>2489854</v>
      </c>
      <c r="E1791" s="35" t="s">
        <v>1960</v>
      </c>
      <c r="F1791" s="35" t="s">
        <v>411</v>
      </c>
    </row>
    <row r="1792" spans="1:6">
      <c r="A1792" s="35" t="s">
        <v>2204</v>
      </c>
      <c r="B1792" s="37">
        <v>1163.949951171875</v>
      </c>
      <c r="C1792" s="37">
        <v>961.9620361328125</v>
      </c>
      <c r="D1792" s="35">
        <v>3406258</v>
      </c>
      <c r="E1792" s="35" t="s">
        <v>1960</v>
      </c>
      <c r="F1792" s="35" t="s">
        <v>411</v>
      </c>
    </row>
    <row r="1793" spans="1:6">
      <c r="A1793" s="35" t="s">
        <v>2205</v>
      </c>
      <c r="B1793" s="37">
        <v>1167.699951171875</v>
      </c>
      <c r="C1793" s="37">
        <v>965.0614013671875</v>
      </c>
      <c r="D1793" s="35">
        <v>2443230</v>
      </c>
      <c r="E1793" s="35" t="s">
        <v>1960</v>
      </c>
      <c r="F1793" s="35" t="s">
        <v>411</v>
      </c>
    </row>
    <row r="1794" spans="1:6">
      <c r="A1794" s="35" t="s">
        <v>2206</v>
      </c>
      <c r="B1794" s="37">
        <v>1165.199951171875</v>
      </c>
      <c r="C1794" s="37">
        <v>962.99530029296875</v>
      </c>
      <c r="D1794" s="35">
        <v>3073672</v>
      </c>
      <c r="E1794" s="35" t="s">
        <v>1960</v>
      </c>
      <c r="F1794" s="35" t="s">
        <v>411</v>
      </c>
    </row>
    <row r="1795" spans="1:6">
      <c r="A1795" s="35" t="s">
        <v>2207</v>
      </c>
      <c r="B1795" s="37">
        <v>1163.75</v>
      </c>
      <c r="C1795" s="37">
        <v>961.79669189453125</v>
      </c>
      <c r="D1795" s="35">
        <v>3006639</v>
      </c>
      <c r="E1795" s="35" t="s">
        <v>1960</v>
      </c>
      <c r="F1795" s="35" t="s">
        <v>411</v>
      </c>
    </row>
    <row r="1796" spans="1:6">
      <c r="A1796" s="35" t="s">
        <v>2208</v>
      </c>
      <c r="B1796" s="37">
        <v>1169.6500244140625</v>
      </c>
      <c r="C1796" s="37">
        <v>966.67303466796875</v>
      </c>
      <c r="D1796" s="35">
        <v>2479745</v>
      </c>
      <c r="E1796" s="35" t="s">
        <v>2209</v>
      </c>
      <c r="F1796" s="35" t="s">
        <v>411</v>
      </c>
    </row>
    <row r="1797" spans="1:6">
      <c r="A1797" s="35" t="s">
        <v>2210</v>
      </c>
      <c r="B1797" s="37">
        <v>1187.050048828125</v>
      </c>
      <c r="C1797" s="37">
        <v>981.05322265625</v>
      </c>
      <c r="D1797" s="35">
        <v>2282137</v>
      </c>
      <c r="E1797" s="35" t="s">
        <v>2209</v>
      </c>
      <c r="F1797" s="35" t="s">
        <v>411</v>
      </c>
    </row>
    <row r="1798" spans="1:6">
      <c r="A1798" s="35" t="s">
        <v>2211</v>
      </c>
      <c r="B1798" s="37">
        <v>1195.449951171875</v>
      </c>
      <c r="C1798" s="37">
        <v>987.99578857421875</v>
      </c>
      <c r="D1798" s="35">
        <v>2634464</v>
      </c>
      <c r="E1798" s="35" t="s">
        <v>2209</v>
      </c>
      <c r="F1798" s="35" t="s">
        <v>411</v>
      </c>
    </row>
    <row r="1799" spans="1:6">
      <c r="A1799" s="35" t="s">
        <v>2212</v>
      </c>
      <c r="B1799" s="37">
        <v>1170.5</v>
      </c>
      <c r="C1799" s="37">
        <v>967.37530517578125</v>
      </c>
      <c r="D1799" s="35">
        <v>2838968</v>
      </c>
      <c r="E1799" s="35" t="s">
        <v>2209</v>
      </c>
      <c r="F1799" s="35" t="s">
        <v>411</v>
      </c>
    </row>
    <row r="1800" spans="1:6">
      <c r="A1800" s="35" t="s">
        <v>2213</v>
      </c>
      <c r="B1800" s="37">
        <v>1173.300048828125</v>
      </c>
      <c r="C1800" s="37">
        <v>969.6895751953125</v>
      </c>
      <c r="D1800" s="35">
        <v>3391918</v>
      </c>
      <c r="E1800" s="35" t="s">
        <v>2209</v>
      </c>
      <c r="F1800" s="35" t="s">
        <v>411</v>
      </c>
    </row>
    <row r="1801" spans="1:6">
      <c r="A1801" s="35" t="s">
        <v>2214</v>
      </c>
      <c r="B1801" s="37">
        <v>1165.3499755859375</v>
      </c>
      <c r="C1801" s="37">
        <v>963.119140625</v>
      </c>
      <c r="D1801" s="35">
        <v>2656091</v>
      </c>
      <c r="E1801" s="35" t="s">
        <v>2209</v>
      </c>
      <c r="F1801" s="35" t="s">
        <v>411</v>
      </c>
    </row>
    <row r="1802" spans="1:6">
      <c r="A1802" s="35" t="s">
        <v>2215</v>
      </c>
      <c r="B1802" s="37">
        <v>1133.5</v>
      </c>
      <c r="C1802" s="37">
        <v>936.79632568359375</v>
      </c>
      <c r="D1802" s="35">
        <v>5679058</v>
      </c>
      <c r="E1802" s="35" t="s">
        <v>2209</v>
      </c>
      <c r="F1802" s="35" t="s">
        <v>411</v>
      </c>
    </row>
    <row r="1803" spans="1:6">
      <c r="A1803" s="35" t="s">
        <v>2216</v>
      </c>
      <c r="B1803" s="37">
        <v>1131.1500244140625</v>
      </c>
      <c r="C1803" s="37">
        <v>934.854248046875</v>
      </c>
      <c r="D1803" s="35">
        <v>2906617</v>
      </c>
      <c r="E1803" s="35" t="s">
        <v>2209</v>
      </c>
      <c r="F1803" s="35" t="s">
        <v>411</v>
      </c>
    </row>
    <row r="1804" spans="1:6">
      <c r="A1804" s="35" t="s">
        <v>2217</v>
      </c>
      <c r="B1804" s="37">
        <v>1125.0999755859375</v>
      </c>
      <c r="C1804" s="37">
        <v>929.8538818359375</v>
      </c>
      <c r="D1804" s="35">
        <v>1971580</v>
      </c>
      <c r="E1804" s="35" t="s">
        <v>2209</v>
      </c>
      <c r="F1804" s="35" t="s">
        <v>411</v>
      </c>
    </row>
    <row r="1805" spans="1:6">
      <c r="A1805" s="35" t="s">
        <v>2218</v>
      </c>
      <c r="B1805" s="37">
        <v>1101.75</v>
      </c>
      <c r="C1805" s="37">
        <v>910.55596923828125</v>
      </c>
      <c r="D1805" s="35">
        <v>4391701</v>
      </c>
      <c r="E1805" s="35" t="s">
        <v>2209</v>
      </c>
      <c r="F1805" s="35" t="s">
        <v>411</v>
      </c>
    </row>
    <row r="1806" spans="1:6">
      <c r="A1806" s="35" t="s">
        <v>2219</v>
      </c>
      <c r="B1806" s="37">
        <v>1070.25</v>
      </c>
      <c r="C1806" s="37">
        <v>884.52252197265625</v>
      </c>
      <c r="D1806" s="35">
        <v>3422431</v>
      </c>
      <c r="E1806" s="35" t="s">
        <v>2209</v>
      </c>
      <c r="F1806" s="35" t="s">
        <v>411</v>
      </c>
    </row>
    <row r="1807" spans="1:6">
      <c r="A1807" s="35" t="s">
        <v>2220</v>
      </c>
      <c r="B1807" s="37">
        <v>1089.4000244140625</v>
      </c>
      <c r="C1807" s="37">
        <v>900.34942626953125</v>
      </c>
      <c r="D1807" s="35">
        <v>2573318</v>
      </c>
      <c r="E1807" s="35" t="s">
        <v>2209</v>
      </c>
      <c r="F1807" s="35" t="s">
        <v>411</v>
      </c>
    </row>
    <row r="1808" spans="1:6">
      <c r="A1808" s="35" t="s">
        <v>2221</v>
      </c>
      <c r="B1808" s="37">
        <v>1099.199951171875</v>
      </c>
      <c r="C1808" s="37">
        <v>908.44854736328125</v>
      </c>
      <c r="D1808" s="35">
        <v>2547848</v>
      </c>
      <c r="E1808" s="35" t="s">
        <v>2209</v>
      </c>
      <c r="F1808" s="35" t="s">
        <v>411</v>
      </c>
    </row>
    <row r="1809" spans="1:6">
      <c r="A1809" s="35" t="s">
        <v>2222</v>
      </c>
      <c r="B1809" s="37">
        <v>1102.050048828125</v>
      </c>
      <c r="C1809" s="37">
        <v>910.80413818359375</v>
      </c>
      <c r="D1809" s="35">
        <v>9567571</v>
      </c>
      <c r="E1809" s="35" t="s">
        <v>2209</v>
      </c>
      <c r="F1809" s="35" t="s">
        <v>411</v>
      </c>
    </row>
    <row r="1810" spans="1:6">
      <c r="A1810" s="35" t="s">
        <v>2223</v>
      </c>
      <c r="B1810" s="37">
        <v>1089.8499755859375</v>
      </c>
      <c r="C1810" s="37">
        <v>900.7210693359375</v>
      </c>
      <c r="D1810" s="35">
        <v>3565801</v>
      </c>
      <c r="E1810" s="35" t="s">
        <v>2209</v>
      </c>
      <c r="F1810" s="35" t="s">
        <v>411</v>
      </c>
    </row>
    <row r="1811" spans="1:6">
      <c r="A1811" s="35" t="s">
        <v>2224</v>
      </c>
      <c r="B1811" s="37">
        <v>1094.300048828125</v>
      </c>
      <c r="C1811" s="37">
        <v>904.39898681640625</v>
      </c>
      <c r="D1811" s="35">
        <v>3213714</v>
      </c>
      <c r="E1811" s="35" t="s">
        <v>2209</v>
      </c>
      <c r="F1811" s="35" t="s">
        <v>411</v>
      </c>
    </row>
    <row r="1812" spans="1:6">
      <c r="A1812" s="35" t="s">
        <v>2225</v>
      </c>
      <c r="B1812" s="37">
        <v>1095.5999755859375</v>
      </c>
      <c r="C1812" s="37">
        <v>905.47332763671875</v>
      </c>
      <c r="D1812" s="35">
        <v>3288792</v>
      </c>
      <c r="E1812" s="35" t="s">
        <v>2209</v>
      </c>
      <c r="F1812" s="35" t="s">
        <v>411</v>
      </c>
    </row>
    <row r="1813" spans="1:6">
      <c r="A1813" s="35" t="s">
        <v>2226</v>
      </c>
      <c r="B1813" s="37">
        <v>1092.5</v>
      </c>
      <c r="C1813" s="37">
        <v>917.99334716796875</v>
      </c>
      <c r="D1813" s="35">
        <v>5202061</v>
      </c>
      <c r="E1813" s="35" t="s">
        <v>2209</v>
      </c>
      <c r="F1813" s="35" t="s">
        <v>411</v>
      </c>
    </row>
    <row r="1814" spans="1:6">
      <c r="A1814" s="35" t="s">
        <v>2227</v>
      </c>
      <c r="B1814" s="37">
        <v>1079.25</v>
      </c>
      <c r="C1814" s="37">
        <v>906.85968017578125</v>
      </c>
      <c r="D1814" s="35">
        <v>2988180</v>
      </c>
      <c r="E1814" s="35" t="s">
        <v>2209</v>
      </c>
      <c r="F1814" s="35" t="s">
        <v>411</v>
      </c>
    </row>
    <row r="1815" spans="1:6">
      <c r="A1815" s="35" t="s">
        <v>2228</v>
      </c>
      <c r="B1815" s="37">
        <v>1066.9000244140625</v>
      </c>
      <c r="C1815" s="37">
        <v>896.482666015625</v>
      </c>
      <c r="D1815" s="35">
        <v>2584604</v>
      </c>
      <c r="E1815" s="35" t="s">
        <v>2209</v>
      </c>
      <c r="F1815" s="35" t="s">
        <v>411</v>
      </c>
    </row>
    <row r="1816" spans="1:6">
      <c r="A1816" s="35" t="s">
        <v>2229</v>
      </c>
      <c r="B1816" s="37">
        <v>1044.949951171875</v>
      </c>
      <c r="C1816" s="37">
        <v>878.03857421875</v>
      </c>
      <c r="D1816" s="35">
        <v>3385725</v>
      </c>
      <c r="E1816" s="35" t="s">
        <v>2209</v>
      </c>
      <c r="F1816" s="35" t="s">
        <v>411</v>
      </c>
    </row>
    <row r="1817" spans="1:6">
      <c r="A1817" s="35" t="s">
        <v>2230</v>
      </c>
      <c r="B1817" s="37">
        <v>1072.050048828125</v>
      </c>
      <c r="C1817" s="37">
        <v>900.80987548828125</v>
      </c>
      <c r="D1817" s="35">
        <v>2982126</v>
      </c>
      <c r="E1817" s="35" t="s">
        <v>2209</v>
      </c>
      <c r="F1817" s="35" t="s">
        <v>411</v>
      </c>
    </row>
    <row r="1818" spans="1:6">
      <c r="A1818" s="35" t="s">
        <v>2231</v>
      </c>
      <c r="B1818" s="37">
        <v>1050.199951171875</v>
      </c>
      <c r="C1818" s="37">
        <v>882.449951171875</v>
      </c>
      <c r="D1818" s="35">
        <v>4075606</v>
      </c>
      <c r="E1818" s="35" t="s">
        <v>2209</v>
      </c>
      <c r="F1818" s="35" t="s">
        <v>411</v>
      </c>
    </row>
    <row r="1819" spans="1:6">
      <c r="A1819" s="35" t="s">
        <v>2232</v>
      </c>
      <c r="B1819" s="37">
        <v>1076.0999755859375</v>
      </c>
      <c r="C1819" s="37">
        <v>904.21282958984375</v>
      </c>
      <c r="D1819" s="35">
        <v>4207192</v>
      </c>
      <c r="E1819" s="35" t="s">
        <v>2209</v>
      </c>
      <c r="F1819" s="35" t="s">
        <v>411</v>
      </c>
    </row>
    <row r="1820" spans="1:6">
      <c r="A1820" s="35" t="s">
        <v>2233</v>
      </c>
      <c r="B1820" s="37">
        <v>1072.550048828125</v>
      </c>
      <c r="C1820" s="37">
        <v>901.22991943359375</v>
      </c>
      <c r="D1820" s="35">
        <v>2473518</v>
      </c>
      <c r="E1820" s="35" t="s">
        <v>2209</v>
      </c>
      <c r="F1820" s="35" t="s">
        <v>411</v>
      </c>
    </row>
    <row r="1821" spans="1:6">
      <c r="A1821" s="35" t="s">
        <v>2234</v>
      </c>
      <c r="B1821" s="37">
        <v>1060.9000244140625</v>
      </c>
      <c r="C1821" s="37">
        <v>891.44085693359375</v>
      </c>
      <c r="D1821" s="35">
        <v>2895668</v>
      </c>
      <c r="E1821" s="35" t="s">
        <v>2209</v>
      </c>
      <c r="F1821" s="35" t="s">
        <v>411</v>
      </c>
    </row>
    <row r="1822" spans="1:6">
      <c r="A1822" s="35" t="s">
        <v>2235</v>
      </c>
      <c r="B1822" s="37">
        <v>1059.4000244140625</v>
      </c>
      <c r="C1822" s="37">
        <v>890.180419921875</v>
      </c>
      <c r="D1822" s="35">
        <v>3195189</v>
      </c>
      <c r="E1822" s="35" t="s">
        <v>2209</v>
      </c>
      <c r="F1822" s="35" t="s">
        <v>411</v>
      </c>
    </row>
    <row r="1823" spans="1:6">
      <c r="A1823" s="35" t="s">
        <v>2236</v>
      </c>
      <c r="B1823" s="37">
        <v>1052.1500244140625</v>
      </c>
      <c r="C1823" s="37">
        <v>884.08843994140625</v>
      </c>
      <c r="D1823" s="35">
        <v>2496626</v>
      </c>
      <c r="E1823" s="35" t="s">
        <v>2209</v>
      </c>
      <c r="F1823" s="35" t="s">
        <v>411</v>
      </c>
    </row>
    <row r="1824" spans="1:6">
      <c r="A1824" s="35" t="s">
        <v>2237</v>
      </c>
      <c r="B1824" s="37">
        <v>1044.550048828125</v>
      </c>
      <c r="C1824" s="37">
        <v>877.70257568359375</v>
      </c>
      <c r="D1824" s="35">
        <v>1415370</v>
      </c>
      <c r="E1824" s="35" t="s">
        <v>2209</v>
      </c>
      <c r="F1824" s="35" t="s">
        <v>411</v>
      </c>
    </row>
    <row r="1825" spans="1:6">
      <c r="A1825" s="35" t="s">
        <v>2238</v>
      </c>
      <c r="B1825" s="37">
        <v>1082.9000244140625</v>
      </c>
      <c r="C1825" s="37">
        <v>909.9268798828125</v>
      </c>
      <c r="D1825" s="35">
        <v>2620776</v>
      </c>
      <c r="E1825" s="35" t="s">
        <v>2209</v>
      </c>
      <c r="F1825" s="35" t="s">
        <v>411</v>
      </c>
    </row>
    <row r="1826" spans="1:6">
      <c r="A1826" s="35" t="s">
        <v>2239</v>
      </c>
      <c r="B1826" s="37">
        <v>1073.699951171875</v>
      </c>
      <c r="C1826" s="37">
        <v>902.19622802734375</v>
      </c>
      <c r="D1826" s="35">
        <v>2865869</v>
      </c>
      <c r="E1826" s="35" t="s">
        <v>2209</v>
      </c>
      <c r="F1826" s="35" t="s">
        <v>411</v>
      </c>
    </row>
    <row r="1827" spans="1:6">
      <c r="A1827" s="35" t="s">
        <v>2240</v>
      </c>
      <c r="B1827" s="37">
        <v>1009.4000244140625</v>
      </c>
      <c r="C1827" s="37">
        <v>848.16705322265625</v>
      </c>
      <c r="D1827" s="35">
        <v>4729354</v>
      </c>
      <c r="E1827" s="35" t="s">
        <v>2209</v>
      </c>
      <c r="F1827" s="35" t="s">
        <v>411</v>
      </c>
    </row>
    <row r="1828" spans="1:6">
      <c r="A1828" s="35" t="s">
        <v>2241</v>
      </c>
      <c r="B1828" s="37">
        <v>1028.8499755859375</v>
      </c>
      <c r="C1828" s="37">
        <v>864.51025390625</v>
      </c>
      <c r="D1828" s="35">
        <v>2005622</v>
      </c>
      <c r="E1828" s="35" t="s">
        <v>2209</v>
      </c>
      <c r="F1828" s="35" t="s">
        <v>411</v>
      </c>
    </row>
    <row r="1829" spans="1:6">
      <c r="A1829" s="35" t="s">
        <v>2242</v>
      </c>
      <c r="B1829" s="37">
        <v>1018.2999877929688</v>
      </c>
      <c r="C1829" s="37">
        <v>855.6455078125</v>
      </c>
      <c r="D1829" s="35">
        <v>2285466</v>
      </c>
      <c r="E1829" s="35" t="s">
        <v>2209</v>
      </c>
      <c r="F1829" s="35" t="s">
        <v>411</v>
      </c>
    </row>
    <row r="1830" spans="1:6">
      <c r="A1830" s="35" t="s">
        <v>2243</v>
      </c>
      <c r="B1830" s="37">
        <v>991.75</v>
      </c>
      <c r="C1830" s="37">
        <v>833.33636474609375</v>
      </c>
      <c r="D1830" s="35">
        <v>3418456</v>
      </c>
      <c r="E1830" s="35" t="s">
        <v>2209</v>
      </c>
      <c r="F1830" s="35" t="s">
        <v>411</v>
      </c>
    </row>
    <row r="1831" spans="1:6">
      <c r="A1831" s="35" t="s">
        <v>2244</v>
      </c>
      <c r="B1831" s="37">
        <v>974.45001220703125</v>
      </c>
      <c r="C1831" s="37">
        <v>818.79962158203125</v>
      </c>
      <c r="D1831" s="35">
        <v>3904551</v>
      </c>
      <c r="E1831" s="35" t="s">
        <v>2209</v>
      </c>
      <c r="F1831" s="35" t="s">
        <v>411</v>
      </c>
    </row>
    <row r="1832" spans="1:6">
      <c r="A1832" s="35" t="s">
        <v>2245</v>
      </c>
      <c r="B1832" s="37">
        <v>980.70001220703125</v>
      </c>
      <c r="C1832" s="37">
        <v>824.05133056640625</v>
      </c>
      <c r="D1832" s="35">
        <v>4278059</v>
      </c>
      <c r="E1832" s="35" t="s">
        <v>2209</v>
      </c>
      <c r="F1832" s="35" t="s">
        <v>411</v>
      </c>
    </row>
    <row r="1833" spans="1:6">
      <c r="A1833" s="35" t="s">
        <v>2246</v>
      </c>
      <c r="B1833" s="37">
        <v>1003.9000244140625</v>
      </c>
      <c r="C1833" s="37">
        <v>843.5455322265625</v>
      </c>
      <c r="D1833" s="35">
        <v>2795530</v>
      </c>
      <c r="E1833" s="35" t="s">
        <v>2209</v>
      </c>
      <c r="F1833" s="35" t="s">
        <v>411</v>
      </c>
    </row>
    <row r="1834" spans="1:6">
      <c r="A1834" s="35" t="s">
        <v>2247</v>
      </c>
      <c r="B1834" s="37">
        <v>1039.9000244140625</v>
      </c>
      <c r="C1834" s="37">
        <v>873.79522705078125</v>
      </c>
      <c r="D1834" s="35">
        <v>3562969</v>
      </c>
      <c r="E1834" s="35" t="s">
        <v>2209</v>
      </c>
      <c r="F1834" s="35" t="s">
        <v>411</v>
      </c>
    </row>
    <row r="1835" spans="1:6">
      <c r="A1835" s="35" t="s">
        <v>2248</v>
      </c>
      <c r="B1835" s="37">
        <v>1040.75</v>
      </c>
      <c r="C1835" s="37">
        <v>874.50946044921875</v>
      </c>
      <c r="D1835" s="35">
        <v>5185485</v>
      </c>
      <c r="E1835" s="35" t="s">
        <v>2209</v>
      </c>
      <c r="F1835" s="35" t="s">
        <v>411</v>
      </c>
    </row>
    <row r="1836" spans="1:6">
      <c r="A1836" s="35" t="s">
        <v>2249</v>
      </c>
      <c r="B1836" s="37">
        <v>1017.9000244140625</v>
      </c>
      <c r="C1836" s="37">
        <v>855.309326171875</v>
      </c>
      <c r="D1836" s="35">
        <v>2554081</v>
      </c>
      <c r="E1836" s="35" t="s">
        <v>2209</v>
      </c>
      <c r="F1836" s="35" t="s">
        <v>411</v>
      </c>
    </row>
    <row r="1837" spans="1:6">
      <c r="A1837" s="35" t="s">
        <v>2250</v>
      </c>
      <c r="B1837" s="37">
        <v>1039.699951171875</v>
      </c>
      <c r="C1837" s="37">
        <v>873.62713623046875</v>
      </c>
      <c r="D1837" s="35">
        <v>3560227</v>
      </c>
      <c r="E1837" s="35" t="s">
        <v>2209</v>
      </c>
      <c r="F1837" s="35" t="s">
        <v>411</v>
      </c>
    </row>
    <row r="1838" spans="1:6">
      <c r="A1838" s="35" t="s">
        <v>2251</v>
      </c>
      <c r="B1838" s="37">
        <v>1043</v>
      </c>
      <c r="C1838" s="37">
        <v>876.40020751953125</v>
      </c>
      <c r="D1838" s="35">
        <v>3556955</v>
      </c>
      <c r="E1838" s="35" t="s">
        <v>2209</v>
      </c>
      <c r="F1838" s="35" t="s">
        <v>411</v>
      </c>
    </row>
    <row r="1839" spans="1:6">
      <c r="A1839" s="35" t="s">
        <v>2252</v>
      </c>
      <c r="B1839" s="37">
        <v>1037.300048828125</v>
      </c>
      <c r="C1839" s="37">
        <v>871.61053466796875</v>
      </c>
      <c r="D1839" s="35">
        <v>1997494</v>
      </c>
      <c r="E1839" s="35" t="s">
        <v>2209</v>
      </c>
      <c r="F1839" s="35" t="s">
        <v>411</v>
      </c>
    </row>
    <row r="1840" spans="1:6">
      <c r="A1840" s="35" t="s">
        <v>2253</v>
      </c>
      <c r="B1840" s="37">
        <v>1022.9000244140625</v>
      </c>
      <c r="C1840" s="37">
        <v>859.51055908203125</v>
      </c>
      <c r="D1840" s="35">
        <v>1839248</v>
      </c>
      <c r="E1840" s="35" t="s">
        <v>2209</v>
      </c>
      <c r="F1840" s="35" t="s">
        <v>411</v>
      </c>
    </row>
    <row r="1841" spans="1:6">
      <c r="A1841" s="35" t="s">
        <v>2254</v>
      </c>
      <c r="B1841" s="37">
        <v>1030.199951171875</v>
      </c>
      <c r="C1841" s="37">
        <v>865.64447021484375</v>
      </c>
      <c r="D1841" s="35">
        <v>1665512</v>
      </c>
      <c r="E1841" s="35" t="s">
        <v>2209</v>
      </c>
      <c r="F1841" s="35" t="s">
        <v>411</v>
      </c>
    </row>
    <row r="1842" spans="1:6">
      <c r="A1842" s="35" t="s">
        <v>2255</v>
      </c>
      <c r="B1842" s="37">
        <v>1028.6500244140625</v>
      </c>
      <c r="C1842" s="37">
        <v>864.34234619140625</v>
      </c>
      <c r="D1842" s="35">
        <v>1654005</v>
      </c>
      <c r="E1842" s="35" t="s">
        <v>2209</v>
      </c>
      <c r="F1842" s="35" t="s">
        <v>411</v>
      </c>
    </row>
    <row r="1843" spans="1:6">
      <c r="A1843" s="35" t="s">
        <v>2256</v>
      </c>
      <c r="B1843" s="37">
        <v>1015.3499755859375</v>
      </c>
      <c r="C1843" s="37">
        <v>853.16668701171875</v>
      </c>
      <c r="D1843" s="35">
        <v>2260855</v>
      </c>
      <c r="E1843" s="35" t="s">
        <v>2209</v>
      </c>
      <c r="F1843" s="35" t="s">
        <v>411</v>
      </c>
    </row>
    <row r="1844" spans="1:6">
      <c r="A1844" s="35" t="s">
        <v>2257</v>
      </c>
      <c r="B1844" s="37">
        <v>991.79998779296875</v>
      </c>
      <c r="C1844" s="37">
        <v>833.3782958984375</v>
      </c>
      <c r="D1844" s="35">
        <v>1738804</v>
      </c>
      <c r="E1844" s="35" t="s">
        <v>2209</v>
      </c>
      <c r="F1844" s="35" t="s">
        <v>411</v>
      </c>
    </row>
    <row r="1845" spans="1:6">
      <c r="A1845" s="35" t="s">
        <v>2258</v>
      </c>
      <c r="B1845" s="37">
        <v>996.9000244140625</v>
      </c>
      <c r="C1845" s="37">
        <v>837.6636962890625</v>
      </c>
      <c r="D1845" s="35">
        <v>2461791</v>
      </c>
      <c r="E1845" s="35" t="s">
        <v>2209</v>
      </c>
      <c r="F1845" s="35" t="s">
        <v>411</v>
      </c>
    </row>
    <row r="1846" spans="1:6">
      <c r="A1846" s="35" t="s">
        <v>2259</v>
      </c>
      <c r="B1846" s="37">
        <v>989.9000244140625</v>
      </c>
      <c r="C1846" s="37">
        <v>831.78179931640625</v>
      </c>
      <c r="D1846" s="35">
        <v>2408630</v>
      </c>
      <c r="E1846" s="35" t="s">
        <v>2209</v>
      </c>
      <c r="F1846" s="35" t="s">
        <v>411</v>
      </c>
    </row>
    <row r="1847" spans="1:6">
      <c r="A1847" s="35" t="s">
        <v>2260</v>
      </c>
      <c r="B1847" s="37">
        <v>964.95001220703125</v>
      </c>
      <c r="C1847" s="37">
        <v>810.81707763671875</v>
      </c>
      <c r="D1847" s="35">
        <v>3198618</v>
      </c>
      <c r="E1847" s="35" t="s">
        <v>2209</v>
      </c>
      <c r="F1847" s="35" t="s">
        <v>411</v>
      </c>
    </row>
    <row r="1848" spans="1:6">
      <c r="A1848" s="35" t="s">
        <v>2261</v>
      </c>
      <c r="B1848" s="37">
        <v>958.75</v>
      </c>
      <c r="C1848" s="37">
        <v>805.6072998046875</v>
      </c>
      <c r="D1848" s="35">
        <v>4302066</v>
      </c>
      <c r="E1848" s="35" t="s">
        <v>2209</v>
      </c>
      <c r="F1848" s="35" t="s">
        <v>411</v>
      </c>
    </row>
    <row r="1849" spans="1:6">
      <c r="A1849" s="35" t="s">
        <v>2262</v>
      </c>
      <c r="B1849" s="37">
        <v>960.04998779296875</v>
      </c>
      <c r="C1849" s="37">
        <v>806.69976806640625</v>
      </c>
      <c r="D1849" s="35">
        <v>1305407</v>
      </c>
      <c r="E1849" s="35" t="s">
        <v>2209</v>
      </c>
      <c r="F1849" s="35" t="s">
        <v>411</v>
      </c>
    </row>
    <row r="1850" spans="1:6">
      <c r="A1850" s="35" t="s">
        <v>2263</v>
      </c>
      <c r="B1850" s="37">
        <v>986.5999755859375</v>
      </c>
      <c r="C1850" s="37">
        <v>829.00885009765625</v>
      </c>
      <c r="D1850" s="35">
        <v>2128325</v>
      </c>
      <c r="E1850" s="35" t="s">
        <v>2209</v>
      </c>
      <c r="F1850" s="35" t="s">
        <v>411</v>
      </c>
    </row>
    <row r="1851" spans="1:6">
      <c r="A1851" s="35" t="s">
        <v>2264</v>
      </c>
      <c r="B1851" s="37">
        <v>961.29998779296875</v>
      </c>
      <c r="C1851" s="37">
        <v>807.75</v>
      </c>
      <c r="D1851" s="35">
        <v>2575065</v>
      </c>
      <c r="E1851" s="35" t="s">
        <v>2209</v>
      </c>
      <c r="F1851" s="35" t="s">
        <v>411</v>
      </c>
    </row>
    <row r="1852" spans="1:6">
      <c r="A1852" s="35" t="s">
        <v>2265</v>
      </c>
      <c r="B1852" s="37">
        <v>971.25</v>
      </c>
      <c r="C1852" s="37">
        <v>816.11083984375</v>
      </c>
      <c r="D1852" s="35">
        <v>2169033</v>
      </c>
      <c r="E1852" s="35" t="s">
        <v>2209</v>
      </c>
      <c r="F1852" s="35" t="s">
        <v>411</v>
      </c>
    </row>
    <row r="1853" spans="1:6">
      <c r="A1853" s="35" t="s">
        <v>2266</v>
      </c>
      <c r="B1853" s="37">
        <v>966.70001220703125</v>
      </c>
      <c r="C1853" s="37">
        <v>812.28759765625</v>
      </c>
      <c r="D1853" s="35">
        <v>1922313</v>
      </c>
      <c r="E1853" s="35" t="s">
        <v>2209</v>
      </c>
      <c r="F1853" s="35" t="s">
        <v>411</v>
      </c>
    </row>
    <row r="1854" spans="1:6">
      <c r="A1854" s="35" t="s">
        <v>2267</v>
      </c>
      <c r="B1854" s="37">
        <v>992.3499755859375</v>
      </c>
      <c r="C1854" s="37">
        <v>833.84033203125</v>
      </c>
      <c r="D1854" s="35">
        <v>3626024</v>
      </c>
      <c r="E1854" s="35" t="s">
        <v>2209</v>
      </c>
      <c r="F1854" s="35" t="s">
        <v>411</v>
      </c>
    </row>
    <row r="1855" spans="1:6">
      <c r="A1855" s="35" t="s">
        <v>2268</v>
      </c>
      <c r="B1855" s="37">
        <v>1001.9500122070313</v>
      </c>
      <c r="C1855" s="37">
        <v>841.90704345703125</v>
      </c>
      <c r="D1855" s="35">
        <v>2702471</v>
      </c>
      <c r="E1855" s="35" t="s">
        <v>2209</v>
      </c>
      <c r="F1855" s="35" t="s">
        <v>411</v>
      </c>
    </row>
    <row r="1856" spans="1:6">
      <c r="A1856" s="35" t="s">
        <v>2269</v>
      </c>
      <c r="B1856" s="37">
        <v>987.54998779296875</v>
      </c>
      <c r="C1856" s="37">
        <v>829.80712890625</v>
      </c>
      <c r="D1856" s="35">
        <v>3150015</v>
      </c>
      <c r="E1856" s="35" t="s">
        <v>2209</v>
      </c>
      <c r="F1856" s="35" t="s">
        <v>411</v>
      </c>
    </row>
    <row r="1857" spans="1:6">
      <c r="A1857" s="35" t="s">
        <v>2270</v>
      </c>
      <c r="B1857" s="37">
        <v>973.25</v>
      </c>
      <c r="C1857" s="37">
        <v>817.791259765625</v>
      </c>
      <c r="D1857" s="35">
        <v>3741119</v>
      </c>
      <c r="E1857" s="35" t="s">
        <v>2209</v>
      </c>
      <c r="F1857" s="35" t="s">
        <v>411</v>
      </c>
    </row>
    <row r="1858" spans="1:6">
      <c r="A1858" s="35" t="s">
        <v>2271</v>
      </c>
      <c r="B1858" s="37">
        <v>975.3499755859375</v>
      </c>
      <c r="C1858" s="37">
        <v>819.55572509765625</v>
      </c>
      <c r="D1858" s="35">
        <v>2827579</v>
      </c>
      <c r="E1858" s="35" t="s">
        <v>2209</v>
      </c>
      <c r="F1858" s="35" t="s">
        <v>411</v>
      </c>
    </row>
    <row r="1859" spans="1:6">
      <c r="A1859" s="35" t="s">
        <v>2272</v>
      </c>
      <c r="B1859" s="37">
        <v>984.5999755859375</v>
      </c>
      <c r="C1859" s="37">
        <v>827.32830810546875</v>
      </c>
      <c r="D1859" s="35">
        <v>2738846</v>
      </c>
      <c r="E1859" s="35" t="s">
        <v>2209</v>
      </c>
      <c r="F1859" s="35" t="s">
        <v>411</v>
      </c>
    </row>
    <row r="1860" spans="1:6">
      <c r="A1860" s="35" t="s">
        <v>2273</v>
      </c>
      <c r="B1860" s="37">
        <v>982.1500244140625</v>
      </c>
      <c r="C1860" s="37">
        <v>825.269775390625</v>
      </c>
      <c r="D1860" s="35">
        <v>2476050</v>
      </c>
      <c r="E1860" s="35" t="s">
        <v>2209</v>
      </c>
      <c r="F1860" s="35" t="s">
        <v>411</v>
      </c>
    </row>
    <row r="1861" spans="1:6">
      <c r="A1861" s="35" t="s">
        <v>2274</v>
      </c>
      <c r="B1861" s="37">
        <v>986.5999755859375</v>
      </c>
      <c r="C1861" s="37">
        <v>829.00885009765625</v>
      </c>
      <c r="D1861" s="35">
        <v>2998254</v>
      </c>
      <c r="E1861" s="35" t="s">
        <v>2209</v>
      </c>
      <c r="F1861" s="35" t="s">
        <v>411</v>
      </c>
    </row>
    <row r="1862" spans="1:6">
      <c r="A1862" s="35" t="s">
        <v>2275</v>
      </c>
      <c r="B1862" s="37">
        <v>989.8499755859375</v>
      </c>
      <c r="C1862" s="37">
        <v>831.73974609375</v>
      </c>
      <c r="D1862" s="35">
        <v>2985141</v>
      </c>
      <c r="E1862" s="35" t="s">
        <v>2209</v>
      </c>
      <c r="F1862" s="35" t="s">
        <v>411</v>
      </c>
    </row>
    <row r="1863" spans="1:6">
      <c r="A1863" s="35" t="s">
        <v>2276</v>
      </c>
      <c r="B1863" s="37">
        <v>983.54998779296875</v>
      </c>
      <c r="C1863" s="37">
        <v>826.44610595703125</v>
      </c>
      <c r="D1863" s="35">
        <v>3141642</v>
      </c>
      <c r="E1863" s="35" t="s">
        <v>2209</v>
      </c>
      <c r="F1863" s="35" t="s">
        <v>411</v>
      </c>
    </row>
    <row r="1864" spans="1:6">
      <c r="A1864" s="35" t="s">
        <v>2277</v>
      </c>
      <c r="B1864" s="37">
        <v>943.54998779296875</v>
      </c>
      <c r="C1864" s="37">
        <v>792.8353271484375</v>
      </c>
      <c r="D1864" s="35">
        <v>5787815</v>
      </c>
      <c r="E1864" s="35" t="s">
        <v>2209</v>
      </c>
      <c r="F1864" s="35" t="s">
        <v>411</v>
      </c>
    </row>
    <row r="1865" spans="1:6">
      <c r="A1865" s="35" t="s">
        <v>2278</v>
      </c>
      <c r="B1865" s="37">
        <v>927.79998779296875</v>
      </c>
      <c r="C1865" s="37">
        <v>779.60107421875</v>
      </c>
      <c r="D1865" s="35">
        <v>5305354</v>
      </c>
      <c r="E1865" s="35" t="s">
        <v>2209</v>
      </c>
      <c r="F1865" s="35" t="s">
        <v>411</v>
      </c>
    </row>
    <row r="1866" spans="1:6">
      <c r="A1866" s="35" t="s">
        <v>2279</v>
      </c>
      <c r="B1866" s="37">
        <v>917.75</v>
      </c>
      <c r="C1866" s="37">
        <v>771.15655517578125</v>
      </c>
      <c r="D1866" s="35">
        <v>12874342</v>
      </c>
      <c r="E1866" s="35" t="s">
        <v>2209</v>
      </c>
      <c r="F1866" s="35" t="s">
        <v>411</v>
      </c>
    </row>
    <row r="1867" spans="1:6">
      <c r="A1867" s="35" t="s">
        <v>2280</v>
      </c>
      <c r="B1867" s="37">
        <v>903</v>
      </c>
      <c r="C1867" s="37">
        <v>758.762451171875</v>
      </c>
      <c r="D1867" s="35">
        <v>4916497</v>
      </c>
      <c r="E1867" s="35" t="s">
        <v>2209</v>
      </c>
      <c r="F1867" s="35" t="s">
        <v>411</v>
      </c>
    </row>
    <row r="1868" spans="1:6">
      <c r="A1868" s="35" t="s">
        <v>2281</v>
      </c>
      <c r="B1868" s="37">
        <v>883.1500244140625</v>
      </c>
      <c r="C1868" s="37">
        <v>742.08319091796875</v>
      </c>
      <c r="D1868" s="35">
        <v>5591590</v>
      </c>
      <c r="E1868" s="35" t="s">
        <v>2209</v>
      </c>
      <c r="F1868" s="35" t="s">
        <v>411</v>
      </c>
    </row>
    <row r="1869" spans="1:6">
      <c r="A1869" s="35" t="s">
        <v>2282</v>
      </c>
      <c r="B1869" s="37">
        <v>900.29998779296875</v>
      </c>
      <c r="C1869" s="37">
        <v>756.49383544921875</v>
      </c>
      <c r="D1869" s="35">
        <v>5156225</v>
      </c>
      <c r="E1869" s="35" t="s">
        <v>2209</v>
      </c>
      <c r="F1869" s="35" t="s">
        <v>411</v>
      </c>
    </row>
    <row r="1870" spans="1:6">
      <c r="A1870" s="35" t="s">
        <v>2283</v>
      </c>
      <c r="B1870" s="37">
        <v>889.70001220703125</v>
      </c>
      <c r="C1870" s="37">
        <v>755.98394775390625</v>
      </c>
      <c r="D1870" s="35">
        <v>4636293</v>
      </c>
      <c r="E1870" s="35" t="s">
        <v>2209</v>
      </c>
      <c r="F1870" s="35" t="s">
        <v>411</v>
      </c>
    </row>
    <row r="1871" spans="1:6">
      <c r="A1871" s="35" t="s">
        <v>2284</v>
      </c>
      <c r="B1871" s="37">
        <v>917.4000244140625</v>
      </c>
      <c r="C1871" s="37">
        <v>779.520751953125</v>
      </c>
      <c r="D1871" s="35">
        <v>4827089</v>
      </c>
      <c r="E1871" s="35" t="s">
        <v>2209</v>
      </c>
      <c r="F1871" s="35" t="s">
        <v>411</v>
      </c>
    </row>
    <row r="1872" spans="1:6">
      <c r="A1872" s="35" t="s">
        <v>2285</v>
      </c>
      <c r="B1872" s="37">
        <v>924.45001220703125</v>
      </c>
      <c r="C1872" s="37">
        <v>785.51123046875</v>
      </c>
      <c r="D1872" s="35">
        <v>3498709</v>
      </c>
      <c r="E1872" s="35" t="s">
        <v>2209</v>
      </c>
      <c r="F1872" s="35" t="s">
        <v>411</v>
      </c>
    </row>
    <row r="1873" spans="1:6">
      <c r="A1873" s="35" t="s">
        <v>2286</v>
      </c>
      <c r="B1873" s="37">
        <v>920.25</v>
      </c>
      <c r="C1873" s="37">
        <v>781.94232177734375</v>
      </c>
      <c r="D1873" s="35">
        <v>3514659</v>
      </c>
      <c r="E1873" s="35" t="s">
        <v>2209</v>
      </c>
      <c r="F1873" s="35" t="s">
        <v>411</v>
      </c>
    </row>
    <row r="1874" spans="1:6">
      <c r="A1874" s="35" t="s">
        <v>2287</v>
      </c>
      <c r="B1874" s="37">
        <v>930.6500244140625</v>
      </c>
      <c r="C1874" s="37">
        <v>790.77935791015625</v>
      </c>
      <c r="D1874" s="35">
        <v>2120224</v>
      </c>
      <c r="E1874" s="35" t="s">
        <v>2209</v>
      </c>
      <c r="F1874" s="35" t="s">
        <v>411</v>
      </c>
    </row>
    <row r="1875" spans="1:6">
      <c r="A1875" s="35" t="s">
        <v>2288</v>
      </c>
      <c r="B1875" s="37">
        <v>913.5</v>
      </c>
      <c r="C1875" s="37">
        <v>776.20684814453125</v>
      </c>
      <c r="D1875" s="35">
        <v>2780103</v>
      </c>
      <c r="E1875" s="35" t="s">
        <v>2209</v>
      </c>
      <c r="F1875" s="35" t="s">
        <v>411</v>
      </c>
    </row>
    <row r="1876" spans="1:6">
      <c r="A1876" s="35" t="s">
        <v>2289</v>
      </c>
      <c r="B1876" s="37">
        <v>928.45001220703125</v>
      </c>
      <c r="C1876" s="37">
        <v>788.9100341796875</v>
      </c>
      <c r="D1876" s="35">
        <v>1742497</v>
      </c>
      <c r="E1876" s="35" t="s">
        <v>2209</v>
      </c>
      <c r="F1876" s="35" t="s">
        <v>411</v>
      </c>
    </row>
    <row r="1877" spans="1:6">
      <c r="A1877" s="35" t="s">
        <v>2290</v>
      </c>
      <c r="B1877" s="37">
        <v>946.0999755859375</v>
      </c>
      <c r="C1877" s="37">
        <v>803.9073486328125</v>
      </c>
      <c r="D1877" s="35">
        <v>2843497</v>
      </c>
      <c r="E1877" s="35" t="s">
        <v>2209</v>
      </c>
      <c r="F1877" s="35" t="s">
        <v>411</v>
      </c>
    </row>
    <row r="1878" spans="1:6">
      <c r="A1878" s="35" t="s">
        <v>2291</v>
      </c>
      <c r="B1878" s="37">
        <v>948.4000244140625</v>
      </c>
      <c r="C1878" s="37">
        <v>805.86163330078125</v>
      </c>
      <c r="D1878" s="35">
        <v>3617725</v>
      </c>
      <c r="E1878" s="35" t="s">
        <v>2209</v>
      </c>
      <c r="F1878" s="35" t="s">
        <v>411</v>
      </c>
    </row>
    <row r="1879" spans="1:6">
      <c r="A1879" s="35" t="s">
        <v>2292</v>
      </c>
      <c r="B1879" s="37">
        <v>952.1500244140625</v>
      </c>
      <c r="C1879" s="37">
        <v>809.048095703125</v>
      </c>
      <c r="D1879" s="35">
        <v>2489519</v>
      </c>
      <c r="E1879" s="35" t="s">
        <v>2209</v>
      </c>
      <c r="F1879" s="35" t="s">
        <v>411</v>
      </c>
    </row>
    <row r="1880" spans="1:6">
      <c r="A1880" s="35" t="s">
        <v>2293</v>
      </c>
      <c r="B1880" s="37">
        <v>951.04998779296875</v>
      </c>
      <c r="C1880" s="37">
        <v>808.113525390625</v>
      </c>
      <c r="D1880" s="35">
        <v>2545241</v>
      </c>
      <c r="E1880" s="35" t="s">
        <v>2209</v>
      </c>
      <c r="F1880" s="35" t="s">
        <v>411</v>
      </c>
    </row>
    <row r="1881" spans="1:6">
      <c r="A1881" s="35" t="s">
        <v>2294</v>
      </c>
      <c r="B1881" s="37">
        <v>957.20001220703125</v>
      </c>
      <c r="C1881" s="37">
        <v>813.33917236328125</v>
      </c>
      <c r="D1881" s="35">
        <v>4119614</v>
      </c>
      <c r="E1881" s="35" t="s">
        <v>2209</v>
      </c>
      <c r="F1881" s="35" t="s">
        <v>411</v>
      </c>
    </row>
    <row r="1882" spans="1:6">
      <c r="A1882" s="35" t="s">
        <v>2295</v>
      </c>
      <c r="B1882" s="37">
        <v>958.0999755859375</v>
      </c>
      <c r="C1882" s="37">
        <v>814.10369873046875</v>
      </c>
      <c r="D1882" s="35">
        <v>3513266</v>
      </c>
      <c r="E1882" s="35" t="s">
        <v>2209</v>
      </c>
      <c r="F1882" s="35" t="s">
        <v>411</v>
      </c>
    </row>
    <row r="1883" spans="1:6">
      <c r="A1883" s="35" t="s">
        <v>2296</v>
      </c>
      <c r="B1883" s="37">
        <v>957.75</v>
      </c>
      <c r="C1883" s="37">
        <v>813.806396484375</v>
      </c>
      <c r="D1883" s="35">
        <v>2565683</v>
      </c>
      <c r="E1883" s="35" t="s">
        <v>2209</v>
      </c>
      <c r="F1883" s="35" t="s">
        <v>411</v>
      </c>
    </row>
    <row r="1884" spans="1:6">
      <c r="A1884" s="35" t="s">
        <v>2297</v>
      </c>
      <c r="B1884" s="37">
        <v>966.04998779296875</v>
      </c>
      <c r="C1884" s="37">
        <v>820.8590087890625</v>
      </c>
      <c r="D1884" s="35">
        <v>1746911</v>
      </c>
      <c r="E1884" s="35" t="s">
        <v>2209</v>
      </c>
      <c r="F1884" s="35" t="s">
        <v>411</v>
      </c>
    </row>
    <row r="1885" spans="1:6">
      <c r="A1885" s="35" t="s">
        <v>2298</v>
      </c>
      <c r="B1885" s="37">
        <v>952.04998779296875</v>
      </c>
      <c r="C1885" s="37">
        <v>808.9630126953125</v>
      </c>
      <c r="D1885" s="35">
        <v>3271939</v>
      </c>
      <c r="E1885" s="35" t="s">
        <v>2209</v>
      </c>
      <c r="F1885" s="35" t="s">
        <v>411</v>
      </c>
    </row>
    <row r="1886" spans="1:6">
      <c r="A1886" s="35" t="s">
        <v>2299</v>
      </c>
      <c r="B1886" s="37">
        <v>962.3499755859375</v>
      </c>
      <c r="C1886" s="37">
        <v>817.71502685546875</v>
      </c>
      <c r="D1886" s="35">
        <v>3594584</v>
      </c>
      <c r="E1886" s="35" t="s">
        <v>2209</v>
      </c>
      <c r="F1886" s="35" t="s">
        <v>411</v>
      </c>
    </row>
    <row r="1887" spans="1:6">
      <c r="A1887" s="35" t="s">
        <v>2300</v>
      </c>
      <c r="B1887" s="37">
        <v>956.4000244140625</v>
      </c>
      <c r="C1887" s="37">
        <v>812.65936279296875</v>
      </c>
      <c r="D1887" s="35">
        <v>3022304</v>
      </c>
      <c r="E1887" s="35" t="s">
        <v>2209</v>
      </c>
      <c r="F1887" s="35" t="s">
        <v>411</v>
      </c>
    </row>
    <row r="1888" spans="1:6">
      <c r="A1888" s="35" t="s">
        <v>2301</v>
      </c>
      <c r="B1888" s="37">
        <v>958.20001220703125</v>
      </c>
      <c r="C1888" s="37">
        <v>814.188720703125</v>
      </c>
      <c r="D1888" s="35">
        <v>2784861</v>
      </c>
      <c r="E1888" s="35" t="s">
        <v>2209</v>
      </c>
      <c r="F1888" s="35" t="s">
        <v>411</v>
      </c>
    </row>
    <row r="1889" spans="1:6">
      <c r="A1889" s="35" t="s">
        <v>2302</v>
      </c>
      <c r="B1889" s="37">
        <v>980.5999755859375</v>
      </c>
      <c r="C1889" s="37">
        <v>833.22222900390625</v>
      </c>
      <c r="D1889" s="35">
        <v>4649125</v>
      </c>
      <c r="E1889" s="35" t="s">
        <v>2209</v>
      </c>
      <c r="F1889" s="35" t="s">
        <v>411</v>
      </c>
    </row>
    <row r="1890" spans="1:6">
      <c r="A1890" s="35" t="s">
        <v>2303</v>
      </c>
      <c r="B1890" s="37">
        <v>973.5</v>
      </c>
      <c r="C1890" s="37">
        <v>827.1893310546875</v>
      </c>
      <c r="D1890" s="35">
        <v>2829269</v>
      </c>
      <c r="E1890" s="35" t="s">
        <v>2209</v>
      </c>
      <c r="F1890" s="35" t="s">
        <v>411</v>
      </c>
    </row>
    <row r="1891" spans="1:6">
      <c r="A1891" s="35" t="s">
        <v>2304</v>
      </c>
      <c r="B1891" s="37">
        <v>970.04998779296875</v>
      </c>
      <c r="C1891" s="37">
        <v>824.2578125</v>
      </c>
      <c r="D1891" s="35">
        <v>2880969</v>
      </c>
      <c r="E1891" s="35" t="s">
        <v>2209</v>
      </c>
      <c r="F1891" s="35" t="s">
        <v>411</v>
      </c>
    </row>
    <row r="1892" spans="1:6">
      <c r="A1892" s="35" t="s">
        <v>2305</v>
      </c>
      <c r="B1892" s="37">
        <v>959.45001220703125</v>
      </c>
      <c r="C1892" s="37">
        <v>815.2509765625</v>
      </c>
      <c r="D1892" s="35">
        <v>3616799</v>
      </c>
      <c r="E1892" s="35" t="s">
        <v>2209</v>
      </c>
      <c r="F1892" s="35" t="s">
        <v>411</v>
      </c>
    </row>
    <row r="1893" spans="1:6">
      <c r="A1893" s="35" t="s">
        <v>2306</v>
      </c>
      <c r="B1893" s="37">
        <v>946.9000244140625</v>
      </c>
      <c r="C1893" s="37">
        <v>804.587158203125</v>
      </c>
      <c r="D1893" s="35">
        <v>3753715</v>
      </c>
      <c r="E1893" s="35" t="s">
        <v>2209</v>
      </c>
      <c r="F1893" s="35" t="s">
        <v>411</v>
      </c>
    </row>
    <row r="1894" spans="1:6">
      <c r="A1894" s="35" t="s">
        <v>2307</v>
      </c>
      <c r="B1894" s="37">
        <v>949.1500244140625</v>
      </c>
      <c r="C1894" s="37">
        <v>806.4989013671875</v>
      </c>
      <c r="D1894" s="35">
        <v>1494361</v>
      </c>
      <c r="E1894" s="35" t="s">
        <v>2209</v>
      </c>
      <c r="F1894" s="35" t="s">
        <v>411</v>
      </c>
    </row>
    <row r="1895" spans="1:6">
      <c r="A1895" s="35" t="s">
        <v>2308</v>
      </c>
      <c r="B1895" s="37">
        <v>943.79998779296875</v>
      </c>
      <c r="C1895" s="37">
        <v>801.95294189453125</v>
      </c>
      <c r="D1895" s="35">
        <v>3316314</v>
      </c>
      <c r="E1895" s="35" t="s">
        <v>2209</v>
      </c>
      <c r="F1895" s="35" t="s">
        <v>411</v>
      </c>
    </row>
    <row r="1896" spans="1:6">
      <c r="A1896" s="35" t="s">
        <v>2309</v>
      </c>
      <c r="B1896" s="37">
        <v>945.6500244140625</v>
      </c>
      <c r="C1896" s="37">
        <v>803.5250244140625</v>
      </c>
      <c r="D1896" s="35">
        <v>2195046</v>
      </c>
      <c r="E1896" s="35" t="s">
        <v>2209</v>
      </c>
      <c r="F1896" s="35" t="s">
        <v>411</v>
      </c>
    </row>
    <row r="1897" spans="1:6">
      <c r="A1897" s="35" t="s">
        <v>2310</v>
      </c>
      <c r="B1897" s="37">
        <v>917.5</v>
      </c>
      <c r="C1897" s="37">
        <v>779.6058349609375</v>
      </c>
      <c r="D1897" s="35">
        <v>4974880</v>
      </c>
      <c r="E1897" s="35" t="s">
        <v>2209</v>
      </c>
      <c r="F1897" s="35" t="s">
        <v>411</v>
      </c>
    </row>
    <row r="1898" spans="1:6">
      <c r="A1898" s="35" t="s">
        <v>2311</v>
      </c>
      <c r="B1898" s="37">
        <v>938.95001220703125</v>
      </c>
      <c r="C1898" s="37">
        <v>797.83197021484375</v>
      </c>
      <c r="D1898" s="35">
        <v>2998417</v>
      </c>
      <c r="E1898" s="35" t="s">
        <v>2209</v>
      </c>
      <c r="F1898" s="35" t="s">
        <v>411</v>
      </c>
    </row>
    <row r="1899" spans="1:6">
      <c r="A1899" s="35" t="s">
        <v>2312</v>
      </c>
      <c r="B1899" s="37">
        <v>926.04998779296875</v>
      </c>
      <c r="C1899" s="37">
        <v>786.87078857421875</v>
      </c>
      <c r="D1899" s="35">
        <v>2953921</v>
      </c>
      <c r="E1899" s="35" t="s">
        <v>2209</v>
      </c>
      <c r="F1899" s="35" t="s">
        <v>411</v>
      </c>
    </row>
    <row r="1900" spans="1:6">
      <c r="A1900" s="35" t="s">
        <v>2313</v>
      </c>
      <c r="B1900" s="37">
        <v>924.45001220703125</v>
      </c>
      <c r="C1900" s="37">
        <v>785.51123046875</v>
      </c>
      <c r="D1900" s="35">
        <v>1750283</v>
      </c>
      <c r="E1900" s="35" t="s">
        <v>2209</v>
      </c>
      <c r="F1900" s="35" t="s">
        <v>411</v>
      </c>
    </row>
    <row r="1901" spans="1:6">
      <c r="A1901" s="35" t="s">
        <v>2314</v>
      </c>
      <c r="B1901" s="37">
        <v>936</v>
      </c>
      <c r="C1901" s="37">
        <v>795.32537841796875</v>
      </c>
      <c r="D1901" s="35">
        <v>2279812</v>
      </c>
      <c r="E1901" s="35" t="s">
        <v>2209</v>
      </c>
      <c r="F1901" s="35" t="s">
        <v>411</v>
      </c>
    </row>
    <row r="1902" spans="1:6">
      <c r="A1902" s="35" t="s">
        <v>2315</v>
      </c>
      <c r="B1902" s="37">
        <v>937.79998779296875</v>
      </c>
      <c r="C1902" s="37">
        <v>796.854736328125</v>
      </c>
      <c r="D1902" s="35">
        <v>2108615</v>
      </c>
      <c r="E1902" s="35" t="s">
        <v>2209</v>
      </c>
      <c r="F1902" s="35" t="s">
        <v>411</v>
      </c>
    </row>
    <row r="1903" spans="1:6">
      <c r="A1903" s="35" t="s">
        <v>2316</v>
      </c>
      <c r="B1903" s="37">
        <v>931.70001220703125</v>
      </c>
      <c r="C1903" s="37">
        <v>791.671630859375</v>
      </c>
      <c r="D1903" s="35">
        <v>2709547</v>
      </c>
      <c r="E1903" s="35" t="s">
        <v>2209</v>
      </c>
      <c r="F1903" s="35" t="s">
        <v>411</v>
      </c>
    </row>
    <row r="1904" spans="1:6">
      <c r="A1904" s="35" t="s">
        <v>2317</v>
      </c>
      <c r="B1904" s="37">
        <v>931.04998779296875</v>
      </c>
      <c r="C1904" s="37">
        <v>791.119140625</v>
      </c>
      <c r="D1904" s="35">
        <v>3214686</v>
      </c>
      <c r="E1904" s="35" t="s">
        <v>2209</v>
      </c>
      <c r="F1904" s="35" t="s">
        <v>411</v>
      </c>
    </row>
    <row r="1905" spans="1:6">
      <c r="A1905" s="35" t="s">
        <v>2318</v>
      </c>
      <c r="B1905" s="37">
        <v>948.5</v>
      </c>
      <c r="C1905" s="37">
        <v>805.9466552734375</v>
      </c>
      <c r="D1905" s="35">
        <v>2206526</v>
      </c>
      <c r="E1905" s="35" t="s">
        <v>2209</v>
      </c>
      <c r="F1905" s="35" t="s">
        <v>411</v>
      </c>
    </row>
    <row r="1906" spans="1:6">
      <c r="A1906" s="35" t="s">
        <v>2319</v>
      </c>
      <c r="B1906" s="37">
        <v>955.54998779296875</v>
      </c>
      <c r="C1906" s="37">
        <v>811.93701171875</v>
      </c>
      <c r="D1906" s="35">
        <v>2517615</v>
      </c>
      <c r="E1906" s="35" t="s">
        <v>2209</v>
      </c>
      <c r="F1906" s="35" t="s">
        <v>411</v>
      </c>
    </row>
    <row r="1907" spans="1:6">
      <c r="A1907" s="35" t="s">
        <v>2320</v>
      </c>
      <c r="B1907" s="37">
        <v>955.4000244140625</v>
      </c>
      <c r="C1907" s="37">
        <v>811.8096923828125</v>
      </c>
      <c r="D1907" s="35">
        <v>2442828</v>
      </c>
      <c r="E1907" s="35" t="s">
        <v>2209</v>
      </c>
      <c r="F1907" s="35" t="s">
        <v>411</v>
      </c>
    </row>
    <row r="1908" spans="1:6">
      <c r="A1908" s="35" t="s">
        <v>2321</v>
      </c>
      <c r="B1908" s="37">
        <v>932</v>
      </c>
      <c r="C1908" s="37">
        <v>791.926513671875</v>
      </c>
      <c r="D1908" s="35">
        <v>6761712</v>
      </c>
      <c r="E1908" s="35" t="s">
        <v>2209</v>
      </c>
      <c r="F1908" s="35" t="s">
        <v>411</v>
      </c>
    </row>
    <row r="1909" spans="1:6">
      <c r="A1909" s="35" t="s">
        <v>2322</v>
      </c>
      <c r="B1909" s="37">
        <v>919.9000244140625</v>
      </c>
      <c r="C1909" s="37">
        <v>781.64495849609375</v>
      </c>
      <c r="D1909" s="35">
        <v>2995215</v>
      </c>
      <c r="E1909" s="35" t="s">
        <v>2209</v>
      </c>
      <c r="F1909" s="35" t="s">
        <v>411</v>
      </c>
    </row>
    <row r="1910" spans="1:6">
      <c r="A1910" s="35" t="s">
        <v>2323</v>
      </c>
      <c r="B1910" s="37">
        <v>896.9000244140625</v>
      </c>
      <c r="C1910" s="37">
        <v>762.101806640625</v>
      </c>
      <c r="D1910" s="35">
        <v>5095937</v>
      </c>
      <c r="E1910" s="35" t="s">
        <v>2209</v>
      </c>
      <c r="F1910" s="35" t="s">
        <v>411</v>
      </c>
    </row>
    <row r="1911" spans="1:6">
      <c r="A1911" s="35" t="s">
        <v>2324</v>
      </c>
      <c r="B1911" s="37">
        <v>897.79998779296875</v>
      </c>
      <c r="C1911" s="37">
        <v>762.8665771484375</v>
      </c>
      <c r="D1911" s="35">
        <v>2686561</v>
      </c>
      <c r="E1911" s="35" t="s">
        <v>2209</v>
      </c>
      <c r="F1911" s="35" t="s">
        <v>411</v>
      </c>
    </row>
    <row r="1912" spans="1:6">
      <c r="A1912" s="35" t="s">
        <v>2325</v>
      </c>
      <c r="B1912" s="37">
        <v>914</v>
      </c>
      <c r="C1912" s="37">
        <v>776.6317138671875</v>
      </c>
      <c r="D1912" s="35">
        <v>1836721</v>
      </c>
      <c r="E1912" s="35" t="s">
        <v>2209</v>
      </c>
      <c r="F1912" s="35" t="s">
        <v>411</v>
      </c>
    </row>
    <row r="1913" spans="1:6">
      <c r="A1913" s="35" t="s">
        <v>2326</v>
      </c>
      <c r="B1913" s="37">
        <v>900.95001220703125</v>
      </c>
      <c r="C1913" s="37">
        <v>765.5430908203125</v>
      </c>
      <c r="D1913" s="35">
        <v>1819649</v>
      </c>
      <c r="E1913" s="35" t="s">
        <v>2209</v>
      </c>
      <c r="F1913" s="35" t="s">
        <v>411</v>
      </c>
    </row>
    <row r="1914" spans="1:6">
      <c r="A1914" s="35" t="s">
        <v>2327</v>
      </c>
      <c r="B1914" s="37">
        <v>897.6500244140625</v>
      </c>
      <c r="C1914" s="37">
        <v>762.739013671875</v>
      </c>
      <c r="D1914" s="35">
        <v>2315711</v>
      </c>
      <c r="E1914" s="35" t="s">
        <v>2209</v>
      </c>
      <c r="F1914" s="35" t="s">
        <v>411</v>
      </c>
    </row>
    <row r="1915" spans="1:6">
      <c r="A1915" s="35" t="s">
        <v>2328</v>
      </c>
      <c r="B1915" s="37">
        <v>895.8499755859375</v>
      </c>
      <c r="C1915" s="37">
        <v>761.2095947265625</v>
      </c>
      <c r="D1915" s="35">
        <v>2569608</v>
      </c>
      <c r="E1915" s="35" t="s">
        <v>2209</v>
      </c>
      <c r="F1915" s="35" t="s">
        <v>411</v>
      </c>
    </row>
    <row r="1916" spans="1:6">
      <c r="A1916" s="35" t="s">
        <v>2329</v>
      </c>
      <c r="B1916" s="37">
        <v>906.70001220703125</v>
      </c>
      <c r="C1916" s="37">
        <v>770.42877197265625</v>
      </c>
      <c r="D1916" s="35">
        <v>4182702</v>
      </c>
      <c r="E1916" s="35" t="s">
        <v>2209</v>
      </c>
      <c r="F1916" s="35" t="s">
        <v>411</v>
      </c>
    </row>
    <row r="1917" spans="1:6">
      <c r="A1917" s="35" t="s">
        <v>2330</v>
      </c>
      <c r="B1917" s="37">
        <v>918.75</v>
      </c>
      <c r="C1917" s="37">
        <v>780.6678466796875</v>
      </c>
      <c r="D1917" s="35">
        <v>3545337</v>
      </c>
      <c r="E1917" s="35" t="s">
        <v>2209</v>
      </c>
      <c r="F1917" s="35" t="s">
        <v>411</v>
      </c>
    </row>
    <row r="1918" spans="1:6">
      <c r="A1918" s="35" t="s">
        <v>2331</v>
      </c>
      <c r="B1918" s="37">
        <v>920.79998779296875</v>
      </c>
      <c r="C1918" s="37">
        <v>782.4097900390625</v>
      </c>
      <c r="D1918" s="35">
        <v>4154139</v>
      </c>
      <c r="E1918" s="35" t="s">
        <v>2209</v>
      </c>
      <c r="F1918" s="35" t="s">
        <v>411</v>
      </c>
    </row>
    <row r="1919" spans="1:6">
      <c r="A1919" s="35" t="s">
        <v>2332</v>
      </c>
      <c r="B1919" s="37">
        <v>923.04998779296875</v>
      </c>
      <c r="C1919" s="37">
        <v>784.3216552734375</v>
      </c>
      <c r="D1919" s="35">
        <v>2928360</v>
      </c>
      <c r="E1919" s="35" t="s">
        <v>2209</v>
      </c>
      <c r="F1919" s="35" t="s">
        <v>411</v>
      </c>
    </row>
    <row r="1920" spans="1:6">
      <c r="A1920" s="35" t="s">
        <v>2333</v>
      </c>
      <c r="B1920" s="37">
        <v>932.3499755859375</v>
      </c>
      <c r="C1920" s="37">
        <v>792.22381591796875</v>
      </c>
      <c r="D1920" s="35">
        <v>3229901</v>
      </c>
      <c r="E1920" s="35" t="s">
        <v>2209</v>
      </c>
      <c r="F1920" s="35" t="s">
        <v>411</v>
      </c>
    </row>
    <row r="1921" spans="1:6">
      <c r="A1921" s="35" t="s">
        <v>2334</v>
      </c>
      <c r="B1921" s="37">
        <v>930.25</v>
      </c>
      <c r="C1921" s="37">
        <v>790.4395751953125</v>
      </c>
      <c r="D1921" s="35">
        <v>1598950</v>
      </c>
      <c r="E1921" s="35" t="s">
        <v>2209</v>
      </c>
      <c r="F1921" s="35" t="s">
        <v>411</v>
      </c>
    </row>
    <row r="1922" spans="1:6">
      <c r="A1922" s="35" t="s">
        <v>2335</v>
      </c>
      <c r="B1922" s="37">
        <v>946</v>
      </c>
      <c r="C1922" s="37">
        <v>803.82244873046875</v>
      </c>
      <c r="D1922" s="35">
        <v>2331351</v>
      </c>
      <c r="E1922" s="35" t="s">
        <v>2209</v>
      </c>
      <c r="F1922" s="35" t="s">
        <v>411</v>
      </c>
    </row>
    <row r="1923" spans="1:6">
      <c r="A1923" s="35" t="s">
        <v>2336</v>
      </c>
      <c r="B1923" s="37">
        <v>964.54998779296875</v>
      </c>
      <c r="C1923" s="37">
        <v>819.5843505859375</v>
      </c>
      <c r="D1923" s="35">
        <v>3713623</v>
      </c>
      <c r="E1923" s="35" t="s">
        <v>2209</v>
      </c>
      <c r="F1923" s="35" t="s">
        <v>411</v>
      </c>
    </row>
    <row r="1924" spans="1:6">
      <c r="A1924" s="35" t="s">
        <v>2337</v>
      </c>
      <c r="B1924" s="37">
        <v>957.70001220703125</v>
      </c>
      <c r="C1924" s="37">
        <v>813.76397705078125</v>
      </c>
      <c r="D1924" s="35">
        <v>2174327</v>
      </c>
      <c r="E1924" s="35" t="s">
        <v>2209</v>
      </c>
      <c r="F1924" s="35" t="s">
        <v>411</v>
      </c>
    </row>
    <row r="1925" spans="1:6">
      <c r="A1925" s="35" t="s">
        <v>2338</v>
      </c>
      <c r="B1925" s="37">
        <v>963.25</v>
      </c>
      <c r="C1925" s="37">
        <v>818.47979736328125</v>
      </c>
      <c r="D1925" s="35">
        <v>2758812</v>
      </c>
      <c r="E1925" s="35" t="s">
        <v>2209</v>
      </c>
      <c r="F1925" s="35" t="s">
        <v>411</v>
      </c>
    </row>
    <row r="1926" spans="1:6">
      <c r="A1926" s="35" t="s">
        <v>2339</v>
      </c>
      <c r="B1926" s="37">
        <v>938.5999755859375</v>
      </c>
      <c r="C1926" s="37">
        <v>797.53448486328125</v>
      </c>
      <c r="D1926" s="35">
        <v>3134969</v>
      </c>
      <c r="E1926" s="35" t="s">
        <v>2209</v>
      </c>
      <c r="F1926" s="35" t="s">
        <v>411</v>
      </c>
    </row>
    <row r="1927" spans="1:6">
      <c r="A1927" s="35" t="s">
        <v>2340</v>
      </c>
      <c r="B1927" s="37">
        <v>952</v>
      </c>
      <c r="C1927" s="37">
        <v>808.920654296875</v>
      </c>
      <c r="D1927" s="35">
        <v>3502390</v>
      </c>
      <c r="E1927" s="35" t="s">
        <v>2209</v>
      </c>
      <c r="F1927" s="35" t="s">
        <v>411</v>
      </c>
    </row>
    <row r="1928" spans="1:6">
      <c r="A1928" s="35" t="s">
        <v>2341</v>
      </c>
      <c r="B1928" s="37">
        <v>982.0999755859375</v>
      </c>
      <c r="C1928" s="37">
        <v>834.49688720703125</v>
      </c>
      <c r="D1928" s="35">
        <v>9698562</v>
      </c>
      <c r="E1928" s="35" t="s">
        <v>2209</v>
      </c>
      <c r="F1928" s="35" t="s">
        <v>411</v>
      </c>
    </row>
    <row r="1929" spans="1:6">
      <c r="A1929" s="35" t="s">
        <v>2342</v>
      </c>
      <c r="B1929" s="37">
        <v>1002.5499877929688</v>
      </c>
      <c r="C1929" s="37">
        <v>851.87335205078125</v>
      </c>
      <c r="D1929" s="35">
        <v>7424383</v>
      </c>
      <c r="E1929" s="35" t="s">
        <v>2209</v>
      </c>
      <c r="F1929" s="35" t="s">
        <v>411</v>
      </c>
    </row>
    <row r="1930" spans="1:6">
      <c r="A1930" s="35" t="s">
        <v>2343</v>
      </c>
      <c r="B1930" s="37">
        <v>994.5999755859375</v>
      </c>
      <c r="C1930" s="37">
        <v>845.11798095703125</v>
      </c>
      <c r="D1930" s="35">
        <v>2136170</v>
      </c>
      <c r="E1930" s="35" t="s">
        <v>2209</v>
      </c>
      <c r="F1930" s="35" t="s">
        <v>411</v>
      </c>
    </row>
    <row r="1931" spans="1:6">
      <c r="A1931" s="35" t="s">
        <v>2344</v>
      </c>
      <c r="B1931" s="37">
        <v>1009.2000122070313</v>
      </c>
      <c r="C1931" s="37">
        <v>857.5238037109375</v>
      </c>
      <c r="D1931" s="35">
        <v>2487826</v>
      </c>
      <c r="E1931" s="35" t="s">
        <v>2209</v>
      </c>
      <c r="F1931" s="35" t="s">
        <v>411</v>
      </c>
    </row>
    <row r="1932" spans="1:6">
      <c r="A1932" s="35" t="s">
        <v>2345</v>
      </c>
      <c r="B1932" s="37">
        <v>995.6500244140625</v>
      </c>
      <c r="C1932" s="37">
        <v>854.4771728515625</v>
      </c>
      <c r="D1932" s="35">
        <v>2517099</v>
      </c>
      <c r="E1932" s="35" t="s">
        <v>2209</v>
      </c>
      <c r="F1932" s="35" t="s">
        <v>411</v>
      </c>
    </row>
    <row r="1933" spans="1:6">
      <c r="A1933" s="35" t="s">
        <v>2346</v>
      </c>
      <c r="B1933" s="37">
        <v>1017.4000244140625</v>
      </c>
      <c r="C1933" s="37">
        <v>873.14337158203125</v>
      </c>
      <c r="D1933" s="35">
        <v>3931399</v>
      </c>
      <c r="E1933" s="35" t="s">
        <v>2209</v>
      </c>
      <c r="F1933" s="35" t="s">
        <v>411</v>
      </c>
    </row>
    <row r="1934" spans="1:6">
      <c r="A1934" s="35" t="s">
        <v>2347</v>
      </c>
      <c r="B1934" s="37">
        <v>1027.199951171875</v>
      </c>
      <c r="C1934" s="37">
        <v>881.55377197265625</v>
      </c>
      <c r="D1934" s="35">
        <v>2071897</v>
      </c>
      <c r="E1934" s="35" t="s">
        <v>2209</v>
      </c>
      <c r="F1934" s="35" t="s">
        <v>411</v>
      </c>
    </row>
    <row r="1935" spans="1:6">
      <c r="A1935" s="35" t="s">
        <v>2348</v>
      </c>
      <c r="B1935" s="37">
        <v>1031.5999755859375</v>
      </c>
      <c r="C1935" s="37">
        <v>885.32977294921875</v>
      </c>
      <c r="D1935" s="35">
        <v>398105</v>
      </c>
      <c r="E1935" s="35" t="s">
        <v>2209</v>
      </c>
      <c r="F1935" s="35" t="s">
        <v>411</v>
      </c>
    </row>
    <row r="1936" spans="1:6">
      <c r="A1936" s="35" t="s">
        <v>2349</v>
      </c>
      <c r="B1936" s="37">
        <v>1026.5</v>
      </c>
      <c r="C1936" s="37">
        <v>880.9530029296875</v>
      </c>
      <c r="D1936" s="35">
        <v>3068136</v>
      </c>
      <c r="E1936" s="35" t="s">
        <v>2209</v>
      </c>
      <c r="F1936" s="35" t="s">
        <v>411</v>
      </c>
    </row>
    <row r="1937" spans="1:6">
      <c r="A1937" s="35" t="s">
        <v>2350</v>
      </c>
      <c r="B1937" s="37">
        <v>1032.050048828125</v>
      </c>
      <c r="C1937" s="37">
        <v>885.71612548828125</v>
      </c>
      <c r="D1937" s="35">
        <v>3313674</v>
      </c>
      <c r="E1937" s="35" t="s">
        <v>2209</v>
      </c>
      <c r="F1937" s="35" t="s">
        <v>411</v>
      </c>
    </row>
    <row r="1938" spans="1:6">
      <c r="A1938" s="35" t="s">
        <v>2351</v>
      </c>
      <c r="B1938" s="37">
        <v>1030</v>
      </c>
      <c r="C1938" s="37">
        <v>883.95672607421875</v>
      </c>
      <c r="D1938" s="35">
        <v>2423629</v>
      </c>
      <c r="E1938" s="35" t="s">
        <v>2209</v>
      </c>
      <c r="F1938" s="35" t="s">
        <v>411</v>
      </c>
    </row>
    <row r="1939" spans="1:6">
      <c r="A1939" s="35" t="s">
        <v>2352</v>
      </c>
      <c r="B1939" s="37">
        <v>1041.1500244140625</v>
      </c>
      <c r="C1939" s="37">
        <v>893.525634765625</v>
      </c>
      <c r="D1939" s="35">
        <v>2418565</v>
      </c>
      <c r="E1939" s="35" t="s">
        <v>2209</v>
      </c>
      <c r="F1939" s="35" t="s">
        <v>411</v>
      </c>
    </row>
    <row r="1940" spans="1:6">
      <c r="A1940" s="35" t="s">
        <v>2353</v>
      </c>
      <c r="B1940" s="37">
        <v>1060.050048828125</v>
      </c>
      <c r="C1940" s="37">
        <v>909.7459716796875</v>
      </c>
      <c r="D1940" s="35">
        <v>2275488</v>
      </c>
      <c r="E1940" s="35" t="s">
        <v>2209</v>
      </c>
      <c r="F1940" s="35" t="s">
        <v>411</v>
      </c>
    </row>
    <row r="1941" spans="1:6">
      <c r="A1941" s="35" t="s">
        <v>2354</v>
      </c>
      <c r="B1941" s="37">
        <v>1045.199951171875</v>
      </c>
      <c r="C1941" s="37">
        <v>897.00140380859375</v>
      </c>
      <c r="D1941" s="35">
        <v>2799322</v>
      </c>
      <c r="E1941" s="35" t="s">
        <v>2209</v>
      </c>
      <c r="F1941" s="35" t="s">
        <v>411</v>
      </c>
    </row>
    <row r="1942" spans="1:6">
      <c r="A1942" s="35" t="s">
        <v>2355</v>
      </c>
      <c r="B1942" s="37">
        <v>1045.1500244140625</v>
      </c>
      <c r="C1942" s="37">
        <v>896.958740234375</v>
      </c>
      <c r="D1942" s="35">
        <v>2396164</v>
      </c>
      <c r="E1942" s="35" t="s">
        <v>2209</v>
      </c>
      <c r="F1942" s="35" t="s">
        <v>411</v>
      </c>
    </row>
    <row r="1943" spans="1:6">
      <c r="A1943" s="35" t="s">
        <v>2356</v>
      </c>
      <c r="B1943" s="37">
        <v>1045.3499755859375</v>
      </c>
      <c r="C1943" s="37">
        <v>897.13006591796875</v>
      </c>
      <c r="D1943" s="35">
        <v>1709158</v>
      </c>
      <c r="E1943" s="35" t="s">
        <v>2209</v>
      </c>
      <c r="F1943" s="35" t="s">
        <v>411</v>
      </c>
    </row>
    <row r="1944" spans="1:6">
      <c r="A1944" s="35" t="s">
        <v>2357</v>
      </c>
      <c r="B1944" s="37">
        <v>1047.1500244140625</v>
      </c>
      <c r="C1944" s="37">
        <v>898.67498779296875</v>
      </c>
      <c r="D1944" s="35">
        <v>2213508</v>
      </c>
      <c r="E1944" s="35" t="s">
        <v>2209</v>
      </c>
      <c r="F1944" s="35" t="s">
        <v>411</v>
      </c>
    </row>
    <row r="1945" spans="1:6">
      <c r="A1945" s="35" t="s">
        <v>2358</v>
      </c>
      <c r="B1945" s="37">
        <v>1053.449951171875</v>
      </c>
      <c r="C1945" s="37">
        <v>904.08160400390625</v>
      </c>
      <c r="D1945" s="35">
        <v>2307691</v>
      </c>
      <c r="E1945" s="35" t="s">
        <v>2209</v>
      </c>
      <c r="F1945" s="35" t="s">
        <v>411</v>
      </c>
    </row>
    <row r="1946" spans="1:6">
      <c r="A1946" s="35" t="s">
        <v>2359</v>
      </c>
      <c r="B1946" s="37">
        <v>1052.449951171875</v>
      </c>
      <c r="C1946" s="37">
        <v>903.22344970703125</v>
      </c>
      <c r="D1946" s="35">
        <v>2321667</v>
      </c>
      <c r="E1946" s="35" t="s">
        <v>2209</v>
      </c>
      <c r="F1946" s="35" t="s">
        <v>411</v>
      </c>
    </row>
    <row r="1947" spans="1:6">
      <c r="A1947" s="35" t="s">
        <v>2360</v>
      </c>
      <c r="B1947" s="37">
        <v>1090.6500244140625</v>
      </c>
      <c r="C1947" s="37">
        <v>936.00726318359375</v>
      </c>
      <c r="D1947" s="35">
        <v>3923101</v>
      </c>
      <c r="E1947" s="35" t="s">
        <v>2209</v>
      </c>
      <c r="F1947" s="35" t="s">
        <v>411</v>
      </c>
    </row>
    <row r="1948" spans="1:6">
      <c r="A1948" s="35" t="s">
        <v>2361</v>
      </c>
      <c r="B1948" s="37">
        <v>1099</v>
      </c>
      <c r="C1948" s="37">
        <v>943.17315673828125</v>
      </c>
      <c r="D1948" s="35">
        <v>2170007</v>
      </c>
      <c r="E1948" s="35" t="s">
        <v>2209</v>
      </c>
      <c r="F1948" s="35" t="s">
        <v>411</v>
      </c>
    </row>
    <row r="1949" spans="1:6">
      <c r="A1949" s="35" t="s">
        <v>2362</v>
      </c>
      <c r="B1949" s="37">
        <v>1103.9000244140625</v>
      </c>
      <c r="C1949" s="37">
        <v>947.3785400390625</v>
      </c>
      <c r="D1949" s="35">
        <v>2172420</v>
      </c>
      <c r="E1949" s="35" t="s">
        <v>2209</v>
      </c>
      <c r="F1949" s="35" t="s">
        <v>411</v>
      </c>
    </row>
    <row r="1950" spans="1:6">
      <c r="A1950" s="35" t="s">
        <v>2363</v>
      </c>
      <c r="B1950" s="37">
        <v>1105.199951171875</v>
      </c>
      <c r="C1950" s="37">
        <v>948.49420166015625</v>
      </c>
      <c r="D1950" s="35">
        <v>2213697</v>
      </c>
      <c r="E1950" s="35" t="s">
        <v>2209</v>
      </c>
      <c r="F1950" s="35" t="s">
        <v>411</v>
      </c>
    </row>
    <row r="1951" spans="1:6">
      <c r="A1951" s="35" t="s">
        <v>2364</v>
      </c>
      <c r="B1951" s="37">
        <v>1092.550048828125</v>
      </c>
      <c r="C1951" s="37">
        <v>937.63775634765625</v>
      </c>
      <c r="D1951" s="35">
        <v>2460883</v>
      </c>
      <c r="E1951" s="35" t="s">
        <v>2209</v>
      </c>
      <c r="F1951" s="35" t="s">
        <v>411</v>
      </c>
    </row>
    <row r="1952" spans="1:6">
      <c r="A1952" s="35" t="s">
        <v>2365</v>
      </c>
      <c r="B1952" s="37">
        <v>1103.1500244140625</v>
      </c>
      <c r="C1952" s="37">
        <v>946.73486328125</v>
      </c>
      <c r="D1952" s="35">
        <v>2623894</v>
      </c>
      <c r="E1952" s="35" t="s">
        <v>2209</v>
      </c>
      <c r="F1952" s="35" t="s">
        <v>411</v>
      </c>
    </row>
    <row r="1953" spans="1:6">
      <c r="A1953" s="35" t="s">
        <v>2366</v>
      </c>
      <c r="B1953" s="37">
        <v>1095.5</v>
      </c>
      <c r="C1953" s="37">
        <v>940.16949462890625</v>
      </c>
      <c r="D1953" s="35">
        <v>1733741</v>
      </c>
      <c r="E1953" s="35" t="s">
        <v>2209</v>
      </c>
      <c r="F1953" s="35" t="s">
        <v>411</v>
      </c>
    </row>
    <row r="1954" spans="1:6">
      <c r="A1954" s="35" t="s">
        <v>2367</v>
      </c>
      <c r="B1954" s="37">
        <v>1103.4000244140625</v>
      </c>
      <c r="C1954" s="37">
        <v>946.94927978515625</v>
      </c>
      <c r="D1954" s="35">
        <v>2529146</v>
      </c>
      <c r="E1954" s="35" t="s">
        <v>2209</v>
      </c>
      <c r="F1954" s="35" t="s">
        <v>411</v>
      </c>
    </row>
    <row r="1955" spans="1:6">
      <c r="A1955" s="35" t="s">
        <v>2368</v>
      </c>
      <c r="B1955" s="37">
        <v>1103.4000244140625</v>
      </c>
      <c r="C1955" s="37">
        <v>946.94927978515625</v>
      </c>
      <c r="D1955" s="35">
        <v>2217599</v>
      </c>
      <c r="E1955" s="35" t="s">
        <v>2209</v>
      </c>
      <c r="F1955" s="35" t="s">
        <v>411</v>
      </c>
    </row>
    <row r="1956" spans="1:6">
      <c r="A1956" s="35" t="s">
        <v>2369</v>
      </c>
      <c r="B1956" s="37">
        <v>1129.5999755859375</v>
      </c>
      <c r="C1956" s="37">
        <v>969.43450927734375</v>
      </c>
      <c r="D1956" s="35">
        <v>3295202</v>
      </c>
      <c r="E1956" s="35" t="s">
        <v>2209</v>
      </c>
      <c r="F1956" s="35" t="s">
        <v>411</v>
      </c>
    </row>
    <row r="1957" spans="1:6">
      <c r="A1957" s="35" t="s">
        <v>2370</v>
      </c>
      <c r="B1957" s="37">
        <v>1128.199951171875</v>
      </c>
      <c r="C1957" s="37">
        <v>968.2327880859375</v>
      </c>
      <c r="D1957" s="35">
        <v>1977441</v>
      </c>
      <c r="E1957" s="35" t="s">
        <v>2209</v>
      </c>
      <c r="F1957" s="35" t="s">
        <v>411</v>
      </c>
    </row>
    <row r="1958" spans="1:6">
      <c r="A1958" s="35" t="s">
        <v>2371</v>
      </c>
      <c r="B1958" s="37">
        <v>1118.800048828125</v>
      </c>
      <c r="C1958" s="37">
        <v>960.16583251953125</v>
      </c>
      <c r="D1958" s="35">
        <v>2368293</v>
      </c>
      <c r="E1958" s="35" t="s">
        <v>2209</v>
      </c>
      <c r="F1958" s="35" t="s">
        <v>411</v>
      </c>
    </row>
    <row r="1959" spans="1:6">
      <c r="A1959" s="35" t="s">
        <v>2372</v>
      </c>
      <c r="B1959" s="37">
        <v>1128.949951171875</v>
      </c>
      <c r="C1959" s="37">
        <v>968.87664794921875</v>
      </c>
      <c r="D1959" s="35">
        <v>1785948</v>
      </c>
      <c r="E1959" s="35" t="s">
        <v>2209</v>
      </c>
      <c r="F1959" s="35" t="s">
        <v>411</v>
      </c>
    </row>
    <row r="1960" spans="1:6">
      <c r="A1960" s="35" t="s">
        <v>2373</v>
      </c>
      <c r="B1960" s="37">
        <v>1120.800048828125</v>
      </c>
      <c r="C1960" s="37">
        <v>961.88226318359375</v>
      </c>
      <c r="D1960" s="35">
        <v>6053488</v>
      </c>
      <c r="E1960" s="35" t="s">
        <v>2209</v>
      </c>
      <c r="F1960" s="35" t="s">
        <v>411</v>
      </c>
    </row>
    <row r="1961" spans="1:6">
      <c r="A1961" s="35" t="s">
        <v>2374</v>
      </c>
      <c r="B1961" s="37">
        <v>1136.4000244140625</v>
      </c>
      <c r="C1961" s="37">
        <v>975.2703857421875</v>
      </c>
      <c r="D1961" s="35">
        <v>3919684</v>
      </c>
      <c r="E1961" s="35" t="s">
        <v>2209</v>
      </c>
      <c r="F1961" s="35" t="s">
        <v>411</v>
      </c>
    </row>
    <row r="1962" spans="1:6">
      <c r="A1962" s="35" t="s">
        <v>2375</v>
      </c>
      <c r="B1962" s="37">
        <v>1135.550048828125</v>
      </c>
      <c r="C1962" s="37">
        <v>974.54071044921875</v>
      </c>
      <c r="D1962" s="35">
        <v>2944923</v>
      </c>
      <c r="E1962" s="35" t="s">
        <v>2209</v>
      </c>
      <c r="F1962" s="35" t="s">
        <v>411</v>
      </c>
    </row>
    <row r="1963" spans="1:6">
      <c r="A1963" s="35" t="s">
        <v>2376</v>
      </c>
      <c r="B1963" s="37">
        <v>1130.8499755859375</v>
      </c>
      <c r="C1963" s="37">
        <v>970.50750732421875</v>
      </c>
      <c r="D1963" s="35">
        <v>2646466</v>
      </c>
      <c r="E1963" s="35" t="s">
        <v>2209</v>
      </c>
      <c r="F1963" s="35" t="s">
        <v>411</v>
      </c>
    </row>
    <row r="1964" spans="1:6">
      <c r="A1964" s="35" t="s">
        <v>2377</v>
      </c>
      <c r="B1964" s="37">
        <v>1120.949951171875</v>
      </c>
      <c r="C1964" s="37">
        <v>962.01080322265625</v>
      </c>
      <c r="D1964" s="35">
        <v>2807894</v>
      </c>
      <c r="E1964" s="35" t="s">
        <v>2209</v>
      </c>
      <c r="F1964" s="35" t="s">
        <v>411</v>
      </c>
    </row>
    <row r="1965" spans="1:6">
      <c r="A1965" s="35" t="s">
        <v>2378</v>
      </c>
      <c r="B1965" s="37">
        <v>1105.9000244140625</v>
      </c>
      <c r="C1965" s="37">
        <v>949.09503173828125</v>
      </c>
      <c r="D1965" s="35">
        <v>2399879</v>
      </c>
      <c r="E1965" s="35" t="s">
        <v>2209</v>
      </c>
      <c r="F1965" s="35" t="s">
        <v>411</v>
      </c>
    </row>
    <row r="1966" spans="1:6">
      <c r="A1966" s="35" t="s">
        <v>2379</v>
      </c>
      <c r="B1966" s="37">
        <v>1101.3499755859375</v>
      </c>
      <c r="C1966" s="37">
        <v>945.18994140625</v>
      </c>
      <c r="D1966" s="35">
        <v>1752350</v>
      </c>
      <c r="E1966" s="35" t="s">
        <v>2209</v>
      </c>
      <c r="F1966" s="35" t="s">
        <v>411</v>
      </c>
    </row>
    <row r="1967" spans="1:6">
      <c r="A1967" s="35" t="s">
        <v>2380</v>
      </c>
      <c r="B1967" s="37">
        <v>1027.5</v>
      </c>
      <c r="C1967" s="37">
        <v>881.811279296875</v>
      </c>
      <c r="D1967" s="35">
        <v>12415478</v>
      </c>
      <c r="E1967" s="35" t="s">
        <v>2209</v>
      </c>
      <c r="F1967" s="35" t="s">
        <v>411</v>
      </c>
    </row>
    <row r="1968" spans="1:6">
      <c r="A1968" s="35" t="s">
        <v>2381</v>
      </c>
      <c r="B1968" s="37">
        <v>1028.4000244140625</v>
      </c>
      <c r="C1968" s="37">
        <v>882.58355712890625</v>
      </c>
      <c r="D1968" s="35">
        <v>4275785</v>
      </c>
      <c r="E1968" s="35" t="s">
        <v>2209</v>
      </c>
      <c r="F1968" s="35" t="s">
        <v>411</v>
      </c>
    </row>
    <row r="1969" spans="1:6">
      <c r="A1969" s="35" t="s">
        <v>2382</v>
      </c>
      <c r="B1969" s="37">
        <v>1044.699951171875</v>
      </c>
      <c r="C1969" s="37">
        <v>896.57220458984375</v>
      </c>
      <c r="D1969" s="35">
        <v>2284909</v>
      </c>
      <c r="E1969" s="35" t="s">
        <v>2209</v>
      </c>
      <c r="F1969" s="35" t="s">
        <v>411</v>
      </c>
    </row>
    <row r="1970" spans="1:6">
      <c r="A1970" s="35" t="s">
        <v>2383</v>
      </c>
      <c r="B1970" s="37">
        <v>1056.199951171875</v>
      </c>
      <c r="C1970" s="37">
        <v>906.44195556640625</v>
      </c>
      <c r="D1970" s="35">
        <v>2425507</v>
      </c>
      <c r="E1970" s="35" t="s">
        <v>2209</v>
      </c>
      <c r="F1970" s="35" t="s">
        <v>411</v>
      </c>
    </row>
    <row r="1971" spans="1:6">
      <c r="A1971" s="35" t="s">
        <v>2384</v>
      </c>
      <c r="B1971" s="37">
        <v>1042.3499755859375</v>
      </c>
      <c r="C1971" s="37">
        <v>894.5556640625</v>
      </c>
      <c r="D1971" s="35">
        <v>1906369</v>
      </c>
      <c r="E1971" s="35" t="s">
        <v>2209</v>
      </c>
      <c r="F1971" s="35" t="s">
        <v>411</v>
      </c>
    </row>
    <row r="1972" spans="1:6">
      <c r="A1972" s="35" t="s">
        <v>2385</v>
      </c>
      <c r="B1972" s="37">
        <v>1029.6500244140625</v>
      </c>
      <c r="C1972" s="37">
        <v>883.65625</v>
      </c>
      <c r="D1972" s="35">
        <v>5159215</v>
      </c>
      <c r="E1972" s="35" t="s">
        <v>2209</v>
      </c>
      <c r="F1972" s="35" t="s">
        <v>411</v>
      </c>
    </row>
    <row r="1973" spans="1:6">
      <c r="A1973" s="35" t="s">
        <v>2386</v>
      </c>
      <c r="B1973" s="37">
        <v>1033.25</v>
      </c>
      <c r="C1973" s="37">
        <v>886.74591064453125</v>
      </c>
      <c r="D1973" s="35">
        <v>3328172</v>
      </c>
      <c r="E1973" s="35" t="s">
        <v>2209</v>
      </c>
      <c r="F1973" s="35" t="s">
        <v>411</v>
      </c>
    </row>
    <row r="1974" spans="1:6">
      <c r="A1974" s="35" t="s">
        <v>2387</v>
      </c>
      <c r="B1974" s="37">
        <v>1029.699951171875</v>
      </c>
      <c r="C1974" s="37">
        <v>883.6990966796875</v>
      </c>
      <c r="D1974" s="35">
        <v>2629849</v>
      </c>
      <c r="E1974" s="35" t="s">
        <v>2209</v>
      </c>
      <c r="F1974" s="35" t="s">
        <v>411</v>
      </c>
    </row>
    <row r="1975" spans="1:6">
      <c r="A1975" s="35" t="s">
        <v>2388</v>
      </c>
      <c r="B1975" s="37">
        <v>1040.3499755859375</v>
      </c>
      <c r="C1975" s="37">
        <v>892.839111328125</v>
      </c>
      <c r="D1975" s="35">
        <v>2878658</v>
      </c>
      <c r="E1975" s="35" t="s">
        <v>2209</v>
      </c>
      <c r="F1975" s="35" t="s">
        <v>411</v>
      </c>
    </row>
    <row r="1976" spans="1:6">
      <c r="A1976" s="35" t="s">
        <v>2389</v>
      </c>
      <c r="B1976" s="37">
        <v>1039.0999755859375</v>
      </c>
      <c r="C1976" s="37">
        <v>891.76641845703125</v>
      </c>
      <c r="D1976" s="35">
        <v>2623451</v>
      </c>
      <c r="E1976" s="35" t="s">
        <v>2209</v>
      </c>
      <c r="F1976" s="35" t="s">
        <v>411</v>
      </c>
    </row>
    <row r="1977" spans="1:6">
      <c r="A1977" s="35" t="s">
        <v>2390</v>
      </c>
      <c r="B1977" s="37">
        <v>1030.5999755859375</v>
      </c>
      <c r="C1977" s="37">
        <v>884.4715576171875</v>
      </c>
      <c r="D1977" s="35">
        <v>2177675</v>
      </c>
      <c r="E1977" s="35" t="s">
        <v>2209</v>
      </c>
      <c r="F1977" s="35" t="s">
        <v>411</v>
      </c>
    </row>
    <row r="1978" spans="1:6">
      <c r="A1978" s="35" t="s">
        <v>2391</v>
      </c>
      <c r="B1978" s="37">
        <v>1031.699951171875</v>
      </c>
      <c r="C1978" s="37">
        <v>885.4156494140625</v>
      </c>
      <c r="D1978" s="35">
        <v>1680715</v>
      </c>
      <c r="E1978" s="35" t="s">
        <v>2209</v>
      </c>
      <c r="F1978" s="35" t="s">
        <v>411</v>
      </c>
    </row>
    <row r="1979" spans="1:6">
      <c r="A1979" s="35" t="s">
        <v>2392</v>
      </c>
      <c r="B1979" s="37">
        <v>1036.3499755859375</v>
      </c>
      <c r="C1979" s="37">
        <v>889.40631103515625</v>
      </c>
      <c r="D1979" s="35">
        <v>554319</v>
      </c>
      <c r="E1979" s="35" t="s">
        <v>2209</v>
      </c>
      <c r="F1979" s="35" t="s">
        <v>411</v>
      </c>
    </row>
    <row r="1980" spans="1:6">
      <c r="A1980" s="35" t="s">
        <v>2393</v>
      </c>
      <c r="B1980" s="37">
        <v>1035.449951171875</v>
      </c>
      <c r="C1980" s="37">
        <v>888.6339111328125</v>
      </c>
      <c r="D1980" s="35">
        <v>1397806</v>
      </c>
      <c r="E1980" s="35" t="s">
        <v>2209</v>
      </c>
      <c r="F1980" s="35" t="s">
        <v>411</v>
      </c>
    </row>
    <row r="1981" spans="1:6">
      <c r="A1981" s="35" t="s">
        <v>2394</v>
      </c>
      <c r="B1981" s="37">
        <v>1044.449951171875</v>
      </c>
      <c r="C1981" s="37">
        <v>896.35797119140625</v>
      </c>
      <c r="D1981" s="35">
        <v>1277244</v>
      </c>
      <c r="E1981" s="35" t="s">
        <v>2209</v>
      </c>
      <c r="F1981" s="35" t="s">
        <v>411</v>
      </c>
    </row>
    <row r="1982" spans="1:6">
      <c r="A1982" s="35" t="s">
        <v>2395</v>
      </c>
      <c r="B1982" s="37">
        <v>1039.300048828125</v>
      </c>
      <c r="C1982" s="37">
        <v>891.938232421875</v>
      </c>
      <c r="D1982" s="35">
        <v>1860560</v>
      </c>
      <c r="E1982" s="35" t="s">
        <v>2209</v>
      </c>
      <c r="F1982" s="35" t="s">
        <v>411</v>
      </c>
    </row>
    <row r="1983" spans="1:6">
      <c r="A1983" s="35" t="s">
        <v>2396</v>
      </c>
      <c r="B1983" s="37">
        <v>1039.449951171875</v>
      </c>
      <c r="C1983" s="37">
        <v>892.066650390625</v>
      </c>
      <c r="D1983" s="35">
        <v>701880</v>
      </c>
      <c r="E1983" s="35" t="s">
        <v>2209</v>
      </c>
      <c r="F1983" s="35" t="s">
        <v>411</v>
      </c>
    </row>
    <row r="1984" spans="1:6">
      <c r="A1984" s="35" t="s">
        <v>2397</v>
      </c>
      <c r="B1984" s="37">
        <v>1041.3499755859375</v>
      </c>
      <c r="C1984" s="37">
        <v>893.697265625</v>
      </c>
      <c r="D1984" s="35">
        <v>2484372</v>
      </c>
      <c r="E1984" s="35" t="s">
        <v>2209</v>
      </c>
      <c r="F1984" s="35" t="s">
        <v>411</v>
      </c>
    </row>
    <row r="1985" spans="1:6">
      <c r="A1985" s="35" t="s">
        <v>2398</v>
      </c>
      <c r="B1985" s="37">
        <v>1036.5999755859375</v>
      </c>
      <c r="C1985" s="37">
        <v>889.62091064453125</v>
      </c>
      <c r="D1985" s="35">
        <v>1219170</v>
      </c>
      <c r="E1985" s="35" t="s">
        <v>2209</v>
      </c>
      <c r="F1985" s="35" t="s">
        <v>411</v>
      </c>
    </row>
    <row r="1986" spans="1:6">
      <c r="A1986" s="35" t="s">
        <v>2399</v>
      </c>
      <c r="B1986" s="37">
        <v>1044.0999755859375</v>
      </c>
      <c r="C1986" s="37">
        <v>896.05743408203125</v>
      </c>
      <c r="D1986" s="35">
        <v>2294943</v>
      </c>
      <c r="E1986" s="35" t="s">
        <v>2209</v>
      </c>
      <c r="F1986" s="35" t="s">
        <v>411</v>
      </c>
    </row>
    <row r="1987" spans="1:6">
      <c r="A1987" s="35" t="s">
        <v>2400</v>
      </c>
      <c r="B1987" s="37">
        <v>1032.800048828125</v>
      </c>
      <c r="C1987" s="37">
        <v>886.35980224609375</v>
      </c>
      <c r="D1987" s="35">
        <v>1887689</v>
      </c>
      <c r="E1987" s="35" t="s">
        <v>2209</v>
      </c>
      <c r="F1987" s="35" t="s">
        <v>411</v>
      </c>
    </row>
    <row r="1988" spans="1:6">
      <c r="A1988" s="35" t="s">
        <v>2401</v>
      </c>
      <c r="B1988" s="37">
        <v>1067.449951171875</v>
      </c>
      <c r="C1988" s="37">
        <v>916.0966796875</v>
      </c>
      <c r="D1988" s="35">
        <v>4562242</v>
      </c>
      <c r="E1988" s="35" t="s">
        <v>2209</v>
      </c>
      <c r="F1988" s="35" t="s">
        <v>411</v>
      </c>
    </row>
    <row r="1989" spans="1:6">
      <c r="A1989" s="35" t="s">
        <v>2402</v>
      </c>
      <c r="B1989" s="37">
        <v>1063.8499755859375</v>
      </c>
      <c r="C1989" s="37">
        <v>913.00732421875</v>
      </c>
      <c r="D1989" s="35">
        <v>2297082</v>
      </c>
      <c r="E1989" s="35" t="s">
        <v>2209</v>
      </c>
      <c r="F1989" s="35" t="s">
        <v>411</v>
      </c>
    </row>
    <row r="1990" spans="1:6">
      <c r="A1990" s="35" t="s">
        <v>2403</v>
      </c>
      <c r="B1990" s="37">
        <v>1054.800048828125</v>
      </c>
      <c r="C1990" s="37">
        <v>905.24053955078125</v>
      </c>
      <c r="D1990" s="35">
        <v>3594167</v>
      </c>
      <c r="E1990" s="35" t="s">
        <v>2209</v>
      </c>
      <c r="F1990" s="35" t="s">
        <v>411</v>
      </c>
    </row>
    <row r="1991" spans="1:6">
      <c r="A1991" s="35" t="s">
        <v>2404</v>
      </c>
      <c r="B1991" s="37">
        <v>1071.6500244140625</v>
      </c>
      <c r="C1991" s="37">
        <v>919.70135498046875</v>
      </c>
      <c r="D1991" s="35">
        <v>4748542</v>
      </c>
      <c r="E1991" s="35" t="s">
        <v>2209</v>
      </c>
      <c r="F1991" s="35" t="s">
        <v>411</v>
      </c>
    </row>
    <row r="1992" spans="1:6">
      <c r="A1992" s="35" t="s">
        <v>2405</v>
      </c>
      <c r="B1992" s="37">
        <v>1077.800048828125</v>
      </c>
      <c r="C1992" s="37">
        <v>924.97943115234375</v>
      </c>
      <c r="D1992" s="35">
        <v>8253765</v>
      </c>
      <c r="E1992" s="35" t="s">
        <v>2209</v>
      </c>
      <c r="F1992" s="35" t="s">
        <v>411</v>
      </c>
    </row>
    <row r="1993" spans="1:6">
      <c r="A1993" s="35" t="s">
        <v>2406</v>
      </c>
      <c r="B1993" s="37">
        <v>1093.699951171875</v>
      </c>
      <c r="C1993" s="37">
        <v>938.6248779296875</v>
      </c>
      <c r="D1993" s="35">
        <v>4508538</v>
      </c>
      <c r="E1993" s="35" t="s">
        <v>2209</v>
      </c>
      <c r="F1993" s="35" t="s">
        <v>411</v>
      </c>
    </row>
    <row r="1994" spans="1:6">
      <c r="A1994" s="35" t="s">
        <v>2407</v>
      </c>
      <c r="B1994" s="37">
        <v>1111.050048828125</v>
      </c>
      <c r="C1994" s="37">
        <v>953.51470947265625</v>
      </c>
      <c r="D1994" s="35">
        <v>4390338</v>
      </c>
      <c r="E1994" s="35" t="s">
        <v>2209</v>
      </c>
      <c r="F1994" s="35" t="s">
        <v>411</v>
      </c>
    </row>
    <row r="1995" spans="1:6">
      <c r="A1995" s="35" t="s">
        <v>2408</v>
      </c>
      <c r="B1995" s="37">
        <v>1115.1500244140625</v>
      </c>
      <c r="C1995" s="37">
        <v>957.0333251953125</v>
      </c>
      <c r="D1995" s="35">
        <v>6905092</v>
      </c>
      <c r="E1995" s="35" t="s">
        <v>2209</v>
      </c>
      <c r="F1995" s="35" t="s">
        <v>411</v>
      </c>
    </row>
    <row r="1996" spans="1:6">
      <c r="A1996" s="35" t="s">
        <v>2409</v>
      </c>
      <c r="B1996" s="37">
        <v>1111.4000244140625</v>
      </c>
      <c r="C1996" s="37">
        <v>962.44561767578125</v>
      </c>
      <c r="D1996" s="35">
        <v>2298287</v>
      </c>
      <c r="E1996" s="35" t="s">
        <v>2209</v>
      </c>
      <c r="F1996" s="35" t="s">
        <v>411</v>
      </c>
    </row>
    <row r="1997" spans="1:6">
      <c r="A1997" s="35" t="s">
        <v>2410</v>
      </c>
      <c r="B1997" s="37">
        <v>1107.800048828125</v>
      </c>
      <c r="C1997" s="37">
        <v>959.328125</v>
      </c>
      <c r="D1997" s="35">
        <v>4747128</v>
      </c>
      <c r="E1997" s="35" t="s">
        <v>2209</v>
      </c>
      <c r="F1997" s="35" t="s">
        <v>411</v>
      </c>
    </row>
    <row r="1998" spans="1:6">
      <c r="A1998" s="35" t="s">
        <v>2411</v>
      </c>
      <c r="B1998" s="37">
        <v>1121.199951171875</v>
      </c>
      <c r="C1998" s="37">
        <v>970.93231201171875</v>
      </c>
      <c r="D1998" s="35">
        <v>1696834</v>
      </c>
      <c r="E1998" s="35" t="s">
        <v>2209</v>
      </c>
      <c r="F1998" s="35" t="s">
        <v>411</v>
      </c>
    </row>
    <row r="1999" spans="1:6">
      <c r="A1999" s="35" t="s">
        <v>2412</v>
      </c>
      <c r="B1999" s="37">
        <v>1137.8499755859375</v>
      </c>
      <c r="C1999" s="37">
        <v>985.35064697265625</v>
      </c>
      <c r="D1999" s="35">
        <v>4861107</v>
      </c>
      <c r="E1999" s="35" t="s">
        <v>2209</v>
      </c>
      <c r="F1999" s="35" t="s">
        <v>411</v>
      </c>
    </row>
    <row r="2000" spans="1:6">
      <c r="A2000" s="35" t="s">
        <v>2413</v>
      </c>
      <c r="B2000" s="37">
        <v>1122.75</v>
      </c>
      <c r="C2000" s="37">
        <v>972.27447509765625</v>
      </c>
      <c r="D2000" s="35">
        <v>2692236</v>
      </c>
      <c r="E2000" s="35" t="s">
        <v>2209</v>
      </c>
      <c r="F2000" s="35" t="s">
        <v>411</v>
      </c>
    </row>
    <row r="2001" spans="1:6">
      <c r="A2001" s="35" t="s">
        <v>2414</v>
      </c>
      <c r="B2001" s="37">
        <v>1115.5999755859375</v>
      </c>
      <c r="C2001" s="37">
        <v>966.08270263671875</v>
      </c>
      <c r="D2001" s="35">
        <v>3864525</v>
      </c>
      <c r="E2001" s="35" t="s">
        <v>2209</v>
      </c>
      <c r="F2001" s="35" t="s">
        <v>411</v>
      </c>
    </row>
    <row r="2002" spans="1:6">
      <c r="A2002" s="35" t="s">
        <v>2415</v>
      </c>
      <c r="B2002" s="37">
        <v>1134.75</v>
      </c>
      <c r="C2002" s="37">
        <v>982.666259765625</v>
      </c>
      <c r="D2002" s="35">
        <v>3508427</v>
      </c>
      <c r="E2002" s="35" t="s">
        <v>2209</v>
      </c>
      <c r="F2002" s="35" t="s">
        <v>411</v>
      </c>
    </row>
    <row r="2003" spans="1:6">
      <c r="A2003" s="35" t="s">
        <v>2416</v>
      </c>
      <c r="B2003" s="37">
        <v>1122.199951171875</v>
      </c>
      <c r="C2003" s="37">
        <v>971.79827880859375</v>
      </c>
      <c r="D2003" s="35">
        <v>4582858</v>
      </c>
      <c r="E2003" s="35" t="s">
        <v>2209</v>
      </c>
      <c r="F2003" s="35" t="s">
        <v>411</v>
      </c>
    </row>
    <row r="2004" spans="1:6">
      <c r="A2004" s="35" t="s">
        <v>2417</v>
      </c>
      <c r="B2004" s="37">
        <v>1132.0999755859375</v>
      </c>
      <c r="C2004" s="37">
        <v>980.37127685546875</v>
      </c>
      <c r="D2004" s="35">
        <v>2393911</v>
      </c>
      <c r="E2004" s="35" t="s">
        <v>2209</v>
      </c>
      <c r="F2004" s="35" t="s">
        <v>411</v>
      </c>
    </row>
    <row r="2005" spans="1:6">
      <c r="A2005" s="35" t="s">
        <v>2418</v>
      </c>
      <c r="B2005" s="37">
        <v>1149.5999755859375</v>
      </c>
      <c r="C2005" s="37">
        <v>995.52593994140625</v>
      </c>
      <c r="D2005" s="35">
        <v>3048359</v>
      </c>
      <c r="E2005" s="35" t="s">
        <v>2209</v>
      </c>
      <c r="F2005" s="35" t="s">
        <v>411</v>
      </c>
    </row>
    <row r="2006" spans="1:6">
      <c r="A2006" s="35" t="s">
        <v>2419</v>
      </c>
      <c r="B2006" s="37">
        <v>1146.1500244140625</v>
      </c>
      <c r="C2006" s="37">
        <v>992.53839111328125</v>
      </c>
      <c r="D2006" s="35">
        <v>1814055</v>
      </c>
      <c r="E2006" s="35" t="s">
        <v>2209</v>
      </c>
      <c r="F2006" s="35" t="s">
        <v>411</v>
      </c>
    </row>
    <row r="2007" spans="1:6">
      <c r="A2007" s="35" t="s">
        <v>2420</v>
      </c>
      <c r="B2007" s="37">
        <v>1145.699951171875</v>
      </c>
      <c r="C2007" s="37">
        <v>992.1488037109375</v>
      </c>
      <c r="D2007" s="35">
        <v>2070175</v>
      </c>
      <c r="E2007" s="35" t="s">
        <v>2209</v>
      </c>
      <c r="F2007" s="35" t="s">
        <v>411</v>
      </c>
    </row>
    <row r="2008" spans="1:6">
      <c r="A2008" s="35" t="s">
        <v>2421</v>
      </c>
      <c r="B2008" s="37">
        <v>1128.25</v>
      </c>
      <c r="C2008" s="37">
        <v>977.0374755859375</v>
      </c>
      <c r="D2008" s="35">
        <v>1931191</v>
      </c>
      <c r="E2008" s="35" t="s">
        <v>2209</v>
      </c>
      <c r="F2008" s="35" t="s">
        <v>411</v>
      </c>
    </row>
    <row r="2009" spans="1:6">
      <c r="A2009" s="35" t="s">
        <v>2422</v>
      </c>
      <c r="B2009" s="37">
        <v>1145</v>
      </c>
      <c r="C2009" s="37">
        <v>991.54248046875</v>
      </c>
      <c r="D2009" s="35">
        <v>2848255</v>
      </c>
      <c r="E2009" s="35" t="s">
        <v>2209</v>
      </c>
      <c r="F2009" s="35" t="s">
        <v>411</v>
      </c>
    </row>
    <row r="2010" spans="1:6">
      <c r="A2010" s="35" t="s">
        <v>2423</v>
      </c>
      <c r="B2010" s="37">
        <v>1146.3499755859375</v>
      </c>
      <c r="C2010" s="37">
        <v>992.71148681640625</v>
      </c>
      <c r="D2010" s="35">
        <v>1501083</v>
      </c>
      <c r="E2010" s="35" t="s">
        <v>2209</v>
      </c>
      <c r="F2010" s="35" t="s">
        <v>411</v>
      </c>
    </row>
    <row r="2011" spans="1:6">
      <c r="A2011" s="35" t="s">
        <v>2424</v>
      </c>
      <c r="B2011" s="37">
        <v>1115.6500244140625</v>
      </c>
      <c r="C2011" s="37">
        <v>966.12628173828125</v>
      </c>
      <c r="D2011" s="35">
        <v>3185163</v>
      </c>
      <c r="E2011" s="35" t="s">
        <v>2209</v>
      </c>
      <c r="F2011" s="35" t="s">
        <v>411</v>
      </c>
    </row>
    <row r="2012" spans="1:6">
      <c r="A2012" s="35" t="s">
        <v>2425</v>
      </c>
      <c r="B2012" s="37">
        <v>1113</v>
      </c>
      <c r="C2012" s="37">
        <v>963.8311767578125</v>
      </c>
      <c r="D2012" s="35">
        <v>2009185</v>
      </c>
      <c r="E2012" s="35" t="s">
        <v>2209</v>
      </c>
      <c r="F2012" s="35" t="s">
        <v>411</v>
      </c>
    </row>
    <row r="2013" spans="1:6">
      <c r="A2013" s="35" t="s">
        <v>2426</v>
      </c>
      <c r="B2013" s="37">
        <v>1125.449951171875</v>
      </c>
      <c r="C2013" s="37">
        <v>974.61260986328125</v>
      </c>
      <c r="D2013" s="35">
        <v>3938046</v>
      </c>
      <c r="E2013" s="35" t="s">
        <v>2209</v>
      </c>
      <c r="F2013" s="35" t="s">
        <v>411</v>
      </c>
    </row>
    <row r="2014" spans="1:6">
      <c r="A2014" s="35" t="s">
        <v>2427</v>
      </c>
      <c r="B2014" s="37">
        <v>1132.9000244140625</v>
      </c>
      <c r="C2014" s="37">
        <v>981.064208984375</v>
      </c>
      <c r="D2014" s="35">
        <v>1648954</v>
      </c>
      <c r="E2014" s="35" t="s">
        <v>2209</v>
      </c>
      <c r="F2014" s="35" t="s">
        <v>411</v>
      </c>
    </row>
    <row r="2015" spans="1:6">
      <c r="A2015" s="35" t="s">
        <v>2428</v>
      </c>
      <c r="B2015" s="37">
        <v>1128.1500244140625</v>
      </c>
      <c r="C2015" s="37">
        <v>976.95068359375</v>
      </c>
      <c r="D2015" s="35">
        <v>2369355</v>
      </c>
      <c r="E2015" s="35" t="s">
        <v>2209</v>
      </c>
      <c r="F2015" s="35" t="s">
        <v>411</v>
      </c>
    </row>
    <row r="2016" spans="1:6">
      <c r="A2016" s="35" t="s">
        <v>2429</v>
      </c>
      <c r="B2016" s="37">
        <v>1109.550048828125</v>
      </c>
      <c r="C2016" s="37">
        <v>960.8436279296875</v>
      </c>
      <c r="D2016" s="35">
        <v>1958807</v>
      </c>
      <c r="E2016" s="35" t="s">
        <v>2209</v>
      </c>
      <c r="F2016" s="35" t="s">
        <v>411</v>
      </c>
    </row>
    <row r="2017" spans="1:6">
      <c r="A2017" s="35" t="s">
        <v>2430</v>
      </c>
      <c r="B2017" s="37">
        <v>1115.699951171875</v>
      </c>
      <c r="C2017" s="37">
        <v>966.16925048828125</v>
      </c>
      <c r="D2017" s="35">
        <v>1706036</v>
      </c>
      <c r="E2017" s="35" t="s">
        <v>2209</v>
      </c>
      <c r="F2017" s="35" t="s">
        <v>411</v>
      </c>
    </row>
    <row r="2018" spans="1:6">
      <c r="A2018" s="35" t="s">
        <v>2431</v>
      </c>
      <c r="B2018" s="37">
        <v>1105.199951171875</v>
      </c>
      <c r="C2018" s="37">
        <v>957.07672119140625</v>
      </c>
      <c r="D2018" s="35">
        <v>1313278</v>
      </c>
      <c r="E2018" s="35" t="s">
        <v>2209</v>
      </c>
      <c r="F2018" s="35" t="s">
        <v>411</v>
      </c>
    </row>
    <row r="2019" spans="1:6">
      <c r="A2019" s="35" t="s">
        <v>2432</v>
      </c>
      <c r="B2019" s="37">
        <v>1092.5999755859375</v>
      </c>
      <c r="C2019" s="37">
        <v>946.16522216796875</v>
      </c>
      <c r="D2019" s="35">
        <v>2212194</v>
      </c>
      <c r="E2019" s="35" t="s">
        <v>2209</v>
      </c>
      <c r="F2019" s="35" t="s">
        <v>411</v>
      </c>
    </row>
    <row r="2020" spans="1:6">
      <c r="A2020" s="35" t="s">
        <v>2433</v>
      </c>
      <c r="B2020" s="37">
        <v>1094.3499755859375</v>
      </c>
      <c r="C2020" s="37">
        <v>947.68072509765625</v>
      </c>
      <c r="D2020" s="35">
        <v>2139983</v>
      </c>
      <c r="E2020" s="35" t="s">
        <v>2209</v>
      </c>
      <c r="F2020" s="35" t="s">
        <v>411</v>
      </c>
    </row>
    <row r="2021" spans="1:6">
      <c r="A2021" s="35" t="s">
        <v>2434</v>
      </c>
      <c r="B2021" s="37">
        <v>1094.8499755859375</v>
      </c>
      <c r="C2021" s="37">
        <v>948.11370849609375</v>
      </c>
      <c r="D2021" s="35">
        <v>1684570</v>
      </c>
      <c r="E2021" s="35" t="s">
        <v>2209</v>
      </c>
      <c r="F2021" s="35" t="s">
        <v>411</v>
      </c>
    </row>
    <row r="2022" spans="1:6">
      <c r="A2022" s="35" t="s">
        <v>2435</v>
      </c>
      <c r="B2022" s="37">
        <v>1083.949951171875</v>
      </c>
      <c r="C2022" s="37">
        <v>938.67462158203125</v>
      </c>
      <c r="D2022" s="35">
        <v>1834553</v>
      </c>
      <c r="E2022" s="35" t="s">
        <v>2209</v>
      </c>
      <c r="F2022" s="35" t="s">
        <v>411</v>
      </c>
    </row>
    <row r="2023" spans="1:6">
      <c r="A2023" s="35" t="s">
        <v>2436</v>
      </c>
      <c r="B2023" s="37">
        <v>1077.5999755859375</v>
      </c>
      <c r="C2023" s="37">
        <v>933.17572021484375</v>
      </c>
      <c r="D2023" s="35">
        <v>20793703</v>
      </c>
      <c r="E2023" s="35" t="s">
        <v>2209</v>
      </c>
      <c r="F2023" s="35" t="s">
        <v>411</v>
      </c>
    </row>
    <row r="2024" spans="1:6">
      <c r="A2024" s="35" t="s">
        <v>2437</v>
      </c>
      <c r="B2024" s="37">
        <v>1101.0999755859375</v>
      </c>
      <c r="C2024" s="37">
        <v>953.52606201171875</v>
      </c>
      <c r="D2024" s="35">
        <v>1655100</v>
      </c>
      <c r="E2024" s="35" t="s">
        <v>2209</v>
      </c>
      <c r="F2024" s="35" t="s">
        <v>411</v>
      </c>
    </row>
    <row r="2025" spans="1:6">
      <c r="A2025" s="35" t="s">
        <v>2438</v>
      </c>
      <c r="B2025" s="37">
        <v>1105.949951171875</v>
      </c>
      <c r="C2025" s="37">
        <v>957.72601318359375</v>
      </c>
      <c r="D2025" s="35">
        <v>4074162</v>
      </c>
      <c r="E2025" s="35" t="s">
        <v>2209</v>
      </c>
      <c r="F2025" s="35" t="s">
        <v>411</v>
      </c>
    </row>
    <row r="2026" spans="1:6">
      <c r="A2026" s="35" t="s">
        <v>2439</v>
      </c>
      <c r="B2026" s="37">
        <v>1119</v>
      </c>
      <c r="C2026" s="37">
        <v>969.02716064453125</v>
      </c>
      <c r="D2026" s="35">
        <v>3253621</v>
      </c>
      <c r="E2026" s="35" t="s">
        <v>2209</v>
      </c>
      <c r="F2026" s="35" t="s">
        <v>411</v>
      </c>
    </row>
    <row r="2027" spans="1:6">
      <c r="A2027" s="35" t="s">
        <v>2440</v>
      </c>
      <c r="B2027" s="37">
        <v>1126.699951171875</v>
      </c>
      <c r="C2027" s="37">
        <v>975.6951904296875</v>
      </c>
      <c r="D2027" s="35">
        <v>4091674</v>
      </c>
      <c r="E2027" s="35" t="s">
        <v>2209</v>
      </c>
      <c r="F2027" s="35" t="s">
        <v>411</v>
      </c>
    </row>
    <row r="2028" spans="1:6">
      <c r="A2028" s="35" t="s">
        <v>2441</v>
      </c>
      <c r="B2028" s="37">
        <v>1120.6500244140625</v>
      </c>
      <c r="C2028" s="37">
        <v>970.4560546875</v>
      </c>
      <c r="D2028" s="35">
        <v>3209393</v>
      </c>
      <c r="E2028" s="35" t="s">
        <v>2209</v>
      </c>
      <c r="F2028" s="35" t="s">
        <v>411</v>
      </c>
    </row>
    <row r="2029" spans="1:6">
      <c r="A2029" s="35" t="s">
        <v>2442</v>
      </c>
      <c r="B2029" s="37">
        <v>1116.6500244140625</v>
      </c>
      <c r="C2029" s="37">
        <v>966.99200439453125</v>
      </c>
      <c r="D2029" s="35">
        <v>1834324</v>
      </c>
      <c r="E2029" s="35" t="s">
        <v>2209</v>
      </c>
      <c r="F2029" s="35" t="s">
        <v>411</v>
      </c>
    </row>
    <row r="2030" spans="1:6">
      <c r="A2030" s="35" t="s">
        <v>2443</v>
      </c>
      <c r="B2030" s="37">
        <v>1116.300048828125</v>
      </c>
      <c r="C2030" s="37">
        <v>966.68902587890625</v>
      </c>
      <c r="D2030" s="35">
        <v>1193681</v>
      </c>
      <c r="E2030" s="35" t="s">
        <v>2209</v>
      </c>
      <c r="F2030" s="35" t="s">
        <v>411</v>
      </c>
    </row>
    <row r="2031" spans="1:6">
      <c r="A2031" s="35" t="s">
        <v>2444</v>
      </c>
      <c r="B2031" s="37">
        <v>1098.5999755859375</v>
      </c>
      <c r="C2031" s="37">
        <v>951.361083984375</v>
      </c>
      <c r="D2031" s="35">
        <v>3028387</v>
      </c>
      <c r="E2031" s="35" t="s">
        <v>2209</v>
      </c>
      <c r="F2031" s="35" t="s">
        <v>411</v>
      </c>
    </row>
    <row r="2032" spans="1:6">
      <c r="A2032" s="35" t="s">
        <v>2445</v>
      </c>
      <c r="B2032" s="37">
        <v>1084.050048828125</v>
      </c>
      <c r="C2032" s="37">
        <v>938.7613525390625</v>
      </c>
      <c r="D2032" s="35">
        <v>3683544</v>
      </c>
      <c r="E2032" s="35" t="s">
        <v>2209</v>
      </c>
      <c r="F2032" s="35" t="s">
        <v>411</v>
      </c>
    </row>
    <row r="2033" spans="1:6">
      <c r="A2033" s="35" t="s">
        <v>2446</v>
      </c>
      <c r="B2033" s="37">
        <v>1079.6500244140625</v>
      </c>
      <c r="C2033" s="37">
        <v>934.950927734375</v>
      </c>
      <c r="D2033" s="35">
        <v>1528510</v>
      </c>
      <c r="E2033" s="35" t="s">
        <v>2209</v>
      </c>
      <c r="F2033" s="35" t="s">
        <v>411</v>
      </c>
    </row>
    <row r="2034" spans="1:6">
      <c r="A2034" s="35" t="s">
        <v>2447</v>
      </c>
      <c r="B2034" s="37">
        <v>1072.4000244140625</v>
      </c>
      <c r="C2034" s="37">
        <v>928.672607421875</v>
      </c>
      <c r="D2034" s="35">
        <v>1812907</v>
      </c>
      <c r="E2034" s="35" t="s">
        <v>2209</v>
      </c>
      <c r="F2034" s="35" t="s">
        <v>411</v>
      </c>
    </row>
    <row r="2035" spans="1:6">
      <c r="A2035" s="35" t="s">
        <v>2448</v>
      </c>
      <c r="B2035" s="37">
        <v>1108.449951171875</v>
      </c>
      <c r="C2035" s="37">
        <v>959.89093017578125</v>
      </c>
      <c r="D2035" s="35">
        <v>5350523</v>
      </c>
      <c r="E2035" s="35" t="s">
        <v>2209</v>
      </c>
      <c r="F2035" s="35" t="s">
        <v>411</v>
      </c>
    </row>
    <row r="2036" spans="1:6">
      <c r="A2036" s="35" t="s">
        <v>2449</v>
      </c>
      <c r="B2036" s="37">
        <v>1090.8499755859375</v>
      </c>
      <c r="C2036" s="37">
        <v>944.64990234375</v>
      </c>
      <c r="D2036" s="35">
        <v>2066169</v>
      </c>
      <c r="E2036" s="35" t="s">
        <v>2209</v>
      </c>
      <c r="F2036" s="35" t="s">
        <v>411</v>
      </c>
    </row>
    <row r="2037" spans="1:6">
      <c r="A2037" s="35" t="s">
        <v>2450</v>
      </c>
      <c r="B2037" s="37">
        <v>1083.9000244140625</v>
      </c>
      <c r="C2037" s="37">
        <v>938.63128662109375</v>
      </c>
      <c r="D2037" s="35">
        <v>2421127</v>
      </c>
      <c r="E2037" s="35" t="s">
        <v>2209</v>
      </c>
      <c r="F2037" s="35" t="s">
        <v>411</v>
      </c>
    </row>
    <row r="2038" spans="1:6">
      <c r="A2038" s="35" t="s">
        <v>2451</v>
      </c>
      <c r="B2038" s="37">
        <v>1081.449951171875</v>
      </c>
      <c r="C2038" s="37">
        <v>936.5096435546875</v>
      </c>
      <c r="D2038" s="35">
        <v>1382329</v>
      </c>
      <c r="E2038" s="35" t="s">
        <v>2209</v>
      </c>
      <c r="F2038" s="35" t="s">
        <v>411</v>
      </c>
    </row>
    <row r="2039" spans="1:6">
      <c r="A2039" s="35" t="s">
        <v>2452</v>
      </c>
      <c r="B2039" s="37">
        <v>1065.9000244140625</v>
      </c>
      <c r="C2039" s="37">
        <v>923.04364013671875</v>
      </c>
      <c r="D2039" s="35">
        <v>2178855</v>
      </c>
      <c r="E2039" s="35" t="s">
        <v>2209</v>
      </c>
      <c r="F2039" s="35" t="s">
        <v>411</v>
      </c>
    </row>
    <row r="2040" spans="1:6">
      <c r="A2040" s="35" t="s">
        <v>2453</v>
      </c>
      <c r="B2040" s="37">
        <v>1051.75</v>
      </c>
      <c r="C2040" s="37">
        <v>910.7901611328125</v>
      </c>
      <c r="D2040" s="35">
        <v>2688253</v>
      </c>
      <c r="E2040" s="35" t="s">
        <v>2209</v>
      </c>
      <c r="F2040" s="35" t="s">
        <v>411</v>
      </c>
    </row>
    <row r="2041" spans="1:6">
      <c r="A2041" s="35" t="s">
        <v>2454</v>
      </c>
      <c r="B2041" s="37">
        <v>1051.5</v>
      </c>
      <c r="C2041" s="37">
        <v>910.57373046875</v>
      </c>
      <c r="D2041" s="35">
        <v>1459887</v>
      </c>
      <c r="E2041" s="35" t="s">
        <v>2209</v>
      </c>
      <c r="F2041" s="35" t="s">
        <v>411</v>
      </c>
    </row>
    <row r="2042" spans="1:6">
      <c r="A2042" s="35" t="s">
        <v>2455</v>
      </c>
      <c r="B2042" s="37">
        <v>1041.0999755859375</v>
      </c>
      <c r="C2042" s="37">
        <v>901.567626953125</v>
      </c>
      <c r="D2042" s="35">
        <v>2965015</v>
      </c>
      <c r="E2042" s="35" t="s">
        <v>2209</v>
      </c>
      <c r="F2042" s="35" t="s">
        <v>411</v>
      </c>
    </row>
    <row r="2043" spans="1:6">
      <c r="A2043" s="35" t="s">
        <v>2456</v>
      </c>
      <c r="B2043" s="37">
        <v>1067.5</v>
      </c>
      <c r="C2043" s="37">
        <v>924.4293212890625</v>
      </c>
      <c r="D2043" s="35">
        <v>2478745</v>
      </c>
      <c r="E2043" s="35" t="s">
        <v>2209</v>
      </c>
      <c r="F2043" s="35" t="s">
        <v>411</v>
      </c>
    </row>
    <row r="2044" spans="1:6">
      <c r="A2044" s="35" t="s">
        <v>2457</v>
      </c>
      <c r="B2044" s="37">
        <v>1085.25</v>
      </c>
      <c r="C2044" s="37">
        <v>939.80035400390625</v>
      </c>
      <c r="D2044" s="35">
        <v>3131614</v>
      </c>
      <c r="E2044" s="35" t="s">
        <v>2209</v>
      </c>
      <c r="F2044" s="35" t="s">
        <v>411</v>
      </c>
    </row>
    <row r="2045" spans="1:6">
      <c r="A2045" s="35" t="s">
        <v>2458</v>
      </c>
      <c r="B2045" s="37">
        <v>1098.1500244140625</v>
      </c>
      <c r="C2045" s="37">
        <v>950.97137451171875</v>
      </c>
      <c r="D2045" s="35">
        <v>1540702</v>
      </c>
      <c r="E2045" s="35" t="s">
        <v>2459</v>
      </c>
      <c r="F2045" s="35" t="s">
        <v>411</v>
      </c>
    </row>
    <row r="2046" spans="1:6">
      <c r="A2046" s="35" t="s">
        <v>2460</v>
      </c>
      <c r="B2046" s="37">
        <v>1111.199951171875</v>
      </c>
      <c r="C2046" s="37">
        <v>962.27239990234375</v>
      </c>
      <c r="D2046" s="35">
        <v>3342291</v>
      </c>
      <c r="E2046" s="35" t="s">
        <v>2459</v>
      </c>
      <c r="F2046" s="35" t="s">
        <v>411</v>
      </c>
    </row>
    <row r="2047" spans="1:6">
      <c r="A2047" s="35" t="s">
        <v>2461</v>
      </c>
      <c r="B2047" s="37">
        <v>1091.8499755859375</v>
      </c>
      <c r="C2047" s="37">
        <v>945.515869140625</v>
      </c>
      <c r="D2047" s="35">
        <v>2378264</v>
      </c>
      <c r="E2047" s="35" t="s">
        <v>2459</v>
      </c>
      <c r="F2047" s="35" t="s">
        <v>411</v>
      </c>
    </row>
    <row r="2048" spans="1:6">
      <c r="A2048" s="35" t="s">
        <v>2462</v>
      </c>
      <c r="B2048" s="37">
        <v>1103.0999755859375</v>
      </c>
      <c r="C2048" s="37">
        <v>955.2581787109375</v>
      </c>
      <c r="D2048" s="35">
        <v>711625</v>
      </c>
      <c r="E2048" s="35" t="s">
        <v>2459</v>
      </c>
      <c r="F2048" s="35" t="s">
        <v>411</v>
      </c>
    </row>
    <row r="2049" spans="1:6">
      <c r="A2049" s="35" t="s">
        <v>2463</v>
      </c>
      <c r="B2049" s="37">
        <v>1087</v>
      </c>
      <c r="C2049" s="37">
        <v>941.31591796875</v>
      </c>
      <c r="D2049" s="35">
        <v>2318905</v>
      </c>
      <c r="E2049" s="35" t="s">
        <v>2459</v>
      </c>
      <c r="F2049" s="35" t="s">
        <v>411</v>
      </c>
    </row>
    <row r="2050" spans="1:6">
      <c r="A2050" s="35" t="s">
        <v>2464</v>
      </c>
      <c r="B2050" s="37">
        <v>1094.5</v>
      </c>
      <c r="C2050" s="37">
        <v>947.810791015625</v>
      </c>
      <c r="D2050" s="35">
        <v>2715967</v>
      </c>
      <c r="E2050" s="35" t="s">
        <v>2459</v>
      </c>
      <c r="F2050" s="35" t="s">
        <v>411</v>
      </c>
    </row>
    <row r="2051" spans="1:6">
      <c r="A2051" s="35" t="s">
        <v>2465</v>
      </c>
      <c r="B2051" s="37">
        <v>1071.8499755859375</v>
      </c>
      <c r="C2051" s="37">
        <v>928.19622802734375</v>
      </c>
      <c r="D2051" s="35">
        <v>3071057</v>
      </c>
      <c r="E2051" s="35" t="s">
        <v>2459</v>
      </c>
      <c r="F2051" s="35" t="s">
        <v>411</v>
      </c>
    </row>
    <row r="2052" spans="1:6">
      <c r="A2052" s="35" t="s">
        <v>2466</v>
      </c>
      <c r="B2052" s="37">
        <v>1042.199951171875</v>
      </c>
      <c r="C2052" s="37">
        <v>902.5201416015625</v>
      </c>
      <c r="D2052" s="35">
        <v>9509446</v>
      </c>
      <c r="E2052" s="35" t="s">
        <v>2459</v>
      </c>
      <c r="F2052" s="35" t="s">
        <v>411</v>
      </c>
    </row>
    <row r="2053" spans="1:6">
      <c r="A2053" s="35" t="s">
        <v>2467</v>
      </c>
      <c r="B2053" s="37">
        <v>1063.8499755859375</v>
      </c>
      <c r="C2053" s="37">
        <v>921.2686767578125</v>
      </c>
      <c r="D2053" s="35">
        <v>3686404</v>
      </c>
      <c r="E2053" s="35" t="s">
        <v>2459</v>
      </c>
      <c r="F2053" s="35" t="s">
        <v>411</v>
      </c>
    </row>
    <row r="2054" spans="1:6">
      <c r="A2054" s="35" t="s">
        <v>2468</v>
      </c>
      <c r="B2054" s="37">
        <v>1038.699951171875</v>
      </c>
      <c r="C2054" s="37">
        <v>899.48919677734375</v>
      </c>
      <c r="D2054" s="35">
        <v>4322881</v>
      </c>
      <c r="E2054" s="35" t="s">
        <v>2459</v>
      </c>
      <c r="F2054" s="35" t="s">
        <v>411</v>
      </c>
    </row>
    <row r="2055" spans="1:6">
      <c r="A2055" s="35" t="s">
        <v>2469</v>
      </c>
      <c r="B2055" s="37">
        <v>1037.5</v>
      </c>
      <c r="C2055" s="37">
        <v>898.45001220703125</v>
      </c>
      <c r="D2055" s="35">
        <v>3057560</v>
      </c>
      <c r="E2055" s="35" t="s">
        <v>2459</v>
      </c>
      <c r="F2055" s="35" t="s">
        <v>411</v>
      </c>
    </row>
    <row r="2056" spans="1:6">
      <c r="A2056" s="35" t="s">
        <v>2470</v>
      </c>
      <c r="B2056" s="37">
        <v>1048.949951171875</v>
      </c>
      <c r="C2056" s="37">
        <v>908.36541748046875</v>
      </c>
      <c r="D2056" s="35">
        <v>7708194</v>
      </c>
      <c r="E2056" s="35" t="s">
        <v>2459</v>
      </c>
      <c r="F2056" s="35" t="s">
        <v>411</v>
      </c>
    </row>
    <row r="2057" spans="1:6">
      <c r="A2057" s="35" t="s">
        <v>2471</v>
      </c>
      <c r="B2057" s="37">
        <v>1054.050048828125</v>
      </c>
      <c r="C2057" s="37">
        <v>912.7818603515625</v>
      </c>
      <c r="D2057" s="35">
        <v>2033625</v>
      </c>
      <c r="E2057" s="35" t="s">
        <v>2459</v>
      </c>
      <c r="F2057" s="35" t="s">
        <v>411</v>
      </c>
    </row>
    <row r="2058" spans="1:6">
      <c r="A2058" s="35" t="s">
        <v>2472</v>
      </c>
      <c r="B2058" s="37">
        <v>1053.449951171875</v>
      </c>
      <c r="C2058" s="37">
        <v>912.26226806640625</v>
      </c>
      <c r="D2058" s="35">
        <v>1237595</v>
      </c>
      <c r="E2058" s="35" t="s">
        <v>2459</v>
      </c>
      <c r="F2058" s="35" t="s">
        <v>411</v>
      </c>
    </row>
    <row r="2059" spans="1:6">
      <c r="A2059" s="35" t="s">
        <v>2473</v>
      </c>
      <c r="B2059" s="37">
        <v>1065.550048828125</v>
      </c>
      <c r="C2059" s="37">
        <v>922.74066162109375</v>
      </c>
      <c r="D2059" s="35">
        <v>1647101</v>
      </c>
      <c r="E2059" s="35" t="s">
        <v>2459</v>
      </c>
      <c r="F2059" s="35" t="s">
        <v>411</v>
      </c>
    </row>
    <row r="2060" spans="1:6">
      <c r="A2060" s="35" t="s">
        <v>2474</v>
      </c>
      <c r="B2060" s="37">
        <v>1071.25</v>
      </c>
      <c r="C2060" s="37">
        <v>927.67657470703125</v>
      </c>
      <c r="D2060" s="35">
        <v>1654910</v>
      </c>
      <c r="E2060" s="35" t="s">
        <v>2459</v>
      </c>
      <c r="F2060" s="35" t="s">
        <v>411</v>
      </c>
    </row>
    <row r="2061" spans="1:6">
      <c r="A2061" s="35" t="s">
        <v>2475</v>
      </c>
      <c r="B2061" s="37">
        <v>1064.0999755859375</v>
      </c>
      <c r="C2061" s="37">
        <v>937.233154296875</v>
      </c>
      <c r="D2061" s="35">
        <v>2629188</v>
      </c>
      <c r="E2061" s="35" t="s">
        <v>2459</v>
      </c>
      <c r="F2061" s="35" t="s">
        <v>411</v>
      </c>
    </row>
    <row r="2062" spans="1:6">
      <c r="A2062" s="35" t="s">
        <v>2476</v>
      </c>
      <c r="B2062" s="37">
        <v>1067.550048828125</v>
      </c>
      <c r="C2062" s="37">
        <v>940.271728515625</v>
      </c>
      <c r="D2062" s="35">
        <v>1905168</v>
      </c>
      <c r="E2062" s="35" t="s">
        <v>2459</v>
      </c>
      <c r="F2062" s="35" t="s">
        <v>411</v>
      </c>
    </row>
    <row r="2063" spans="1:6">
      <c r="A2063" s="35" t="s">
        <v>2477</v>
      </c>
      <c r="B2063" s="37">
        <v>1058.949951171875</v>
      </c>
      <c r="C2063" s="37">
        <v>932.69720458984375</v>
      </c>
      <c r="D2063" s="35">
        <v>1649820</v>
      </c>
      <c r="E2063" s="35" t="s">
        <v>2459</v>
      </c>
      <c r="F2063" s="35" t="s">
        <v>411</v>
      </c>
    </row>
    <row r="2064" spans="1:6">
      <c r="A2064" s="35" t="s">
        <v>2478</v>
      </c>
      <c r="B2064" s="37">
        <v>1066.800048828125</v>
      </c>
      <c r="C2064" s="37">
        <v>939.611328125</v>
      </c>
      <c r="D2064" s="35">
        <v>1403672</v>
      </c>
      <c r="E2064" s="35" t="s">
        <v>2459</v>
      </c>
      <c r="F2064" s="35" t="s">
        <v>411</v>
      </c>
    </row>
    <row r="2065" spans="1:6">
      <c r="A2065" s="35" t="s">
        <v>2479</v>
      </c>
      <c r="B2065" s="37">
        <v>1055.550048828125</v>
      </c>
      <c r="C2065" s="37">
        <v>929.70257568359375</v>
      </c>
      <c r="D2065" s="35">
        <v>1641673</v>
      </c>
      <c r="E2065" s="35" t="s">
        <v>2459</v>
      </c>
      <c r="F2065" s="35" t="s">
        <v>411</v>
      </c>
    </row>
    <row r="2066" spans="1:6">
      <c r="A2066" s="35" t="s">
        <v>2480</v>
      </c>
      <c r="B2066" s="37">
        <v>1075.75</v>
      </c>
      <c r="C2066" s="37">
        <v>947.494140625</v>
      </c>
      <c r="D2066" s="35">
        <v>1389075</v>
      </c>
      <c r="E2066" s="35" t="s">
        <v>2459</v>
      </c>
      <c r="F2066" s="35" t="s">
        <v>411</v>
      </c>
    </row>
    <row r="2067" spans="1:6">
      <c r="A2067" s="35" t="s">
        <v>2481</v>
      </c>
      <c r="B2067" s="37">
        <v>1079</v>
      </c>
      <c r="C2067" s="37">
        <v>950.35675048828125</v>
      </c>
      <c r="D2067" s="35">
        <v>2981949</v>
      </c>
      <c r="E2067" s="35" t="s">
        <v>2459</v>
      </c>
      <c r="F2067" s="35" t="s">
        <v>411</v>
      </c>
    </row>
    <row r="2068" spans="1:6">
      <c r="A2068" s="35" t="s">
        <v>2482</v>
      </c>
      <c r="B2068" s="37">
        <v>1078.300048828125</v>
      </c>
      <c r="C2068" s="37">
        <v>949.740234375</v>
      </c>
      <c r="D2068" s="35">
        <v>2091411</v>
      </c>
      <c r="E2068" s="35" t="s">
        <v>2459</v>
      </c>
      <c r="F2068" s="35" t="s">
        <v>411</v>
      </c>
    </row>
    <row r="2069" spans="1:6">
      <c r="A2069" s="35" t="s">
        <v>2483</v>
      </c>
      <c r="B2069" s="37">
        <v>1088.0999755859375</v>
      </c>
      <c r="C2069" s="37">
        <v>958.37164306640625</v>
      </c>
      <c r="D2069" s="35">
        <v>2653108</v>
      </c>
      <c r="E2069" s="35" t="s">
        <v>2459</v>
      </c>
      <c r="F2069" s="35" t="s">
        <v>411</v>
      </c>
    </row>
    <row r="2070" spans="1:6">
      <c r="A2070" s="35" t="s">
        <v>2484</v>
      </c>
      <c r="B2070" s="37">
        <v>1095.5</v>
      </c>
      <c r="C2070" s="37">
        <v>964.8895263671875</v>
      </c>
      <c r="D2070" s="35">
        <v>1585037</v>
      </c>
      <c r="E2070" s="35" t="s">
        <v>2459</v>
      </c>
      <c r="F2070" s="35" t="s">
        <v>411</v>
      </c>
    </row>
    <row r="2071" spans="1:6">
      <c r="A2071" s="35" t="s">
        <v>2485</v>
      </c>
      <c r="B2071" s="37">
        <v>1099.75</v>
      </c>
      <c r="C2071" s="37">
        <v>968.6326904296875</v>
      </c>
      <c r="D2071" s="35">
        <v>1523466</v>
      </c>
      <c r="E2071" s="35" t="s">
        <v>2459</v>
      </c>
      <c r="F2071" s="35" t="s">
        <v>411</v>
      </c>
    </row>
    <row r="2072" spans="1:6">
      <c r="A2072" s="35" t="s">
        <v>2486</v>
      </c>
      <c r="B2072" s="37">
        <v>1090.699951171875</v>
      </c>
      <c r="C2072" s="37">
        <v>960.66168212890625</v>
      </c>
      <c r="D2072" s="35">
        <v>1166324</v>
      </c>
      <c r="E2072" s="35" t="s">
        <v>2459</v>
      </c>
      <c r="F2072" s="35" t="s">
        <v>411</v>
      </c>
    </row>
    <row r="2073" spans="1:6">
      <c r="A2073" s="35" t="s">
        <v>2487</v>
      </c>
      <c r="B2073" s="37">
        <v>1074.550048828125</v>
      </c>
      <c r="C2073" s="37">
        <v>946.43731689453125</v>
      </c>
      <c r="D2073" s="35">
        <v>3602382</v>
      </c>
      <c r="E2073" s="35" t="s">
        <v>2459</v>
      </c>
      <c r="F2073" s="35" t="s">
        <v>411</v>
      </c>
    </row>
    <row r="2074" spans="1:6">
      <c r="A2074" s="35" t="s">
        <v>2488</v>
      </c>
      <c r="B2074" s="37">
        <v>1079.9000244140625</v>
      </c>
      <c r="C2074" s="37">
        <v>951.14935302734375</v>
      </c>
      <c r="D2074" s="35">
        <v>1515743</v>
      </c>
      <c r="E2074" s="35" t="s">
        <v>2459</v>
      </c>
      <c r="F2074" s="35" t="s">
        <v>411</v>
      </c>
    </row>
    <row r="2075" spans="1:6">
      <c r="A2075" s="35" t="s">
        <v>2489</v>
      </c>
      <c r="B2075" s="37">
        <v>1095.3499755859375</v>
      </c>
      <c r="C2075" s="37">
        <v>964.75732421875</v>
      </c>
      <c r="D2075" s="35">
        <v>1984436</v>
      </c>
      <c r="E2075" s="35" t="s">
        <v>2459</v>
      </c>
      <c r="F2075" s="35" t="s">
        <v>411</v>
      </c>
    </row>
    <row r="2076" spans="1:6">
      <c r="A2076" s="35" t="s">
        <v>2490</v>
      </c>
      <c r="B2076" s="37">
        <v>1119.8499755859375</v>
      </c>
      <c r="C2076" s="37">
        <v>986.33636474609375</v>
      </c>
      <c r="D2076" s="35">
        <v>1864932</v>
      </c>
      <c r="E2076" s="35" t="s">
        <v>2459</v>
      </c>
      <c r="F2076" s="35" t="s">
        <v>411</v>
      </c>
    </row>
    <row r="2077" spans="1:6">
      <c r="A2077" s="35" t="s">
        <v>2491</v>
      </c>
      <c r="B2077" s="37">
        <v>1107.3499755859375</v>
      </c>
      <c r="C2077" s="37">
        <v>975.32659912109375</v>
      </c>
      <c r="D2077" s="35">
        <v>2138096</v>
      </c>
      <c r="E2077" s="35" t="s">
        <v>2459</v>
      </c>
      <c r="F2077" s="35" t="s">
        <v>411</v>
      </c>
    </row>
    <row r="2078" spans="1:6">
      <c r="A2078" s="35" t="s">
        <v>2492</v>
      </c>
      <c r="B2078" s="37">
        <v>1111.949951171875</v>
      </c>
      <c r="C2078" s="37">
        <v>979.37823486328125</v>
      </c>
      <c r="D2078" s="35">
        <v>1302744</v>
      </c>
      <c r="E2078" s="35" t="s">
        <v>2459</v>
      </c>
      <c r="F2078" s="35" t="s">
        <v>411</v>
      </c>
    </row>
    <row r="2079" spans="1:6">
      <c r="A2079" s="35" t="s">
        <v>2493</v>
      </c>
      <c r="B2079" s="37">
        <v>1116</v>
      </c>
      <c r="C2079" s="37">
        <v>982.9453125</v>
      </c>
      <c r="D2079" s="35">
        <v>1124803</v>
      </c>
      <c r="E2079" s="35" t="s">
        <v>2459</v>
      </c>
      <c r="F2079" s="35" t="s">
        <v>411</v>
      </c>
    </row>
    <row r="2080" spans="1:6">
      <c r="A2080" s="35" t="s">
        <v>2494</v>
      </c>
      <c r="B2080" s="37">
        <v>1139.199951171875</v>
      </c>
      <c r="C2080" s="37">
        <v>1003.3792724609375</v>
      </c>
      <c r="D2080" s="35">
        <v>1635167</v>
      </c>
      <c r="E2080" s="35" t="s">
        <v>2459</v>
      </c>
      <c r="F2080" s="35" t="s">
        <v>411</v>
      </c>
    </row>
    <row r="2081" spans="1:6">
      <c r="A2081" s="35" t="s">
        <v>2495</v>
      </c>
      <c r="B2081" s="37">
        <v>1126.199951171875</v>
      </c>
      <c r="C2081" s="37">
        <v>991.92938232421875</v>
      </c>
      <c r="D2081" s="35">
        <v>1288914</v>
      </c>
      <c r="E2081" s="35" t="s">
        <v>2459</v>
      </c>
      <c r="F2081" s="35" t="s">
        <v>411</v>
      </c>
    </row>
    <row r="2082" spans="1:6">
      <c r="A2082" s="35" t="s">
        <v>2496</v>
      </c>
      <c r="B2082" s="37">
        <v>1135.8499755859375</v>
      </c>
      <c r="C2082" s="37">
        <v>1000.4285888671875</v>
      </c>
      <c r="D2082" s="35">
        <v>1983735</v>
      </c>
      <c r="E2082" s="35" t="s">
        <v>2459</v>
      </c>
      <c r="F2082" s="35" t="s">
        <v>411</v>
      </c>
    </row>
    <row r="2083" spans="1:6">
      <c r="A2083" s="35" t="s">
        <v>2497</v>
      </c>
      <c r="B2083" s="37">
        <v>1145.0999755859375</v>
      </c>
      <c r="C2083" s="37">
        <v>1008.57568359375</v>
      </c>
      <c r="D2083" s="35">
        <v>5967930</v>
      </c>
      <c r="E2083" s="35" t="s">
        <v>2459</v>
      </c>
      <c r="F2083" s="35" t="s">
        <v>411</v>
      </c>
    </row>
    <row r="2084" spans="1:6">
      <c r="A2084" s="35" t="s">
        <v>2498</v>
      </c>
      <c r="B2084" s="37">
        <v>1141.9000244140625</v>
      </c>
      <c r="C2084" s="37">
        <v>1005.7574462890625</v>
      </c>
      <c r="D2084" s="35">
        <v>1445692</v>
      </c>
      <c r="E2084" s="35" t="s">
        <v>2459</v>
      </c>
      <c r="F2084" s="35" t="s">
        <v>411</v>
      </c>
    </row>
    <row r="2085" spans="1:6">
      <c r="A2085" s="35" t="s">
        <v>2499</v>
      </c>
      <c r="B2085" s="37">
        <v>1137.050048828125</v>
      </c>
      <c r="C2085" s="37">
        <v>1001.4857788085938</v>
      </c>
      <c r="D2085" s="35">
        <v>1336554</v>
      </c>
      <c r="E2085" s="35" t="s">
        <v>2459</v>
      </c>
      <c r="F2085" s="35" t="s">
        <v>411</v>
      </c>
    </row>
    <row r="2086" spans="1:6">
      <c r="A2086" s="35" t="s">
        <v>2500</v>
      </c>
      <c r="B2086" s="37">
        <v>1138.300048828125</v>
      </c>
      <c r="C2086" s="37">
        <v>1002.5870361328125</v>
      </c>
      <c r="D2086" s="35">
        <v>1435758</v>
      </c>
      <c r="E2086" s="35" t="s">
        <v>2459</v>
      </c>
      <c r="F2086" s="35" t="s">
        <v>411</v>
      </c>
    </row>
    <row r="2087" spans="1:6">
      <c r="A2087" s="35" t="s">
        <v>2501</v>
      </c>
      <c r="B2087" s="37">
        <v>1128.5999755859375</v>
      </c>
      <c r="C2087" s="37">
        <v>994.04315185546875</v>
      </c>
      <c r="D2087" s="35">
        <v>1943605</v>
      </c>
      <c r="E2087" s="35" t="s">
        <v>2459</v>
      </c>
      <c r="F2087" s="35" t="s">
        <v>411</v>
      </c>
    </row>
    <row r="2088" spans="1:6">
      <c r="A2088" s="35" t="s">
        <v>2502</v>
      </c>
      <c r="B2088" s="37">
        <v>1129.050048828125</v>
      </c>
      <c r="C2088" s="37">
        <v>994.43963623046875</v>
      </c>
      <c r="D2088" s="35">
        <v>2459039</v>
      </c>
      <c r="E2088" s="35" t="s">
        <v>2459</v>
      </c>
      <c r="F2088" s="35" t="s">
        <v>411</v>
      </c>
    </row>
    <row r="2089" spans="1:6">
      <c r="A2089" s="35" t="s">
        <v>2503</v>
      </c>
      <c r="B2089" s="37">
        <v>1126.75</v>
      </c>
      <c r="C2089" s="37">
        <v>992.41375732421875</v>
      </c>
      <c r="D2089" s="35">
        <v>1385218</v>
      </c>
      <c r="E2089" s="35" t="s">
        <v>2459</v>
      </c>
      <c r="F2089" s="35" t="s">
        <v>411</v>
      </c>
    </row>
    <row r="2090" spans="1:6">
      <c r="A2090" s="35" t="s">
        <v>2504</v>
      </c>
      <c r="B2090" s="37">
        <v>1109.75</v>
      </c>
      <c r="C2090" s="37">
        <v>977.4405517578125</v>
      </c>
      <c r="D2090" s="35">
        <v>1824218</v>
      </c>
      <c r="E2090" s="35" t="s">
        <v>2459</v>
      </c>
      <c r="F2090" s="35" t="s">
        <v>411</v>
      </c>
    </row>
    <row r="2091" spans="1:6">
      <c r="A2091" s="35" t="s">
        <v>2505</v>
      </c>
      <c r="B2091" s="37">
        <v>1139.6500244140625</v>
      </c>
      <c r="C2091" s="37">
        <v>1003.7756958007813</v>
      </c>
      <c r="D2091" s="35">
        <v>1670970</v>
      </c>
      <c r="E2091" s="35" t="s">
        <v>2459</v>
      </c>
      <c r="F2091" s="35" t="s">
        <v>411</v>
      </c>
    </row>
    <row r="2092" spans="1:6">
      <c r="A2092" s="35" t="s">
        <v>2506</v>
      </c>
      <c r="B2092" s="37">
        <v>1131.300048828125</v>
      </c>
      <c r="C2092" s="37">
        <v>996.42144775390625</v>
      </c>
      <c r="D2092" s="35">
        <v>2014656</v>
      </c>
      <c r="E2092" s="35" t="s">
        <v>2459</v>
      </c>
      <c r="F2092" s="35" t="s">
        <v>411</v>
      </c>
    </row>
    <row r="2093" spans="1:6">
      <c r="A2093" s="35" t="s">
        <v>2507</v>
      </c>
      <c r="B2093" s="37">
        <v>1135.8499755859375</v>
      </c>
      <c r="C2093" s="37">
        <v>1000.4285888671875</v>
      </c>
      <c r="D2093" s="35">
        <v>836964</v>
      </c>
      <c r="E2093" s="35" t="s">
        <v>2459</v>
      </c>
      <c r="F2093" s="35" t="s">
        <v>411</v>
      </c>
    </row>
    <row r="2094" spans="1:6">
      <c r="A2094" s="35" t="s">
        <v>2508</v>
      </c>
      <c r="B2094" s="37">
        <v>1143.5999755859375</v>
      </c>
      <c r="C2094" s="37">
        <v>1007.2547607421875</v>
      </c>
      <c r="D2094" s="35">
        <v>2109652</v>
      </c>
      <c r="E2094" s="35" t="s">
        <v>2459</v>
      </c>
      <c r="F2094" s="35" t="s">
        <v>411</v>
      </c>
    </row>
    <row r="2095" spans="1:6">
      <c r="A2095" s="35" t="s">
        <v>2509</v>
      </c>
      <c r="B2095" s="37">
        <v>1148.199951171875</v>
      </c>
      <c r="C2095" s="37">
        <v>1011.3063354492188</v>
      </c>
      <c r="D2095" s="35">
        <v>2909817</v>
      </c>
      <c r="E2095" s="35" t="s">
        <v>2459</v>
      </c>
      <c r="F2095" s="35" t="s">
        <v>411</v>
      </c>
    </row>
    <row r="2096" spans="1:6">
      <c r="A2096" s="35" t="s">
        <v>2510</v>
      </c>
      <c r="B2096" s="37">
        <v>1137.550048828125</v>
      </c>
      <c r="C2096" s="37">
        <v>1001.926025390625</v>
      </c>
      <c r="D2096" s="35">
        <v>1278608</v>
      </c>
      <c r="E2096" s="35" t="s">
        <v>2459</v>
      </c>
      <c r="F2096" s="35" t="s">
        <v>411</v>
      </c>
    </row>
    <row r="2097" spans="1:6">
      <c r="A2097" s="35" t="s">
        <v>2511</v>
      </c>
      <c r="B2097" s="37">
        <v>1168.6500244140625</v>
      </c>
      <c r="C2097" s="37">
        <v>1029.318359375</v>
      </c>
      <c r="D2097" s="35">
        <v>3504867</v>
      </c>
      <c r="E2097" s="35" t="s">
        <v>2459</v>
      </c>
      <c r="F2097" s="35" t="s">
        <v>411</v>
      </c>
    </row>
    <row r="2098" spans="1:6">
      <c r="A2098" s="35" t="s">
        <v>2512</v>
      </c>
      <c r="B2098" s="37">
        <v>1170.449951171875</v>
      </c>
      <c r="C2098" s="37">
        <v>1030.903564453125</v>
      </c>
      <c r="D2098" s="35">
        <v>2019683</v>
      </c>
      <c r="E2098" s="35" t="s">
        <v>2459</v>
      </c>
      <c r="F2098" s="35" t="s">
        <v>411</v>
      </c>
    </row>
    <row r="2099" spans="1:6">
      <c r="A2099" s="35" t="s">
        <v>2513</v>
      </c>
      <c r="B2099" s="37">
        <v>1163.4000244140625</v>
      </c>
      <c r="C2099" s="37">
        <v>1024.6942138671875</v>
      </c>
      <c r="D2099" s="35">
        <v>972005</v>
      </c>
      <c r="E2099" s="35" t="s">
        <v>2459</v>
      </c>
      <c r="F2099" s="35" t="s">
        <v>411</v>
      </c>
    </row>
    <row r="2100" spans="1:6">
      <c r="A2100" s="35" t="s">
        <v>2514</v>
      </c>
      <c r="B2100" s="37">
        <v>1165.1500244140625</v>
      </c>
      <c r="C2100" s="37">
        <v>1026.2354736328125</v>
      </c>
      <c r="D2100" s="35">
        <v>1699790</v>
      </c>
      <c r="E2100" s="35" t="s">
        <v>2459</v>
      </c>
      <c r="F2100" s="35" t="s">
        <v>411</v>
      </c>
    </row>
    <row r="2101" spans="1:6">
      <c r="A2101" s="35" t="s">
        <v>2515</v>
      </c>
      <c r="B2101" s="37">
        <v>1167.5</v>
      </c>
      <c r="C2101" s="37">
        <v>1028.3052978515625</v>
      </c>
      <c r="D2101" s="35">
        <v>1190307</v>
      </c>
      <c r="E2101" s="35" t="s">
        <v>2459</v>
      </c>
      <c r="F2101" s="35" t="s">
        <v>411</v>
      </c>
    </row>
    <row r="2102" spans="1:6">
      <c r="A2102" s="35" t="s">
        <v>2516</v>
      </c>
      <c r="B2102" s="37">
        <v>1170</v>
      </c>
      <c r="C2102" s="37">
        <v>1030.5072021484375</v>
      </c>
      <c r="D2102" s="35">
        <v>1504039</v>
      </c>
      <c r="E2102" s="35" t="s">
        <v>2459</v>
      </c>
      <c r="F2102" s="35" t="s">
        <v>411</v>
      </c>
    </row>
    <row r="2103" spans="1:6">
      <c r="A2103" s="35" t="s">
        <v>2517</v>
      </c>
      <c r="B2103" s="37">
        <v>1170.25</v>
      </c>
      <c r="C2103" s="37">
        <v>1030.727294921875</v>
      </c>
      <c r="D2103" s="35">
        <v>1424076</v>
      </c>
      <c r="E2103" s="35" t="s">
        <v>2459</v>
      </c>
      <c r="F2103" s="35" t="s">
        <v>411</v>
      </c>
    </row>
    <row r="2104" spans="1:6">
      <c r="A2104" s="35" t="s">
        <v>2518</v>
      </c>
      <c r="B2104" s="37">
        <v>1187.949951171875</v>
      </c>
      <c r="C2104" s="37">
        <v>1046.31689453125</v>
      </c>
      <c r="D2104" s="35">
        <v>3036648</v>
      </c>
      <c r="E2104" s="35" t="s">
        <v>2459</v>
      </c>
      <c r="F2104" s="35" t="s">
        <v>411</v>
      </c>
    </row>
    <row r="2105" spans="1:6">
      <c r="A2105" s="35" t="s">
        <v>2519</v>
      </c>
      <c r="B2105" s="37">
        <v>1181.5999755859375</v>
      </c>
      <c r="C2105" s="37">
        <v>1040.7242431640625</v>
      </c>
      <c r="D2105" s="35">
        <v>1749952</v>
      </c>
      <c r="E2105" s="35" t="s">
        <v>2459</v>
      </c>
      <c r="F2105" s="35" t="s">
        <v>411</v>
      </c>
    </row>
    <row r="2106" spans="1:6">
      <c r="A2106" s="35" t="s">
        <v>2520</v>
      </c>
      <c r="B2106" s="37">
        <v>1190.5999755859375</v>
      </c>
      <c r="C2106" s="37">
        <v>1048.6513671875</v>
      </c>
      <c r="D2106" s="35">
        <v>1094468</v>
      </c>
      <c r="E2106" s="35" t="s">
        <v>2459</v>
      </c>
      <c r="F2106" s="35" t="s">
        <v>411</v>
      </c>
    </row>
    <row r="2107" spans="1:6">
      <c r="A2107" s="35" t="s">
        <v>2521</v>
      </c>
      <c r="B2107" s="37">
        <v>1194.800048828125</v>
      </c>
      <c r="C2107" s="37">
        <v>1052.350341796875</v>
      </c>
      <c r="D2107" s="35">
        <v>1653610</v>
      </c>
      <c r="E2107" s="35" t="s">
        <v>2459</v>
      </c>
      <c r="F2107" s="35" t="s">
        <v>411</v>
      </c>
    </row>
    <row r="2108" spans="1:6">
      <c r="A2108" s="35" t="s">
        <v>2522</v>
      </c>
      <c r="B2108" s="37">
        <v>1180.6500244140625</v>
      </c>
      <c r="C2108" s="37">
        <v>1039.8878173828125</v>
      </c>
      <c r="D2108" s="35">
        <v>2334220</v>
      </c>
      <c r="E2108" s="35" t="s">
        <v>2459</v>
      </c>
      <c r="F2108" s="35" t="s">
        <v>411</v>
      </c>
    </row>
    <row r="2109" spans="1:6">
      <c r="A2109" s="35" t="s">
        <v>2523</v>
      </c>
      <c r="B2109" s="37">
        <v>1157.5999755859375</v>
      </c>
      <c r="C2109" s="37">
        <v>1019.5856323242188</v>
      </c>
      <c r="D2109" s="35">
        <v>2159585</v>
      </c>
      <c r="E2109" s="35" t="s">
        <v>2459</v>
      </c>
      <c r="F2109" s="35" t="s">
        <v>411</v>
      </c>
    </row>
    <row r="2110" spans="1:6">
      <c r="A2110" s="35" t="s">
        <v>2524</v>
      </c>
      <c r="B2110" s="37">
        <v>1124.5</v>
      </c>
      <c r="C2110" s="37">
        <v>990.43212890625</v>
      </c>
      <c r="D2110" s="35">
        <v>3960400</v>
      </c>
      <c r="E2110" s="35" t="s">
        <v>2459</v>
      </c>
      <c r="F2110" s="35" t="s">
        <v>411</v>
      </c>
    </row>
    <row r="2111" spans="1:6">
      <c r="A2111" s="35" t="s">
        <v>2525</v>
      </c>
      <c r="B2111" s="37">
        <v>1114.9000244140625</v>
      </c>
      <c r="C2111" s="37">
        <v>981.9765625</v>
      </c>
      <c r="D2111" s="35">
        <v>4982603</v>
      </c>
      <c r="E2111" s="35" t="s">
        <v>2459</v>
      </c>
      <c r="F2111" s="35" t="s">
        <v>411</v>
      </c>
    </row>
    <row r="2112" spans="1:6">
      <c r="A2112" s="35" t="s">
        <v>2526</v>
      </c>
      <c r="B2112" s="37">
        <v>1110.550048828125</v>
      </c>
      <c r="C2112" s="37">
        <v>978.145263671875</v>
      </c>
      <c r="D2112" s="35">
        <v>3824027</v>
      </c>
      <c r="E2112" s="35" t="s">
        <v>2459</v>
      </c>
      <c r="F2112" s="35" t="s">
        <v>411</v>
      </c>
    </row>
    <row r="2113" spans="1:6">
      <c r="A2113" s="35" t="s">
        <v>2527</v>
      </c>
      <c r="B2113" s="37">
        <v>1108.800048828125</v>
      </c>
      <c r="C2113" s="37">
        <v>976.6038818359375</v>
      </c>
      <c r="D2113" s="35">
        <v>12294227</v>
      </c>
      <c r="E2113" s="35" t="s">
        <v>2459</v>
      </c>
      <c r="F2113" s="35" t="s">
        <v>411</v>
      </c>
    </row>
    <row r="2114" spans="1:6">
      <c r="A2114" s="35" t="s">
        <v>2528</v>
      </c>
      <c r="B2114" s="37">
        <v>1150.949951171875</v>
      </c>
      <c r="C2114" s="37">
        <v>1013.7283935546875</v>
      </c>
      <c r="D2114" s="35">
        <v>6605038</v>
      </c>
      <c r="E2114" s="35" t="s">
        <v>2459</v>
      </c>
      <c r="F2114" s="35" t="s">
        <v>411</v>
      </c>
    </row>
    <row r="2115" spans="1:6">
      <c r="A2115" s="35" t="s">
        <v>2529</v>
      </c>
      <c r="B2115" s="37">
        <v>1153.75</v>
      </c>
      <c r="C2115" s="37">
        <v>1016.194580078125</v>
      </c>
      <c r="D2115" s="35">
        <v>3159479</v>
      </c>
      <c r="E2115" s="35" t="s">
        <v>2459</v>
      </c>
      <c r="F2115" s="35" t="s">
        <v>411</v>
      </c>
    </row>
    <row r="2116" spans="1:6">
      <c r="A2116" s="35" t="s">
        <v>2530</v>
      </c>
      <c r="B2116" s="37">
        <v>1167.199951171875</v>
      </c>
      <c r="C2116" s="37">
        <v>1028.040771484375</v>
      </c>
      <c r="D2116" s="35">
        <v>2431478</v>
      </c>
      <c r="E2116" s="35" t="s">
        <v>2459</v>
      </c>
      <c r="F2116" s="35" t="s">
        <v>411</v>
      </c>
    </row>
    <row r="2117" spans="1:6">
      <c r="A2117" s="35" t="s">
        <v>2531</v>
      </c>
      <c r="B2117" s="37">
        <v>1169.050048828125</v>
      </c>
      <c r="C2117" s="37">
        <v>1029.6705322265625</v>
      </c>
      <c r="D2117" s="35">
        <v>2242397</v>
      </c>
      <c r="E2117" s="35" t="s">
        <v>2459</v>
      </c>
      <c r="F2117" s="35" t="s">
        <v>411</v>
      </c>
    </row>
    <row r="2118" spans="1:6">
      <c r="A2118" s="35" t="s">
        <v>2532</v>
      </c>
      <c r="B2118" s="37">
        <v>1155.800048828125</v>
      </c>
      <c r="C2118" s="37">
        <v>1026.7833251953125</v>
      </c>
      <c r="D2118" s="35">
        <v>1990001</v>
      </c>
      <c r="E2118" s="35" t="s">
        <v>2459</v>
      </c>
      <c r="F2118" s="35" t="s">
        <v>411</v>
      </c>
    </row>
    <row r="2119" spans="1:6">
      <c r="A2119" s="35" t="s">
        <v>2533</v>
      </c>
      <c r="B2119" s="37">
        <v>1115.449951171875</v>
      </c>
      <c r="C2119" s="37">
        <v>990.937255859375</v>
      </c>
      <c r="D2119" s="35">
        <v>5259150</v>
      </c>
      <c r="E2119" s="35" t="s">
        <v>2459</v>
      </c>
      <c r="F2119" s="35" t="s">
        <v>411</v>
      </c>
    </row>
    <row r="2120" spans="1:6">
      <c r="A2120" s="35" t="s">
        <v>2534</v>
      </c>
      <c r="B2120" s="37">
        <v>1112.9000244140625</v>
      </c>
      <c r="C2120" s="37">
        <v>988.67205810546875</v>
      </c>
      <c r="D2120" s="35">
        <v>2672505</v>
      </c>
      <c r="E2120" s="35" t="s">
        <v>2459</v>
      </c>
      <c r="F2120" s="35" t="s">
        <v>411</v>
      </c>
    </row>
    <row r="2121" spans="1:6">
      <c r="A2121" s="35" t="s">
        <v>2535</v>
      </c>
      <c r="B2121" s="37">
        <v>1111.550048828125</v>
      </c>
      <c r="C2121" s="37">
        <v>987.47283935546875</v>
      </c>
      <c r="D2121" s="35">
        <v>2506726</v>
      </c>
      <c r="E2121" s="35" t="s">
        <v>2459</v>
      </c>
      <c r="F2121" s="35" t="s">
        <v>411</v>
      </c>
    </row>
    <row r="2122" spans="1:6">
      <c r="A2122" s="35" t="s">
        <v>2536</v>
      </c>
      <c r="B2122" s="37">
        <v>1115</v>
      </c>
      <c r="C2122" s="37">
        <v>990.53753662109375</v>
      </c>
      <c r="D2122" s="35">
        <v>1969964</v>
      </c>
      <c r="E2122" s="35" t="s">
        <v>2459</v>
      </c>
      <c r="F2122" s="35" t="s">
        <v>411</v>
      </c>
    </row>
    <row r="2123" spans="1:6">
      <c r="A2123" s="35" t="s">
        <v>2537</v>
      </c>
      <c r="B2123" s="37">
        <v>1117.3499755859375</v>
      </c>
      <c r="C2123" s="37">
        <v>992.625244140625</v>
      </c>
      <c r="D2123" s="35">
        <v>1769815</v>
      </c>
      <c r="E2123" s="35" t="s">
        <v>2459</v>
      </c>
      <c r="F2123" s="35" t="s">
        <v>411</v>
      </c>
    </row>
    <row r="2124" spans="1:6">
      <c r="A2124" s="35" t="s">
        <v>2538</v>
      </c>
      <c r="B2124" s="37">
        <v>1103.550048828125</v>
      </c>
      <c r="C2124" s="37">
        <v>980.36578369140625</v>
      </c>
      <c r="D2124" s="35">
        <v>2031899</v>
      </c>
      <c r="E2124" s="35" t="s">
        <v>2459</v>
      </c>
      <c r="F2124" s="35" t="s">
        <v>411</v>
      </c>
    </row>
    <row r="2125" spans="1:6">
      <c r="A2125" s="35" t="s">
        <v>2539</v>
      </c>
      <c r="B2125" s="37">
        <v>1116.699951171875</v>
      </c>
      <c r="C2125" s="37">
        <v>992.04791259765625</v>
      </c>
      <c r="D2125" s="35">
        <v>2526624</v>
      </c>
      <c r="E2125" s="35" t="s">
        <v>2459</v>
      </c>
      <c r="F2125" s="35" t="s">
        <v>411</v>
      </c>
    </row>
    <row r="2126" spans="1:6">
      <c r="A2126" s="35" t="s">
        <v>2540</v>
      </c>
      <c r="B2126" s="37">
        <v>1138.5</v>
      </c>
      <c r="C2126" s="37">
        <v>1011.4146118164063</v>
      </c>
      <c r="D2126" s="35">
        <v>2710536</v>
      </c>
      <c r="E2126" s="35" t="s">
        <v>2459</v>
      </c>
      <c r="F2126" s="35" t="s">
        <v>411</v>
      </c>
    </row>
    <row r="2127" spans="1:6">
      <c r="A2127" s="35" t="s">
        <v>2541</v>
      </c>
      <c r="B2127" s="37">
        <v>1130.9000244140625</v>
      </c>
      <c r="C2127" s="37">
        <v>1004.6627197265625</v>
      </c>
      <c r="D2127" s="35">
        <v>2701150</v>
      </c>
      <c r="E2127" s="35" t="s">
        <v>2459</v>
      </c>
      <c r="F2127" s="35" t="s">
        <v>411</v>
      </c>
    </row>
    <row r="2128" spans="1:6">
      <c r="A2128" s="35" t="s">
        <v>2542</v>
      </c>
      <c r="B2128" s="37">
        <v>1125.5</v>
      </c>
      <c r="C2128" s="37">
        <v>999.86572265625</v>
      </c>
      <c r="D2128" s="35">
        <v>1608187</v>
      </c>
      <c r="E2128" s="35" t="s">
        <v>2459</v>
      </c>
      <c r="F2128" s="35" t="s">
        <v>411</v>
      </c>
    </row>
    <row r="2129" spans="1:6">
      <c r="A2129" s="35" t="s">
        <v>2543</v>
      </c>
      <c r="B2129" s="37">
        <v>1144.3499755859375</v>
      </c>
      <c r="C2129" s="37">
        <v>1016.6113891601563</v>
      </c>
      <c r="D2129" s="35">
        <v>3315303</v>
      </c>
      <c r="E2129" s="35" t="s">
        <v>2459</v>
      </c>
      <c r="F2129" s="35" t="s">
        <v>411</v>
      </c>
    </row>
    <row r="2130" spans="1:6">
      <c r="A2130" s="35" t="s">
        <v>2544</v>
      </c>
      <c r="B2130" s="37">
        <v>1150.800048828125</v>
      </c>
      <c r="C2130" s="37">
        <v>1022.3414916992188</v>
      </c>
      <c r="D2130" s="35">
        <v>1655404</v>
      </c>
      <c r="E2130" s="35" t="s">
        <v>2459</v>
      </c>
      <c r="F2130" s="35" t="s">
        <v>411</v>
      </c>
    </row>
    <row r="2131" spans="1:6">
      <c r="A2131" s="35" t="s">
        <v>2545</v>
      </c>
      <c r="B2131" s="37">
        <v>1141.3499755859375</v>
      </c>
      <c r="C2131" s="37">
        <v>1013.9463500976563</v>
      </c>
      <c r="D2131" s="35">
        <v>1667697</v>
      </c>
      <c r="E2131" s="35" t="s">
        <v>2459</v>
      </c>
      <c r="F2131" s="35" t="s">
        <v>411</v>
      </c>
    </row>
    <row r="2132" spans="1:6">
      <c r="A2132" s="35" t="s">
        <v>2546</v>
      </c>
      <c r="B2132" s="37">
        <v>1144.1500244140625</v>
      </c>
      <c r="C2132" s="37">
        <v>1016.433837890625</v>
      </c>
      <c r="D2132" s="35">
        <v>1559337</v>
      </c>
      <c r="E2132" s="35" t="s">
        <v>2459</v>
      </c>
      <c r="F2132" s="35" t="s">
        <v>411</v>
      </c>
    </row>
    <row r="2133" spans="1:6">
      <c r="A2133" s="35" t="s">
        <v>2547</v>
      </c>
      <c r="B2133" s="37">
        <v>1134.300048828125</v>
      </c>
      <c r="C2133" s="37">
        <v>1007.6834106445313</v>
      </c>
      <c r="D2133" s="35">
        <v>1676669</v>
      </c>
      <c r="E2133" s="35" t="s">
        <v>2459</v>
      </c>
      <c r="F2133" s="35" t="s">
        <v>411</v>
      </c>
    </row>
    <row r="2134" spans="1:6">
      <c r="A2134" s="35" t="s">
        <v>2548</v>
      </c>
      <c r="B2134" s="37">
        <v>1171.449951171875</v>
      </c>
      <c r="C2134" s="37">
        <v>1040.6864013671875</v>
      </c>
      <c r="D2134" s="35">
        <v>7391806</v>
      </c>
      <c r="E2134" s="35" t="s">
        <v>2459</v>
      </c>
      <c r="F2134" s="35" t="s">
        <v>411</v>
      </c>
    </row>
    <row r="2135" spans="1:6">
      <c r="A2135" s="35" t="s">
        <v>2549</v>
      </c>
      <c r="B2135" s="37">
        <v>1171</v>
      </c>
      <c r="C2135" s="37">
        <v>1040.2864990234375</v>
      </c>
      <c r="D2135" s="35">
        <v>1720940</v>
      </c>
      <c r="E2135" s="35" t="s">
        <v>2459</v>
      </c>
      <c r="F2135" s="35" t="s">
        <v>411</v>
      </c>
    </row>
    <row r="2136" spans="1:6">
      <c r="A2136" s="35" t="s">
        <v>2550</v>
      </c>
      <c r="B2136" s="37">
        <v>1177.1500244140625</v>
      </c>
      <c r="C2136" s="37">
        <v>1045.75</v>
      </c>
      <c r="D2136" s="35">
        <v>2567226</v>
      </c>
      <c r="E2136" s="35" t="s">
        <v>2459</v>
      </c>
      <c r="F2136" s="35" t="s">
        <v>411</v>
      </c>
    </row>
    <row r="2137" spans="1:6">
      <c r="A2137" s="35" t="s">
        <v>2551</v>
      </c>
      <c r="B2137" s="37">
        <v>1176.699951171875</v>
      </c>
      <c r="C2137" s="37">
        <v>1045.3504638671875</v>
      </c>
      <c r="D2137" s="35">
        <v>2331256</v>
      </c>
      <c r="E2137" s="35" t="s">
        <v>2459</v>
      </c>
      <c r="F2137" s="35" t="s">
        <v>411</v>
      </c>
    </row>
    <row r="2138" spans="1:6">
      <c r="A2138" s="35" t="s">
        <v>2552</v>
      </c>
      <c r="B2138" s="37">
        <v>1173.699951171875</v>
      </c>
      <c r="C2138" s="37">
        <v>1042.6851806640625</v>
      </c>
      <c r="D2138" s="35">
        <v>3406088</v>
      </c>
      <c r="E2138" s="35" t="s">
        <v>2459</v>
      </c>
      <c r="F2138" s="35" t="s">
        <v>411</v>
      </c>
    </row>
    <row r="2139" spans="1:6">
      <c r="A2139" s="35" t="s">
        <v>2553</v>
      </c>
      <c r="B2139" s="37">
        <v>1179.25</v>
      </c>
      <c r="C2139" s="37">
        <v>1047.61572265625</v>
      </c>
      <c r="D2139" s="35">
        <v>1661946</v>
      </c>
      <c r="E2139" s="35" t="s">
        <v>2459</v>
      </c>
      <c r="F2139" s="35" t="s">
        <v>411</v>
      </c>
    </row>
    <row r="2140" spans="1:6">
      <c r="A2140" s="35" t="s">
        <v>2554</v>
      </c>
      <c r="B2140" s="37">
        <v>1179.5</v>
      </c>
      <c r="C2140" s="37">
        <v>1047.8377685546875</v>
      </c>
      <c r="D2140" s="35">
        <v>1805887</v>
      </c>
      <c r="E2140" s="35" t="s">
        <v>2459</v>
      </c>
      <c r="F2140" s="35" t="s">
        <v>411</v>
      </c>
    </row>
    <row r="2141" spans="1:6">
      <c r="A2141" s="35" t="s">
        <v>2555</v>
      </c>
      <c r="B2141" s="37">
        <v>1182.5</v>
      </c>
      <c r="C2141" s="37">
        <v>1050.5028076171875</v>
      </c>
      <c r="D2141" s="35">
        <v>2347850</v>
      </c>
      <c r="E2141" s="35" t="s">
        <v>2459</v>
      </c>
      <c r="F2141" s="35" t="s">
        <v>411</v>
      </c>
    </row>
    <row r="2142" spans="1:6">
      <c r="A2142" s="35" t="s">
        <v>2556</v>
      </c>
      <c r="B2142" s="37">
        <v>1171.25</v>
      </c>
      <c r="C2142" s="37">
        <v>1040.508544921875</v>
      </c>
      <c r="D2142" s="35">
        <v>2464221</v>
      </c>
      <c r="E2142" s="35" t="s">
        <v>2459</v>
      </c>
      <c r="F2142" s="35" t="s">
        <v>411</v>
      </c>
    </row>
    <row r="2143" spans="1:6">
      <c r="A2143" s="35" t="s">
        <v>2557</v>
      </c>
      <c r="B2143" s="37">
        <v>1153.949951171875</v>
      </c>
      <c r="C2143" s="37">
        <v>1025.1397705078125</v>
      </c>
      <c r="D2143" s="35">
        <v>2105159</v>
      </c>
      <c r="E2143" s="35" t="s">
        <v>2459</v>
      </c>
      <c r="F2143" s="35" t="s">
        <v>411</v>
      </c>
    </row>
    <row r="2144" spans="1:6">
      <c r="A2144" s="35" t="s">
        <v>2558</v>
      </c>
      <c r="B2144" s="37">
        <v>1146.449951171875</v>
      </c>
      <c r="C2144" s="37">
        <v>1018.4771118164063</v>
      </c>
      <c r="D2144" s="35">
        <v>2571967</v>
      </c>
      <c r="E2144" s="35" t="s">
        <v>2459</v>
      </c>
      <c r="F2144" s="35" t="s">
        <v>411</v>
      </c>
    </row>
    <row r="2145" spans="1:6">
      <c r="A2145" s="35" t="s">
        <v>2559</v>
      </c>
      <c r="B2145" s="37">
        <v>1157.550048828125</v>
      </c>
      <c r="C2145" s="37">
        <v>1028.337890625</v>
      </c>
      <c r="D2145" s="35">
        <v>1794652</v>
      </c>
      <c r="E2145" s="35" t="s">
        <v>2459</v>
      </c>
      <c r="F2145" s="35" t="s">
        <v>411</v>
      </c>
    </row>
    <row r="2146" spans="1:6">
      <c r="A2146" s="35" t="s">
        <v>2560</v>
      </c>
      <c r="B2146" s="37">
        <v>1170.5</v>
      </c>
      <c r="C2146" s="37">
        <v>1039.8424072265625</v>
      </c>
      <c r="D2146" s="35">
        <v>1497356</v>
      </c>
      <c r="E2146" s="35" t="s">
        <v>2459</v>
      </c>
      <c r="F2146" s="35" t="s">
        <v>411</v>
      </c>
    </row>
    <row r="2147" spans="1:6">
      <c r="A2147" s="35" t="s">
        <v>2561</v>
      </c>
      <c r="B2147" s="37">
        <v>1172.1500244140625</v>
      </c>
      <c r="C2147" s="37">
        <v>1041.3082275390625</v>
      </c>
      <c r="D2147" s="35">
        <v>4483967</v>
      </c>
      <c r="E2147" s="35" t="s">
        <v>2459</v>
      </c>
      <c r="F2147" s="35" t="s">
        <v>411</v>
      </c>
    </row>
    <row r="2148" spans="1:6">
      <c r="A2148" s="35" t="s">
        <v>2562</v>
      </c>
      <c r="B2148" s="37">
        <v>1185.800048828125</v>
      </c>
      <c r="C2148" s="37">
        <v>1053.4345703125</v>
      </c>
      <c r="D2148" s="35">
        <v>1669640</v>
      </c>
      <c r="E2148" s="35" t="s">
        <v>2459</v>
      </c>
      <c r="F2148" s="35" t="s">
        <v>411</v>
      </c>
    </row>
    <row r="2149" spans="1:6">
      <c r="A2149" s="35" t="s">
        <v>2563</v>
      </c>
      <c r="B2149" s="37">
        <v>1232.5</v>
      </c>
      <c r="C2149" s="37">
        <v>1094.9215087890625</v>
      </c>
      <c r="D2149" s="35">
        <v>4517935</v>
      </c>
      <c r="E2149" s="35" t="s">
        <v>2459</v>
      </c>
      <c r="F2149" s="35" t="s">
        <v>411</v>
      </c>
    </row>
    <row r="2150" spans="1:6">
      <c r="A2150" s="35" t="s">
        <v>2564</v>
      </c>
      <c r="B2150" s="37">
        <v>1235.550048828125</v>
      </c>
      <c r="C2150" s="37">
        <v>1097.6312255859375</v>
      </c>
      <c r="D2150" s="35">
        <v>2842400</v>
      </c>
      <c r="E2150" s="35" t="s">
        <v>2459</v>
      </c>
      <c r="F2150" s="35" t="s">
        <v>411</v>
      </c>
    </row>
    <row r="2151" spans="1:6">
      <c r="A2151" s="35" t="s">
        <v>2565</v>
      </c>
      <c r="B2151" s="37">
        <v>1235.8499755859375</v>
      </c>
      <c r="C2151" s="37">
        <v>1097.89794921875</v>
      </c>
      <c r="D2151" s="35">
        <v>1767709</v>
      </c>
      <c r="E2151" s="35" t="s">
        <v>2459</v>
      </c>
      <c r="F2151" s="35" t="s">
        <v>411</v>
      </c>
    </row>
    <row r="2152" spans="1:6">
      <c r="A2152" s="35" t="s">
        <v>2566</v>
      </c>
      <c r="B2152" s="37">
        <v>1254</v>
      </c>
      <c r="C2152" s="37">
        <v>1114.0218505859375</v>
      </c>
      <c r="D2152" s="35">
        <v>2582004</v>
      </c>
      <c r="E2152" s="35" t="s">
        <v>2459</v>
      </c>
      <c r="F2152" s="35" t="s">
        <v>411</v>
      </c>
    </row>
    <row r="2153" spans="1:6">
      <c r="A2153" s="35" t="s">
        <v>2567</v>
      </c>
      <c r="B2153" s="37">
        <v>1262.050048828125</v>
      </c>
      <c r="C2153" s="37">
        <v>1121.173095703125</v>
      </c>
      <c r="D2153" s="35">
        <v>2280777</v>
      </c>
      <c r="E2153" s="35" t="s">
        <v>2459</v>
      </c>
      <c r="F2153" s="35" t="s">
        <v>411</v>
      </c>
    </row>
    <row r="2154" spans="1:6">
      <c r="A2154" s="35" t="s">
        <v>2568</v>
      </c>
      <c r="B2154" s="37">
        <v>1281.550048828125</v>
      </c>
      <c r="C2154" s="37">
        <v>1138.49658203125</v>
      </c>
      <c r="D2154" s="35">
        <v>2691836</v>
      </c>
      <c r="E2154" s="35" t="s">
        <v>2459</v>
      </c>
      <c r="F2154" s="35" t="s">
        <v>411</v>
      </c>
    </row>
    <row r="2155" spans="1:6">
      <c r="A2155" s="35" t="s">
        <v>2569</v>
      </c>
      <c r="B2155" s="37">
        <v>1282.4000244140625</v>
      </c>
      <c r="C2155" s="37">
        <v>1139.2515869140625</v>
      </c>
      <c r="D2155" s="35">
        <v>2140769</v>
      </c>
      <c r="E2155" s="35" t="s">
        <v>2459</v>
      </c>
      <c r="F2155" s="35" t="s">
        <v>411</v>
      </c>
    </row>
    <row r="2156" spans="1:6">
      <c r="A2156" s="35" t="s">
        <v>2570</v>
      </c>
      <c r="B2156" s="37">
        <v>1275.25</v>
      </c>
      <c r="C2156" s="37">
        <v>1132.8997802734375</v>
      </c>
      <c r="D2156" s="35">
        <v>2275523</v>
      </c>
      <c r="E2156" s="35" t="s">
        <v>2459</v>
      </c>
      <c r="F2156" s="35" t="s">
        <v>411</v>
      </c>
    </row>
    <row r="2157" spans="1:6">
      <c r="A2157" s="35" t="s">
        <v>2571</v>
      </c>
      <c r="B2157" s="37">
        <v>1283.5999755859375</v>
      </c>
      <c r="C2157" s="37">
        <v>1140.3177490234375</v>
      </c>
      <c r="D2157" s="35">
        <v>2655172</v>
      </c>
      <c r="E2157" s="35" t="s">
        <v>2459</v>
      </c>
      <c r="F2157" s="35" t="s">
        <v>411</v>
      </c>
    </row>
    <row r="2158" spans="1:6">
      <c r="A2158" s="35" t="s">
        <v>2572</v>
      </c>
      <c r="B2158" s="37">
        <v>1304.5999755859375</v>
      </c>
      <c r="C2158" s="37">
        <v>1158.9735107421875</v>
      </c>
      <c r="D2158" s="35">
        <v>4286280</v>
      </c>
      <c r="E2158" s="35" t="s">
        <v>2459</v>
      </c>
      <c r="F2158" s="35" t="s">
        <v>411</v>
      </c>
    </row>
    <row r="2159" spans="1:6">
      <c r="A2159" s="35" t="s">
        <v>2573</v>
      </c>
      <c r="B2159" s="37">
        <v>1305</v>
      </c>
      <c r="C2159" s="37">
        <v>1159.328857421875</v>
      </c>
      <c r="D2159" s="35">
        <v>2761885</v>
      </c>
      <c r="E2159" s="35" t="s">
        <v>2459</v>
      </c>
      <c r="F2159" s="35" t="s">
        <v>411</v>
      </c>
    </row>
    <row r="2160" spans="1:6">
      <c r="A2160" s="35" t="s">
        <v>2574</v>
      </c>
      <c r="B2160" s="37">
        <v>1293.4000244140625</v>
      </c>
      <c r="C2160" s="37">
        <v>1149.0238037109375</v>
      </c>
      <c r="D2160" s="35">
        <v>2220756</v>
      </c>
      <c r="E2160" s="35" t="s">
        <v>2459</v>
      </c>
      <c r="F2160" s="35" t="s">
        <v>411</v>
      </c>
    </row>
    <row r="2161" spans="1:6">
      <c r="A2161" s="35" t="s">
        <v>2575</v>
      </c>
      <c r="B2161" s="37">
        <v>1278</v>
      </c>
      <c r="C2161" s="37">
        <v>1135.3427734375</v>
      </c>
      <c r="D2161" s="35">
        <v>3112700</v>
      </c>
      <c r="E2161" s="35" t="s">
        <v>2459</v>
      </c>
      <c r="F2161" s="35" t="s">
        <v>411</v>
      </c>
    </row>
    <row r="2162" spans="1:6">
      <c r="A2162" s="35" t="s">
        <v>2576</v>
      </c>
      <c r="B2162" s="37">
        <v>1273.699951171875</v>
      </c>
      <c r="C2162" s="37">
        <v>1131.5228271484375</v>
      </c>
      <c r="D2162" s="35">
        <v>1321467</v>
      </c>
      <c r="E2162" s="35" t="s">
        <v>2459</v>
      </c>
      <c r="F2162" s="35" t="s">
        <v>411</v>
      </c>
    </row>
    <row r="2163" spans="1:6">
      <c r="A2163" s="35" t="s">
        <v>2577</v>
      </c>
      <c r="B2163" s="37">
        <v>1263.449951171875</v>
      </c>
      <c r="C2163" s="37">
        <v>1122.4168701171875</v>
      </c>
      <c r="D2163" s="35">
        <v>1246703</v>
      </c>
      <c r="E2163" s="35" t="s">
        <v>2459</v>
      </c>
      <c r="F2163" s="35" t="s">
        <v>411</v>
      </c>
    </row>
    <row r="2164" spans="1:6">
      <c r="A2164" s="35" t="s">
        <v>2578</v>
      </c>
      <c r="B2164" s="37">
        <v>1261.449951171875</v>
      </c>
      <c r="C2164" s="37">
        <v>1120.64013671875</v>
      </c>
      <c r="D2164" s="35">
        <v>903152</v>
      </c>
      <c r="E2164" s="35" t="s">
        <v>2459</v>
      </c>
      <c r="F2164" s="35" t="s">
        <v>411</v>
      </c>
    </row>
    <row r="2165" spans="1:6">
      <c r="A2165" s="35" t="s">
        <v>2579</v>
      </c>
      <c r="B2165" s="37">
        <v>1261.0999755859375</v>
      </c>
      <c r="C2165" s="37">
        <v>1120.329345703125</v>
      </c>
      <c r="D2165" s="35">
        <v>1670373</v>
      </c>
      <c r="E2165" s="35" t="s">
        <v>2459</v>
      </c>
      <c r="F2165" s="35" t="s">
        <v>411</v>
      </c>
    </row>
    <row r="2166" spans="1:6">
      <c r="A2166" s="35" t="s">
        <v>2580</v>
      </c>
      <c r="B2166" s="37">
        <v>1241.9000244140625</v>
      </c>
      <c r="C2166" s="37">
        <v>1103.272216796875</v>
      </c>
      <c r="D2166" s="35">
        <v>1807072</v>
      </c>
      <c r="E2166" s="35" t="s">
        <v>2459</v>
      </c>
      <c r="F2166" s="35" t="s">
        <v>411</v>
      </c>
    </row>
    <row r="2167" spans="1:6">
      <c r="A2167" s="35" t="s">
        <v>2581</v>
      </c>
      <c r="B2167" s="37">
        <v>1234.800048828125</v>
      </c>
      <c r="C2167" s="37">
        <v>1096.9647216796875</v>
      </c>
      <c r="D2167" s="35">
        <v>2338327</v>
      </c>
      <c r="E2167" s="35" t="s">
        <v>2459</v>
      </c>
      <c r="F2167" s="35" t="s">
        <v>411</v>
      </c>
    </row>
    <row r="2168" spans="1:6">
      <c r="A2168" s="35" t="s">
        <v>2582</v>
      </c>
      <c r="B2168" s="37">
        <v>1238.699951171875</v>
      </c>
      <c r="C2168" s="37">
        <v>1100.4296875</v>
      </c>
      <c r="D2168" s="35">
        <v>2162636</v>
      </c>
      <c r="E2168" s="35" t="s">
        <v>2459</v>
      </c>
      <c r="F2168" s="35" t="s">
        <v>411</v>
      </c>
    </row>
    <row r="2169" spans="1:6">
      <c r="A2169" s="35" t="s">
        <v>2583</v>
      </c>
      <c r="B2169" s="37">
        <v>1239.550048828125</v>
      </c>
      <c r="C2169" s="37">
        <v>1101.184814453125</v>
      </c>
      <c r="D2169" s="35">
        <v>2253785</v>
      </c>
      <c r="E2169" s="35" t="s">
        <v>2459</v>
      </c>
      <c r="F2169" s="35" t="s">
        <v>411</v>
      </c>
    </row>
    <row r="2170" spans="1:6">
      <c r="A2170" s="35" t="s">
        <v>2584</v>
      </c>
      <c r="B2170" s="37">
        <v>1235.449951171875</v>
      </c>
      <c r="C2170" s="37">
        <v>1097.542236328125</v>
      </c>
      <c r="D2170" s="35">
        <v>2995200</v>
      </c>
      <c r="E2170" s="35" t="s">
        <v>2459</v>
      </c>
      <c r="F2170" s="35" t="s">
        <v>411</v>
      </c>
    </row>
    <row r="2171" spans="1:6">
      <c r="A2171" s="35" t="s">
        <v>2585</v>
      </c>
      <c r="B2171" s="37">
        <v>1237.699951171875</v>
      </c>
      <c r="C2171" s="37">
        <v>1099.5411376953125</v>
      </c>
      <c r="D2171" s="35">
        <v>2497711</v>
      </c>
      <c r="E2171" s="35" t="s">
        <v>2459</v>
      </c>
      <c r="F2171" s="35" t="s">
        <v>411</v>
      </c>
    </row>
    <row r="2172" spans="1:6">
      <c r="A2172" s="35" t="s">
        <v>2586</v>
      </c>
      <c r="B2172" s="37">
        <v>1249.5999755859375</v>
      </c>
      <c r="C2172" s="37">
        <v>1110.1126708984375</v>
      </c>
      <c r="D2172" s="35">
        <v>3430211</v>
      </c>
      <c r="E2172" s="35" t="s">
        <v>2459</v>
      </c>
      <c r="F2172" s="35" t="s">
        <v>411</v>
      </c>
    </row>
    <row r="2173" spans="1:6">
      <c r="A2173" s="35" t="s">
        <v>2587</v>
      </c>
      <c r="B2173" s="37">
        <v>1261.800048828125</v>
      </c>
      <c r="C2173" s="37">
        <v>1120.9510498046875</v>
      </c>
      <c r="D2173" s="35">
        <v>1532394</v>
      </c>
      <c r="E2173" s="35" t="s">
        <v>2459</v>
      </c>
      <c r="F2173" s="35" t="s">
        <v>411</v>
      </c>
    </row>
    <row r="2174" spans="1:6">
      <c r="A2174" s="35" t="s">
        <v>2588</v>
      </c>
      <c r="B2174" s="37">
        <v>1245.5999755859375</v>
      </c>
      <c r="C2174" s="37">
        <v>1106.559326171875</v>
      </c>
      <c r="D2174" s="35">
        <v>2186131</v>
      </c>
      <c r="E2174" s="35" t="s">
        <v>2459</v>
      </c>
      <c r="F2174" s="35" t="s">
        <v>411</v>
      </c>
    </row>
    <row r="2175" spans="1:6">
      <c r="A2175" s="35" t="s">
        <v>2589</v>
      </c>
      <c r="B2175" s="37">
        <v>1223.75</v>
      </c>
      <c r="C2175" s="37">
        <v>1087.1484375</v>
      </c>
      <c r="D2175" s="35">
        <v>3921609</v>
      </c>
      <c r="E2175" s="35" t="s">
        <v>2459</v>
      </c>
      <c r="F2175" s="35" t="s">
        <v>411</v>
      </c>
    </row>
    <row r="2176" spans="1:6">
      <c r="A2176" s="35" t="s">
        <v>2590</v>
      </c>
      <c r="B2176" s="37">
        <v>1255.9000244140625</v>
      </c>
      <c r="C2176" s="37">
        <v>1115.70947265625</v>
      </c>
      <c r="D2176" s="35">
        <v>5740821</v>
      </c>
      <c r="E2176" s="35" t="s">
        <v>2459</v>
      </c>
      <c r="F2176" s="35" t="s">
        <v>411</v>
      </c>
    </row>
    <row r="2177" spans="1:6">
      <c r="A2177" s="35" t="s">
        <v>2591</v>
      </c>
      <c r="B2177" s="37">
        <v>1270.6500244140625</v>
      </c>
      <c r="C2177" s="37">
        <v>1128.813232421875</v>
      </c>
      <c r="D2177" s="35">
        <v>2527113</v>
      </c>
      <c r="E2177" s="35" t="s">
        <v>2459</v>
      </c>
      <c r="F2177" s="35" t="s">
        <v>411</v>
      </c>
    </row>
    <row r="2178" spans="1:6">
      <c r="A2178" s="35" t="s">
        <v>2592</v>
      </c>
      <c r="B2178" s="37">
        <v>1277.1500244140625</v>
      </c>
      <c r="C2178" s="37">
        <v>1134.5877685546875</v>
      </c>
      <c r="D2178" s="35">
        <v>1687345</v>
      </c>
      <c r="E2178" s="35" t="s">
        <v>2459</v>
      </c>
      <c r="F2178" s="35" t="s">
        <v>411</v>
      </c>
    </row>
    <row r="2179" spans="1:6">
      <c r="A2179" s="35" t="s">
        <v>2593</v>
      </c>
      <c r="B2179" s="37">
        <v>1269.449951171875</v>
      </c>
      <c r="C2179" s="37">
        <v>1127.7470703125</v>
      </c>
      <c r="D2179" s="35">
        <v>1743126</v>
      </c>
      <c r="E2179" s="35" t="s">
        <v>2459</v>
      </c>
      <c r="F2179" s="35" t="s">
        <v>411</v>
      </c>
    </row>
    <row r="2180" spans="1:6">
      <c r="A2180" s="35" t="s">
        <v>2594</v>
      </c>
      <c r="B2180" s="37">
        <v>1267.3499755859375</v>
      </c>
      <c r="C2180" s="37">
        <v>1125.881591796875</v>
      </c>
      <c r="D2180" s="35">
        <v>2279726</v>
      </c>
      <c r="E2180" s="35" t="s">
        <v>2459</v>
      </c>
      <c r="F2180" s="35" t="s">
        <v>411</v>
      </c>
    </row>
    <row r="2181" spans="1:6">
      <c r="A2181" s="35" t="s">
        <v>2595</v>
      </c>
      <c r="B2181" s="37">
        <v>1258.5999755859375</v>
      </c>
      <c r="C2181" s="37">
        <v>1128.7962646484375</v>
      </c>
      <c r="D2181" s="35">
        <v>1625449</v>
      </c>
      <c r="E2181" s="35" t="s">
        <v>2459</v>
      </c>
      <c r="F2181" s="35" t="s">
        <v>411</v>
      </c>
    </row>
    <row r="2182" spans="1:6">
      <c r="A2182" s="35" t="s">
        <v>2596</v>
      </c>
      <c r="B2182" s="37">
        <v>1236.6500244140625</v>
      </c>
      <c r="C2182" s="37">
        <v>1109.1102294921875</v>
      </c>
      <c r="D2182" s="35">
        <v>1646367</v>
      </c>
      <c r="E2182" s="35" t="s">
        <v>2459</v>
      </c>
      <c r="F2182" s="35" t="s">
        <v>411</v>
      </c>
    </row>
    <row r="2183" spans="1:6">
      <c r="A2183" s="35" t="s">
        <v>2597</v>
      </c>
      <c r="B2183" s="37">
        <v>1229</v>
      </c>
      <c r="C2183" s="37">
        <v>1102.2493896484375</v>
      </c>
      <c r="D2183" s="35">
        <v>1420065</v>
      </c>
      <c r="E2183" s="35" t="s">
        <v>2459</v>
      </c>
      <c r="F2183" s="35" t="s">
        <v>411</v>
      </c>
    </row>
    <row r="2184" spans="1:6">
      <c r="A2184" s="35" t="s">
        <v>2598</v>
      </c>
      <c r="B2184" s="37">
        <v>1231.800048828125</v>
      </c>
      <c r="C2184" s="37">
        <v>1104.7603759765625</v>
      </c>
      <c r="D2184" s="35">
        <v>4617424</v>
      </c>
      <c r="E2184" s="35" t="s">
        <v>2459</v>
      </c>
      <c r="F2184" s="35" t="s">
        <v>411</v>
      </c>
    </row>
    <row r="2185" spans="1:6">
      <c r="A2185" s="35" t="s">
        <v>2599</v>
      </c>
      <c r="B2185" s="37">
        <v>1268.699951171875</v>
      </c>
      <c r="C2185" s="37">
        <v>1137.8544921875</v>
      </c>
      <c r="D2185" s="35">
        <v>2675348</v>
      </c>
      <c r="E2185" s="35" t="s">
        <v>2459</v>
      </c>
      <c r="F2185" s="35" t="s">
        <v>411</v>
      </c>
    </row>
    <row r="2186" spans="1:6">
      <c r="A2186" s="35" t="s">
        <v>2600</v>
      </c>
      <c r="B2186" s="37">
        <v>1264.75</v>
      </c>
      <c r="C2186" s="37">
        <v>1134.31201171875</v>
      </c>
      <c r="D2186" s="35">
        <v>1158770</v>
      </c>
      <c r="E2186" s="35" t="s">
        <v>2459</v>
      </c>
      <c r="F2186" s="35" t="s">
        <v>411</v>
      </c>
    </row>
    <row r="2187" spans="1:6">
      <c r="A2187" s="35" t="s">
        <v>2601</v>
      </c>
      <c r="B2187" s="37">
        <v>1276</v>
      </c>
      <c r="C2187" s="37">
        <v>1144.4017333984375</v>
      </c>
      <c r="D2187" s="35">
        <v>2525870</v>
      </c>
      <c r="E2187" s="35" t="s">
        <v>2459</v>
      </c>
      <c r="F2187" s="35" t="s">
        <v>411</v>
      </c>
    </row>
    <row r="2188" spans="1:6">
      <c r="A2188" s="35" t="s">
        <v>2602</v>
      </c>
      <c r="B2188" s="37">
        <v>1258.949951171875</v>
      </c>
      <c r="C2188" s="37">
        <v>1129.1103515625</v>
      </c>
      <c r="D2188" s="35">
        <v>1572719</v>
      </c>
      <c r="E2188" s="35" t="s">
        <v>2459</v>
      </c>
      <c r="F2188" s="35" t="s">
        <v>411</v>
      </c>
    </row>
    <row r="2189" spans="1:6">
      <c r="A2189" s="35" t="s">
        <v>2603</v>
      </c>
      <c r="B2189" s="37">
        <v>1273.4000244140625</v>
      </c>
      <c r="C2189" s="37">
        <v>1142.0701904296875</v>
      </c>
      <c r="D2189" s="35">
        <v>1368604</v>
      </c>
      <c r="E2189" s="35" t="s">
        <v>2459</v>
      </c>
      <c r="F2189" s="35" t="s">
        <v>411</v>
      </c>
    </row>
    <row r="2190" spans="1:6">
      <c r="A2190" s="35" t="s">
        <v>2604</v>
      </c>
      <c r="B2190" s="37">
        <v>1266.25</v>
      </c>
      <c r="C2190" s="37">
        <v>1135.6573486328125</v>
      </c>
      <c r="D2190" s="35">
        <v>2052536</v>
      </c>
      <c r="E2190" s="35" t="s">
        <v>2459</v>
      </c>
      <c r="F2190" s="35" t="s">
        <v>411</v>
      </c>
    </row>
    <row r="2191" spans="1:6">
      <c r="A2191" s="35" t="s">
        <v>2605</v>
      </c>
      <c r="B2191" s="37">
        <v>1269.699951171875</v>
      </c>
      <c r="C2191" s="37">
        <v>1138.75146484375</v>
      </c>
      <c r="D2191" s="35">
        <v>1175823</v>
      </c>
      <c r="E2191" s="35" t="s">
        <v>2459</v>
      </c>
      <c r="F2191" s="35" t="s">
        <v>411</v>
      </c>
    </row>
    <row r="2192" spans="1:6">
      <c r="A2192" s="35" t="s">
        <v>2606</v>
      </c>
      <c r="B2192" s="37">
        <v>1273.949951171875</v>
      </c>
      <c r="C2192" s="37">
        <v>1142.56298828125</v>
      </c>
      <c r="D2192" s="35">
        <v>1385282</v>
      </c>
      <c r="E2192" s="35" t="s">
        <v>2459</v>
      </c>
      <c r="F2192" s="35" t="s">
        <v>411</v>
      </c>
    </row>
    <row r="2193" spans="1:6">
      <c r="A2193" s="35" t="s">
        <v>2607</v>
      </c>
      <c r="B2193" s="37">
        <v>1267.6500244140625</v>
      </c>
      <c r="C2193" s="37">
        <v>1136.9130859375</v>
      </c>
      <c r="D2193" s="35">
        <v>937671</v>
      </c>
      <c r="E2193" s="35" t="s">
        <v>2459</v>
      </c>
      <c r="F2193" s="35" t="s">
        <v>411</v>
      </c>
    </row>
    <row r="2194" spans="1:6">
      <c r="A2194" s="35" t="s">
        <v>2608</v>
      </c>
      <c r="B2194" s="37">
        <v>1267.5</v>
      </c>
      <c r="C2194" s="37">
        <v>1136.7784423828125</v>
      </c>
      <c r="D2194" s="35">
        <v>1483749</v>
      </c>
      <c r="E2194" s="35" t="s">
        <v>2459</v>
      </c>
      <c r="F2194" s="35" t="s">
        <v>411</v>
      </c>
    </row>
    <row r="2195" spans="1:6">
      <c r="A2195" s="35" t="s">
        <v>2609</v>
      </c>
      <c r="B2195" s="37">
        <v>1255.449951171875</v>
      </c>
      <c r="C2195" s="37">
        <v>1125.97119140625</v>
      </c>
      <c r="D2195" s="35">
        <v>1469902</v>
      </c>
      <c r="E2195" s="35" t="s">
        <v>2459</v>
      </c>
      <c r="F2195" s="35" t="s">
        <v>411</v>
      </c>
    </row>
    <row r="2196" spans="1:6">
      <c r="A2196" s="35" t="s">
        <v>2610</v>
      </c>
      <c r="B2196" s="37">
        <v>1261</v>
      </c>
      <c r="C2196" s="37">
        <v>1130.9486083984375</v>
      </c>
      <c r="D2196" s="35">
        <v>730991</v>
      </c>
      <c r="E2196" s="35" t="s">
        <v>2459</v>
      </c>
      <c r="F2196" s="35" t="s">
        <v>411</v>
      </c>
    </row>
    <row r="2197" spans="1:6">
      <c r="A2197" s="35" t="s">
        <v>2611</v>
      </c>
      <c r="B2197" s="37">
        <v>1276.6500244140625</v>
      </c>
      <c r="C2197" s="37">
        <v>1144.9847412109375</v>
      </c>
      <c r="D2197" s="35">
        <v>2410620</v>
      </c>
      <c r="E2197" s="35" t="s">
        <v>2459</v>
      </c>
      <c r="F2197" s="35" t="s">
        <v>411</v>
      </c>
    </row>
    <row r="2198" spans="1:6">
      <c r="A2198" s="35" t="s">
        <v>2612</v>
      </c>
      <c r="B2198" s="37">
        <v>1311.050048828125</v>
      </c>
      <c r="C2198" s="37">
        <v>1175.8367919921875</v>
      </c>
      <c r="D2198" s="35">
        <v>3936945</v>
      </c>
      <c r="E2198" s="35" t="s">
        <v>2459</v>
      </c>
      <c r="F2198" s="35" t="s">
        <v>411</v>
      </c>
    </row>
    <row r="2199" spans="1:6">
      <c r="A2199" s="35" t="s">
        <v>2613</v>
      </c>
      <c r="B2199" s="37">
        <v>1309.1500244140625</v>
      </c>
      <c r="C2199" s="37">
        <v>1174.1329345703125</v>
      </c>
      <c r="D2199" s="35">
        <v>2882039</v>
      </c>
      <c r="E2199" s="35" t="s">
        <v>2459</v>
      </c>
      <c r="F2199" s="35" t="s">
        <v>411</v>
      </c>
    </row>
    <row r="2200" spans="1:6">
      <c r="A2200" s="35" t="s">
        <v>2614</v>
      </c>
      <c r="B2200" s="37">
        <v>1325.4000244140625</v>
      </c>
      <c r="C2200" s="37">
        <v>1188.70703125</v>
      </c>
      <c r="D2200" s="35">
        <v>2831858</v>
      </c>
      <c r="E2200" s="35" t="s">
        <v>2459</v>
      </c>
      <c r="F2200" s="35" t="s">
        <v>411</v>
      </c>
    </row>
    <row r="2201" spans="1:6">
      <c r="A2201" s="35" t="s">
        <v>2615</v>
      </c>
      <c r="B2201" s="37">
        <v>1326.5999755859375</v>
      </c>
      <c r="C2201" s="37">
        <v>1189.783203125</v>
      </c>
      <c r="D2201" s="35">
        <v>1514256</v>
      </c>
      <c r="E2201" s="35" t="s">
        <v>2459</v>
      </c>
      <c r="F2201" s="35" t="s">
        <v>411</v>
      </c>
    </row>
    <row r="2202" spans="1:6">
      <c r="A2202" s="35" t="s">
        <v>2616</v>
      </c>
      <c r="B2202" s="37">
        <v>1329.699951171875</v>
      </c>
      <c r="C2202" s="37">
        <v>1192.5635986328125</v>
      </c>
      <c r="D2202" s="35">
        <v>1535630</v>
      </c>
      <c r="E2202" s="35" t="s">
        <v>2459</v>
      </c>
      <c r="F2202" s="35" t="s">
        <v>411</v>
      </c>
    </row>
    <row r="2203" spans="1:6">
      <c r="A2203" s="35" t="s">
        <v>2617</v>
      </c>
      <c r="B2203" s="37">
        <v>1329</v>
      </c>
      <c r="C2203" s="37">
        <v>1191.935791015625</v>
      </c>
      <c r="D2203" s="35">
        <v>1307344</v>
      </c>
      <c r="E2203" s="35" t="s">
        <v>2459</v>
      </c>
      <c r="F2203" s="35" t="s">
        <v>411</v>
      </c>
    </row>
    <row r="2204" spans="1:6">
      <c r="A2204" s="35" t="s">
        <v>2618</v>
      </c>
      <c r="B2204" s="37">
        <v>1309.1500244140625</v>
      </c>
      <c r="C2204" s="37">
        <v>1174.1329345703125</v>
      </c>
      <c r="D2204" s="35">
        <v>1795933</v>
      </c>
      <c r="E2204" s="35" t="s">
        <v>2459</v>
      </c>
      <c r="F2204" s="35" t="s">
        <v>411</v>
      </c>
    </row>
    <row r="2205" spans="1:6">
      <c r="A2205" s="35" t="s">
        <v>2619</v>
      </c>
      <c r="B2205" s="37">
        <v>1316.6500244140625</v>
      </c>
      <c r="C2205" s="37">
        <v>1180.859375</v>
      </c>
      <c r="D2205" s="35">
        <v>2152951</v>
      </c>
      <c r="E2205" s="35" t="s">
        <v>2459</v>
      </c>
      <c r="F2205" s="35" t="s">
        <v>411</v>
      </c>
    </row>
    <row r="2206" spans="1:6">
      <c r="A2206" s="35" t="s">
        <v>2620</v>
      </c>
      <c r="B2206" s="37">
        <v>1333.949951171875</v>
      </c>
      <c r="C2206" s="37">
        <v>1196.3751220703125</v>
      </c>
      <c r="D2206" s="35">
        <v>1835524</v>
      </c>
      <c r="E2206" s="35" t="s">
        <v>2459</v>
      </c>
      <c r="F2206" s="35" t="s">
        <v>411</v>
      </c>
    </row>
    <row r="2207" spans="1:6">
      <c r="A2207" s="35" t="s">
        <v>2621</v>
      </c>
      <c r="B2207" s="37">
        <v>1340.9000244140625</v>
      </c>
      <c r="C2207" s="37">
        <v>1202.6085205078125</v>
      </c>
      <c r="D2207" s="35">
        <v>4104385</v>
      </c>
      <c r="E2207" s="35" t="s">
        <v>2459</v>
      </c>
      <c r="F2207" s="35" t="s">
        <v>411</v>
      </c>
    </row>
    <row r="2208" spans="1:6">
      <c r="A2208" s="35" t="s">
        <v>2622</v>
      </c>
      <c r="B2208" s="37">
        <v>1336.699951171875</v>
      </c>
      <c r="C2208" s="37">
        <v>1198.8414306640625</v>
      </c>
      <c r="D2208" s="35">
        <v>1854324</v>
      </c>
      <c r="E2208" s="35" t="s">
        <v>2459</v>
      </c>
      <c r="F2208" s="35" t="s">
        <v>411</v>
      </c>
    </row>
    <row r="2209" spans="1:6">
      <c r="A2209" s="35" t="s">
        <v>2623</v>
      </c>
      <c r="B2209" s="37">
        <v>1337.949951171875</v>
      </c>
      <c r="C2209" s="37">
        <v>1199.962646484375</v>
      </c>
      <c r="D2209" s="35">
        <v>1547057</v>
      </c>
      <c r="E2209" s="35" t="s">
        <v>2459</v>
      </c>
      <c r="F2209" s="35" t="s">
        <v>411</v>
      </c>
    </row>
    <row r="2210" spans="1:6">
      <c r="A2210" s="35" t="s">
        <v>2624</v>
      </c>
      <c r="B2210" s="37">
        <v>1317.550048828125</v>
      </c>
      <c r="C2210" s="37">
        <v>1181.6666259765625</v>
      </c>
      <c r="D2210" s="35">
        <v>3932040</v>
      </c>
      <c r="E2210" s="35" t="s">
        <v>2459</v>
      </c>
      <c r="F2210" s="35" t="s">
        <v>411</v>
      </c>
    </row>
    <row r="2211" spans="1:6">
      <c r="A2211" s="35" t="s">
        <v>2625</v>
      </c>
      <c r="B2211" s="37">
        <v>1329.550048828125</v>
      </c>
      <c r="C2211" s="37">
        <v>1192.428955078125</v>
      </c>
      <c r="D2211" s="35">
        <v>2077245</v>
      </c>
      <c r="E2211" s="35" t="s">
        <v>2459</v>
      </c>
      <c r="F2211" s="35" t="s">
        <v>411</v>
      </c>
    </row>
    <row r="2212" spans="1:6">
      <c r="A2212" s="35" t="s">
        <v>2626</v>
      </c>
      <c r="B2212" s="37">
        <v>1328</v>
      </c>
      <c r="C2212" s="37">
        <v>1191.038818359375</v>
      </c>
      <c r="D2212" s="35">
        <v>1985003</v>
      </c>
      <c r="E2212" s="35" t="s">
        <v>2459</v>
      </c>
      <c r="F2212" s="35" t="s">
        <v>411</v>
      </c>
    </row>
    <row r="2213" spans="1:6">
      <c r="A2213" s="35" t="s">
        <v>2627</v>
      </c>
      <c r="B2213" s="37">
        <v>1364.0999755859375</v>
      </c>
      <c r="C2213" s="37">
        <v>1223.4156494140625</v>
      </c>
      <c r="D2213" s="35">
        <v>4509751</v>
      </c>
      <c r="E2213" s="35" t="s">
        <v>2459</v>
      </c>
      <c r="F2213" s="35" t="s">
        <v>411</v>
      </c>
    </row>
    <row r="2214" spans="1:6">
      <c r="A2214" s="35" t="s">
        <v>2628</v>
      </c>
      <c r="B2214" s="37">
        <v>1375.300048828125</v>
      </c>
      <c r="C2214" s="37">
        <v>1233.4605712890625</v>
      </c>
      <c r="D2214" s="35">
        <v>2824656</v>
      </c>
      <c r="E2214" s="35" t="s">
        <v>2459</v>
      </c>
      <c r="F2214" s="35" t="s">
        <v>411</v>
      </c>
    </row>
    <row r="2215" spans="1:6">
      <c r="A2215" s="35" t="s">
        <v>2629</v>
      </c>
      <c r="B2215" s="37">
        <v>1375.300048828125</v>
      </c>
      <c r="C2215" s="37">
        <v>1233.4605712890625</v>
      </c>
      <c r="D2215" s="35">
        <v>2730422</v>
      </c>
      <c r="E2215" s="35" t="s">
        <v>2459</v>
      </c>
      <c r="F2215" s="35" t="s">
        <v>411</v>
      </c>
    </row>
    <row r="2216" spans="1:6">
      <c r="A2216" s="35" t="s">
        <v>2630</v>
      </c>
      <c r="B2216" s="37">
        <v>1369.199951171875</v>
      </c>
      <c r="C2216" s="37">
        <v>1227.9896240234375</v>
      </c>
      <c r="D2216" s="35">
        <v>1896931</v>
      </c>
      <c r="E2216" s="35" t="s">
        <v>2459</v>
      </c>
      <c r="F2216" s="35" t="s">
        <v>411</v>
      </c>
    </row>
    <row r="2217" spans="1:6">
      <c r="A2217" s="35" t="s">
        <v>2631</v>
      </c>
      <c r="B2217" s="37">
        <v>1414.5999755859375</v>
      </c>
      <c r="C2217" s="37">
        <v>1268.7076416015625</v>
      </c>
      <c r="D2217" s="35">
        <v>5145574</v>
      </c>
      <c r="E2217" s="35" t="s">
        <v>2459</v>
      </c>
      <c r="F2217" s="35" t="s">
        <v>411</v>
      </c>
    </row>
    <row r="2218" spans="1:6">
      <c r="A2218" s="35" t="s">
        <v>2632</v>
      </c>
      <c r="B2218" s="37">
        <v>1491.300048828125</v>
      </c>
      <c r="C2218" s="37">
        <v>1337.4971923828125</v>
      </c>
      <c r="D2218" s="35">
        <v>7374290</v>
      </c>
      <c r="E2218" s="35" t="s">
        <v>2459</v>
      </c>
      <c r="F2218" s="35" t="s">
        <v>411</v>
      </c>
    </row>
    <row r="2219" spans="1:6">
      <c r="A2219" s="35" t="s">
        <v>2633</v>
      </c>
      <c r="B2219" s="37">
        <v>1504.300048828125</v>
      </c>
      <c r="C2219" s="37">
        <v>1349.1566162109375</v>
      </c>
      <c r="D2219" s="35">
        <v>3075527</v>
      </c>
      <c r="E2219" s="35" t="s">
        <v>2459</v>
      </c>
      <c r="F2219" s="35" t="s">
        <v>411</v>
      </c>
    </row>
    <row r="2220" spans="1:6">
      <c r="A2220" s="35" t="s">
        <v>2634</v>
      </c>
      <c r="B2220" s="37">
        <v>1488.300048828125</v>
      </c>
      <c r="C2220" s="37">
        <v>1334.806640625</v>
      </c>
      <c r="D2220" s="35">
        <v>2590417</v>
      </c>
      <c r="E2220" s="35" t="s">
        <v>2459</v>
      </c>
      <c r="F2220" s="35" t="s">
        <v>411</v>
      </c>
    </row>
    <row r="2221" spans="1:6">
      <c r="A2221" s="35" t="s">
        <v>2635</v>
      </c>
      <c r="B2221" s="37">
        <v>1439.949951171875</v>
      </c>
      <c r="C2221" s="37">
        <v>1291.443115234375</v>
      </c>
      <c r="D2221" s="35">
        <v>4368383</v>
      </c>
      <c r="E2221" s="35" t="s">
        <v>2459</v>
      </c>
      <c r="F2221" s="35" t="s">
        <v>411</v>
      </c>
    </row>
    <row r="2222" spans="1:6">
      <c r="A2222" s="35" t="s">
        <v>2636</v>
      </c>
      <c r="B2222" s="37">
        <v>1422.050048828125</v>
      </c>
      <c r="C2222" s="37">
        <v>1275.38916015625</v>
      </c>
      <c r="D2222" s="35">
        <v>2841508</v>
      </c>
      <c r="E2222" s="35" t="s">
        <v>2459</v>
      </c>
      <c r="F2222" s="35" t="s">
        <v>411</v>
      </c>
    </row>
    <row r="2223" spans="1:6">
      <c r="A2223" s="35" t="s">
        <v>2637</v>
      </c>
      <c r="B2223" s="37">
        <v>1462.699951171875</v>
      </c>
      <c r="C2223" s="37">
        <v>1311.8468017578125</v>
      </c>
      <c r="D2223" s="35">
        <v>2303438</v>
      </c>
      <c r="E2223" s="35" t="s">
        <v>2459</v>
      </c>
      <c r="F2223" s="35" t="s">
        <v>411</v>
      </c>
    </row>
    <row r="2224" spans="1:6">
      <c r="A2224" s="35" t="s">
        <v>2638</v>
      </c>
      <c r="B2224" s="37">
        <v>1458.1500244140625</v>
      </c>
      <c r="C2224" s="37">
        <v>1307.76611328125</v>
      </c>
      <c r="D2224" s="35">
        <v>1363265</v>
      </c>
      <c r="E2224" s="35" t="s">
        <v>2459</v>
      </c>
      <c r="F2224" s="35" t="s">
        <v>411</v>
      </c>
    </row>
    <row r="2225" spans="1:6">
      <c r="A2225" s="35" t="s">
        <v>2639</v>
      </c>
      <c r="B2225" s="37">
        <v>1472.050048828125</v>
      </c>
      <c r="C2225" s="37">
        <v>1320.232421875</v>
      </c>
      <c r="D2225" s="35">
        <v>1402329</v>
      </c>
      <c r="E2225" s="35" t="s">
        <v>2459</v>
      </c>
      <c r="F2225" s="35" t="s">
        <v>411</v>
      </c>
    </row>
    <row r="2226" spans="1:6">
      <c r="A2226" s="35" t="s">
        <v>2640</v>
      </c>
      <c r="B2226" s="37">
        <v>1472.449951171875</v>
      </c>
      <c r="C2226" s="37">
        <v>1320.5911865234375</v>
      </c>
      <c r="D2226" s="35">
        <v>1928616</v>
      </c>
      <c r="E2226" s="35" t="s">
        <v>2459</v>
      </c>
      <c r="F2226" s="35" t="s">
        <v>411</v>
      </c>
    </row>
    <row r="2227" spans="1:6">
      <c r="A2227" s="35" t="s">
        <v>2641</v>
      </c>
      <c r="B2227" s="37">
        <v>1466.0999755859375</v>
      </c>
      <c r="C2227" s="37">
        <v>1314.8961181640625</v>
      </c>
      <c r="D2227" s="35">
        <v>1481617</v>
      </c>
      <c r="E2227" s="35" t="s">
        <v>2459</v>
      </c>
      <c r="F2227" s="35" t="s">
        <v>411</v>
      </c>
    </row>
    <row r="2228" spans="1:6">
      <c r="A2228" s="35" t="s">
        <v>2642</v>
      </c>
      <c r="B2228" s="37">
        <v>1483.75</v>
      </c>
      <c r="C2228" s="37">
        <v>1330.725830078125</v>
      </c>
      <c r="D2228" s="35">
        <v>1222315</v>
      </c>
      <c r="E2228" s="35" t="s">
        <v>2459</v>
      </c>
      <c r="F2228" s="35" t="s">
        <v>411</v>
      </c>
    </row>
    <row r="2229" spans="1:6">
      <c r="A2229" s="35" t="s">
        <v>2643</v>
      </c>
      <c r="B2229" s="37">
        <v>1469.550048828125</v>
      </c>
      <c r="C2229" s="37">
        <v>1317.9903564453125</v>
      </c>
      <c r="D2229" s="35">
        <v>1440888</v>
      </c>
      <c r="E2229" s="35" t="s">
        <v>2459</v>
      </c>
      <c r="F2229" s="35" t="s">
        <v>411</v>
      </c>
    </row>
    <row r="2230" spans="1:6">
      <c r="A2230" s="35" t="s">
        <v>2644</v>
      </c>
      <c r="B2230" s="37">
        <v>1437.75</v>
      </c>
      <c r="C2230" s="37">
        <v>1289.469970703125</v>
      </c>
      <c r="D2230" s="35">
        <v>1651716</v>
      </c>
      <c r="E2230" s="35" t="s">
        <v>2459</v>
      </c>
      <c r="F2230" s="35" t="s">
        <v>411</v>
      </c>
    </row>
    <row r="2231" spans="1:6">
      <c r="A2231" s="35" t="s">
        <v>2645</v>
      </c>
      <c r="B2231" s="37">
        <v>1419.949951171875</v>
      </c>
      <c r="C2231" s="37">
        <v>1273.505615234375</v>
      </c>
      <c r="D2231" s="35">
        <v>3392241</v>
      </c>
      <c r="E2231" s="35" t="s">
        <v>2459</v>
      </c>
      <c r="F2231" s="35" t="s">
        <v>411</v>
      </c>
    </row>
    <row r="2232" spans="1:6">
      <c r="A2232" s="35" t="s">
        <v>2646</v>
      </c>
      <c r="B2232" s="37">
        <v>1432.800048828125</v>
      </c>
      <c r="C2232" s="37">
        <v>1285.030517578125</v>
      </c>
      <c r="D2232" s="35">
        <v>1776925</v>
      </c>
      <c r="E2232" s="35" t="s">
        <v>2459</v>
      </c>
      <c r="F2232" s="35" t="s">
        <v>411</v>
      </c>
    </row>
    <row r="2233" spans="1:6">
      <c r="A2233" s="35" t="s">
        <v>2647</v>
      </c>
      <c r="B2233" s="37">
        <v>1447.9000244140625</v>
      </c>
      <c r="C2233" s="37">
        <v>1298.572998046875</v>
      </c>
      <c r="D2233" s="35">
        <v>2025264</v>
      </c>
      <c r="E2233" s="35" t="s">
        <v>2459</v>
      </c>
      <c r="F2233" s="35" t="s">
        <v>411</v>
      </c>
    </row>
    <row r="2234" spans="1:6">
      <c r="A2234" s="35" t="s">
        <v>2648</v>
      </c>
      <c r="B2234" s="37">
        <v>1460.4000244140625</v>
      </c>
      <c r="C2234" s="37">
        <v>1309.783935546875</v>
      </c>
      <c r="D2234" s="35">
        <v>3119270</v>
      </c>
      <c r="E2234" s="35" t="s">
        <v>2459</v>
      </c>
      <c r="F2234" s="35" t="s">
        <v>411</v>
      </c>
    </row>
    <row r="2235" spans="1:6">
      <c r="A2235" s="35" t="s">
        <v>2649</v>
      </c>
      <c r="B2235" s="37">
        <v>1492.0999755859375</v>
      </c>
      <c r="C2235" s="37">
        <v>1338.2144775390625</v>
      </c>
      <c r="D2235" s="35">
        <v>4368914</v>
      </c>
      <c r="E2235" s="35" t="s">
        <v>2459</v>
      </c>
      <c r="F2235" s="35" t="s">
        <v>411</v>
      </c>
    </row>
    <row r="2236" spans="1:6">
      <c r="A2236" s="35" t="s">
        <v>2650</v>
      </c>
      <c r="B2236" s="37">
        <v>1484.800048828125</v>
      </c>
      <c r="C2236" s="37">
        <v>1331.6676025390625</v>
      </c>
      <c r="D2236" s="35">
        <v>2271368</v>
      </c>
      <c r="E2236" s="35" t="s">
        <v>2459</v>
      </c>
      <c r="F2236" s="35" t="s">
        <v>411</v>
      </c>
    </row>
    <row r="2237" spans="1:6">
      <c r="A2237" s="35" t="s">
        <v>2651</v>
      </c>
      <c r="B2237" s="37">
        <v>1540.800048828125</v>
      </c>
      <c r="C2237" s="37">
        <v>1381.89208984375</v>
      </c>
      <c r="D2237" s="35">
        <v>5862043</v>
      </c>
      <c r="E2237" s="35" t="s">
        <v>2459</v>
      </c>
      <c r="F2237" s="35" t="s">
        <v>411</v>
      </c>
    </row>
    <row r="2238" spans="1:6">
      <c r="A2238" s="35" t="s">
        <v>2652</v>
      </c>
      <c r="B2238" s="37">
        <v>1588.199951171875</v>
      </c>
      <c r="C2238" s="37">
        <v>1424.403564453125</v>
      </c>
      <c r="D2238" s="35">
        <v>9712071</v>
      </c>
      <c r="E2238" s="35" t="s">
        <v>2459</v>
      </c>
      <c r="F2238" s="35" t="s">
        <v>411</v>
      </c>
    </row>
    <row r="2239" spans="1:6">
      <c r="A2239" s="35" t="s">
        <v>2653</v>
      </c>
      <c r="B2239" s="37">
        <v>1555.449951171875</v>
      </c>
      <c r="C2239" s="37">
        <v>1395.03125</v>
      </c>
      <c r="D2239" s="35">
        <v>4459799</v>
      </c>
      <c r="E2239" s="35" t="s">
        <v>2459</v>
      </c>
      <c r="F2239" s="35" t="s">
        <v>411</v>
      </c>
    </row>
    <row r="2240" spans="1:6">
      <c r="A2240" s="35" t="s">
        <v>2654</v>
      </c>
      <c r="B2240" s="37">
        <v>1575.9000244140625</v>
      </c>
      <c r="C2240" s="37">
        <v>1413.3721923828125</v>
      </c>
      <c r="D2240" s="35">
        <v>3846289</v>
      </c>
      <c r="E2240" s="35" t="s">
        <v>2459</v>
      </c>
      <c r="F2240" s="35" t="s">
        <v>411</v>
      </c>
    </row>
    <row r="2241" spans="1:6">
      <c r="A2241" s="35" t="s">
        <v>2655</v>
      </c>
      <c r="B2241" s="37">
        <v>1567.550048828125</v>
      </c>
      <c r="C2241" s="37">
        <v>1405.8834228515625</v>
      </c>
      <c r="D2241" s="35">
        <v>3205598</v>
      </c>
      <c r="E2241" s="35" t="s">
        <v>2459</v>
      </c>
      <c r="F2241" s="35" t="s">
        <v>411</v>
      </c>
    </row>
    <row r="2242" spans="1:6">
      <c r="A2242" s="35" t="s">
        <v>2656</v>
      </c>
      <c r="B2242" s="37">
        <v>1567.949951171875</v>
      </c>
      <c r="C2242" s="37">
        <v>1417.090087890625</v>
      </c>
      <c r="D2242" s="35">
        <v>2374099</v>
      </c>
      <c r="E2242" s="35" t="s">
        <v>2459</v>
      </c>
      <c r="F2242" s="35" t="s">
        <v>411</v>
      </c>
    </row>
    <row r="2243" spans="1:6">
      <c r="A2243" s="35" t="s">
        <v>2657</v>
      </c>
      <c r="B2243" s="37">
        <v>1523.6500244140625</v>
      </c>
      <c r="C2243" s="37">
        <v>1377.052490234375</v>
      </c>
      <c r="D2243" s="35">
        <v>3196630</v>
      </c>
      <c r="E2243" s="35" t="s">
        <v>2459</v>
      </c>
      <c r="F2243" s="35" t="s">
        <v>411</v>
      </c>
    </row>
    <row r="2244" spans="1:6">
      <c r="A2244" s="35" t="s">
        <v>2658</v>
      </c>
      <c r="B2244" s="37">
        <v>1576.4000244140625</v>
      </c>
      <c r="C2244" s="37">
        <v>1424.727294921875</v>
      </c>
      <c r="D2244" s="35">
        <v>2136023</v>
      </c>
      <c r="E2244" s="35" t="s">
        <v>2459</v>
      </c>
      <c r="F2244" s="35" t="s">
        <v>411</v>
      </c>
    </row>
    <row r="2245" spans="1:6">
      <c r="A2245" s="35" t="s">
        <v>2659</v>
      </c>
      <c r="B2245" s="37">
        <v>1550.25</v>
      </c>
      <c r="C2245" s="37">
        <v>1401.09326171875</v>
      </c>
      <c r="D2245" s="35">
        <v>2641656</v>
      </c>
      <c r="E2245" s="35" t="s">
        <v>2459</v>
      </c>
      <c r="F2245" s="35" t="s">
        <v>411</v>
      </c>
    </row>
    <row r="2246" spans="1:6">
      <c r="A2246" s="35" t="s">
        <v>2660</v>
      </c>
      <c r="B2246" s="37">
        <v>1574.550048828125</v>
      </c>
      <c r="C2246" s="37">
        <v>1423.0552978515625</v>
      </c>
      <c r="D2246" s="35">
        <v>2521598</v>
      </c>
      <c r="E2246" s="35" t="s">
        <v>2459</v>
      </c>
      <c r="F2246" s="35" t="s">
        <v>411</v>
      </c>
    </row>
    <row r="2247" spans="1:6">
      <c r="A2247" s="35" t="s">
        <v>2661</v>
      </c>
      <c r="B2247" s="37">
        <v>1559.300048828125</v>
      </c>
      <c r="C2247" s="37">
        <v>1409.2724609375</v>
      </c>
      <c r="D2247" s="35">
        <v>1939386</v>
      </c>
      <c r="E2247" s="35" t="s">
        <v>2459</v>
      </c>
      <c r="F2247" s="35" t="s">
        <v>411</v>
      </c>
    </row>
    <row r="2248" spans="1:6">
      <c r="A2248" s="35" t="s">
        <v>2662</v>
      </c>
      <c r="B2248" s="37">
        <v>1576</v>
      </c>
      <c r="C2248" s="37">
        <v>1424.36572265625</v>
      </c>
      <c r="D2248" s="35">
        <v>7025931</v>
      </c>
      <c r="E2248" s="35" t="s">
        <v>2459</v>
      </c>
      <c r="F2248" s="35" t="s">
        <v>411</v>
      </c>
    </row>
    <row r="2249" spans="1:6">
      <c r="A2249" s="35" t="s">
        <v>2663</v>
      </c>
      <c r="B2249" s="37">
        <v>1577.4000244140625</v>
      </c>
      <c r="C2249" s="37">
        <v>1425.631103515625</v>
      </c>
      <c r="D2249" s="35">
        <v>2845408</v>
      </c>
      <c r="E2249" s="35" t="s">
        <v>2459</v>
      </c>
      <c r="F2249" s="35" t="s">
        <v>411</v>
      </c>
    </row>
    <row r="2250" spans="1:6">
      <c r="A2250" s="35" t="s">
        <v>2664</v>
      </c>
      <c r="B2250" s="37">
        <v>1583.75</v>
      </c>
      <c r="C2250" s="37">
        <v>1431.3701171875</v>
      </c>
      <c r="D2250" s="35">
        <v>2337374</v>
      </c>
      <c r="E2250" s="35" t="s">
        <v>2459</v>
      </c>
      <c r="F2250" s="35" t="s">
        <v>411</v>
      </c>
    </row>
    <row r="2251" spans="1:6">
      <c r="A2251" s="35" t="s">
        <v>2665</v>
      </c>
      <c r="B2251" s="37">
        <v>1555.3499755859375</v>
      </c>
      <c r="C2251" s="37">
        <v>1405.7025146484375</v>
      </c>
      <c r="D2251" s="35">
        <v>1452864</v>
      </c>
      <c r="E2251" s="35" t="s">
        <v>2459</v>
      </c>
      <c r="F2251" s="35" t="s">
        <v>411</v>
      </c>
    </row>
    <row r="2252" spans="1:6">
      <c r="A2252" s="35" t="s">
        <v>2666</v>
      </c>
      <c r="B2252" s="37">
        <v>1623.75</v>
      </c>
      <c r="C2252" s="37">
        <v>1467.521240234375</v>
      </c>
      <c r="D2252" s="35">
        <v>4988311</v>
      </c>
      <c r="E2252" s="35" t="s">
        <v>2459</v>
      </c>
      <c r="F2252" s="35" t="s">
        <v>411</v>
      </c>
    </row>
    <row r="2253" spans="1:6">
      <c r="A2253" s="35" t="s">
        <v>2667</v>
      </c>
      <c r="B2253" s="37">
        <v>1615.3499755859375</v>
      </c>
      <c r="C2253" s="37">
        <v>1459.9295654296875</v>
      </c>
      <c r="D2253" s="35">
        <v>3320199</v>
      </c>
      <c r="E2253" s="35" t="s">
        <v>2459</v>
      </c>
      <c r="F2253" s="35" t="s">
        <v>411</v>
      </c>
    </row>
    <row r="2254" spans="1:6">
      <c r="A2254" s="35" t="s">
        <v>2668</v>
      </c>
      <c r="B2254" s="37">
        <v>1633.800048828125</v>
      </c>
      <c r="C2254" s="37">
        <v>1476.604736328125</v>
      </c>
      <c r="D2254" s="35">
        <v>3496692</v>
      </c>
      <c r="E2254" s="35" t="s">
        <v>2459</v>
      </c>
      <c r="F2254" s="35" t="s">
        <v>411</v>
      </c>
    </row>
    <row r="2255" spans="1:6">
      <c r="A2255" s="35" t="s">
        <v>2669</v>
      </c>
      <c r="B2255" s="37">
        <v>1630.5999755859375</v>
      </c>
      <c r="C2255" s="37">
        <v>1473.7122802734375</v>
      </c>
      <c r="D2255" s="35">
        <v>3341297</v>
      </c>
      <c r="E2255" s="35" t="s">
        <v>2459</v>
      </c>
      <c r="F2255" s="35" t="s">
        <v>411</v>
      </c>
    </row>
    <row r="2256" spans="1:6">
      <c r="A2256" s="35" t="s">
        <v>2670</v>
      </c>
      <c r="B2256" s="37">
        <v>1666.949951171875</v>
      </c>
      <c r="C2256" s="37">
        <v>1506.564697265625</v>
      </c>
      <c r="D2256" s="35">
        <v>4885445</v>
      </c>
      <c r="E2256" s="35" t="s">
        <v>2459</v>
      </c>
      <c r="F2256" s="35" t="s">
        <v>411</v>
      </c>
    </row>
    <row r="2257" spans="1:6">
      <c r="A2257" s="35" t="s">
        <v>2671</v>
      </c>
      <c r="B2257" s="37">
        <v>1665.5999755859375</v>
      </c>
      <c r="C2257" s="37">
        <v>1505.3447265625</v>
      </c>
      <c r="D2257" s="35">
        <v>3129897</v>
      </c>
      <c r="E2257" s="35" t="s">
        <v>2459</v>
      </c>
      <c r="F2257" s="35" t="s">
        <v>411</v>
      </c>
    </row>
    <row r="2258" spans="1:6">
      <c r="A2258" s="35" t="s">
        <v>2672</v>
      </c>
      <c r="B2258" s="37">
        <v>1671.5</v>
      </c>
      <c r="C2258" s="37">
        <v>1510.677001953125</v>
      </c>
      <c r="D2258" s="35">
        <v>1386643</v>
      </c>
      <c r="E2258" s="35" t="s">
        <v>2459</v>
      </c>
      <c r="F2258" s="35" t="s">
        <v>411</v>
      </c>
    </row>
    <row r="2259" spans="1:6">
      <c r="A2259" s="35" t="s">
        <v>2673</v>
      </c>
      <c r="B2259" s="37">
        <v>1662.550048828125</v>
      </c>
      <c r="C2259" s="37">
        <v>1502.58837890625</v>
      </c>
      <c r="D2259" s="35">
        <v>2555162</v>
      </c>
      <c r="E2259" s="35" t="s">
        <v>2459</v>
      </c>
      <c r="F2259" s="35" t="s">
        <v>411</v>
      </c>
    </row>
    <row r="2260" spans="1:6">
      <c r="A2260" s="35" t="s">
        <v>2674</v>
      </c>
      <c r="B2260" s="37">
        <v>1667.449951171875</v>
      </c>
      <c r="C2260" s="37">
        <v>1507.0169677734375</v>
      </c>
      <c r="D2260" s="35">
        <v>1776881</v>
      </c>
      <c r="E2260" s="35" t="s">
        <v>2459</v>
      </c>
      <c r="F2260" s="35" t="s">
        <v>411</v>
      </c>
    </row>
    <row r="2261" spans="1:6">
      <c r="A2261" s="35" t="s">
        <v>2675</v>
      </c>
      <c r="B2261" s="37">
        <v>1675.25</v>
      </c>
      <c r="C2261" s="37">
        <v>1514.0662841796875</v>
      </c>
      <c r="D2261" s="35">
        <v>762624</v>
      </c>
      <c r="E2261" s="35" t="s">
        <v>2459</v>
      </c>
      <c r="F2261" s="35" t="s">
        <v>411</v>
      </c>
    </row>
    <row r="2262" spans="1:6">
      <c r="A2262" s="35" t="s">
        <v>2676</v>
      </c>
      <c r="B2262" s="37">
        <v>1663.050048828125</v>
      </c>
      <c r="C2262" s="37">
        <v>1503.040283203125</v>
      </c>
      <c r="D2262" s="35">
        <v>2240414</v>
      </c>
      <c r="E2262" s="35" t="s">
        <v>2459</v>
      </c>
      <c r="F2262" s="35" t="s">
        <v>411</v>
      </c>
    </row>
    <row r="2263" spans="1:6">
      <c r="A2263" s="35" t="s">
        <v>2677</v>
      </c>
      <c r="B2263" s="37">
        <v>1636.300048828125</v>
      </c>
      <c r="C2263" s="37">
        <v>1478.864013671875</v>
      </c>
      <c r="D2263" s="35">
        <v>2890991</v>
      </c>
      <c r="E2263" s="35" t="s">
        <v>2459</v>
      </c>
      <c r="F2263" s="35" t="s">
        <v>411</v>
      </c>
    </row>
    <row r="2264" spans="1:6">
      <c r="A2264" s="35" t="s">
        <v>2678</v>
      </c>
      <c r="B2264" s="37">
        <v>1686.4000244140625</v>
      </c>
      <c r="C2264" s="37">
        <v>1524.1436767578125</v>
      </c>
      <c r="D2264" s="35">
        <v>3820901</v>
      </c>
      <c r="E2264" s="35" t="s">
        <v>2459</v>
      </c>
      <c r="F2264" s="35" t="s">
        <v>411</v>
      </c>
    </row>
    <row r="2265" spans="1:6">
      <c r="A2265" s="35" t="s">
        <v>2679</v>
      </c>
      <c r="B2265" s="37">
        <v>1665.75</v>
      </c>
      <c r="C2265" s="37">
        <v>1505.4803466796875</v>
      </c>
      <c r="D2265" s="35">
        <v>2191549</v>
      </c>
      <c r="E2265" s="35" t="s">
        <v>2459</v>
      </c>
      <c r="F2265" s="35" t="s">
        <v>411</v>
      </c>
    </row>
    <row r="2266" spans="1:6">
      <c r="A2266" s="35" t="s">
        <v>2680</v>
      </c>
      <c r="B2266" s="37">
        <v>1649.800048828125</v>
      </c>
      <c r="C2266" s="37">
        <v>1491.06494140625</v>
      </c>
      <c r="D2266" s="35">
        <v>1844253</v>
      </c>
      <c r="E2266" s="35" t="s">
        <v>2459</v>
      </c>
      <c r="F2266" s="35" t="s">
        <v>411</v>
      </c>
    </row>
    <row r="2267" spans="1:6">
      <c r="A2267" s="35" t="s">
        <v>2681</v>
      </c>
      <c r="B2267" s="37">
        <v>1658.800048828125</v>
      </c>
      <c r="C2267" s="37">
        <v>1499.1990966796875</v>
      </c>
      <c r="D2267" s="35">
        <v>2049420</v>
      </c>
      <c r="E2267" s="35" t="s">
        <v>2459</v>
      </c>
      <c r="F2267" s="35" t="s">
        <v>411</v>
      </c>
    </row>
    <row r="2268" spans="1:6">
      <c r="A2268" s="35" t="s">
        <v>2682</v>
      </c>
      <c r="B2268" s="37">
        <v>1651.9000244140625</v>
      </c>
      <c r="C2268" s="37">
        <v>1492.9630126953125</v>
      </c>
      <c r="D2268" s="35">
        <v>936575</v>
      </c>
      <c r="E2268" s="35" t="s">
        <v>2459</v>
      </c>
      <c r="F2268" s="35" t="s">
        <v>411</v>
      </c>
    </row>
    <row r="2269" spans="1:6">
      <c r="A2269" s="35" t="s">
        <v>2683</v>
      </c>
      <c r="B2269" s="37">
        <v>1663.8499755859375</v>
      </c>
      <c r="C2269" s="37">
        <v>1503.76318359375</v>
      </c>
      <c r="D2269" s="35">
        <v>3532888</v>
      </c>
      <c r="E2269" s="35" t="s">
        <v>2459</v>
      </c>
      <c r="F2269" s="35" t="s">
        <v>411</v>
      </c>
    </row>
    <row r="2270" spans="1:6">
      <c r="A2270" s="35" t="s">
        <v>2684</v>
      </c>
      <c r="B2270" s="37">
        <v>1644.0999755859375</v>
      </c>
      <c r="C2270" s="37">
        <v>1485.913330078125</v>
      </c>
      <c r="D2270" s="35">
        <v>2371138</v>
      </c>
      <c r="E2270" s="35" t="s">
        <v>2459</v>
      </c>
      <c r="F2270" s="35" t="s">
        <v>411</v>
      </c>
    </row>
    <row r="2271" spans="1:6">
      <c r="A2271" s="35" t="s">
        <v>2685</v>
      </c>
      <c r="B2271" s="37">
        <v>1637.949951171875</v>
      </c>
      <c r="C2271" s="37">
        <v>1480.3551025390625</v>
      </c>
      <c r="D2271" s="35">
        <v>1788071</v>
      </c>
      <c r="E2271" s="35" t="s">
        <v>2459</v>
      </c>
      <c r="F2271" s="35" t="s">
        <v>411</v>
      </c>
    </row>
    <row r="2272" spans="1:6">
      <c r="A2272" s="35" t="s">
        <v>2686</v>
      </c>
      <c r="B2272" s="37">
        <v>1619.3499755859375</v>
      </c>
      <c r="C2272" s="37">
        <v>1463.5447998046875</v>
      </c>
      <c r="D2272" s="35">
        <v>3339546</v>
      </c>
      <c r="E2272" s="35" t="s">
        <v>2459</v>
      </c>
      <c r="F2272" s="35" t="s">
        <v>411</v>
      </c>
    </row>
    <row r="2273" spans="1:6">
      <c r="A2273" s="35" t="s">
        <v>2687</v>
      </c>
      <c r="B2273" s="37">
        <v>1644.199951171875</v>
      </c>
      <c r="C2273" s="37">
        <v>1486.0037841796875</v>
      </c>
      <c r="D2273" s="35">
        <v>2366177</v>
      </c>
      <c r="E2273" s="35" t="s">
        <v>2459</v>
      </c>
      <c r="F2273" s="35" t="s">
        <v>411</v>
      </c>
    </row>
    <row r="2274" spans="1:6">
      <c r="A2274" s="35" t="s">
        <v>2688</v>
      </c>
      <c r="B2274" s="37">
        <v>1637.6500244140625</v>
      </c>
      <c r="C2274" s="37">
        <v>1480.083984375</v>
      </c>
      <c r="D2274" s="35">
        <v>3181239</v>
      </c>
      <c r="E2274" s="35" t="s">
        <v>2459</v>
      </c>
      <c r="F2274" s="35" t="s">
        <v>411</v>
      </c>
    </row>
    <row r="2275" spans="1:6">
      <c r="A2275" s="35" t="s">
        <v>2689</v>
      </c>
      <c r="B2275" s="37">
        <v>1638.6500244140625</v>
      </c>
      <c r="C2275" s="37">
        <v>1480.98779296875</v>
      </c>
      <c r="D2275" s="35">
        <v>2970902</v>
      </c>
      <c r="E2275" s="35" t="s">
        <v>2459</v>
      </c>
      <c r="F2275" s="35" t="s">
        <v>411</v>
      </c>
    </row>
    <row r="2276" spans="1:6">
      <c r="A2276" s="35" t="s">
        <v>2690</v>
      </c>
      <c r="B2276" s="37">
        <v>1635.5999755859375</v>
      </c>
      <c r="C2276" s="37">
        <v>1478.2313232421875</v>
      </c>
      <c r="D2276" s="35">
        <v>2414182</v>
      </c>
      <c r="E2276" s="35" t="s">
        <v>2459</v>
      </c>
      <c r="F2276" s="35" t="s">
        <v>411</v>
      </c>
    </row>
    <row r="2277" spans="1:6">
      <c r="A2277" s="35" t="s">
        <v>2691</v>
      </c>
      <c r="B2277" s="37">
        <v>1631.5</v>
      </c>
      <c r="C2277" s="37">
        <v>1474.52587890625</v>
      </c>
      <c r="D2277" s="35">
        <v>2564135</v>
      </c>
      <c r="E2277" s="35" t="s">
        <v>2459</v>
      </c>
      <c r="F2277" s="35" t="s">
        <v>411</v>
      </c>
    </row>
    <row r="2278" spans="1:6">
      <c r="A2278" s="35" t="s">
        <v>2692</v>
      </c>
      <c r="B2278" s="37">
        <v>1679.25</v>
      </c>
      <c r="C2278" s="37">
        <v>1517.681396484375</v>
      </c>
      <c r="D2278" s="35">
        <v>3513306</v>
      </c>
      <c r="E2278" s="35" t="s">
        <v>2459</v>
      </c>
      <c r="F2278" s="35" t="s">
        <v>411</v>
      </c>
    </row>
    <row r="2279" spans="1:6">
      <c r="A2279" s="35" t="s">
        <v>2693</v>
      </c>
      <c r="B2279" s="37">
        <v>1647.300048828125</v>
      </c>
      <c r="C2279" s="37">
        <v>1488.805908203125</v>
      </c>
      <c r="D2279" s="35">
        <v>3931561</v>
      </c>
      <c r="E2279" s="35" t="s">
        <v>2459</v>
      </c>
      <c r="F2279" s="35" t="s">
        <v>411</v>
      </c>
    </row>
    <row r="2280" spans="1:6">
      <c r="A2280" s="35" t="s">
        <v>2694</v>
      </c>
      <c r="B2280" s="37">
        <v>1643.4000244140625</v>
      </c>
      <c r="C2280" s="37">
        <v>1485.2806396484375</v>
      </c>
      <c r="D2280" s="35">
        <v>1183544</v>
      </c>
      <c r="E2280" s="35" t="s">
        <v>2459</v>
      </c>
      <c r="F2280" s="35" t="s">
        <v>411</v>
      </c>
    </row>
    <row r="2281" spans="1:6">
      <c r="A2281" s="35" t="s">
        <v>2695</v>
      </c>
      <c r="B2281" s="37">
        <v>1599.1500244140625</v>
      </c>
      <c r="C2281" s="37">
        <v>1445.2884521484375</v>
      </c>
      <c r="D2281" s="35">
        <v>1915379</v>
      </c>
      <c r="E2281" s="35" t="s">
        <v>2459</v>
      </c>
      <c r="F2281" s="35" t="s">
        <v>411</v>
      </c>
    </row>
    <row r="2282" spans="1:6">
      <c r="A2282" s="35" t="s">
        <v>2696</v>
      </c>
      <c r="B2282" s="37">
        <v>1587.0999755859375</v>
      </c>
      <c r="C2282" s="37">
        <v>1434.3978271484375</v>
      </c>
      <c r="D2282" s="35">
        <v>1815178</v>
      </c>
      <c r="E2282" s="35" t="s">
        <v>2459</v>
      </c>
      <c r="F2282" s="35" t="s">
        <v>411</v>
      </c>
    </row>
    <row r="2283" spans="1:6">
      <c r="A2283" s="35" t="s">
        <v>2697</v>
      </c>
      <c r="B2283" s="37">
        <v>1595.800048828125</v>
      </c>
      <c r="C2283" s="37">
        <v>1442.2607421875</v>
      </c>
      <c r="D2283" s="35">
        <v>2684744</v>
      </c>
      <c r="E2283" s="35" t="s">
        <v>2459</v>
      </c>
      <c r="F2283" s="35" t="s">
        <v>411</v>
      </c>
    </row>
    <row r="2284" spans="1:6">
      <c r="A2284" s="35" t="s">
        <v>2698</v>
      </c>
      <c r="B2284" s="37">
        <v>1557.8499755859375</v>
      </c>
      <c r="C2284" s="37">
        <v>1407.9620361328125</v>
      </c>
      <c r="D2284" s="35">
        <v>7468824</v>
      </c>
      <c r="E2284" s="35" t="s">
        <v>2459</v>
      </c>
      <c r="F2284" s="35" t="s">
        <v>411</v>
      </c>
    </row>
    <row r="2285" spans="1:6">
      <c r="A2285" s="35" t="s">
        <v>2699</v>
      </c>
      <c r="B2285" s="37">
        <v>1562.25</v>
      </c>
      <c r="C2285" s="37">
        <v>1411.938720703125</v>
      </c>
      <c r="D2285" s="35">
        <v>4496344</v>
      </c>
      <c r="E2285" s="35" t="s">
        <v>2459</v>
      </c>
      <c r="F2285" s="35" t="s">
        <v>411</v>
      </c>
    </row>
    <row r="2286" spans="1:6">
      <c r="A2286" s="35" t="s">
        <v>2700</v>
      </c>
      <c r="B2286" s="37">
        <v>1546.199951171875</v>
      </c>
      <c r="C2286" s="37">
        <v>1397.432861328125</v>
      </c>
      <c r="D2286" s="35">
        <v>2589697</v>
      </c>
      <c r="E2286" s="35" t="s">
        <v>2459</v>
      </c>
      <c r="F2286" s="35" t="s">
        <v>411</v>
      </c>
    </row>
    <row r="2287" spans="1:6">
      <c r="A2287" s="35" t="s">
        <v>2701</v>
      </c>
      <c r="B2287" s="37">
        <v>1543.550048828125</v>
      </c>
      <c r="C2287" s="37">
        <v>1395.0379638671875</v>
      </c>
      <c r="D2287" s="35">
        <v>5301493</v>
      </c>
      <c r="E2287" s="35" t="s">
        <v>2459</v>
      </c>
      <c r="F2287" s="35" t="s">
        <v>411</v>
      </c>
    </row>
    <row r="2288" spans="1:6">
      <c r="A2288" s="35" t="s">
        <v>2702</v>
      </c>
      <c r="B2288" s="37">
        <v>1556.699951171875</v>
      </c>
      <c r="C2288" s="37">
        <v>1406.922607421875</v>
      </c>
      <c r="D2288" s="35">
        <v>1014857</v>
      </c>
      <c r="E2288" s="35" t="s">
        <v>2703</v>
      </c>
      <c r="F2288" s="35" t="s">
        <v>411</v>
      </c>
    </row>
    <row r="2289" spans="1:6">
      <c r="A2289" s="35" t="s">
        <v>2704</v>
      </c>
      <c r="B2289" s="37">
        <v>1528.300048828125</v>
      </c>
      <c r="C2289" s="37">
        <v>1381.255126953125</v>
      </c>
      <c r="D2289" s="35">
        <v>2031775</v>
      </c>
      <c r="E2289" s="35" t="s">
        <v>2703</v>
      </c>
      <c r="F2289" s="35" t="s">
        <v>411</v>
      </c>
    </row>
    <row r="2290" spans="1:6">
      <c r="A2290" s="35" t="s">
        <v>2705</v>
      </c>
      <c r="B2290" s="37">
        <v>1535.8499755859375</v>
      </c>
      <c r="C2290" s="37">
        <v>1388.0787353515625</v>
      </c>
      <c r="D2290" s="35">
        <v>3343884</v>
      </c>
      <c r="E2290" s="35" t="s">
        <v>2703</v>
      </c>
      <c r="F2290" s="35" t="s">
        <v>411</v>
      </c>
    </row>
    <row r="2291" spans="1:6">
      <c r="A2291" s="35" t="s">
        <v>2706</v>
      </c>
      <c r="B2291" s="37">
        <v>1539.6500244140625</v>
      </c>
      <c r="C2291" s="37">
        <v>1391.5133056640625</v>
      </c>
      <c r="D2291" s="35">
        <v>3388449</v>
      </c>
      <c r="E2291" s="35" t="s">
        <v>2703</v>
      </c>
      <c r="F2291" s="35" t="s">
        <v>411</v>
      </c>
    </row>
    <row r="2292" spans="1:6">
      <c r="A2292" s="35" t="s">
        <v>2707</v>
      </c>
      <c r="B2292" s="37">
        <v>1545.25</v>
      </c>
      <c r="C2292" s="37">
        <v>1396.57421875</v>
      </c>
      <c r="D2292" s="35">
        <v>2773570</v>
      </c>
      <c r="E2292" s="35" t="s">
        <v>2703</v>
      </c>
      <c r="F2292" s="35" t="s">
        <v>411</v>
      </c>
    </row>
    <row r="2293" spans="1:6">
      <c r="A2293" s="35" t="s">
        <v>2708</v>
      </c>
      <c r="B2293" s="37">
        <v>1540.050048828125</v>
      </c>
      <c r="C2293" s="37">
        <v>1391.8746337890625</v>
      </c>
      <c r="D2293" s="35">
        <v>1820136</v>
      </c>
      <c r="E2293" s="35" t="s">
        <v>2703</v>
      </c>
      <c r="F2293" s="35" t="s">
        <v>411</v>
      </c>
    </row>
    <row r="2294" spans="1:6">
      <c r="A2294" s="35" t="s">
        <v>2709</v>
      </c>
      <c r="B2294" s="37">
        <v>1540.5</v>
      </c>
      <c r="C2294" s="37">
        <v>1392.281494140625</v>
      </c>
      <c r="D2294" s="35">
        <v>2432095</v>
      </c>
      <c r="E2294" s="35" t="s">
        <v>2703</v>
      </c>
      <c r="F2294" s="35" t="s">
        <v>411</v>
      </c>
    </row>
    <row r="2295" spans="1:6">
      <c r="A2295" s="35" t="s">
        <v>2710</v>
      </c>
      <c r="B2295" s="37">
        <v>1539.1500244140625</v>
      </c>
      <c r="C2295" s="37">
        <v>1391.0611572265625</v>
      </c>
      <c r="D2295" s="35">
        <v>1829986</v>
      </c>
      <c r="E2295" s="35" t="s">
        <v>2703</v>
      </c>
      <c r="F2295" s="35" t="s">
        <v>411</v>
      </c>
    </row>
    <row r="2296" spans="1:6">
      <c r="A2296" s="35" t="s">
        <v>2711</v>
      </c>
      <c r="B2296" s="37">
        <v>1521.5</v>
      </c>
      <c r="C2296" s="37">
        <v>1375.109375</v>
      </c>
      <c r="D2296" s="35">
        <v>4319991</v>
      </c>
      <c r="E2296" s="35" t="s">
        <v>2703</v>
      </c>
      <c r="F2296" s="35" t="s">
        <v>411</v>
      </c>
    </row>
    <row r="2297" spans="1:6">
      <c r="A2297" s="35" t="s">
        <v>2712</v>
      </c>
      <c r="B2297" s="37">
        <v>1505.050048828125</v>
      </c>
      <c r="C2297" s="37">
        <v>1360.2421875</v>
      </c>
      <c r="D2297" s="35">
        <v>3295684</v>
      </c>
      <c r="E2297" s="35" t="s">
        <v>2703</v>
      </c>
      <c r="F2297" s="35" t="s">
        <v>411</v>
      </c>
    </row>
    <row r="2298" spans="1:6">
      <c r="A2298" s="35" t="s">
        <v>2713</v>
      </c>
      <c r="B2298" s="37">
        <v>1477.300048828125</v>
      </c>
      <c r="C2298" s="37">
        <v>1335.1619873046875</v>
      </c>
      <c r="D2298" s="35">
        <v>2446933</v>
      </c>
      <c r="E2298" s="35" t="s">
        <v>2703</v>
      </c>
      <c r="F2298" s="35" t="s">
        <v>411</v>
      </c>
    </row>
    <row r="2299" spans="1:6">
      <c r="A2299" s="35" t="s">
        <v>2714</v>
      </c>
      <c r="B2299" s="37">
        <v>1466.8499755859375</v>
      </c>
      <c r="C2299" s="37">
        <v>1325.7174072265625</v>
      </c>
      <c r="D2299" s="35">
        <v>5180223</v>
      </c>
      <c r="E2299" s="35" t="s">
        <v>2703</v>
      </c>
      <c r="F2299" s="35" t="s">
        <v>411</v>
      </c>
    </row>
    <row r="2300" spans="1:6">
      <c r="A2300" s="35" t="s">
        <v>2715</v>
      </c>
      <c r="B2300" s="37">
        <v>1447.5</v>
      </c>
      <c r="C2300" s="37">
        <v>1308.229248046875</v>
      </c>
      <c r="D2300" s="35">
        <v>5219506</v>
      </c>
      <c r="E2300" s="35" t="s">
        <v>2703</v>
      </c>
      <c r="F2300" s="35" t="s">
        <v>411</v>
      </c>
    </row>
    <row r="2301" spans="1:6">
      <c r="A2301" s="35" t="s">
        <v>2716</v>
      </c>
      <c r="B2301" s="37">
        <v>1465.9000244140625</v>
      </c>
      <c r="C2301" s="37">
        <v>1324.85888671875</v>
      </c>
      <c r="D2301" s="35">
        <v>1939632</v>
      </c>
      <c r="E2301" s="35" t="s">
        <v>2703</v>
      </c>
      <c r="F2301" s="35" t="s">
        <v>411</v>
      </c>
    </row>
    <row r="2302" spans="1:6">
      <c r="A2302" s="35" t="s">
        <v>2717</v>
      </c>
      <c r="B2302" s="37">
        <v>1486.6500244140625</v>
      </c>
      <c r="C2302" s="37">
        <v>1343.612548828125</v>
      </c>
      <c r="D2302" s="35">
        <v>2783858</v>
      </c>
      <c r="E2302" s="35" t="s">
        <v>2703</v>
      </c>
      <c r="F2302" s="35" t="s">
        <v>411</v>
      </c>
    </row>
    <row r="2303" spans="1:6">
      <c r="A2303" s="35" t="s">
        <v>2718</v>
      </c>
      <c r="B2303" s="37">
        <v>1479.25</v>
      </c>
      <c r="C2303" s="37">
        <v>1336.924560546875</v>
      </c>
      <c r="D2303" s="35">
        <v>1321471</v>
      </c>
      <c r="E2303" s="35" t="s">
        <v>2703</v>
      </c>
      <c r="F2303" s="35" t="s">
        <v>411</v>
      </c>
    </row>
    <row r="2304" spans="1:6">
      <c r="A2304" s="35" t="s">
        <v>2719</v>
      </c>
      <c r="B2304" s="37">
        <v>1504.1500244140625</v>
      </c>
      <c r="C2304" s="37">
        <v>1359.4285888671875</v>
      </c>
      <c r="D2304" s="35">
        <v>4558032</v>
      </c>
      <c r="E2304" s="35" t="s">
        <v>2703</v>
      </c>
      <c r="F2304" s="35" t="s">
        <v>411</v>
      </c>
    </row>
    <row r="2305" spans="1:6">
      <c r="A2305" s="35" t="s">
        <v>2720</v>
      </c>
      <c r="B2305" s="37">
        <v>1473.8499755859375</v>
      </c>
      <c r="C2305" s="37">
        <v>1332.0438232421875</v>
      </c>
      <c r="D2305" s="35">
        <v>4328477</v>
      </c>
      <c r="E2305" s="35" t="s">
        <v>2703</v>
      </c>
      <c r="F2305" s="35" t="s">
        <v>411</v>
      </c>
    </row>
    <row r="2306" spans="1:6">
      <c r="A2306" s="35" t="s">
        <v>2721</v>
      </c>
      <c r="B2306" s="37">
        <v>1387.4000244140625</v>
      </c>
      <c r="C2306" s="37">
        <v>1253.911865234375</v>
      </c>
      <c r="D2306" s="35">
        <v>11493223</v>
      </c>
      <c r="E2306" s="35" t="s">
        <v>2703</v>
      </c>
      <c r="F2306" s="35" t="s">
        <v>411</v>
      </c>
    </row>
    <row r="2307" spans="1:6">
      <c r="A2307" s="35" t="s">
        <v>2722</v>
      </c>
      <c r="B2307" s="37">
        <v>1366.5999755859375</v>
      </c>
      <c r="C2307" s="37">
        <v>1235.1129150390625</v>
      </c>
      <c r="D2307" s="35">
        <v>7606726</v>
      </c>
      <c r="E2307" s="35" t="s">
        <v>2703</v>
      </c>
      <c r="F2307" s="35" t="s">
        <v>411</v>
      </c>
    </row>
    <row r="2308" spans="1:6">
      <c r="A2308" s="35" t="s">
        <v>2723</v>
      </c>
      <c r="B2308" s="37">
        <v>1360.699951171875</v>
      </c>
      <c r="C2308" s="37">
        <v>1229.7803955078125</v>
      </c>
      <c r="D2308" s="35">
        <v>6555505</v>
      </c>
      <c r="E2308" s="35" t="s">
        <v>2703</v>
      </c>
      <c r="F2308" s="35" t="s">
        <v>411</v>
      </c>
    </row>
    <row r="2309" spans="1:6">
      <c r="A2309" s="35" t="s">
        <v>2724</v>
      </c>
      <c r="B2309" s="37">
        <v>1348.050048828125</v>
      </c>
      <c r="C2309" s="37">
        <v>1218.3477783203125</v>
      </c>
      <c r="D2309" s="35">
        <v>5964228</v>
      </c>
      <c r="E2309" s="35" t="s">
        <v>2703</v>
      </c>
      <c r="F2309" s="35" t="s">
        <v>411</v>
      </c>
    </row>
    <row r="2310" spans="1:6">
      <c r="A2310" s="35" t="s">
        <v>2725</v>
      </c>
      <c r="B2310" s="37">
        <v>1358.800048828125</v>
      </c>
      <c r="C2310" s="37">
        <v>1228.0633544921875</v>
      </c>
      <c r="D2310" s="35">
        <v>2504082</v>
      </c>
      <c r="E2310" s="35" t="s">
        <v>2703</v>
      </c>
      <c r="F2310" s="35" t="s">
        <v>411</v>
      </c>
    </row>
    <row r="2311" spans="1:6">
      <c r="A2311" s="35" t="s">
        <v>2726</v>
      </c>
      <c r="B2311" s="37">
        <v>1330.949951171875</v>
      </c>
      <c r="C2311" s="37">
        <v>1219.0416259765625</v>
      </c>
      <c r="D2311" s="35">
        <v>5096525</v>
      </c>
      <c r="E2311" s="35" t="s">
        <v>2703</v>
      </c>
      <c r="F2311" s="35" t="s">
        <v>411</v>
      </c>
    </row>
    <row r="2312" spans="1:6">
      <c r="A2312" s="35" t="s">
        <v>2727</v>
      </c>
      <c r="B2312" s="37">
        <v>1313.6500244140625</v>
      </c>
      <c r="C2312" s="37">
        <v>1203.1962890625</v>
      </c>
      <c r="D2312" s="35">
        <v>6832455</v>
      </c>
      <c r="E2312" s="35" t="s">
        <v>2703</v>
      </c>
      <c r="F2312" s="35" t="s">
        <v>411</v>
      </c>
    </row>
    <row r="2313" spans="1:6">
      <c r="A2313" s="35" t="s">
        <v>2728</v>
      </c>
      <c r="B2313" s="37">
        <v>1320.050048828125</v>
      </c>
      <c r="C2313" s="37">
        <v>1209.05810546875</v>
      </c>
      <c r="D2313" s="35">
        <v>5653762</v>
      </c>
      <c r="E2313" s="35" t="s">
        <v>2703</v>
      </c>
      <c r="F2313" s="35" t="s">
        <v>411</v>
      </c>
    </row>
    <row r="2314" spans="1:6">
      <c r="A2314" s="35" t="s">
        <v>2729</v>
      </c>
      <c r="B2314" s="37">
        <v>1316.199951171875</v>
      </c>
      <c r="C2314" s="37">
        <v>1205.5318603515625</v>
      </c>
      <c r="D2314" s="35">
        <v>3357203</v>
      </c>
      <c r="E2314" s="35" t="s">
        <v>2703</v>
      </c>
      <c r="F2314" s="35" t="s">
        <v>411</v>
      </c>
    </row>
    <row r="2315" spans="1:6">
      <c r="A2315" s="35" t="s">
        <v>2730</v>
      </c>
      <c r="B2315" s="37">
        <v>1312.9000244140625</v>
      </c>
      <c r="C2315" s="37">
        <v>1202.5093994140625</v>
      </c>
      <c r="D2315" s="35">
        <v>2316566</v>
      </c>
      <c r="E2315" s="35" t="s">
        <v>2703</v>
      </c>
      <c r="F2315" s="35" t="s">
        <v>411</v>
      </c>
    </row>
    <row r="2316" spans="1:6">
      <c r="A2316" s="35" t="s">
        <v>2731</v>
      </c>
      <c r="B2316" s="37">
        <v>1321.050048828125</v>
      </c>
      <c r="C2316" s="37">
        <v>1209.97412109375</v>
      </c>
      <c r="D2316" s="35">
        <v>3200462</v>
      </c>
      <c r="E2316" s="35" t="s">
        <v>2703</v>
      </c>
      <c r="F2316" s="35" t="s">
        <v>411</v>
      </c>
    </row>
    <row r="2317" spans="1:6">
      <c r="A2317" s="35" t="s">
        <v>2732</v>
      </c>
      <c r="B2317" s="37">
        <v>1332.9000244140625</v>
      </c>
      <c r="C2317" s="37">
        <v>1220.82763671875</v>
      </c>
      <c r="D2317" s="35">
        <v>2975965</v>
      </c>
      <c r="E2317" s="35" t="s">
        <v>2703</v>
      </c>
      <c r="F2317" s="35" t="s">
        <v>411</v>
      </c>
    </row>
    <row r="2318" spans="1:6">
      <c r="A2318" s="35" t="s">
        <v>2733</v>
      </c>
      <c r="B2318" s="37">
        <v>1348.1500244140625</v>
      </c>
      <c r="C2318" s="37">
        <v>1234.79541015625</v>
      </c>
      <c r="D2318" s="35">
        <v>5055915</v>
      </c>
      <c r="E2318" s="35" t="s">
        <v>2703</v>
      </c>
      <c r="F2318" s="35" t="s">
        <v>411</v>
      </c>
    </row>
    <row r="2319" spans="1:6">
      <c r="A2319" s="35" t="s">
        <v>2734</v>
      </c>
      <c r="B2319" s="37">
        <v>1333.199951171875</v>
      </c>
      <c r="C2319" s="37">
        <v>1221.1025390625</v>
      </c>
      <c r="D2319" s="35">
        <v>2487831</v>
      </c>
      <c r="E2319" s="35" t="s">
        <v>2703</v>
      </c>
      <c r="F2319" s="35" t="s">
        <v>411</v>
      </c>
    </row>
    <row r="2320" spans="1:6">
      <c r="A2320" s="35" t="s">
        <v>2735</v>
      </c>
      <c r="B2320" s="37">
        <v>1341.9000244140625</v>
      </c>
      <c r="C2320" s="37">
        <v>1229.0709228515625</v>
      </c>
      <c r="D2320" s="35">
        <v>4966721</v>
      </c>
      <c r="E2320" s="35" t="s">
        <v>2703</v>
      </c>
      <c r="F2320" s="35" t="s">
        <v>411</v>
      </c>
    </row>
    <row r="2321" spans="1:6">
      <c r="A2321" s="35" t="s">
        <v>2736</v>
      </c>
      <c r="B2321" s="37">
        <v>1343.050048828125</v>
      </c>
      <c r="C2321" s="37">
        <v>1230.1243896484375</v>
      </c>
      <c r="D2321" s="35">
        <v>2390777</v>
      </c>
      <c r="E2321" s="35" t="s">
        <v>2703</v>
      </c>
      <c r="F2321" s="35" t="s">
        <v>411</v>
      </c>
    </row>
    <row r="2322" spans="1:6">
      <c r="A2322" s="35" t="s">
        <v>2737</v>
      </c>
      <c r="B2322" s="37">
        <v>1353.550048828125</v>
      </c>
      <c r="C2322" s="37">
        <v>1239.74169921875</v>
      </c>
      <c r="D2322" s="35">
        <v>3326149</v>
      </c>
      <c r="E2322" s="35" t="s">
        <v>2703</v>
      </c>
      <c r="F2322" s="35" t="s">
        <v>411</v>
      </c>
    </row>
    <row r="2323" spans="1:6">
      <c r="A2323" s="35" t="s">
        <v>2738</v>
      </c>
      <c r="B2323" s="37">
        <v>1345.199951171875</v>
      </c>
      <c r="C2323" s="37">
        <v>1232.09326171875</v>
      </c>
      <c r="D2323" s="35">
        <v>1769966</v>
      </c>
      <c r="E2323" s="35" t="s">
        <v>2703</v>
      </c>
      <c r="F2323" s="35" t="s">
        <v>411</v>
      </c>
    </row>
    <row r="2324" spans="1:6">
      <c r="A2324" s="35" t="s">
        <v>2739</v>
      </c>
      <c r="B2324" s="37">
        <v>1353.300048828125</v>
      </c>
      <c r="C2324" s="37">
        <v>1239.512451171875</v>
      </c>
      <c r="D2324" s="35">
        <v>1942325</v>
      </c>
      <c r="E2324" s="35" t="s">
        <v>2703</v>
      </c>
      <c r="F2324" s="35" t="s">
        <v>411</v>
      </c>
    </row>
    <row r="2325" spans="1:6">
      <c r="A2325" s="35" t="s">
        <v>2740</v>
      </c>
      <c r="B2325" s="37">
        <v>1358.4000244140625</v>
      </c>
      <c r="C2325" s="37">
        <v>1244.183349609375</v>
      </c>
      <c r="D2325" s="35">
        <v>2147233</v>
      </c>
      <c r="E2325" s="35" t="s">
        <v>2703</v>
      </c>
      <c r="F2325" s="35" t="s">
        <v>411</v>
      </c>
    </row>
    <row r="2326" spans="1:6">
      <c r="A2326" s="35" t="s">
        <v>2741</v>
      </c>
      <c r="B2326" s="37">
        <v>1353.0999755859375</v>
      </c>
      <c r="C2326" s="37">
        <v>1239.329345703125</v>
      </c>
      <c r="D2326" s="35">
        <v>3845920</v>
      </c>
      <c r="E2326" s="35" t="s">
        <v>2703</v>
      </c>
      <c r="F2326" s="35" t="s">
        <v>411</v>
      </c>
    </row>
    <row r="2327" spans="1:6">
      <c r="A2327" s="35" t="s">
        <v>2742</v>
      </c>
      <c r="B2327" s="37">
        <v>1331.8499755859375</v>
      </c>
      <c r="C2327" s="37">
        <v>1219.8658447265625</v>
      </c>
      <c r="D2327" s="35">
        <v>4150461</v>
      </c>
      <c r="E2327" s="35" t="s">
        <v>2703</v>
      </c>
      <c r="F2327" s="35" t="s">
        <v>411</v>
      </c>
    </row>
    <row r="2328" spans="1:6">
      <c r="A2328" s="35" t="s">
        <v>2743</v>
      </c>
      <c r="B2328" s="37">
        <v>1324.0999755859375</v>
      </c>
      <c r="C2328" s="37">
        <v>1212.7677001953125</v>
      </c>
      <c r="D2328" s="35">
        <v>10319045</v>
      </c>
      <c r="E2328" s="35" t="s">
        <v>2703</v>
      </c>
      <c r="F2328" s="35" t="s">
        <v>411</v>
      </c>
    </row>
    <row r="2329" spans="1:6">
      <c r="A2329" s="35" t="s">
        <v>2744</v>
      </c>
      <c r="B2329" s="37">
        <v>1314.449951171875</v>
      </c>
      <c r="C2329" s="37">
        <v>1203.9290771484375</v>
      </c>
      <c r="D2329" s="35">
        <v>5384064</v>
      </c>
      <c r="E2329" s="35" t="s">
        <v>2703</v>
      </c>
      <c r="F2329" s="35" t="s">
        <v>411</v>
      </c>
    </row>
    <row r="2330" spans="1:6">
      <c r="A2330" s="35" t="s">
        <v>2745</v>
      </c>
      <c r="B2330" s="37">
        <v>1303.550048828125</v>
      </c>
      <c r="C2330" s="37">
        <v>1193.9456787109375</v>
      </c>
      <c r="D2330" s="35">
        <v>5447244</v>
      </c>
      <c r="E2330" s="35" t="s">
        <v>2703</v>
      </c>
      <c r="F2330" s="35" t="s">
        <v>411</v>
      </c>
    </row>
    <row r="2331" spans="1:6">
      <c r="A2331" s="35" t="s">
        <v>2746</v>
      </c>
      <c r="B2331" s="37">
        <v>1343.699951171875</v>
      </c>
      <c r="C2331" s="37">
        <v>1230.719482421875</v>
      </c>
      <c r="D2331" s="35">
        <v>3005139</v>
      </c>
      <c r="E2331" s="35" t="s">
        <v>2703</v>
      </c>
      <c r="F2331" s="35" t="s">
        <v>411</v>
      </c>
    </row>
    <row r="2332" spans="1:6">
      <c r="A2332" s="35" t="s">
        <v>2747</v>
      </c>
      <c r="B2332" s="37">
        <v>1397.5</v>
      </c>
      <c r="C2332" s="37">
        <v>1279.9959716796875</v>
      </c>
      <c r="D2332" s="35">
        <v>5936709</v>
      </c>
      <c r="E2332" s="35" t="s">
        <v>2703</v>
      </c>
      <c r="F2332" s="35" t="s">
        <v>411</v>
      </c>
    </row>
    <row r="2333" spans="1:6">
      <c r="A2333" s="35" t="s">
        <v>2748</v>
      </c>
      <c r="B2333" s="37">
        <v>1431.5</v>
      </c>
      <c r="C2333" s="37">
        <v>1311.1373291015625</v>
      </c>
      <c r="D2333" s="35">
        <v>5884025</v>
      </c>
      <c r="E2333" s="35" t="s">
        <v>2703</v>
      </c>
      <c r="F2333" s="35" t="s">
        <v>411</v>
      </c>
    </row>
    <row r="2334" spans="1:6">
      <c r="A2334" s="35" t="s">
        <v>2749</v>
      </c>
      <c r="B2334" s="37">
        <v>1418.75</v>
      </c>
      <c r="C2334" s="37">
        <v>1299.4593505859375</v>
      </c>
      <c r="D2334" s="35">
        <v>3293739</v>
      </c>
      <c r="E2334" s="35" t="s">
        <v>2703</v>
      </c>
      <c r="F2334" s="35" t="s">
        <v>411</v>
      </c>
    </row>
    <row r="2335" spans="1:6">
      <c r="A2335" s="35" t="s">
        <v>2750</v>
      </c>
      <c r="B2335" s="37">
        <v>1428.800048828125</v>
      </c>
      <c r="C2335" s="37">
        <v>1308.664306640625</v>
      </c>
      <c r="D2335" s="35">
        <v>2269082</v>
      </c>
      <c r="E2335" s="35" t="s">
        <v>2703</v>
      </c>
      <c r="F2335" s="35" t="s">
        <v>411</v>
      </c>
    </row>
    <row r="2336" spans="1:6">
      <c r="A2336" s="35" t="s">
        <v>2751</v>
      </c>
      <c r="B2336" s="37">
        <v>1438.75</v>
      </c>
      <c r="C2336" s="37">
        <v>1317.777587890625</v>
      </c>
      <c r="D2336" s="35">
        <v>5990861</v>
      </c>
      <c r="E2336" s="35" t="s">
        <v>2703</v>
      </c>
      <c r="F2336" s="35" t="s">
        <v>411</v>
      </c>
    </row>
    <row r="2337" spans="1:6">
      <c r="A2337" s="35" t="s">
        <v>2752</v>
      </c>
      <c r="B2337" s="37">
        <v>1444.1500244140625</v>
      </c>
      <c r="C2337" s="37">
        <v>1322.7236328125</v>
      </c>
      <c r="D2337" s="35">
        <v>4232861</v>
      </c>
      <c r="E2337" s="35" t="s">
        <v>2703</v>
      </c>
      <c r="F2337" s="35" t="s">
        <v>411</v>
      </c>
    </row>
    <row r="2338" spans="1:6">
      <c r="A2338" s="35" t="s">
        <v>2753</v>
      </c>
      <c r="B2338" s="37">
        <v>1431.050048828125</v>
      </c>
      <c r="C2338" s="37">
        <v>1310.7252197265625</v>
      </c>
      <c r="D2338" s="35">
        <v>3065114</v>
      </c>
      <c r="E2338" s="35" t="s">
        <v>2703</v>
      </c>
      <c r="F2338" s="35" t="s">
        <v>411</v>
      </c>
    </row>
    <row r="2339" spans="1:6">
      <c r="A2339" s="35" t="s">
        <v>2754</v>
      </c>
      <c r="B2339" s="37">
        <v>1437.199951171875</v>
      </c>
      <c r="C2339" s="37">
        <v>1316.35791015625</v>
      </c>
      <c r="D2339" s="35">
        <v>2223029</v>
      </c>
      <c r="E2339" s="35" t="s">
        <v>2703</v>
      </c>
      <c r="F2339" s="35" t="s">
        <v>411</v>
      </c>
    </row>
    <row r="2340" spans="1:6">
      <c r="A2340" s="35" t="s">
        <v>2755</v>
      </c>
      <c r="B2340" s="37">
        <v>1445.8499755859375</v>
      </c>
      <c r="C2340" s="37">
        <v>1324.280517578125</v>
      </c>
      <c r="D2340" s="35">
        <v>3117522</v>
      </c>
      <c r="E2340" s="35" t="s">
        <v>2703</v>
      </c>
      <c r="F2340" s="35" t="s">
        <v>411</v>
      </c>
    </row>
    <row r="2341" spans="1:6">
      <c r="A2341" s="35" t="s">
        <v>2756</v>
      </c>
      <c r="B2341" s="37">
        <v>1443.449951171875</v>
      </c>
      <c r="C2341" s="37">
        <v>1322.0823974609375</v>
      </c>
      <c r="D2341" s="35">
        <v>3163919</v>
      </c>
      <c r="E2341" s="35" t="s">
        <v>2703</v>
      </c>
      <c r="F2341" s="35" t="s">
        <v>411</v>
      </c>
    </row>
    <row r="2342" spans="1:6">
      <c r="A2342" s="35" t="s">
        <v>2757</v>
      </c>
      <c r="B2342" s="37">
        <v>1447.8499755859375</v>
      </c>
      <c r="C2342" s="37">
        <v>1326.1124267578125</v>
      </c>
      <c r="D2342" s="35">
        <v>6489262</v>
      </c>
      <c r="E2342" s="35" t="s">
        <v>2703</v>
      </c>
      <c r="F2342" s="35" t="s">
        <v>411</v>
      </c>
    </row>
    <row r="2343" spans="1:6">
      <c r="A2343" s="35" t="s">
        <v>2758</v>
      </c>
      <c r="B2343" s="37">
        <v>1440.8499755859375</v>
      </c>
      <c r="C2343" s="37">
        <v>1319.701171875</v>
      </c>
      <c r="D2343" s="35">
        <v>1988692</v>
      </c>
      <c r="E2343" s="35" t="s">
        <v>2703</v>
      </c>
      <c r="F2343" s="35" t="s">
        <v>411</v>
      </c>
    </row>
    <row r="2344" spans="1:6">
      <c r="A2344" s="35" t="s">
        <v>2759</v>
      </c>
      <c r="B2344" s="37">
        <v>1447.949951171875</v>
      </c>
      <c r="C2344" s="37">
        <v>1326.2041015625</v>
      </c>
      <c r="D2344" s="35">
        <v>2079037</v>
      </c>
      <c r="E2344" s="35" t="s">
        <v>2703</v>
      </c>
      <c r="F2344" s="35" t="s">
        <v>411</v>
      </c>
    </row>
    <row r="2345" spans="1:6">
      <c r="A2345" s="35" t="s">
        <v>2760</v>
      </c>
      <c r="B2345" s="37">
        <v>1443.699951171875</v>
      </c>
      <c r="C2345" s="37">
        <v>1322.3114013671875</v>
      </c>
      <c r="D2345" s="35">
        <v>1917424</v>
      </c>
      <c r="E2345" s="35" t="s">
        <v>2703</v>
      </c>
      <c r="F2345" s="35" t="s">
        <v>411</v>
      </c>
    </row>
    <row r="2346" spans="1:6">
      <c r="A2346" s="35" t="s">
        <v>2761</v>
      </c>
      <c r="B2346" s="37">
        <v>1454.9000244140625</v>
      </c>
      <c r="C2346" s="37">
        <v>1332.5697021484375</v>
      </c>
      <c r="D2346" s="35">
        <v>6613193</v>
      </c>
      <c r="E2346" s="35" t="s">
        <v>2703</v>
      </c>
      <c r="F2346" s="35" t="s">
        <v>411</v>
      </c>
    </row>
    <row r="2347" spans="1:6">
      <c r="A2347" s="35" t="s">
        <v>2762</v>
      </c>
      <c r="B2347" s="37">
        <v>1459.5999755859375</v>
      </c>
      <c r="C2347" s="37">
        <v>1336.8743896484375</v>
      </c>
      <c r="D2347" s="35">
        <v>4943575</v>
      </c>
      <c r="E2347" s="35" t="s">
        <v>2703</v>
      </c>
      <c r="F2347" s="35" t="s">
        <v>411</v>
      </c>
    </row>
    <row r="2348" spans="1:6">
      <c r="A2348" s="35" t="s">
        <v>2763</v>
      </c>
      <c r="B2348" s="37">
        <v>1468.8499755859375</v>
      </c>
      <c r="C2348" s="37">
        <v>1345.3468017578125</v>
      </c>
      <c r="D2348" s="35">
        <v>3723295</v>
      </c>
      <c r="E2348" s="35" t="s">
        <v>2703</v>
      </c>
      <c r="F2348" s="35" t="s">
        <v>411</v>
      </c>
    </row>
    <row r="2349" spans="1:6">
      <c r="A2349" s="35" t="s">
        <v>2764</v>
      </c>
      <c r="B2349" s="37">
        <v>1480.800048828125</v>
      </c>
      <c r="C2349" s="37">
        <v>1356.2921142578125</v>
      </c>
      <c r="D2349" s="35">
        <v>3811366</v>
      </c>
      <c r="E2349" s="35" t="s">
        <v>2703</v>
      </c>
      <c r="F2349" s="35" t="s">
        <v>411</v>
      </c>
    </row>
    <row r="2350" spans="1:6">
      <c r="A2350" s="35" t="s">
        <v>2765</v>
      </c>
      <c r="B2350" s="37">
        <v>1481</v>
      </c>
      <c r="C2350" s="37">
        <v>1356.47509765625</v>
      </c>
      <c r="D2350" s="35">
        <v>2070876</v>
      </c>
      <c r="E2350" s="35" t="s">
        <v>2703</v>
      </c>
      <c r="F2350" s="35" t="s">
        <v>411</v>
      </c>
    </row>
    <row r="2351" spans="1:6">
      <c r="A2351" s="35" t="s">
        <v>2766</v>
      </c>
      <c r="B2351" s="37">
        <v>1522.3499755859375</v>
      </c>
      <c r="C2351" s="37">
        <v>1394.3485107421875</v>
      </c>
      <c r="D2351" s="35">
        <v>6822557</v>
      </c>
      <c r="E2351" s="35" t="s">
        <v>2703</v>
      </c>
      <c r="F2351" s="35" t="s">
        <v>411</v>
      </c>
    </row>
    <row r="2352" spans="1:6">
      <c r="A2352" s="35" t="s">
        <v>2767</v>
      </c>
      <c r="B2352" s="37">
        <v>1519.4000244140625</v>
      </c>
      <c r="C2352" s="37">
        <v>1391.646484375</v>
      </c>
      <c r="D2352" s="35">
        <v>3061687</v>
      </c>
      <c r="E2352" s="35" t="s">
        <v>2703</v>
      </c>
      <c r="F2352" s="35" t="s">
        <v>411</v>
      </c>
    </row>
    <row r="2353" spans="1:6">
      <c r="A2353" s="35" t="s">
        <v>2768</v>
      </c>
      <c r="B2353" s="37">
        <v>1533.4000244140625</v>
      </c>
      <c r="C2353" s="37">
        <v>1404.469482421875</v>
      </c>
      <c r="D2353" s="35">
        <v>2939620</v>
      </c>
      <c r="E2353" s="35" t="s">
        <v>2703</v>
      </c>
      <c r="F2353" s="35" t="s">
        <v>411</v>
      </c>
    </row>
    <row r="2354" spans="1:6">
      <c r="A2354" s="35" t="s">
        <v>2769</v>
      </c>
      <c r="B2354" s="37">
        <v>1531.0999755859375</v>
      </c>
      <c r="C2354" s="37">
        <v>1402.36279296875</v>
      </c>
      <c r="D2354" s="35">
        <v>2658608</v>
      </c>
      <c r="E2354" s="35" t="s">
        <v>2703</v>
      </c>
      <c r="F2354" s="35" t="s">
        <v>411</v>
      </c>
    </row>
    <row r="2355" spans="1:6">
      <c r="A2355" s="35" t="s">
        <v>2770</v>
      </c>
      <c r="B2355" s="37">
        <v>1509.949951171875</v>
      </c>
      <c r="C2355" s="37">
        <v>1382.990966796875</v>
      </c>
      <c r="D2355" s="35">
        <v>3507096</v>
      </c>
      <c r="E2355" s="35" t="s">
        <v>2703</v>
      </c>
      <c r="F2355" s="35" t="s">
        <v>411</v>
      </c>
    </row>
    <row r="2356" spans="1:6">
      <c r="A2356" s="35" t="s">
        <v>2771</v>
      </c>
      <c r="B2356" s="37">
        <v>1511.9000244140625</v>
      </c>
      <c r="C2356" s="37">
        <v>1384.777099609375</v>
      </c>
      <c r="D2356" s="35">
        <v>3304053</v>
      </c>
      <c r="E2356" s="35" t="s">
        <v>2703</v>
      </c>
      <c r="F2356" s="35" t="s">
        <v>411</v>
      </c>
    </row>
    <row r="2357" spans="1:6">
      <c r="A2357" s="35" t="s">
        <v>2772</v>
      </c>
      <c r="B2357" s="37">
        <v>1560.199951171875</v>
      </c>
      <c r="C2357" s="37">
        <v>1429.0159912109375</v>
      </c>
      <c r="D2357" s="35">
        <v>6430647</v>
      </c>
      <c r="E2357" s="35" t="s">
        <v>2703</v>
      </c>
      <c r="F2357" s="35" t="s">
        <v>411</v>
      </c>
    </row>
    <row r="2358" spans="1:6">
      <c r="A2358" s="35" t="s">
        <v>2773</v>
      </c>
      <c r="B2358" s="37">
        <v>1569.5999755859375</v>
      </c>
      <c r="C2358" s="37">
        <v>1437.625732421875</v>
      </c>
      <c r="D2358" s="35">
        <v>10337489</v>
      </c>
      <c r="E2358" s="35" t="s">
        <v>2703</v>
      </c>
      <c r="F2358" s="35" t="s">
        <v>411</v>
      </c>
    </row>
    <row r="2359" spans="1:6">
      <c r="A2359" s="35" t="s">
        <v>2774</v>
      </c>
      <c r="B2359" s="37">
        <v>1569.550048828125</v>
      </c>
      <c r="C2359" s="37">
        <v>1437.57958984375</v>
      </c>
      <c r="D2359" s="35">
        <v>3540650</v>
      </c>
      <c r="E2359" s="35" t="s">
        <v>2703</v>
      </c>
      <c r="F2359" s="35" t="s">
        <v>411</v>
      </c>
    </row>
    <row r="2360" spans="1:6">
      <c r="A2360" s="35" t="s">
        <v>2775</v>
      </c>
      <c r="B2360" s="37">
        <v>1594.550048828125</v>
      </c>
      <c r="C2360" s="37">
        <v>1460.4776611328125</v>
      </c>
      <c r="D2360" s="35">
        <v>4399468</v>
      </c>
      <c r="E2360" s="35" t="s">
        <v>2703</v>
      </c>
      <c r="F2360" s="35" t="s">
        <v>411</v>
      </c>
    </row>
    <row r="2361" spans="1:6">
      <c r="A2361" s="35" t="s">
        <v>2776</v>
      </c>
      <c r="B2361" s="37">
        <v>1594.550048828125</v>
      </c>
      <c r="C2361" s="37">
        <v>1460.4776611328125</v>
      </c>
      <c r="D2361" s="35">
        <v>5633838</v>
      </c>
      <c r="E2361" s="35" t="s">
        <v>2703</v>
      </c>
      <c r="F2361" s="35" t="s">
        <v>411</v>
      </c>
    </row>
    <row r="2362" spans="1:6">
      <c r="A2362" s="35" t="s">
        <v>2777</v>
      </c>
      <c r="B2362" s="37">
        <v>1577.0999755859375</v>
      </c>
      <c r="C2362" s="37">
        <v>1444.4949951171875</v>
      </c>
      <c r="D2362" s="35">
        <v>2704495</v>
      </c>
      <c r="E2362" s="35" t="s">
        <v>2703</v>
      </c>
      <c r="F2362" s="35" t="s">
        <v>411</v>
      </c>
    </row>
    <row r="2363" spans="1:6">
      <c r="A2363" s="35" t="s">
        <v>2778</v>
      </c>
      <c r="B2363" s="37">
        <v>1598.3499755859375</v>
      </c>
      <c r="C2363" s="37">
        <v>1475.1827392578125</v>
      </c>
      <c r="D2363" s="35">
        <v>2907674</v>
      </c>
      <c r="E2363" s="35" t="s">
        <v>2703</v>
      </c>
      <c r="F2363" s="35" t="s">
        <v>411</v>
      </c>
    </row>
    <row r="2364" spans="1:6">
      <c r="A2364" s="35" t="s">
        <v>2779</v>
      </c>
      <c r="B2364" s="37">
        <v>1583.699951171875</v>
      </c>
      <c r="C2364" s="37">
        <v>1461.66162109375</v>
      </c>
      <c r="D2364" s="35">
        <v>2484299</v>
      </c>
      <c r="E2364" s="35" t="s">
        <v>2703</v>
      </c>
      <c r="F2364" s="35" t="s">
        <v>411</v>
      </c>
    </row>
    <row r="2365" spans="1:6">
      <c r="A2365" s="35" t="s">
        <v>2780</v>
      </c>
      <c r="B2365" s="37">
        <v>1587.5999755859375</v>
      </c>
      <c r="C2365" s="37">
        <v>1465.2611083984375</v>
      </c>
      <c r="D2365" s="35">
        <v>2934731</v>
      </c>
      <c r="E2365" s="35" t="s">
        <v>2703</v>
      </c>
      <c r="F2365" s="35" t="s">
        <v>411</v>
      </c>
    </row>
    <row r="2366" spans="1:6">
      <c r="A2366" s="35" t="s">
        <v>2781</v>
      </c>
      <c r="B2366" s="37">
        <v>1635.3499755859375</v>
      </c>
      <c r="C2366" s="37">
        <v>1509.331298828125</v>
      </c>
      <c r="D2366" s="35">
        <v>2814159</v>
      </c>
      <c r="E2366" s="35" t="s">
        <v>2703</v>
      </c>
      <c r="F2366" s="35" t="s">
        <v>411</v>
      </c>
    </row>
    <row r="2367" spans="1:6">
      <c r="A2367" s="35" t="s">
        <v>2782</v>
      </c>
      <c r="B2367" s="37">
        <v>1632.3499755859375</v>
      </c>
      <c r="C2367" s="37">
        <v>1506.5626220703125</v>
      </c>
      <c r="D2367" s="35">
        <v>1639491</v>
      </c>
      <c r="E2367" s="35" t="s">
        <v>2703</v>
      </c>
      <c r="F2367" s="35" t="s">
        <v>411</v>
      </c>
    </row>
    <row r="2368" spans="1:6">
      <c r="A2368" s="35" t="s">
        <v>2783</v>
      </c>
      <c r="B2368" s="37">
        <v>1630.25</v>
      </c>
      <c r="C2368" s="37">
        <v>1504.62451171875</v>
      </c>
      <c r="D2368" s="35">
        <v>1783877</v>
      </c>
      <c r="E2368" s="35" t="s">
        <v>2703</v>
      </c>
      <c r="F2368" s="35" t="s">
        <v>411</v>
      </c>
    </row>
    <row r="2369" spans="1:6">
      <c r="A2369" s="35" t="s">
        <v>2784</v>
      </c>
      <c r="B2369" s="37">
        <v>1642.5999755859375</v>
      </c>
      <c r="C2369" s="37">
        <v>1516.0228271484375</v>
      </c>
      <c r="D2369" s="35">
        <v>1984986</v>
      </c>
      <c r="E2369" s="35" t="s">
        <v>2703</v>
      </c>
      <c r="F2369" s="35" t="s">
        <v>411</v>
      </c>
    </row>
    <row r="2370" spans="1:6">
      <c r="A2370" s="35" t="s">
        <v>2785</v>
      </c>
      <c r="B2370" s="37">
        <v>1640.550048828125</v>
      </c>
      <c r="C2370" s="37">
        <v>1514.130859375</v>
      </c>
      <c r="D2370" s="35">
        <v>1785188</v>
      </c>
      <c r="E2370" s="35" t="s">
        <v>2703</v>
      </c>
      <c r="F2370" s="35" t="s">
        <v>411</v>
      </c>
    </row>
    <row r="2371" spans="1:6">
      <c r="A2371" s="35" t="s">
        <v>2786</v>
      </c>
      <c r="B2371" s="37">
        <v>1609.300048828125</v>
      </c>
      <c r="C2371" s="37">
        <v>1485.2890625</v>
      </c>
      <c r="D2371" s="35">
        <v>1692851</v>
      </c>
      <c r="E2371" s="35" t="s">
        <v>2703</v>
      </c>
      <c r="F2371" s="35" t="s">
        <v>411</v>
      </c>
    </row>
    <row r="2372" spans="1:6">
      <c r="A2372" s="35" t="s">
        <v>2787</v>
      </c>
      <c r="B2372" s="37">
        <v>1562.4000244140625</v>
      </c>
      <c r="C2372" s="37">
        <v>1442.0030517578125</v>
      </c>
      <c r="D2372" s="35">
        <v>3279717</v>
      </c>
      <c r="E2372" s="35" t="s">
        <v>2703</v>
      </c>
      <c r="F2372" s="35" t="s">
        <v>411</v>
      </c>
    </row>
    <row r="2373" spans="1:6">
      <c r="A2373" s="35" t="s">
        <v>2788</v>
      </c>
      <c r="B2373" s="37">
        <v>1582.75</v>
      </c>
      <c r="C2373" s="37">
        <v>1460.7847900390625</v>
      </c>
      <c r="D2373" s="35">
        <v>2138704</v>
      </c>
      <c r="E2373" s="35" t="s">
        <v>2703</v>
      </c>
      <c r="F2373" s="35" t="s">
        <v>411</v>
      </c>
    </row>
    <row r="2374" spans="1:6">
      <c r="A2374" s="35" t="s">
        <v>2789</v>
      </c>
      <c r="B2374" s="37">
        <v>1594.5999755859375</v>
      </c>
      <c r="C2374" s="37">
        <v>1471.7215576171875</v>
      </c>
      <c r="D2374" s="35">
        <v>1897787</v>
      </c>
      <c r="E2374" s="35" t="s">
        <v>2703</v>
      </c>
      <c r="F2374" s="35" t="s">
        <v>411</v>
      </c>
    </row>
    <row r="2375" spans="1:6">
      <c r="A2375" s="35" t="s">
        <v>2790</v>
      </c>
      <c r="B2375" s="37">
        <v>1557.8499755859375</v>
      </c>
      <c r="C2375" s="37">
        <v>1437.8035888671875</v>
      </c>
      <c r="D2375" s="35">
        <v>2373805</v>
      </c>
      <c r="E2375" s="35" t="s">
        <v>2703</v>
      </c>
      <c r="F2375" s="35" t="s">
        <v>411</v>
      </c>
    </row>
    <row r="2376" spans="1:6">
      <c r="A2376" s="35" t="s">
        <v>2791</v>
      </c>
      <c r="B2376" s="37">
        <v>1589.949951171875</v>
      </c>
      <c r="C2376" s="37">
        <v>1467.4298095703125</v>
      </c>
      <c r="D2376" s="35">
        <v>2021762</v>
      </c>
      <c r="E2376" s="35" t="s">
        <v>2703</v>
      </c>
      <c r="F2376" s="35" t="s">
        <v>411</v>
      </c>
    </row>
    <row r="2377" spans="1:6">
      <c r="A2377" s="35" t="s">
        <v>2792</v>
      </c>
      <c r="B2377" s="37">
        <v>1585.25</v>
      </c>
      <c r="C2377" s="37">
        <v>1463.09228515625</v>
      </c>
      <c r="D2377" s="35">
        <v>1273739</v>
      </c>
      <c r="E2377" s="35" t="s">
        <v>2703</v>
      </c>
      <c r="F2377" s="35" t="s">
        <v>411</v>
      </c>
    </row>
    <row r="2378" spans="1:6">
      <c r="A2378" s="35" t="s">
        <v>2793</v>
      </c>
      <c r="B2378" s="37">
        <v>1592.6500244140625</v>
      </c>
      <c r="C2378" s="37">
        <v>1469.921875</v>
      </c>
      <c r="D2378" s="35">
        <v>1973825</v>
      </c>
      <c r="E2378" s="35" t="s">
        <v>2703</v>
      </c>
      <c r="F2378" s="35" t="s">
        <v>411</v>
      </c>
    </row>
    <row r="2379" spans="1:6">
      <c r="A2379" s="35" t="s">
        <v>2794</v>
      </c>
      <c r="B2379" s="37">
        <v>1626.1500244140625</v>
      </c>
      <c r="C2379" s="37">
        <v>1500.8404541015625</v>
      </c>
      <c r="D2379" s="35">
        <v>3932148</v>
      </c>
      <c r="E2379" s="35" t="s">
        <v>2703</v>
      </c>
      <c r="F2379" s="35" t="s">
        <v>411</v>
      </c>
    </row>
    <row r="2380" spans="1:6">
      <c r="A2380" s="35" t="s">
        <v>2795</v>
      </c>
      <c r="B2380" s="37">
        <v>1668.25</v>
      </c>
      <c r="C2380" s="37">
        <v>1539.696533203125</v>
      </c>
      <c r="D2380" s="35">
        <v>3101056</v>
      </c>
      <c r="E2380" s="35" t="s">
        <v>2703</v>
      </c>
      <c r="F2380" s="35" t="s">
        <v>411</v>
      </c>
    </row>
    <row r="2381" spans="1:6">
      <c r="A2381" s="35" t="s">
        <v>2796</v>
      </c>
      <c r="B2381" s="37">
        <v>1678.5</v>
      </c>
      <c r="C2381" s="37">
        <v>1549.1566162109375</v>
      </c>
      <c r="D2381" s="35">
        <v>1631947</v>
      </c>
      <c r="E2381" s="35" t="s">
        <v>2703</v>
      </c>
      <c r="F2381" s="35" t="s">
        <v>411</v>
      </c>
    </row>
    <row r="2382" spans="1:6">
      <c r="A2382" s="35" t="s">
        <v>2797</v>
      </c>
      <c r="B2382" s="37">
        <v>1686.75</v>
      </c>
      <c r="C2382" s="37">
        <v>1556.7708740234375</v>
      </c>
      <c r="D2382" s="35">
        <v>2786109</v>
      </c>
      <c r="E2382" s="35" t="s">
        <v>2703</v>
      </c>
      <c r="F2382" s="35" t="s">
        <v>411</v>
      </c>
    </row>
    <row r="2383" spans="1:6">
      <c r="A2383" s="35" t="s">
        <v>2798</v>
      </c>
      <c r="B2383" s="37">
        <v>1677.25</v>
      </c>
      <c r="C2383" s="37">
        <v>1548.0029296875</v>
      </c>
      <c r="D2383" s="35">
        <v>1410370</v>
      </c>
      <c r="E2383" s="35" t="s">
        <v>2703</v>
      </c>
      <c r="F2383" s="35" t="s">
        <v>411</v>
      </c>
    </row>
    <row r="2384" spans="1:6">
      <c r="A2384" s="35" t="s">
        <v>2799</v>
      </c>
      <c r="B2384" s="37">
        <v>1676.1500244140625</v>
      </c>
      <c r="C2384" s="37">
        <v>1546.9874267578125</v>
      </c>
      <c r="D2384" s="35">
        <v>1749127</v>
      </c>
      <c r="E2384" s="35" t="s">
        <v>2703</v>
      </c>
      <c r="F2384" s="35" t="s">
        <v>411</v>
      </c>
    </row>
    <row r="2385" spans="1:6">
      <c r="A2385" s="35" t="s">
        <v>2800</v>
      </c>
      <c r="B2385" s="37">
        <v>1661.449951171875</v>
      </c>
      <c r="C2385" s="37">
        <v>1533.4202880859375</v>
      </c>
      <c r="D2385" s="35">
        <v>2158185</v>
      </c>
      <c r="E2385" s="35" t="s">
        <v>2703</v>
      </c>
      <c r="F2385" s="35" t="s">
        <v>411</v>
      </c>
    </row>
    <row r="2386" spans="1:6">
      <c r="A2386" s="35" t="s">
        <v>2801</v>
      </c>
      <c r="B2386" s="37">
        <v>1719.449951171875</v>
      </c>
      <c r="C2386" s="37">
        <v>1586.9510498046875</v>
      </c>
      <c r="D2386" s="35">
        <v>2672708</v>
      </c>
      <c r="E2386" s="35" t="s">
        <v>2703</v>
      </c>
      <c r="F2386" s="35" t="s">
        <v>411</v>
      </c>
    </row>
    <row r="2387" spans="1:6">
      <c r="A2387" s="35" t="s">
        <v>2802</v>
      </c>
      <c r="B2387" s="37">
        <v>1711.5999755859375</v>
      </c>
      <c r="C2387" s="37">
        <v>1579.7056884765625</v>
      </c>
      <c r="D2387" s="35">
        <v>3556487</v>
      </c>
      <c r="E2387" s="35" t="s">
        <v>2703</v>
      </c>
      <c r="F2387" s="35" t="s">
        <v>411</v>
      </c>
    </row>
    <row r="2388" spans="1:6">
      <c r="A2388" s="35" t="s">
        <v>2803</v>
      </c>
      <c r="B2388" s="37">
        <v>1719.449951171875</v>
      </c>
      <c r="C2388" s="37">
        <v>1586.9510498046875</v>
      </c>
      <c r="D2388" s="35">
        <v>2516461</v>
      </c>
      <c r="E2388" s="35" t="s">
        <v>2703</v>
      </c>
      <c r="F2388" s="35" t="s">
        <v>411</v>
      </c>
    </row>
    <row r="2389" spans="1:6">
      <c r="A2389" s="35" t="s">
        <v>2804</v>
      </c>
      <c r="B2389" s="37">
        <v>1751.8499755859375</v>
      </c>
      <c r="C2389" s="37">
        <v>1616.8543701171875</v>
      </c>
      <c r="D2389" s="35">
        <v>5112407</v>
      </c>
      <c r="E2389" s="35" t="s">
        <v>2703</v>
      </c>
      <c r="F2389" s="35" t="s">
        <v>411</v>
      </c>
    </row>
    <row r="2390" spans="1:6">
      <c r="A2390" s="35" t="s">
        <v>2805</v>
      </c>
      <c r="B2390" s="37">
        <v>1753.25</v>
      </c>
      <c r="C2390" s="37">
        <v>1618.1463623046875</v>
      </c>
      <c r="D2390" s="35">
        <v>4792561</v>
      </c>
      <c r="E2390" s="35" t="s">
        <v>2703</v>
      </c>
      <c r="F2390" s="35" t="s">
        <v>411</v>
      </c>
    </row>
    <row r="2391" spans="1:6">
      <c r="A2391" s="35" t="s">
        <v>2806</v>
      </c>
      <c r="B2391" s="37">
        <v>1806.6500244140625</v>
      </c>
      <c r="C2391" s="37">
        <v>1667.431396484375</v>
      </c>
      <c r="D2391" s="35">
        <v>4445349</v>
      </c>
      <c r="E2391" s="35" t="s">
        <v>2703</v>
      </c>
      <c r="F2391" s="35" t="s">
        <v>411</v>
      </c>
    </row>
    <row r="2392" spans="1:6">
      <c r="A2392" s="35" t="s">
        <v>2807</v>
      </c>
      <c r="B2392" s="37">
        <v>1790.449951171875</v>
      </c>
      <c r="C2392" s="37">
        <v>1652.4798583984375</v>
      </c>
      <c r="D2392" s="35">
        <v>2553290</v>
      </c>
      <c r="E2392" s="35" t="s">
        <v>2703</v>
      </c>
      <c r="F2392" s="35" t="s">
        <v>411</v>
      </c>
    </row>
    <row r="2393" spans="1:6">
      <c r="A2393" s="35" t="s">
        <v>2808</v>
      </c>
      <c r="B2393" s="37">
        <v>1785.25</v>
      </c>
      <c r="C2393" s="37">
        <v>1647.6805419921875</v>
      </c>
      <c r="D2393" s="35">
        <v>2644961</v>
      </c>
      <c r="E2393" s="35" t="s">
        <v>2703</v>
      </c>
      <c r="F2393" s="35" t="s">
        <v>411</v>
      </c>
    </row>
    <row r="2394" spans="1:6">
      <c r="A2394" s="35" t="s">
        <v>2809</v>
      </c>
      <c r="B2394" s="37">
        <v>1790.550048828125</v>
      </c>
      <c r="C2394" s="37">
        <v>1652.572021484375</v>
      </c>
      <c r="D2394" s="35">
        <v>2878565</v>
      </c>
      <c r="E2394" s="35" t="s">
        <v>2703</v>
      </c>
      <c r="F2394" s="35" t="s">
        <v>411</v>
      </c>
    </row>
    <row r="2395" spans="1:6">
      <c r="A2395" s="35" t="s">
        <v>2810</v>
      </c>
      <c r="B2395" s="37">
        <v>1756.0999755859375</v>
      </c>
      <c r="C2395" s="37">
        <v>1620.7767333984375</v>
      </c>
      <c r="D2395" s="35">
        <v>3351716</v>
      </c>
      <c r="E2395" s="35" t="s">
        <v>2703</v>
      </c>
      <c r="F2395" s="35" t="s">
        <v>411</v>
      </c>
    </row>
    <row r="2396" spans="1:6">
      <c r="A2396" s="35" t="s">
        <v>2811</v>
      </c>
      <c r="B2396" s="37">
        <v>1746.75</v>
      </c>
      <c r="C2396" s="37">
        <v>1612.14697265625</v>
      </c>
      <c r="D2396" s="35">
        <v>1418238</v>
      </c>
      <c r="E2396" s="35" t="s">
        <v>2703</v>
      </c>
      <c r="F2396" s="35" t="s">
        <v>411</v>
      </c>
    </row>
    <row r="2397" spans="1:6">
      <c r="A2397" s="35" t="s">
        <v>2812</v>
      </c>
      <c r="B2397" s="37">
        <v>1779.0999755859375</v>
      </c>
      <c r="C2397" s="37">
        <v>1642.0042724609375</v>
      </c>
      <c r="D2397" s="35">
        <v>2307528</v>
      </c>
      <c r="E2397" s="35" t="s">
        <v>2703</v>
      </c>
      <c r="F2397" s="35" t="s">
        <v>411</v>
      </c>
    </row>
    <row r="2398" spans="1:6">
      <c r="A2398" s="35" t="s">
        <v>2813</v>
      </c>
      <c r="B2398" s="37">
        <v>1778.75</v>
      </c>
      <c r="C2398" s="37">
        <v>1641.6812744140625</v>
      </c>
      <c r="D2398" s="35">
        <v>2303930</v>
      </c>
      <c r="E2398" s="35" t="s">
        <v>2703</v>
      </c>
      <c r="F2398" s="35" t="s">
        <v>411</v>
      </c>
    </row>
    <row r="2399" spans="1:6">
      <c r="A2399" s="35" t="s">
        <v>2814</v>
      </c>
      <c r="B2399" s="37">
        <v>1807.5999755859375</v>
      </c>
      <c r="C2399" s="37">
        <v>1668.3082275390625</v>
      </c>
      <c r="D2399" s="35">
        <v>3349489</v>
      </c>
      <c r="E2399" s="35" t="s">
        <v>2703</v>
      </c>
      <c r="F2399" s="35" t="s">
        <v>411</v>
      </c>
    </row>
    <row r="2400" spans="1:6">
      <c r="A2400" s="35" t="s">
        <v>2815</v>
      </c>
      <c r="B2400" s="37">
        <v>1812.800048828125</v>
      </c>
      <c r="C2400" s="37">
        <v>1673.107421875</v>
      </c>
      <c r="D2400" s="35">
        <v>1599349</v>
      </c>
      <c r="E2400" s="35" t="s">
        <v>2703</v>
      </c>
      <c r="F2400" s="35" t="s">
        <v>411</v>
      </c>
    </row>
    <row r="2401" spans="1:6">
      <c r="A2401" s="35" t="s">
        <v>2816</v>
      </c>
      <c r="B2401" s="37">
        <v>1811.8499755859375</v>
      </c>
      <c r="C2401" s="37">
        <v>1672.2305908203125</v>
      </c>
      <c r="D2401" s="35">
        <v>836199</v>
      </c>
      <c r="E2401" s="35" t="s">
        <v>2703</v>
      </c>
      <c r="F2401" s="35" t="s">
        <v>411</v>
      </c>
    </row>
    <row r="2402" spans="1:6">
      <c r="A2402" s="35" t="s">
        <v>2817</v>
      </c>
      <c r="B2402" s="37">
        <v>1813.75</v>
      </c>
      <c r="C2402" s="37">
        <v>1673.984130859375</v>
      </c>
      <c r="D2402" s="35">
        <v>830317</v>
      </c>
      <c r="E2402" s="35" t="s">
        <v>2703</v>
      </c>
      <c r="F2402" s="35" t="s">
        <v>411</v>
      </c>
    </row>
    <row r="2403" spans="1:6">
      <c r="A2403" s="35" t="s">
        <v>2818</v>
      </c>
      <c r="B2403" s="37">
        <v>1756.5</v>
      </c>
      <c r="C2403" s="37">
        <v>1621.1458740234375</v>
      </c>
      <c r="D2403" s="35">
        <v>2629136</v>
      </c>
      <c r="E2403" s="35" t="s">
        <v>2703</v>
      </c>
      <c r="F2403" s="35" t="s">
        <v>411</v>
      </c>
    </row>
    <row r="2404" spans="1:6">
      <c r="A2404" s="35" t="s">
        <v>2819</v>
      </c>
      <c r="B2404" s="37">
        <v>1736.5</v>
      </c>
      <c r="C2404" s="37">
        <v>1602.6868896484375</v>
      </c>
      <c r="D2404" s="35">
        <v>4167373</v>
      </c>
      <c r="E2404" s="35" t="s">
        <v>2703</v>
      </c>
      <c r="F2404" s="35" t="s">
        <v>411</v>
      </c>
    </row>
    <row r="2405" spans="1:6">
      <c r="A2405" s="35" t="s">
        <v>2820</v>
      </c>
      <c r="B2405" s="37">
        <v>1760.050048828125</v>
      </c>
      <c r="C2405" s="37">
        <v>1624.4222412109375</v>
      </c>
      <c r="D2405" s="35">
        <v>4644317</v>
      </c>
      <c r="E2405" s="35" t="s">
        <v>2703</v>
      </c>
      <c r="F2405" s="35" t="s">
        <v>411</v>
      </c>
    </row>
    <row r="2406" spans="1:6">
      <c r="A2406" s="35" t="s">
        <v>2821</v>
      </c>
      <c r="B2406" s="37">
        <v>1752.800048828125</v>
      </c>
      <c r="C2406" s="37">
        <v>1617.7310791015625</v>
      </c>
      <c r="D2406" s="35">
        <v>1541597</v>
      </c>
      <c r="E2406" s="35" t="s">
        <v>2703</v>
      </c>
      <c r="F2406" s="35" t="s">
        <v>411</v>
      </c>
    </row>
    <row r="2407" spans="1:6">
      <c r="A2407" s="35" t="s">
        <v>2822</v>
      </c>
      <c r="B2407" s="37">
        <v>1775.5999755859375</v>
      </c>
      <c r="C2407" s="37">
        <v>1638.7738037109375</v>
      </c>
      <c r="D2407" s="35">
        <v>1907389</v>
      </c>
      <c r="E2407" s="35" t="s">
        <v>2703</v>
      </c>
      <c r="F2407" s="35" t="s">
        <v>411</v>
      </c>
    </row>
    <row r="2408" spans="1:6">
      <c r="A2408" s="35" t="s">
        <v>2823</v>
      </c>
      <c r="B2408" s="37">
        <v>1782.4000244140625</v>
      </c>
      <c r="C2408" s="37">
        <v>1645.050048828125</v>
      </c>
      <c r="D2408" s="35">
        <v>2240579</v>
      </c>
      <c r="E2408" s="35" t="s">
        <v>2703</v>
      </c>
      <c r="F2408" s="35" t="s">
        <v>411</v>
      </c>
    </row>
    <row r="2409" spans="1:6">
      <c r="A2409" s="35" t="s">
        <v>2824</v>
      </c>
      <c r="B2409" s="37">
        <v>1783.8499755859375</v>
      </c>
      <c r="C2409" s="37">
        <v>1646.38818359375</v>
      </c>
      <c r="D2409" s="35">
        <v>4303250</v>
      </c>
      <c r="E2409" s="35" t="s">
        <v>2703</v>
      </c>
      <c r="F2409" s="35" t="s">
        <v>411</v>
      </c>
    </row>
    <row r="2410" spans="1:6">
      <c r="A2410" s="35" t="s">
        <v>2825</v>
      </c>
      <c r="B2410" s="37">
        <v>1808.4000244140625</v>
      </c>
      <c r="C2410" s="37">
        <v>1669.046630859375</v>
      </c>
      <c r="D2410" s="35">
        <v>4099016</v>
      </c>
      <c r="E2410" s="35" t="s">
        <v>2703</v>
      </c>
      <c r="F2410" s="35" t="s">
        <v>411</v>
      </c>
    </row>
    <row r="2411" spans="1:6">
      <c r="A2411" s="35" t="s">
        <v>2826</v>
      </c>
      <c r="B2411" s="37">
        <v>1796.0999755859375</v>
      </c>
      <c r="C2411" s="37">
        <v>1657.6943359375</v>
      </c>
      <c r="D2411" s="35">
        <v>2117894</v>
      </c>
      <c r="E2411" s="35" t="s">
        <v>2703</v>
      </c>
      <c r="F2411" s="35" t="s">
        <v>411</v>
      </c>
    </row>
    <row r="2412" spans="1:6">
      <c r="A2412" s="35" t="s">
        <v>2827</v>
      </c>
      <c r="B2412" s="37">
        <v>1816.5</v>
      </c>
      <c r="C2412" s="37">
        <v>1676.5223388671875</v>
      </c>
      <c r="D2412" s="35">
        <v>1642542</v>
      </c>
      <c r="E2412" s="35" t="s">
        <v>2703</v>
      </c>
      <c r="F2412" s="35" t="s">
        <v>411</v>
      </c>
    </row>
    <row r="2413" spans="1:6">
      <c r="A2413" s="35" t="s">
        <v>2828</v>
      </c>
      <c r="B2413" s="37">
        <v>1778.550048828125</v>
      </c>
      <c r="C2413" s="37">
        <v>1641.4969482421875</v>
      </c>
      <c r="D2413" s="35">
        <v>3552386</v>
      </c>
      <c r="E2413" s="35" t="s">
        <v>2703</v>
      </c>
      <c r="F2413" s="35" t="s">
        <v>411</v>
      </c>
    </row>
    <row r="2414" spans="1:6">
      <c r="A2414" s="35" t="s">
        <v>2829</v>
      </c>
      <c r="B2414" s="37">
        <v>1776.5999755859375</v>
      </c>
      <c r="C2414" s="37">
        <v>1639.697021484375</v>
      </c>
      <c r="D2414" s="35">
        <v>2982759</v>
      </c>
      <c r="E2414" s="35" t="s">
        <v>2703</v>
      </c>
      <c r="F2414" s="35" t="s">
        <v>411</v>
      </c>
    </row>
    <row r="2415" spans="1:6">
      <c r="A2415" s="35" t="s">
        <v>2830</v>
      </c>
      <c r="B2415" s="37">
        <v>1776.949951171875</v>
      </c>
      <c r="C2415" s="37">
        <v>1640.0198974609375</v>
      </c>
      <c r="D2415" s="35">
        <v>3419048</v>
      </c>
      <c r="E2415" s="35" t="s">
        <v>2703</v>
      </c>
      <c r="F2415" s="35" t="s">
        <v>411</v>
      </c>
    </row>
    <row r="2416" spans="1:6">
      <c r="A2416" s="35" t="s">
        <v>2831</v>
      </c>
      <c r="B2416" s="37">
        <v>1789.449951171875</v>
      </c>
      <c r="C2416" s="37">
        <v>1651.556640625</v>
      </c>
      <c r="D2416" s="35">
        <v>2353030</v>
      </c>
      <c r="E2416" s="35" t="s">
        <v>2703</v>
      </c>
      <c r="F2416" s="35" t="s">
        <v>411</v>
      </c>
    </row>
    <row r="2417" spans="1:6">
      <c r="A2417" s="35" t="s">
        <v>2832</v>
      </c>
      <c r="B2417" s="37">
        <v>1809.699951171875</v>
      </c>
      <c r="C2417" s="37">
        <v>1670.2462158203125</v>
      </c>
      <c r="D2417" s="35">
        <v>2499596</v>
      </c>
      <c r="E2417" s="35" t="s">
        <v>2703</v>
      </c>
      <c r="F2417" s="35" t="s">
        <v>411</v>
      </c>
    </row>
    <row r="2418" spans="1:6">
      <c r="A2418" s="35" t="s">
        <v>2833</v>
      </c>
      <c r="B2418" s="37">
        <v>1808.6500244140625</v>
      </c>
      <c r="C2418" s="37">
        <v>1669.27734375</v>
      </c>
      <c r="D2418" s="35">
        <v>3753869</v>
      </c>
      <c r="E2418" s="35" t="s">
        <v>2703</v>
      </c>
      <c r="F2418" s="35" t="s">
        <v>411</v>
      </c>
    </row>
    <row r="2419" spans="1:6">
      <c r="A2419" s="35" t="s">
        <v>2834</v>
      </c>
      <c r="B2419" s="37">
        <v>1839.6500244140625</v>
      </c>
      <c r="C2419" s="37">
        <v>1697.8883056640625</v>
      </c>
      <c r="D2419" s="35">
        <v>2977110</v>
      </c>
      <c r="E2419" s="35" t="s">
        <v>2703</v>
      </c>
      <c r="F2419" s="35" t="s">
        <v>411</v>
      </c>
    </row>
    <row r="2420" spans="1:6">
      <c r="A2420" s="35" t="s">
        <v>2835</v>
      </c>
      <c r="B2420" s="37">
        <v>1855.9000244140625</v>
      </c>
      <c r="C2420" s="37">
        <v>1712.8861083984375</v>
      </c>
      <c r="D2420" s="35">
        <v>1751092</v>
      </c>
      <c r="E2420" s="35" t="s">
        <v>2703</v>
      </c>
      <c r="F2420" s="35" t="s">
        <v>411</v>
      </c>
    </row>
    <row r="2421" spans="1:6">
      <c r="A2421" s="35" t="s">
        <v>2836</v>
      </c>
      <c r="B2421" s="37">
        <v>1870.0999755859375</v>
      </c>
      <c r="C2421" s="37">
        <v>1725.9920654296875</v>
      </c>
      <c r="D2421" s="35">
        <v>5696544</v>
      </c>
      <c r="E2421" s="35" t="s">
        <v>2703</v>
      </c>
      <c r="F2421" s="35" t="s">
        <v>411</v>
      </c>
    </row>
    <row r="2422" spans="1:6">
      <c r="A2422" s="35" t="s">
        <v>2837</v>
      </c>
      <c r="B2422" s="37">
        <v>1865.25</v>
      </c>
      <c r="C2422" s="37">
        <v>1721.515625</v>
      </c>
      <c r="D2422" s="35">
        <v>2144442</v>
      </c>
      <c r="E2422" s="35" t="s">
        <v>2703</v>
      </c>
      <c r="F2422" s="35" t="s">
        <v>411</v>
      </c>
    </row>
    <row r="2423" spans="1:6">
      <c r="A2423" s="35" t="s">
        <v>2838</v>
      </c>
      <c r="B2423" s="37">
        <v>1867.800048828125</v>
      </c>
      <c r="C2423" s="37">
        <v>1723.8692626953125</v>
      </c>
      <c r="D2423" s="35">
        <v>2399099</v>
      </c>
      <c r="E2423" s="35" t="s">
        <v>2703</v>
      </c>
      <c r="F2423" s="35" t="s">
        <v>411</v>
      </c>
    </row>
    <row r="2424" spans="1:6">
      <c r="A2424" s="35" t="s">
        <v>2839</v>
      </c>
      <c r="B2424" s="37">
        <v>1857.699951171875</v>
      </c>
      <c r="C2424" s="37">
        <v>1714.5474853515625</v>
      </c>
      <c r="D2424" s="35">
        <v>2366406</v>
      </c>
      <c r="E2424" s="35" t="s">
        <v>2703</v>
      </c>
      <c r="F2424" s="35" t="s">
        <v>411</v>
      </c>
    </row>
    <row r="2425" spans="1:6">
      <c r="A2425" s="35" t="s">
        <v>2840</v>
      </c>
      <c r="B2425" s="37">
        <v>1843.5999755859375</v>
      </c>
      <c r="C2425" s="37">
        <v>1701.5340576171875</v>
      </c>
      <c r="D2425" s="35">
        <v>1284980</v>
      </c>
      <c r="E2425" s="35" t="s">
        <v>2703</v>
      </c>
      <c r="F2425" s="35" t="s">
        <v>411</v>
      </c>
    </row>
    <row r="2426" spans="1:6">
      <c r="A2426" s="35" t="s">
        <v>2841</v>
      </c>
      <c r="B2426" s="37">
        <v>1822.75</v>
      </c>
      <c r="C2426" s="37">
        <v>1693.3125</v>
      </c>
      <c r="D2426" s="35">
        <v>2089660</v>
      </c>
      <c r="E2426" s="35" t="s">
        <v>2703</v>
      </c>
      <c r="F2426" s="35" t="s">
        <v>411</v>
      </c>
    </row>
    <row r="2427" spans="1:6">
      <c r="A2427" s="35" t="s">
        <v>2842</v>
      </c>
      <c r="B2427" s="37">
        <v>1845.75</v>
      </c>
      <c r="C2427" s="37">
        <v>1714.67919921875</v>
      </c>
      <c r="D2427" s="35">
        <v>2522186</v>
      </c>
      <c r="E2427" s="35" t="s">
        <v>2703</v>
      </c>
      <c r="F2427" s="35" t="s">
        <v>411</v>
      </c>
    </row>
    <row r="2428" spans="1:6">
      <c r="A2428" s="35" t="s">
        <v>2843</v>
      </c>
      <c r="B2428" s="37">
        <v>1844.9000244140625</v>
      </c>
      <c r="C2428" s="37">
        <v>1713.8896484375</v>
      </c>
      <c r="D2428" s="35">
        <v>1621637</v>
      </c>
      <c r="E2428" s="35" t="s">
        <v>2703</v>
      </c>
      <c r="F2428" s="35" t="s">
        <v>411</v>
      </c>
    </row>
    <row r="2429" spans="1:6">
      <c r="A2429" s="35" t="s">
        <v>2844</v>
      </c>
      <c r="B2429" s="37">
        <v>1852.3499755859375</v>
      </c>
      <c r="C2429" s="37">
        <v>1720.8104248046875</v>
      </c>
      <c r="D2429" s="35">
        <v>4078295</v>
      </c>
      <c r="E2429" s="35" t="s">
        <v>2703</v>
      </c>
      <c r="F2429" s="35" t="s">
        <v>411</v>
      </c>
    </row>
    <row r="2430" spans="1:6">
      <c r="A2430" s="35" t="s">
        <v>2845</v>
      </c>
      <c r="B2430" s="37">
        <v>1871.75</v>
      </c>
      <c r="C2430" s="37">
        <v>1738.8330078125</v>
      </c>
      <c r="D2430" s="35">
        <v>2418907</v>
      </c>
      <c r="E2430" s="35" t="s">
        <v>2703</v>
      </c>
      <c r="F2430" s="35" t="s">
        <v>411</v>
      </c>
    </row>
    <row r="2431" spans="1:6">
      <c r="A2431" s="35" t="s">
        <v>2846</v>
      </c>
      <c r="B2431" s="37">
        <v>1871.75</v>
      </c>
      <c r="C2431" s="37">
        <v>1738.8330078125</v>
      </c>
      <c r="D2431" s="35">
        <v>1719955</v>
      </c>
      <c r="E2431" s="35" t="s">
        <v>2703</v>
      </c>
      <c r="F2431" s="35" t="s">
        <v>411</v>
      </c>
    </row>
    <row r="2432" spans="1:6">
      <c r="A2432" s="35" t="s">
        <v>2847</v>
      </c>
      <c r="B2432" s="37">
        <v>1838.800048828125</v>
      </c>
      <c r="C2432" s="37">
        <v>1708.2227783203125</v>
      </c>
      <c r="D2432" s="35">
        <v>1732047</v>
      </c>
      <c r="E2432" s="35" t="s">
        <v>2703</v>
      </c>
      <c r="F2432" s="35" t="s">
        <v>411</v>
      </c>
    </row>
    <row r="2433" spans="1:6">
      <c r="A2433" s="35" t="s">
        <v>2848</v>
      </c>
      <c r="B2433" s="37">
        <v>1766.050048828125</v>
      </c>
      <c r="C2433" s="37">
        <v>1640.6387939453125</v>
      </c>
      <c r="D2433" s="35">
        <v>3616088</v>
      </c>
      <c r="E2433" s="35" t="s">
        <v>2703</v>
      </c>
      <c r="F2433" s="35" t="s">
        <v>411</v>
      </c>
    </row>
    <row r="2434" spans="1:6">
      <c r="A2434" s="35" t="s">
        <v>2849</v>
      </c>
      <c r="B2434" s="37">
        <v>1757.4000244140625</v>
      </c>
      <c r="C2434" s="37">
        <v>1632.60302734375</v>
      </c>
      <c r="D2434" s="35">
        <v>242223</v>
      </c>
      <c r="E2434" s="35" t="s">
        <v>2703</v>
      </c>
      <c r="F2434" s="35" t="s">
        <v>411</v>
      </c>
    </row>
    <row r="2435" spans="1:6">
      <c r="A2435" s="35" t="s">
        <v>2850</v>
      </c>
      <c r="B2435" s="37">
        <v>1762.949951171875</v>
      </c>
      <c r="C2435" s="37">
        <v>1637.7589111328125</v>
      </c>
      <c r="D2435" s="35">
        <v>2843690</v>
      </c>
      <c r="E2435" s="35" t="s">
        <v>2703</v>
      </c>
      <c r="F2435" s="35" t="s">
        <v>411</v>
      </c>
    </row>
    <row r="2436" spans="1:6">
      <c r="A2436" s="35" t="s">
        <v>2851</v>
      </c>
      <c r="B2436" s="37">
        <v>1773.550048828125</v>
      </c>
      <c r="C2436" s="37">
        <v>1647.6064453125</v>
      </c>
      <c r="D2436" s="35">
        <v>1818350</v>
      </c>
      <c r="E2436" s="35" t="s">
        <v>2703</v>
      </c>
      <c r="F2436" s="35" t="s">
        <v>411</v>
      </c>
    </row>
    <row r="2437" spans="1:6">
      <c r="A2437" s="35" t="s">
        <v>2852</v>
      </c>
      <c r="B2437" s="37">
        <v>1838.4000244140625</v>
      </c>
      <c r="C2437" s="37">
        <v>1707.8511962890625</v>
      </c>
      <c r="D2437" s="35">
        <v>3477029</v>
      </c>
      <c r="E2437" s="35" t="s">
        <v>2703</v>
      </c>
      <c r="F2437" s="35" t="s">
        <v>411</v>
      </c>
    </row>
    <row r="2438" spans="1:6">
      <c r="A2438" s="35" t="s">
        <v>2853</v>
      </c>
      <c r="B2438" s="37">
        <v>1831.949951171875</v>
      </c>
      <c r="C2438" s="37">
        <v>1701.859130859375</v>
      </c>
      <c r="D2438" s="35">
        <v>2173869</v>
      </c>
      <c r="E2438" s="35" t="s">
        <v>2703</v>
      </c>
      <c r="F2438" s="35" t="s">
        <v>411</v>
      </c>
    </row>
    <row r="2439" spans="1:6">
      <c r="A2439" s="35" t="s">
        <v>2854</v>
      </c>
      <c r="B2439" s="37">
        <v>1837.5</v>
      </c>
      <c r="C2439" s="37">
        <v>1707.0150146484375</v>
      </c>
      <c r="D2439" s="35">
        <v>1521324</v>
      </c>
      <c r="E2439" s="35" t="s">
        <v>2703</v>
      </c>
      <c r="F2439" s="35" t="s">
        <v>411</v>
      </c>
    </row>
    <row r="2440" spans="1:6">
      <c r="A2440" s="35" t="s">
        <v>2855</v>
      </c>
      <c r="B2440" s="37">
        <v>1867.300048828125</v>
      </c>
      <c r="C2440" s="37">
        <v>1734.6990966796875</v>
      </c>
      <c r="D2440" s="35">
        <v>1679869</v>
      </c>
      <c r="E2440" s="35" t="s">
        <v>2703</v>
      </c>
      <c r="F2440" s="35" t="s">
        <v>411</v>
      </c>
    </row>
    <row r="2441" spans="1:6">
      <c r="A2441" s="35" t="s">
        <v>2856</v>
      </c>
      <c r="B2441" s="37">
        <v>1872.8499755859375</v>
      </c>
      <c r="C2441" s="37">
        <v>1739.8548583984375</v>
      </c>
      <c r="D2441" s="35">
        <v>2711052</v>
      </c>
      <c r="E2441" s="35" t="s">
        <v>2703</v>
      </c>
      <c r="F2441" s="35" t="s">
        <v>411</v>
      </c>
    </row>
    <row r="2442" spans="1:6">
      <c r="A2442" s="35" t="s">
        <v>2857</v>
      </c>
      <c r="B2442" s="37">
        <v>1864.75</v>
      </c>
      <c r="C2442" s="37">
        <v>1732.330078125</v>
      </c>
      <c r="D2442" s="35">
        <v>1254074</v>
      </c>
      <c r="E2442" s="35" t="s">
        <v>2703</v>
      </c>
      <c r="F2442" s="35" t="s">
        <v>411</v>
      </c>
    </row>
    <row r="2443" spans="1:6">
      <c r="A2443" s="35" t="s">
        <v>2858</v>
      </c>
      <c r="B2443" s="37">
        <v>1858.949951171875</v>
      </c>
      <c r="C2443" s="37">
        <v>1726.941650390625</v>
      </c>
      <c r="D2443" s="35">
        <v>2462563</v>
      </c>
      <c r="E2443" s="35" t="s">
        <v>2703</v>
      </c>
      <c r="F2443" s="35" t="s">
        <v>411</v>
      </c>
    </row>
    <row r="2444" spans="1:6">
      <c r="A2444" s="35" t="s">
        <v>2859</v>
      </c>
      <c r="B2444" s="37">
        <v>1835</v>
      </c>
      <c r="C2444" s="37">
        <v>1704.6925048828125</v>
      </c>
      <c r="D2444" s="35">
        <v>2483933</v>
      </c>
      <c r="E2444" s="35" t="s">
        <v>2703</v>
      </c>
      <c r="F2444" s="35" t="s">
        <v>411</v>
      </c>
    </row>
    <row r="2445" spans="1:6">
      <c r="A2445" s="35" t="s">
        <v>2860</v>
      </c>
      <c r="B2445" s="37">
        <v>1820.550048828125</v>
      </c>
      <c r="C2445" s="37">
        <v>1691.2689208984375</v>
      </c>
      <c r="D2445" s="35">
        <v>2354204</v>
      </c>
      <c r="E2445" s="35" t="s">
        <v>2703</v>
      </c>
      <c r="F2445" s="35" t="s">
        <v>411</v>
      </c>
    </row>
    <row r="2446" spans="1:6">
      <c r="A2446" s="35" t="s">
        <v>2861</v>
      </c>
      <c r="B2446" s="37">
        <v>1836.3499755859375</v>
      </c>
      <c r="C2446" s="37">
        <v>1705.946533203125</v>
      </c>
      <c r="D2446" s="35">
        <v>1841245</v>
      </c>
      <c r="E2446" s="35" t="s">
        <v>2703</v>
      </c>
      <c r="F2446" s="35" t="s">
        <v>411</v>
      </c>
    </row>
    <row r="2447" spans="1:6">
      <c r="A2447" s="35" t="s">
        <v>2862</v>
      </c>
      <c r="B2447" s="37">
        <v>1898.4000244140625</v>
      </c>
      <c r="C2447" s="37">
        <v>1763.59033203125</v>
      </c>
      <c r="D2447" s="35">
        <v>2765950</v>
      </c>
      <c r="E2447" s="35" t="s">
        <v>2703</v>
      </c>
      <c r="F2447" s="35" t="s">
        <v>411</v>
      </c>
    </row>
    <row r="2448" spans="1:6">
      <c r="A2448" s="35" t="s">
        <v>2863</v>
      </c>
      <c r="B2448" s="37">
        <v>1891.699951171875</v>
      </c>
      <c r="C2448" s="37">
        <v>1757.3662109375</v>
      </c>
      <c r="D2448" s="35">
        <v>6531524</v>
      </c>
      <c r="E2448" s="35" t="s">
        <v>2703</v>
      </c>
      <c r="F2448" s="35" t="s">
        <v>411</v>
      </c>
    </row>
    <row r="2449" spans="1:6">
      <c r="A2449" s="35" t="s">
        <v>2864</v>
      </c>
      <c r="B2449" s="37">
        <v>1899.550048828125</v>
      </c>
      <c r="C2449" s="37">
        <v>1764.6588134765625</v>
      </c>
      <c r="D2449" s="35">
        <v>2079873</v>
      </c>
      <c r="E2449" s="35" t="s">
        <v>2703</v>
      </c>
      <c r="F2449" s="35" t="s">
        <v>411</v>
      </c>
    </row>
    <row r="2450" spans="1:6">
      <c r="A2450" s="35" t="s">
        <v>2865</v>
      </c>
      <c r="B2450" s="37">
        <v>1891.050048828125</v>
      </c>
      <c r="C2450" s="37">
        <v>1756.7623291015625</v>
      </c>
      <c r="D2450" s="35">
        <v>1631975</v>
      </c>
      <c r="E2450" s="35" t="s">
        <v>2703</v>
      </c>
      <c r="F2450" s="35" t="s">
        <v>411</v>
      </c>
    </row>
    <row r="2451" spans="1:6">
      <c r="A2451" s="35" t="s">
        <v>2866</v>
      </c>
      <c r="B2451" s="37">
        <v>1840.9000244140625</v>
      </c>
      <c r="C2451" s="37">
        <v>1710.173583984375</v>
      </c>
      <c r="D2451" s="35">
        <v>3631255</v>
      </c>
      <c r="E2451" s="35" t="s">
        <v>2703</v>
      </c>
      <c r="F2451" s="35" t="s">
        <v>411</v>
      </c>
    </row>
    <row r="2452" spans="1:6">
      <c r="A2452" s="35" t="s">
        <v>2867</v>
      </c>
      <c r="B2452" s="37">
        <v>1848.050048828125</v>
      </c>
      <c r="C2452" s="37">
        <v>1716.815673828125</v>
      </c>
      <c r="D2452" s="35">
        <v>2482280</v>
      </c>
      <c r="E2452" s="35" t="s">
        <v>2703</v>
      </c>
      <c r="F2452" s="35" t="s">
        <v>411</v>
      </c>
    </row>
    <row r="2453" spans="1:6">
      <c r="A2453" s="35" t="s">
        <v>2868</v>
      </c>
      <c r="B2453" s="37">
        <v>1871.5</v>
      </c>
      <c r="C2453" s="37">
        <v>1738.6004638671875</v>
      </c>
      <c r="D2453" s="35">
        <v>2014744</v>
      </c>
      <c r="E2453" s="35" t="s">
        <v>2703</v>
      </c>
      <c r="F2453" s="35" t="s">
        <v>411</v>
      </c>
    </row>
    <row r="2454" spans="1:6">
      <c r="A2454" s="35" t="s">
        <v>2869</v>
      </c>
      <c r="B2454" s="37">
        <v>1890.75</v>
      </c>
      <c r="C2454" s="37">
        <v>1756.4837646484375</v>
      </c>
      <c r="D2454" s="35">
        <v>2954648</v>
      </c>
      <c r="E2454" s="35" t="s">
        <v>2703</v>
      </c>
      <c r="F2454" s="35" t="s">
        <v>411</v>
      </c>
    </row>
    <row r="2455" spans="1:6">
      <c r="A2455" s="35" t="s">
        <v>2870</v>
      </c>
      <c r="B2455" s="37">
        <v>1897.6500244140625</v>
      </c>
      <c r="C2455" s="37">
        <v>1762.8936767578125</v>
      </c>
      <c r="D2455" s="35">
        <v>3730643</v>
      </c>
      <c r="E2455" s="35" t="s">
        <v>2703</v>
      </c>
      <c r="F2455" s="35" t="s">
        <v>411</v>
      </c>
    </row>
    <row r="2456" spans="1:6">
      <c r="A2456" s="35" t="s">
        <v>2871</v>
      </c>
      <c r="B2456" s="37">
        <v>1924</v>
      </c>
      <c r="C2456" s="37">
        <v>1787.3724365234375</v>
      </c>
      <c r="D2456" s="35">
        <v>3881814</v>
      </c>
      <c r="E2456" s="35" t="s">
        <v>2703</v>
      </c>
      <c r="F2456" s="35" t="s">
        <v>411</v>
      </c>
    </row>
    <row r="2457" spans="1:6">
      <c r="A2457" s="35" t="s">
        <v>2872</v>
      </c>
      <c r="B2457" s="37">
        <v>1922.699951171875</v>
      </c>
      <c r="C2457" s="37">
        <v>1786.1646728515625</v>
      </c>
      <c r="D2457" s="35">
        <v>2250408</v>
      </c>
      <c r="E2457" s="35" t="s">
        <v>2703</v>
      </c>
      <c r="F2457" s="35" t="s">
        <v>411</v>
      </c>
    </row>
    <row r="2458" spans="1:6">
      <c r="A2458" s="35" t="s">
        <v>2873</v>
      </c>
      <c r="B2458" s="37">
        <v>1909.9000244140625</v>
      </c>
      <c r="C2458" s="37">
        <v>1774.27392578125</v>
      </c>
      <c r="D2458" s="35">
        <v>1379520</v>
      </c>
      <c r="E2458" s="35" t="s">
        <v>2703</v>
      </c>
      <c r="F2458" s="35" t="s">
        <v>411</v>
      </c>
    </row>
    <row r="2459" spans="1:6">
      <c r="A2459" s="35" t="s">
        <v>2874</v>
      </c>
      <c r="B2459" s="37">
        <v>1936.3499755859375</v>
      </c>
      <c r="C2459" s="37">
        <v>1798.8455810546875</v>
      </c>
      <c r="D2459" s="35">
        <v>2695207</v>
      </c>
      <c r="E2459" s="35" t="s">
        <v>2703</v>
      </c>
      <c r="F2459" s="35" t="s">
        <v>411</v>
      </c>
    </row>
    <row r="2460" spans="1:6">
      <c r="A2460" s="35" t="s">
        <v>2875</v>
      </c>
      <c r="B2460" s="37">
        <v>1930.9000244140625</v>
      </c>
      <c r="C2460" s="37">
        <v>1793.7825927734375</v>
      </c>
      <c r="D2460" s="35">
        <v>1387117</v>
      </c>
      <c r="E2460" s="35" t="s">
        <v>2703</v>
      </c>
      <c r="F2460" s="35" t="s">
        <v>411</v>
      </c>
    </row>
    <row r="2461" spans="1:6">
      <c r="A2461" s="35" t="s">
        <v>2876</v>
      </c>
      <c r="B2461" s="37">
        <v>1936.199951171875</v>
      </c>
      <c r="C2461" s="37">
        <v>1798.706298828125</v>
      </c>
      <c r="D2461" s="35">
        <v>2306173</v>
      </c>
      <c r="E2461" s="35" t="s">
        <v>2703</v>
      </c>
      <c r="F2461" s="35" t="s">
        <v>411</v>
      </c>
    </row>
    <row r="2462" spans="1:6">
      <c r="A2462" s="35" t="s">
        <v>2877</v>
      </c>
      <c r="B2462" s="37">
        <v>1968.800048828125</v>
      </c>
      <c r="C2462" s="37">
        <v>1828.9913330078125</v>
      </c>
      <c r="D2462" s="35">
        <v>2569918</v>
      </c>
      <c r="E2462" s="35" t="s">
        <v>2703</v>
      </c>
      <c r="F2462" s="35" t="s">
        <v>411</v>
      </c>
    </row>
    <row r="2463" spans="1:6">
      <c r="A2463" s="35" t="s">
        <v>2878</v>
      </c>
      <c r="B2463" s="37">
        <v>1954.4000244140625</v>
      </c>
      <c r="C2463" s="37">
        <v>1815.6138916015625</v>
      </c>
      <c r="D2463" s="35">
        <v>1371189</v>
      </c>
      <c r="E2463" s="35" t="s">
        <v>2703</v>
      </c>
      <c r="F2463" s="35" t="s">
        <v>411</v>
      </c>
    </row>
    <row r="2464" spans="1:6">
      <c r="A2464" s="35" t="s">
        <v>2879</v>
      </c>
      <c r="B2464" s="37">
        <v>1950.5999755859375</v>
      </c>
      <c r="C2464" s="37">
        <v>1812.083740234375</v>
      </c>
      <c r="D2464" s="35">
        <v>1987909</v>
      </c>
      <c r="E2464" s="35" t="s">
        <v>2703</v>
      </c>
      <c r="F2464" s="35" t="s">
        <v>411</v>
      </c>
    </row>
    <row r="2465" spans="1:6">
      <c r="A2465" s="35" t="s">
        <v>2880</v>
      </c>
      <c r="B2465" s="37">
        <v>1960.3499755859375</v>
      </c>
      <c r="C2465" s="37">
        <v>1821.1412353515625</v>
      </c>
      <c r="D2465" s="35">
        <v>3460812</v>
      </c>
      <c r="E2465" s="35" t="s">
        <v>2703</v>
      </c>
      <c r="F2465" s="35" t="s">
        <v>411</v>
      </c>
    </row>
    <row r="2466" spans="1:6">
      <c r="A2466" s="35" t="s">
        <v>2881</v>
      </c>
      <c r="B2466" s="37">
        <v>1934.25</v>
      </c>
      <c r="C2466" s="37">
        <v>1796.894775390625</v>
      </c>
      <c r="D2466" s="35">
        <v>1916115</v>
      </c>
      <c r="E2466" s="35" t="s">
        <v>2703</v>
      </c>
      <c r="F2466" s="35" t="s">
        <v>411</v>
      </c>
    </row>
    <row r="2467" spans="1:6">
      <c r="A2467" s="35" t="s">
        <v>2882</v>
      </c>
      <c r="B2467" s="37">
        <v>1911.3499755859375</v>
      </c>
      <c r="C2467" s="37">
        <v>1775.6207275390625</v>
      </c>
      <c r="D2467" s="35">
        <v>3786921</v>
      </c>
      <c r="E2467" s="35" t="s">
        <v>2703</v>
      </c>
      <c r="F2467" s="35" t="s">
        <v>411</v>
      </c>
    </row>
    <row r="2468" spans="1:6">
      <c r="A2468" s="35" t="s">
        <v>2883</v>
      </c>
      <c r="B2468" s="37">
        <v>1903</v>
      </c>
      <c r="C2468" s="37">
        <v>1767.86376953125</v>
      </c>
      <c r="D2468" s="35">
        <v>2058339</v>
      </c>
      <c r="E2468" s="35" t="s">
        <v>2703</v>
      </c>
      <c r="F2468" s="35" t="s">
        <v>411</v>
      </c>
    </row>
    <row r="2469" spans="1:6">
      <c r="A2469" s="35" t="s">
        <v>2884</v>
      </c>
      <c r="B2469" s="37">
        <v>1896.949951171875</v>
      </c>
      <c r="C2469" s="37">
        <v>1762.2432861328125</v>
      </c>
      <c r="D2469" s="35">
        <v>1310301</v>
      </c>
      <c r="E2469" s="35" t="s">
        <v>2703</v>
      </c>
      <c r="F2469" s="35" t="s">
        <v>411</v>
      </c>
    </row>
    <row r="2470" spans="1:6">
      <c r="A2470" s="35" t="s">
        <v>2885</v>
      </c>
      <c r="B2470" s="37">
        <v>1900.75</v>
      </c>
      <c r="C2470" s="37">
        <v>1765.773681640625</v>
      </c>
      <c r="D2470" s="35">
        <v>1065107</v>
      </c>
      <c r="E2470" s="35" t="s">
        <v>2703</v>
      </c>
      <c r="F2470" s="35" t="s">
        <v>411</v>
      </c>
    </row>
    <row r="2471" spans="1:6">
      <c r="A2471" s="35" t="s">
        <v>2886</v>
      </c>
      <c r="B2471" s="37">
        <v>1892</v>
      </c>
      <c r="C2471" s="37">
        <v>1757.64501953125</v>
      </c>
      <c r="D2471" s="35">
        <v>1328546</v>
      </c>
      <c r="E2471" s="35" t="s">
        <v>2703</v>
      </c>
      <c r="F2471" s="35" t="s">
        <v>411</v>
      </c>
    </row>
    <row r="2472" spans="1:6">
      <c r="A2472" s="35" t="s">
        <v>2887</v>
      </c>
      <c r="B2472" s="37">
        <v>1928.949951171875</v>
      </c>
      <c r="C2472" s="37">
        <v>1791.9710693359375</v>
      </c>
      <c r="D2472" s="35">
        <v>6262203</v>
      </c>
      <c r="E2472" s="35" t="s">
        <v>2703</v>
      </c>
      <c r="F2472" s="35" t="s">
        <v>411</v>
      </c>
    </row>
    <row r="2473" spans="1:6">
      <c r="A2473" s="35" t="s">
        <v>2888</v>
      </c>
      <c r="B2473" s="37">
        <v>1917.4000244140625</v>
      </c>
      <c r="C2473" s="37">
        <v>1781.2410888671875</v>
      </c>
      <c r="D2473" s="35">
        <v>1968650</v>
      </c>
      <c r="E2473" s="35" t="s">
        <v>2703</v>
      </c>
      <c r="F2473" s="35" t="s">
        <v>411</v>
      </c>
    </row>
    <row r="2474" spans="1:6">
      <c r="A2474" s="35" t="s">
        <v>2889</v>
      </c>
      <c r="B2474" s="37">
        <v>1911.949951171875</v>
      </c>
      <c r="C2474" s="37">
        <v>1776.17822265625</v>
      </c>
      <c r="D2474" s="35">
        <v>880695</v>
      </c>
      <c r="E2474" s="35" t="s">
        <v>2703</v>
      </c>
      <c r="F2474" s="35" t="s">
        <v>411</v>
      </c>
    </row>
    <row r="2475" spans="1:6">
      <c r="A2475" s="35" t="s">
        <v>2890</v>
      </c>
      <c r="B2475" s="37">
        <v>1972.199951171875</v>
      </c>
      <c r="C2475" s="37">
        <v>1832.1495361328125</v>
      </c>
      <c r="D2475" s="35">
        <v>3487645</v>
      </c>
      <c r="E2475" s="35" t="s">
        <v>2703</v>
      </c>
      <c r="F2475" s="35" t="s">
        <v>411</v>
      </c>
    </row>
    <row r="2476" spans="1:6">
      <c r="A2476" s="35" t="s">
        <v>2891</v>
      </c>
      <c r="B2476" s="37">
        <v>1946.6500244140625</v>
      </c>
      <c r="C2476" s="37">
        <v>1808.4140625</v>
      </c>
      <c r="D2476" s="35">
        <v>2853344</v>
      </c>
      <c r="E2476" s="35" t="s">
        <v>2703</v>
      </c>
      <c r="F2476" s="35" t="s">
        <v>411</v>
      </c>
    </row>
    <row r="2477" spans="1:6">
      <c r="A2477" s="35" t="s">
        <v>2892</v>
      </c>
      <c r="B2477" s="37">
        <v>1953.050048828125</v>
      </c>
      <c r="C2477" s="37">
        <v>1814.359619140625</v>
      </c>
      <c r="D2477" s="35">
        <v>1789037</v>
      </c>
      <c r="E2477" s="35" t="s">
        <v>2703</v>
      </c>
      <c r="F2477" s="35" t="s">
        <v>411</v>
      </c>
    </row>
    <row r="2478" spans="1:6">
      <c r="A2478" s="35" t="s">
        <v>2893</v>
      </c>
      <c r="B2478" s="37">
        <v>1915.9000244140625</v>
      </c>
      <c r="C2478" s="37">
        <v>1779.84765625</v>
      </c>
      <c r="D2478" s="35">
        <v>2494547</v>
      </c>
      <c r="E2478" s="35" t="s">
        <v>2703</v>
      </c>
      <c r="F2478" s="35" t="s">
        <v>411</v>
      </c>
    </row>
    <row r="2479" spans="1:6">
      <c r="A2479" s="35" t="s">
        <v>2894</v>
      </c>
      <c r="B2479" s="37">
        <v>1932.25</v>
      </c>
      <c r="C2479" s="37">
        <v>1795.0364990234375</v>
      </c>
      <c r="D2479" s="35">
        <v>2372138</v>
      </c>
      <c r="E2479" s="35" t="s">
        <v>2703</v>
      </c>
      <c r="F2479" s="35" t="s">
        <v>411</v>
      </c>
    </row>
    <row r="2480" spans="1:6">
      <c r="A2480" s="35" t="s">
        <v>2895</v>
      </c>
      <c r="B2480" s="37">
        <v>1934.800048828125</v>
      </c>
      <c r="C2480" s="37">
        <v>1797.405517578125</v>
      </c>
      <c r="D2480" s="35">
        <v>2742139</v>
      </c>
      <c r="E2480" s="35" t="s">
        <v>2703</v>
      </c>
      <c r="F2480" s="35" t="s">
        <v>411</v>
      </c>
    </row>
    <row r="2481" spans="1:6">
      <c r="A2481" s="35" t="s">
        <v>2896</v>
      </c>
      <c r="B2481" s="37">
        <v>1995.0999755859375</v>
      </c>
      <c r="C2481" s="37">
        <v>1853.4234619140625</v>
      </c>
      <c r="D2481" s="35">
        <v>4802079</v>
      </c>
      <c r="E2481" s="35" t="s">
        <v>2703</v>
      </c>
      <c r="F2481" s="35" t="s">
        <v>411</v>
      </c>
    </row>
    <row r="2482" spans="1:6">
      <c r="A2482" s="35" t="s">
        <v>2897</v>
      </c>
      <c r="B2482" s="37">
        <v>1989.4000244140625</v>
      </c>
      <c r="C2482" s="37">
        <v>1848.128173828125</v>
      </c>
      <c r="D2482" s="35">
        <v>5694121</v>
      </c>
      <c r="E2482" s="35" t="s">
        <v>2703</v>
      </c>
      <c r="F2482" s="35" t="s">
        <v>411</v>
      </c>
    </row>
    <row r="2483" spans="1:6">
      <c r="A2483" s="35" t="s">
        <v>2898</v>
      </c>
      <c r="B2483" s="37">
        <v>1813.550048828125</v>
      </c>
      <c r="C2483" s="37">
        <v>1684.7657470703125</v>
      </c>
      <c r="D2483" s="35">
        <v>15819311</v>
      </c>
      <c r="E2483" s="35" t="s">
        <v>2703</v>
      </c>
      <c r="F2483" s="35" t="s">
        <v>411</v>
      </c>
    </row>
    <row r="2484" spans="1:6">
      <c r="A2484" s="35" t="s">
        <v>2899</v>
      </c>
      <c r="B2484" s="37">
        <v>1825.699951171875</v>
      </c>
      <c r="C2484" s="37">
        <v>1696.052978515625</v>
      </c>
      <c r="D2484" s="35">
        <v>3350594</v>
      </c>
      <c r="E2484" s="35" t="s">
        <v>2703</v>
      </c>
      <c r="F2484" s="35" t="s">
        <v>411</v>
      </c>
    </row>
    <row r="2485" spans="1:6">
      <c r="A2485" s="35" t="s">
        <v>2900</v>
      </c>
      <c r="B2485" s="37">
        <v>1792.25</v>
      </c>
      <c r="C2485" s="37">
        <v>1664.978515625</v>
      </c>
      <c r="D2485" s="35">
        <v>5362008</v>
      </c>
      <c r="E2485" s="35" t="s">
        <v>2703</v>
      </c>
      <c r="F2485" s="35" t="s">
        <v>411</v>
      </c>
    </row>
    <row r="2486" spans="1:6">
      <c r="A2486" s="35" t="s">
        <v>2901</v>
      </c>
      <c r="B2486" s="37">
        <v>1788.9000244140625</v>
      </c>
      <c r="C2486" s="37">
        <v>1678.7261962890625</v>
      </c>
      <c r="D2486" s="35">
        <v>2424374</v>
      </c>
      <c r="E2486" s="35" t="s">
        <v>2703</v>
      </c>
      <c r="F2486" s="35" t="s">
        <v>411</v>
      </c>
    </row>
    <row r="2487" spans="1:6">
      <c r="A2487" s="35" t="s">
        <v>2902</v>
      </c>
      <c r="B2487" s="37">
        <v>1796.199951171875</v>
      </c>
      <c r="C2487" s="37">
        <v>1685.57666015625</v>
      </c>
      <c r="D2487" s="35">
        <v>3401004</v>
      </c>
      <c r="E2487" s="35" t="s">
        <v>2703</v>
      </c>
      <c r="F2487" s="35" t="s">
        <v>411</v>
      </c>
    </row>
    <row r="2488" spans="1:6">
      <c r="A2488" s="35" t="s">
        <v>2903</v>
      </c>
      <c r="B2488" s="37">
        <v>1802.4000244140625</v>
      </c>
      <c r="C2488" s="37">
        <v>1691.394775390625</v>
      </c>
      <c r="D2488" s="35">
        <v>4005357</v>
      </c>
      <c r="E2488" s="35" t="s">
        <v>2703</v>
      </c>
      <c r="F2488" s="35" t="s">
        <v>411</v>
      </c>
    </row>
    <row r="2489" spans="1:6">
      <c r="A2489" s="35" t="s">
        <v>2904</v>
      </c>
      <c r="B2489" s="37">
        <v>1827.699951171875</v>
      </c>
      <c r="C2489" s="37">
        <v>1715.1365966796875</v>
      </c>
      <c r="D2489" s="35">
        <v>3009261</v>
      </c>
      <c r="E2489" s="35" t="s">
        <v>2703</v>
      </c>
      <c r="F2489" s="35" t="s">
        <v>411</v>
      </c>
    </row>
    <row r="2490" spans="1:6">
      <c r="A2490" s="35" t="s">
        <v>2905</v>
      </c>
      <c r="B2490" s="37">
        <v>1807</v>
      </c>
      <c r="C2490" s="37">
        <v>1695.71142578125</v>
      </c>
      <c r="D2490" s="35">
        <v>3750930</v>
      </c>
      <c r="E2490" s="35" t="s">
        <v>2703</v>
      </c>
      <c r="F2490" s="35" t="s">
        <v>411</v>
      </c>
    </row>
    <row r="2491" spans="1:6">
      <c r="A2491" s="35" t="s">
        <v>2906</v>
      </c>
      <c r="B2491" s="37">
        <v>1792.8499755859375</v>
      </c>
      <c r="C2491" s="37">
        <v>1682.432861328125</v>
      </c>
      <c r="D2491" s="35">
        <v>3171259</v>
      </c>
      <c r="E2491" s="35" t="s">
        <v>2703</v>
      </c>
      <c r="F2491" s="35" t="s">
        <v>411</v>
      </c>
    </row>
    <row r="2492" spans="1:6">
      <c r="A2492" s="35" t="s">
        <v>2907</v>
      </c>
      <c r="B2492" s="37">
        <v>1711.949951171875</v>
      </c>
      <c r="C2492" s="37">
        <v>1606.51513671875</v>
      </c>
      <c r="D2492" s="35">
        <v>4174844</v>
      </c>
      <c r="E2492" s="35" t="s">
        <v>2703</v>
      </c>
      <c r="F2492" s="35" t="s">
        <v>411</v>
      </c>
    </row>
    <row r="2493" spans="1:6">
      <c r="A2493" s="35" t="s">
        <v>2908</v>
      </c>
      <c r="B2493" s="37">
        <v>1693.25</v>
      </c>
      <c r="C2493" s="37">
        <v>1588.967041015625</v>
      </c>
      <c r="D2493" s="35">
        <v>5079829</v>
      </c>
      <c r="E2493" s="35" t="s">
        <v>2703</v>
      </c>
      <c r="F2493" s="35" t="s">
        <v>411</v>
      </c>
    </row>
    <row r="2494" spans="1:6">
      <c r="A2494" s="35" t="s">
        <v>2909</v>
      </c>
      <c r="B2494" s="37">
        <v>1719</v>
      </c>
      <c r="C2494" s="37">
        <v>1613.131103515625</v>
      </c>
      <c r="D2494" s="35">
        <v>3733620</v>
      </c>
      <c r="E2494" s="35" t="s">
        <v>2703</v>
      </c>
      <c r="F2494" s="35" t="s">
        <v>411</v>
      </c>
    </row>
    <row r="2495" spans="1:6">
      <c r="A2495" s="35" t="s">
        <v>2910</v>
      </c>
      <c r="B2495" s="37">
        <v>1713.0999755859375</v>
      </c>
      <c r="C2495" s="37">
        <v>1607.5943603515625</v>
      </c>
      <c r="D2495" s="35">
        <v>2543744</v>
      </c>
      <c r="E2495" s="35" t="s">
        <v>2703</v>
      </c>
      <c r="F2495" s="35" t="s">
        <v>411</v>
      </c>
    </row>
    <row r="2496" spans="1:6">
      <c r="A2496" s="35" t="s">
        <v>2911</v>
      </c>
      <c r="B2496" s="37">
        <v>1725.449951171875</v>
      </c>
      <c r="C2496" s="37">
        <v>1619.1839599609375</v>
      </c>
      <c r="D2496" s="35">
        <v>2033832</v>
      </c>
      <c r="E2496" s="35" t="s">
        <v>2703</v>
      </c>
      <c r="F2496" s="35" t="s">
        <v>411</v>
      </c>
    </row>
    <row r="2497" spans="1:6">
      <c r="A2497" s="35" t="s">
        <v>2912</v>
      </c>
      <c r="B2497" s="37">
        <v>1694</v>
      </c>
      <c r="C2497" s="37">
        <v>1589.6708984375</v>
      </c>
      <c r="D2497" s="35">
        <v>569018</v>
      </c>
      <c r="E2497" s="35" t="s">
        <v>2703</v>
      </c>
      <c r="F2497" s="35" t="s">
        <v>411</v>
      </c>
    </row>
    <row r="2498" spans="1:6">
      <c r="A2498" s="35" t="s">
        <v>2913</v>
      </c>
      <c r="B2498" s="37">
        <v>1692</v>
      </c>
      <c r="C2498" s="37">
        <v>1587.7939453125</v>
      </c>
      <c r="D2498" s="35">
        <v>2659929</v>
      </c>
      <c r="E2498" s="35" t="s">
        <v>2703</v>
      </c>
      <c r="F2498" s="35" t="s">
        <v>411</v>
      </c>
    </row>
    <row r="2499" spans="1:6">
      <c r="A2499" s="35" t="s">
        <v>2914</v>
      </c>
      <c r="B2499" s="37">
        <v>1732.550048828125</v>
      </c>
      <c r="C2499" s="37">
        <v>1625.8465576171875</v>
      </c>
      <c r="D2499" s="35">
        <v>3647768</v>
      </c>
      <c r="E2499" s="35" t="s">
        <v>2703</v>
      </c>
      <c r="F2499" s="35" t="s">
        <v>411</v>
      </c>
    </row>
    <row r="2500" spans="1:6">
      <c r="A2500" s="35" t="s">
        <v>2915</v>
      </c>
      <c r="B2500" s="37">
        <v>1712.8499755859375</v>
      </c>
      <c r="C2500" s="37">
        <v>1607.360107421875</v>
      </c>
      <c r="D2500" s="35">
        <v>2681942</v>
      </c>
      <c r="E2500" s="35" t="s">
        <v>2703</v>
      </c>
      <c r="F2500" s="35" t="s">
        <v>411</v>
      </c>
    </row>
    <row r="2501" spans="1:6">
      <c r="A2501" s="35" t="s">
        <v>2916</v>
      </c>
      <c r="B2501" s="37">
        <v>1723.5</v>
      </c>
      <c r="C2501" s="37">
        <v>1617.3541259765625</v>
      </c>
      <c r="D2501" s="35">
        <v>2057798</v>
      </c>
      <c r="E2501" s="35" t="s">
        <v>2703</v>
      </c>
      <c r="F2501" s="35" t="s">
        <v>411</v>
      </c>
    </row>
    <row r="2502" spans="1:6">
      <c r="A2502" s="35" t="s">
        <v>2917</v>
      </c>
      <c r="B2502" s="37">
        <v>1725.6500244140625</v>
      </c>
      <c r="C2502" s="37">
        <v>1619.37158203125</v>
      </c>
      <c r="D2502" s="35">
        <v>2428098</v>
      </c>
      <c r="E2502" s="35" t="s">
        <v>2703</v>
      </c>
      <c r="F2502" s="35" t="s">
        <v>411</v>
      </c>
    </row>
    <row r="2503" spans="1:6">
      <c r="A2503" s="35" t="s">
        <v>2918</v>
      </c>
      <c r="B2503" s="37">
        <v>1733.8499755859375</v>
      </c>
      <c r="C2503" s="37">
        <v>1627.0665283203125</v>
      </c>
      <c r="D2503" s="35">
        <v>1823071</v>
      </c>
      <c r="E2503" s="35" t="s">
        <v>2703</v>
      </c>
      <c r="F2503" s="35" t="s">
        <v>411</v>
      </c>
    </row>
    <row r="2504" spans="1:6">
      <c r="A2504" s="35" t="s">
        <v>2919</v>
      </c>
      <c r="B2504" s="37">
        <v>1723.199951171875</v>
      </c>
      <c r="C2504" s="37">
        <v>1617.0723876953125</v>
      </c>
      <c r="D2504" s="35">
        <v>1702553</v>
      </c>
      <c r="E2504" s="35" t="s">
        <v>2703</v>
      </c>
      <c r="F2504" s="35" t="s">
        <v>411</v>
      </c>
    </row>
    <row r="2505" spans="1:6">
      <c r="A2505" s="35" t="s">
        <v>2920</v>
      </c>
      <c r="B2505" s="37">
        <v>1717.300048828125</v>
      </c>
      <c r="C2505" s="37">
        <v>1611.5357666015625</v>
      </c>
      <c r="D2505" s="35">
        <v>2214307</v>
      </c>
      <c r="E2505" s="35" t="s">
        <v>2703</v>
      </c>
      <c r="F2505" s="35" t="s">
        <v>411</v>
      </c>
    </row>
    <row r="2506" spans="1:6">
      <c r="A2506" s="35" t="s">
        <v>2921</v>
      </c>
      <c r="B2506" s="37">
        <v>1703.0999755859375</v>
      </c>
      <c r="C2506" s="37">
        <v>1598.2103271484375</v>
      </c>
      <c r="D2506" s="35">
        <v>1838463</v>
      </c>
      <c r="E2506" s="35" t="s">
        <v>2703</v>
      </c>
      <c r="F2506" s="35" t="s">
        <v>411</v>
      </c>
    </row>
    <row r="2507" spans="1:6">
      <c r="A2507" s="35" t="s">
        <v>2922</v>
      </c>
      <c r="B2507" s="37">
        <v>1711.25</v>
      </c>
      <c r="C2507" s="37">
        <v>1605.8583984375</v>
      </c>
      <c r="D2507" s="35">
        <v>1460459</v>
      </c>
      <c r="E2507" s="35" t="s">
        <v>2703</v>
      </c>
      <c r="F2507" s="35" t="s">
        <v>411</v>
      </c>
    </row>
    <row r="2508" spans="1:6">
      <c r="A2508" s="35" t="s">
        <v>2923</v>
      </c>
      <c r="B2508" s="37">
        <v>1709.9000244140625</v>
      </c>
      <c r="C2508" s="37">
        <v>1604.5916748046875</v>
      </c>
      <c r="D2508" s="35">
        <v>1127023</v>
      </c>
      <c r="E2508" s="35" t="s">
        <v>2703</v>
      </c>
      <c r="F2508" s="35" t="s">
        <v>411</v>
      </c>
    </row>
    <row r="2509" spans="1:6">
      <c r="A2509" s="35" t="s">
        <v>2924</v>
      </c>
      <c r="B2509" s="37">
        <v>1725.5</v>
      </c>
      <c r="C2509" s="37">
        <v>1619.230712890625</v>
      </c>
      <c r="D2509" s="35">
        <v>1511900</v>
      </c>
      <c r="E2509" s="35" t="s">
        <v>2703</v>
      </c>
      <c r="F2509" s="35" t="s">
        <v>411</v>
      </c>
    </row>
    <row r="2510" spans="1:6">
      <c r="A2510" s="35" t="s">
        <v>2925</v>
      </c>
      <c r="B2510" s="37">
        <v>1712.300048828125</v>
      </c>
      <c r="C2510" s="37">
        <v>1606.84375</v>
      </c>
      <c r="D2510" s="35">
        <v>1294110</v>
      </c>
      <c r="E2510" s="35" t="s">
        <v>2703</v>
      </c>
      <c r="F2510" s="35" t="s">
        <v>411</v>
      </c>
    </row>
    <row r="2511" spans="1:6">
      <c r="A2511" s="35" t="s">
        <v>2926</v>
      </c>
      <c r="B2511" s="37">
        <v>1687.550048828125</v>
      </c>
      <c r="C2511" s="37">
        <v>1583.6181640625</v>
      </c>
      <c r="D2511" s="35">
        <v>1681532</v>
      </c>
      <c r="E2511" s="35" t="s">
        <v>2703</v>
      </c>
      <c r="F2511" s="35" t="s">
        <v>411</v>
      </c>
    </row>
    <row r="2512" spans="1:6">
      <c r="A2512" s="35" t="s">
        <v>2927</v>
      </c>
      <c r="B2512" s="37">
        <v>1700.699951171875</v>
      </c>
      <c r="C2512" s="37">
        <v>1595.9581298828125</v>
      </c>
      <c r="D2512" s="35">
        <v>1222563</v>
      </c>
      <c r="E2512" s="35" t="s">
        <v>2703</v>
      </c>
      <c r="F2512" s="35" t="s">
        <v>411</v>
      </c>
    </row>
    <row r="2513" spans="1:6">
      <c r="A2513" s="35" t="s">
        <v>2928</v>
      </c>
      <c r="B2513" s="37">
        <v>1644.050048828125</v>
      </c>
      <c r="C2513" s="37">
        <v>1542.797119140625</v>
      </c>
      <c r="D2513" s="35">
        <v>4455420</v>
      </c>
      <c r="E2513" s="35" t="s">
        <v>2703</v>
      </c>
      <c r="F2513" s="35" t="s">
        <v>411</v>
      </c>
    </row>
    <row r="2514" spans="1:6">
      <c r="A2514" s="35" t="s">
        <v>2929</v>
      </c>
      <c r="B2514" s="37">
        <v>1636.0999755859375</v>
      </c>
      <c r="C2514" s="37">
        <v>1535.336669921875</v>
      </c>
      <c r="D2514" s="35">
        <v>1951519</v>
      </c>
      <c r="E2514" s="35" t="s">
        <v>2703</v>
      </c>
      <c r="F2514" s="35" t="s">
        <v>411</v>
      </c>
    </row>
    <row r="2515" spans="1:6">
      <c r="A2515" s="35" t="s">
        <v>2930</v>
      </c>
      <c r="B2515" s="37">
        <v>1629.199951171875</v>
      </c>
      <c r="C2515" s="37">
        <v>1528.8616943359375</v>
      </c>
      <c r="D2515" s="35">
        <v>2266866</v>
      </c>
      <c r="E2515" s="35" t="s">
        <v>2703</v>
      </c>
      <c r="F2515" s="35" t="s">
        <v>411</v>
      </c>
    </row>
    <row r="2516" spans="1:6">
      <c r="A2516" s="35" t="s">
        <v>2931</v>
      </c>
      <c r="B2516" s="37">
        <v>1575.050048828125</v>
      </c>
      <c r="C2516" s="37">
        <v>1478.0467529296875</v>
      </c>
      <c r="D2516" s="35">
        <v>4910121</v>
      </c>
      <c r="E2516" s="35" t="s">
        <v>2703</v>
      </c>
      <c r="F2516" s="35" t="s">
        <v>411</v>
      </c>
    </row>
    <row r="2517" spans="1:6">
      <c r="A2517" s="35" t="s">
        <v>2932</v>
      </c>
      <c r="B2517" s="37">
        <v>1572.4000244140625</v>
      </c>
      <c r="C2517" s="37">
        <v>1475.56005859375</v>
      </c>
      <c r="D2517" s="35">
        <v>1784684</v>
      </c>
      <c r="E2517" s="35" t="s">
        <v>2703</v>
      </c>
      <c r="F2517" s="35" t="s">
        <v>411</v>
      </c>
    </row>
    <row r="2518" spans="1:6">
      <c r="A2518" s="35" t="s">
        <v>2933</v>
      </c>
      <c r="B2518" s="37">
        <v>1535.5</v>
      </c>
      <c r="C2518" s="37">
        <v>1440.9326171875</v>
      </c>
      <c r="D2518" s="35">
        <v>3246644</v>
      </c>
      <c r="E2518" s="35" t="s">
        <v>2703</v>
      </c>
      <c r="F2518" s="35" t="s">
        <v>411</v>
      </c>
    </row>
    <row r="2519" spans="1:6">
      <c r="A2519" s="35" t="s">
        <v>2934</v>
      </c>
      <c r="B2519" s="37">
        <v>1572.949951171875</v>
      </c>
      <c r="C2519" s="37">
        <v>1476.0758056640625</v>
      </c>
      <c r="D2519" s="35">
        <v>3112003</v>
      </c>
      <c r="E2519" s="35" t="s">
        <v>2703</v>
      </c>
      <c r="F2519" s="35" t="s">
        <v>411</v>
      </c>
    </row>
    <row r="2520" spans="1:6">
      <c r="A2520" s="35" t="s">
        <v>2935</v>
      </c>
      <c r="B2520" s="37">
        <v>1585.449951171875</v>
      </c>
      <c r="C2520" s="37">
        <v>1487.8060302734375</v>
      </c>
      <c r="D2520" s="35">
        <v>2011489</v>
      </c>
      <c r="E2520" s="35" t="s">
        <v>2703</v>
      </c>
      <c r="F2520" s="35" t="s">
        <v>411</v>
      </c>
    </row>
    <row r="2521" spans="1:6">
      <c r="A2521" s="35" t="s">
        <v>2936</v>
      </c>
      <c r="B2521" s="37">
        <v>1557.949951171875</v>
      </c>
      <c r="C2521" s="37">
        <v>1461.9998779296875</v>
      </c>
      <c r="D2521" s="35">
        <v>2091986</v>
      </c>
      <c r="E2521" s="35" t="s">
        <v>2703</v>
      </c>
      <c r="F2521" s="35" t="s">
        <v>411</v>
      </c>
    </row>
    <row r="2522" spans="1:6">
      <c r="A2522" s="35" t="s">
        <v>2937</v>
      </c>
      <c r="B2522" s="37">
        <v>1549.300048828125</v>
      </c>
      <c r="C2522" s="37">
        <v>1453.8824462890625</v>
      </c>
      <c r="D2522" s="35">
        <v>1855766</v>
      </c>
      <c r="E2522" s="35" t="s">
        <v>2703</v>
      </c>
      <c r="F2522" s="35" t="s">
        <v>411</v>
      </c>
    </row>
    <row r="2523" spans="1:6">
      <c r="A2523" s="35" t="s">
        <v>2938</v>
      </c>
      <c r="B2523" s="37">
        <v>1567.8499755859375</v>
      </c>
      <c r="C2523" s="37">
        <v>1471.2900390625</v>
      </c>
      <c r="D2523" s="35">
        <v>1846190</v>
      </c>
      <c r="E2523" s="35" t="s">
        <v>2703</v>
      </c>
      <c r="F2523" s="35" t="s">
        <v>411</v>
      </c>
    </row>
    <row r="2524" spans="1:6">
      <c r="A2524" s="35" t="s">
        <v>2939</v>
      </c>
      <c r="B2524" s="37">
        <v>1540.5999755859375</v>
      </c>
      <c r="C2524" s="37">
        <v>1445.71826171875</v>
      </c>
      <c r="D2524" s="35">
        <v>3113860</v>
      </c>
      <c r="E2524" s="35" t="s">
        <v>2703</v>
      </c>
      <c r="F2524" s="35" t="s">
        <v>411</v>
      </c>
    </row>
    <row r="2525" spans="1:6">
      <c r="A2525" s="35" t="s">
        <v>2940</v>
      </c>
      <c r="B2525" s="37">
        <v>1534.75</v>
      </c>
      <c r="C2525" s="37">
        <v>1440.228759765625</v>
      </c>
      <c r="D2525" s="35">
        <v>1983351</v>
      </c>
      <c r="E2525" s="35" t="s">
        <v>2703</v>
      </c>
      <c r="F2525" s="35" t="s">
        <v>411</v>
      </c>
    </row>
    <row r="2526" spans="1:6">
      <c r="A2526" s="35" t="s">
        <v>2941</v>
      </c>
      <c r="B2526" s="37">
        <v>1545.1500244140625</v>
      </c>
      <c r="C2526" s="37">
        <v>1449.9881591796875</v>
      </c>
      <c r="D2526" s="35">
        <v>2029100</v>
      </c>
      <c r="E2526" s="35" t="s">
        <v>2703</v>
      </c>
      <c r="F2526" s="35" t="s">
        <v>411</v>
      </c>
    </row>
    <row r="2527" spans="1:6">
      <c r="A2527" s="35" t="s">
        <v>2942</v>
      </c>
      <c r="B2527" s="37">
        <v>1545.1500244140625</v>
      </c>
      <c r="C2527" s="37">
        <v>1449.9881591796875</v>
      </c>
      <c r="D2527" s="35">
        <v>0</v>
      </c>
      <c r="E2527" s="35" t="s">
        <v>2703</v>
      </c>
      <c r="F2527" s="35" t="s">
        <v>411</v>
      </c>
    </row>
    <row r="2528" spans="1:6">
      <c r="A2528" s="35" t="s">
        <v>2943</v>
      </c>
      <c r="B2528" s="37">
        <v>1544.449951171875</v>
      </c>
      <c r="C2528" s="37">
        <v>1449.3311767578125</v>
      </c>
      <c r="D2528" s="35">
        <v>4522829</v>
      </c>
      <c r="E2528" s="35" t="s">
        <v>2703</v>
      </c>
      <c r="F2528" s="35" t="s">
        <v>411</v>
      </c>
    </row>
    <row r="2529" spans="1:6">
      <c r="A2529" s="35" t="s">
        <v>2944</v>
      </c>
      <c r="B2529" s="37">
        <v>1562</v>
      </c>
      <c r="C2529" s="37">
        <v>1465.8004150390625</v>
      </c>
      <c r="D2529" s="35">
        <v>4608677</v>
      </c>
      <c r="E2529" s="35" t="s">
        <v>2703</v>
      </c>
      <c r="F2529" s="35" t="s">
        <v>411</v>
      </c>
    </row>
    <row r="2530" spans="1:6">
      <c r="A2530" s="35" t="s">
        <v>2945</v>
      </c>
      <c r="B2530" s="37">
        <v>1566.699951171875</v>
      </c>
      <c r="C2530" s="37">
        <v>1470.2109375</v>
      </c>
      <c r="D2530" s="35">
        <v>8109210</v>
      </c>
      <c r="E2530" s="35" t="s">
        <v>2703</v>
      </c>
      <c r="F2530" s="35" t="s">
        <v>411</v>
      </c>
    </row>
    <row r="2531" spans="1:6">
      <c r="A2531" s="35" t="s">
        <v>2946</v>
      </c>
      <c r="B2531" s="37">
        <v>1604.1500244140625</v>
      </c>
      <c r="C2531" s="37">
        <v>1505.3544921875</v>
      </c>
      <c r="D2531" s="35">
        <v>2487843</v>
      </c>
      <c r="E2531" s="35" t="s">
        <v>2703</v>
      </c>
      <c r="F2531" s="35" t="s">
        <v>411</v>
      </c>
    </row>
    <row r="2532" spans="1:6">
      <c r="A2532" s="35" t="s">
        <v>2947</v>
      </c>
      <c r="B2532" s="37">
        <v>1624.9000244140625</v>
      </c>
      <c r="C2532" s="37">
        <v>1524.82666015625</v>
      </c>
      <c r="D2532" s="35">
        <v>4906013</v>
      </c>
      <c r="E2532" s="35" t="s">
        <v>2703</v>
      </c>
      <c r="F2532" s="35" t="s">
        <v>411</v>
      </c>
    </row>
    <row r="2533" spans="1:6">
      <c r="A2533" s="35" t="s">
        <v>2948</v>
      </c>
      <c r="B2533" s="37">
        <v>1633.4000244140625</v>
      </c>
      <c r="C2533" s="37">
        <v>1532.8031005859375</v>
      </c>
      <c r="D2533" s="35">
        <v>3096513</v>
      </c>
      <c r="E2533" s="35" t="s">
        <v>2703</v>
      </c>
      <c r="F2533" s="35" t="s">
        <v>411</v>
      </c>
    </row>
    <row r="2534" spans="1:6">
      <c r="A2534" s="35" t="s">
        <v>2949</v>
      </c>
      <c r="B2534" s="37">
        <v>1630.1500244140625</v>
      </c>
      <c r="C2534" s="37">
        <v>1529.7530517578125</v>
      </c>
      <c r="D2534" s="35">
        <v>3383080</v>
      </c>
      <c r="E2534" s="35" t="s">
        <v>2703</v>
      </c>
      <c r="F2534" s="35" t="s">
        <v>411</v>
      </c>
    </row>
    <row r="2535" spans="1:6">
      <c r="A2535" s="35" t="s">
        <v>2950</v>
      </c>
      <c r="B2535" s="37">
        <v>1592.5</v>
      </c>
      <c r="C2535" s="37">
        <v>1494.4219970703125</v>
      </c>
      <c r="D2535" s="35">
        <v>2211077</v>
      </c>
      <c r="E2535" s="35" t="s">
        <v>2703</v>
      </c>
      <c r="F2535" s="35" t="s">
        <v>411</v>
      </c>
    </row>
    <row r="2536" spans="1:6">
      <c r="A2536" s="35" t="s">
        <v>2951</v>
      </c>
      <c r="B2536" s="37">
        <v>1530.3499755859375</v>
      </c>
      <c r="C2536" s="37">
        <v>1436.099609375</v>
      </c>
      <c r="D2536" s="35">
        <v>4126827</v>
      </c>
      <c r="E2536" s="35" t="s">
        <v>2952</v>
      </c>
      <c r="F2536" s="35" t="s">
        <v>411</v>
      </c>
    </row>
    <row r="2537" spans="1:6">
      <c r="A2537" s="35" t="s">
        <v>2953</v>
      </c>
      <c r="B2537" s="37">
        <v>1527.550048828125</v>
      </c>
      <c r="C2537" s="37">
        <v>1433.4720458984375</v>
      </c>
      <c r="D2537" s="35">
        <v>3167863</v>
      </c>
      <c r="E2537" s="35" t="s">
        <v>2952</v>
      </c>
      <c r="F2537" s="35" t="s">
        <v>411</v>
      </c>
    </row>
    <row r="2538" spans="1:6">
      <c r="A2538" s="35" t="s">
        <v>2954</v>
      </c>
      <c r="B2538" s="37">
        <v>1470.0999755859375</v>
      </c>
      <c r="C2538" s="37">
        <v>1379.5601806640625</v>
      </c>
      <c r="D2538" s="35">
        <v>3966161</v>
      </c>
      <c r="E2538" s="35" t="s">
        <v>2952</v>
      </c>
      <c r="F2538" s="35" t="s">
        <v>411</v>
      </c>
    </row>
    <row r="2539" spans="1:6">
      <c r="A2539" s="35" t="s">
        <v>2955</v>
      </c>
      <c r="B2539" s="37">
        <v>1422.0999755859375</v>
      </c>
      <c r="C2539" s="37">
        <v>1334.5164794921875</v>
      </c>
      <c r="D2539" s="35">
        <v>4421312</v>
      </c>
      <c r="E2539" s="35" t="s">
        <v>2952</v>
      </c>
      <c r="F2539" s="35" t="s">
        <v>411</v>
      </c>
    </row>
    <row r="2540" spans="1:6">
      <c r="A2540" s="35" t="s">
        <v>2956</v>
      </c>
      <c r="B2540" s="37">
        <v>1374.0999755859375</v>
      </c>
      <c r="C2540" s="37">
        <v>1289.47265625</v>
      </c>
      <c r="D2540" s="35">
        <v>6484139</v>
      </c>
      <c r="E2540" s="35" t="s">
        <v>2952</v>
      </c>
      <c r="F2540" s="35" t="s">
        <v>411</v>
      </c>
    </row>
    <row r="2541" spans="1:6">
      <c r="A2541" s="35" t="s">
        <v>2957</v>
      </c>
      <c r="B2541" s="37">
        <v>1403.3499755859375</v>
      </c>
      <c r="C2541" s="37">
        <v>1316.921142578125</v>
      </c>
      <c r="D2541" s="35">
        <v>3938359</v>
      </c>
      <c r="E2541" s="35" t="s">
        <v>2952</v>
      </c>
      <c r="F2541" s="35" t="s">
        <v>411</v>
      </c>
    </row>
    <row r="2542" spans="1:6">
      <c r="A2542" s="35" t="s">
        <v>2958</v>
      </c>
      <c r="B2542" s="37">
        <v>1380</v>
      </c>
      <c r="C2542" s="37">
        <v>1295.00927734375</v>
      </c>
      <c r="D2542" s="35">
        <v>3306801</v>
      </c>
      <c r="E2542" s="35" t="s">
        <v>2952</v>
      </c>
      <c r="F2542" s="35" t="s">
        <v>411</v>
      </c>
    </row>
    <row r="2543" spans="1:6">
      <c r="A2543" s="35" t="s">
        <v>2959</v>
      </c>
      <c r="B2543" s="37">
        <v>1390.550048828125</v>
      </c>
      <c r="C2543" s="37">
        <v>1304.9095458984375</v>
      </c>
      <c r="D2543" s="35">
        <v>4859622</v>
      </c>
      <c r="E2543" s="35" t="s">
        <v>2952</v>
      </c>
      <c r="F2543" s="35" t="s">
        <v>411</v>
      </c>
    </row>
    <row r="2544" spans="1:6">
      <c r="A2544" s="35" t="s">
        <v>2960</v>
      </c>
      <c r="B2544" s="37">
        <v>1426.5</v>
      </c>
      <c r="C2544" s="37">
        <v>1338.6453857421875</v>
      </c>
      <c r="D2544" s="35">
        <v>3265147</v>
      </c>
      <c r="E2544" s="35" t="s">
        <v>2952</v>
      </c>
      <c r="F2544" s="35" t="s">
        <v>411</v>
      </c>
    </row>
    <row r="2545" spans="1:6">
      <c r="A2545" s="35" t="s">
        <v>2961</v>
      </c>
      <c r="B2545" s="37">
        <v>1431.699951171875</v>
      </c>
      <c r="C2545" s="37">
        <v>1343.525146484375</v>
      </c>
      <c r="D2545" s="35">
        <v>2553111</v>
      </c>
      <c r="E2545" s="35" t="s">
        <v>2952</v>
      </c>
      <c r="F2545" s="35" t="s">
        <v>411</v>
      </c>
    </row>
    <row r="2546" spans="1:6">
      <c r="A2546" s="35" t="s">
        <v>2962</v>
      </c>
      <c r="B2546" s="37">
        <v>1438</v>
      </c>
      <c r="C2546" s="37">
        <v>1349.4371337890625</v>
      </c>
      <c r="D2546" s="35">
        <v>3549969</v>
      </c>
      <c r="E2546" s="35" t="s">
        <v>2952</v>
      </c>
      <c r="F2546" s="35" t="s">
        <v>411</v>
      </c>
    </row>
    <row r="2547" spans="1:6">
      <c r="A2547" s="35" t="s">
        <v>2963</v>
      </c>
      <c r="B2547" s="37">
        <v>1482</v>
      </c>
      <c r="C2547" s="37">
        <v>1390.7274169921875</v>
      </c>
      <c r="D2547" s="35">
        <v>2840104</v>
      </c>
      <c r="E2547" s="35" t="s">
        <v>2952</v>
      </c>
      <c r="F2547" s="35" t="s">
        <v>411</v>
      </c>
    </row>
    <row r="2548" spans="1:6">
      <c r="A2548" s="35" t="s">
        <v>2964</v>
      </c>
      <c r="B2548" s="37">
        <v>1479.9000244140625</v>
      </c>
      <c r="C2548" s="37">
        <v>1388.756591796875</v>
      </c>
      <c r="D2548" s="35">
        <v>2608145</v>
      </c>
      <c r="E2548" s="35" t="s">
        <v>2952</v>
      </c>
      <c r="F2548" s="35" t="s">
        <v>411</v>
      </c>
    </row>
    <row r="2549" spans="1:6">
      <c r="A2549" s="35" t="s">
        <v>2965</v>
      </c>
      <c r="B2549" s="37">
        <v>1594</v>
      </c>
      <c r="C2549" s="37">
        <v>1495.8294677734375</v>
      </c>
      <c r="D2549" s="35">
        <v>13293318</v>
      </c>
      <c r="E2549" s="35" t="s">
        <v>2952</v>
      </c>
      <c r="F2549" s="35" t="s">
        <v>411</v>
      </c>
    </row>
    <row r="2550" spans="1:6">
      <c r="A2550" s="35" t="s">
        <v>2966</v>
      </c>
      <c r="B2550" s="37">
        <v>1586.699951171875</v>
      </c>
      <c r="C2550" s="37">
        <v>1488.9791259765625</v>
      </c>
      <c r="D2550" s="35">
        <v>3193118</v>
      </c>
      <c r="E2550" s="35" t="s">
        <v>2952</v>
      </c>
      <c r="F2550" s="35" t="s">
        <v>411</v>
      </c>
    </row>
    <row r="2551" spans="1:6">
      <c r="A2551" s="35" t="s">
        <v>2967</v>
      </c>
      <c r="B2551" s="37">
        <v>1578.199951171875</v>
      </c>
      <c r="C2551" s="37">
        <v>1481.0025634765625</v>
      </c>
      <c r="D2551" s="35">
        <v>3800415</v>
      </c>
      <c r="E2551" s="35" t="s">
        <v>2952</v>
      </c>
      <c r="F2551" s="35" t="s">
        <v>411</v>
      </c>
    </row>
    <row r="2552" spans="1:6">
      <c r="A2552" s="35" t="s">
        <v>2968</v>
      </c>
      <c r="B2552" s="37">
        <v>1549.300048828125</v>
      </c>
      <c r="C2552" s="37">
        <v>1470.6558837890625</v>
      </c>
      <c r="D2552" s="35">
        <v>2618810</v>
      </c>
      <c r="E2552" s="35" t="s">
        <v>2952</v>
      </c>
      <c r="F2552" s="35" t="s">
        <v>411</v>
      </c>
    </row>
    <row r="2553" spans="1:6">
      <c r="A2553" s="35" t="s">
        <v>2969</v>
      </c>
      <c r="B2553" s="37">
        <v>1569</v>
      </c>
      <c r="C2553" s="37">
        <v>1489.35595703125</v>
      </c>
      <c r="D2553" s="35">
        <v>2231069</v>
      </c>
      <c r="E2553" s="35" t="s">
        <v>2952</v>
      </c>
      <c r="F2553" s="35" t="s">
        <v>411</v>
      </c>
    </row>
    <row r="2554" spans="1:6">
      <c r="A2554" s="35" t="s">
        <v>2970</v>
      </c>
      <c r="B2554" s="37">
        <v>1567.5</v>
      </c>
      <c r="C2554" s="37">
        <v>1487.93212890625</v>
      </c>
      <c r="D2554" s="35">
        <v>3682256</v>
      </c>
      <c r="E2554" s="35" t="s">
        <v>2952</v>
      </c>
      <c r="F2554" s="35" t="s">
        <v>411</v>
      </c>
    </row>
    <row r="2555" spans="1:6">
      <c r="A2555" s="35" t="s">
        <v>2971</v>
      </c>
      <c r="B2555" s="37">
        <v>1572.4000244140625</v>
      </c>
      <c r="C2555" s="37">
        <v>1492.58349609375</v>
      </c>
      <c r="D2555" s="35">
        <v>1370848</v>
      </c>
      <c r="E2555" s="35" t="s">
        <v>2952</v>
      </c>
      <c r="F2555" s="35" t="s">
        <v>411</v>
      </c>
    </row>
    <row r="2556" spans="1:6">
      <c r="A2556" s="35" t="s">
        <v>2972</v>
      </c>
      <c r="B2556" s="37">
        <v>1568.5999755859375</v>
      </c>
      <c r="C2556" s="37">
        <v>1488.976318359375</v>
      </c>
      <c r="D2556" s="35">
        <v>1012225</v>
      </c>
      <c r="E2556" s="35" t="s">
        <v>2952</v>
      </c>
      <c r="F2556" s="35" t="s">
        <v>411</v>
      </c>
    </row>
    <row r="2557" spans="1:6">
      <c r="A2557" s="35" t="s">
        <v>2973</v>
      </c>
      <c r="B2557" s="37">
        <v>1579.0999755859375</v>
      </c>
      <c r="C2557" s="37">
        <v>1498.9432373046875</v>
      </c>
      <c r="D2557" s="35">
        <v>2055057</v>
      </c>
      <c r="E2557" s="35" t="s">
        <v>2952</v>
      </c>
      <c r="F2557" s="35" t="s">
        <v>411</v>
      </c>
    </row>
    <row r="2558" spans="1:6">
      <c r="A2558" s="35" t="s">
        <v>2974</v>
      </c>
      <c r="B2558" s="37">
        <v>1563.300048828125</v>
      </c>
      <c r="C2558" s="37">
        <v>1483.9453125</v>
      </c>
      <c r="D2558" s="35">
        <v>5469936</v>
      </c>
      <c r="E2558" s="35" t="s">
        <v>2952</v>
      </c>
      <c r="F2558" s="35" t="s">
        <v>411</v>
      </c>
    </row>
    <row r="2559" spans="1:6">
      <c r="A2559" s="35" t="s">
        <v>2975</v>
      </c>
      <c r="B2559" s="37">
        <v>1580.699951171875</v>
      </c>
      <c r="C2559" s="37">
        <v>1500.4620361328125</v>
      </c>
      <c r="D2559" s="35">
        <v>2789018</v>
      </c>
      <c r="E2559" s="35" t="s">
        <v>2952</v>
      </c>
      <c r="F2559" s="35" t="s">
        <v>411</v>
      </c>
    </row>
    <row r="2560" spans="1:6">
      <c r="A2560" s="35" t="s">
        <v>2976</v>
      </c>
      <c r="B2560" s="37">
        <v>1569.4000244140625</v>
      </c>
      <c r="C2560" s="37">
        <v>1489.7357177734375</v>
      </c>
      <c r="D2560" s="35">
        <v>2035161</v>
      </c>
      <c r="E2560" s="35" t="s">
        <v>2952</v>
      </c>
      <c r="F2560" s="35" t="s">
        <v>411</v>
      </c>
    </row>
    <row r="2561" spans="1:6">
      <c r="A2561" s="35" t="s">
        <v>2977</v>
      </c>
      <c r="B2561" s="37">
        <v>1670.300048828125</v>
      </c>
      <c r="C2561" s="37">
        <v>1585.513916015625</v>
      </c>
      <c r="D2561" s="35">
        <v>4028207</v>
      </c>
      <c r="E2561" s="35" t="s">
        <v>2952</v>
      </c>
      <c r="F2561" s="35" t="s">
        <v>411</v>
      </c>
    </row>
    <row r="2562" spans="1:6">
      <c r="A2562" s="35" t="s">
        <v>2978</v>
      </c>
      <c r="B2562" s="37">
        <v>1619.5999755859375</v>
      </c>
      <c r="C2562" s="37">
        <v>1537.387451171875</v>
      </c>
      <c r="D2562" s="35">
        <v>3118470</v>
      </c>
      <c r="E2562" s="35" t="s">
        <v>2952</v>
      </c>
      <c r="F2562" s="35" t="s">
        <v>411</v>
      </c>
    </row>
    <row r="2563" spans="1:6">
      <c r="A2563" s="35" t="s">
        <v>2979</v>
      </c>
      <c r="B2563" s="37">
        <v>1637.699951171875</v>
      </c>
      <c r="C2563" s="37">
        <v>1554.568603515625</v>
      </c>
      <c r="D2563" s="35">
        <v>1569126</v>
      </c>
      <c r="E2563" s="35" t="s">
        <v>2952</v>
      </c>
      <c r="F2563" s="35" t="s">
        <v>411</v>
      </c>
    </row>
    <row r="2564" spans="1:6">
      <c r="A2564" s="35" t="s">
        <v>2980</v>
      </c>
      <c r="B2564" s="37">
        <v>1696</v>
      </c>
      <c r="C2564" s="37">
        <v>1609.9091796875</v>
      </c>
      <c r="D2564" s="35">
        <v>4961582</v>
      </c>
      <c r="E2564" s="35" t="s">
        <v>2952</v>
      </c>
      <c r="F2564" s="35" t="s">
        <v>411</v>
      </c>
    </row>
    <row r="2565" spans="1:6">
      <c r="A2565" s="35" t="s">
        <v>2981</v>
      </c>
      <c r="B2565" s="37">
        <v>1659.9000244140625</v>
      </c>
      <c r="C2565" s="37">
        <v>1575.641845703125</v>
      </c>
      <c r="D2565" s="35">
        <v>2586263</v>
      </c>
      <c r="E2565" s="35" t="s">
        <v>2952</v>
      </c>
      <c r="F2565" s="35" t="s">
        <v>411</v>
      </c>
    </row>
    <row r="2566" spans="1:6">
      <c r="A2566" s="35" t="s">
        <v>2982</v>
      </c>
      <c r="B2566" s="37">
        <v>1649.5999755859375</v>
      </c>
      <c r="C2566" s="37">
        <v>1565.8646240234375</v>
      </c>
      <c r="D2566" s="35">
        <v>1642018</v>
      </c>
      <c r="E2566" s="35" t="s">
        <v>2952</v>
      </c>
      <c r="F2566" s="35" t="s">
        <v>411</v>
      </c>
    </row>
    <row r="2567" spans="1:6">
      <c r="A2567" s="35" t="s">
        <v>2983</v>
      </c>
      <c r="B2567" s="37">
        <v>1638.300048828125</v>
      </c>
      <c r="C2567" s="37">
        <v>1555.1383056640625</v>
      </c>
      <c r="D2567" s="35">
        <v>2421580</v>
      </c>
      <c r="E2567" s="35" t="s">
        <v>2952</v>
      </c>
      <c r="F2567" s="35" t="s">
        <v>411</v>
      </c>
    </row>
    <row r="2568" spans="1:6">
      <c r="A2568" s="35" t="s">
        <v>2984</v>
      </c>
      <c r="B2568" s="37">
        <v>1652</v>
      </c>
      <c r="C2568" s="37">
        <v>1568.142822265625</v>
      </c>
      <c r="D2568" s="35">
        <v>1420835</v>
      </c>
      <c r="E2568" s="35" t="s">
        <v>2952</v>
      </c>
      <c r="F2568" s="35" t="s">
        <v>411</v>
      </c>
    </row>
    <row r="2569" spans="1:6">
      <c r="A2569" s="35" t="s">
        <v>2985</v>
      </c>
      <c r="B2569" s="37">
        <v>1633</v>
      </c>
      <c r="C2569" s="37">
        <v>1550.1072998046875</v>
      </c>
      <c r="D2569" s="35">
        <v>2202093</v>
      </c>
      <c r="E2569" s="35" t="s">
        <v>2952</v>
      </c>
      <c r="F2569" s="35" t="s">
        <v>411</v>
      </c>
    </row>
    <row r="2570" spans="1:6">
      <c r="A2570" s="35" t="s">
        <v>2986</v>
      </c>
      <c r="B2570" s="37">
        <v>1648.199951171875</v>
      </c>
      <c r="C2570" s="37">
        <v>1564.5355224609375</v>
      </c>
      <c r="D2570" s="35">
        <v>1459454</v>
      </c>
      <c r="E2570" s="35" t="s">
        <v>2952</v>
      </c>
      <c r="F2570" s="35" t="s">
        <v>411</v>
      </c>
    </row>
    <row r="2571" spans="1:6">
      <c r="A2571" s="35" t="s">
        <v>2987</v>
      </c>
      <c r="B2571" s="37">
        <v>1673.5999755859375</v>
      </c>
      <c r="C2571" s="37">
        <v>1588.6463623046875</v>
      </c>
      <c r="D2571" s="35">
        <v>1078813</v>
      </c>
      <c r="E2571" s="35" t="s">
        <v>2952</v>
      </c>
      <c r="F2571" s="35" t="s">
        <v>411</v>
      </c>
    </row>
    <row r="2572" spans="1:6">
      <c r="A2572" s="35" t="s">
        <v>2988</v>
      </c>
      <c r="B2572" s="37">
        <v>1652.0999755859375</v>
      </c>
      <c r="C2572" s="37">
        <v>1568.23779296875</v>
      </c>
      <c r="D2572" s="35">
        <v>2740015</v>
      </c>
      <c r="E2572" s="35" t="s">
        <v>2952</v>
      </c>
      <c r="F2572" s="35" t="s">
        <v>411</v>
      </c>
    </row>
    <row r="2573" spans="1:6">
      <c r="A2573" s="35" t="s">
        <v>2989</v>
      </c>
      <c r="B2573" s="37">
        <v>1657.300048828125</v>
      </c>
      <c r="C2573" s="37">
        <v>1573.1739501953125</v>
      </c>
      <c r="D2573" s="35">
        <v>1775441</v>
      </c>
      <c r="E2573" s="35" t="s">
        <v>2952</v>
      </c>
      <c r="F2573" s="35" t="s">
        <v>411</v>
      </c>
    </row>
    <row r="2574" spans="1:6">
      <c r="A2574" s="35" t="s">
        <v>2990</v>
      </c>
      <c r="B2574" s="37">
        <v>1664.699951171875</v>
      </c>
      <c r="C2574" s="37">
        <v>1580.1982421875</v>
      </c>
      <c r="D2574" s="35">
        <v>2374051</v>
      </c>
      <c r="E2574" s="35" t="s">
        <v>2952</v>
      </c>
      <c r="F2574" s="35" t="s">
        <v>411</v>
      </c>
    </row>
    <row r="2575" spans="1:6">
      <c r="A2575" s="35" t="s">
        <v>2991</v>
      </c>
      <c r="B2575" s="37">
        <v>1636.5999755859375</v>
      </c>
      <c r="C2575" s="37">
        <v>1553.5244140625</v>
      </c>
      <c r="D2575" s="35">
        <v>4408910</v>
      </c>
      <c r="E2575" s="35" t="s">
        <v>2952</v>
      </c>
      <c r="F2575" s="35" t="s">
        <v>411</v>
      </c>
    </row>
    <row r="2576" spans="1:6">
      <c r="A2576" s="35" t="s">
        <v>2992</v>
      </c>
      <c r="B2576" s="37">
        <v>1631.5</v>
      </c>
      <c r="C2576" s="37">
        <v>1548.6834716796875</v>
      </c>
      <c r="D2576" s="35">
        <v>1883100</v>
      </c>
      <c r="E2576" s="35" t="s">
        <v>2952</v>
      </c>
      <c r="F2576" s="35" t="s">
        <v>411</v>
      </c>
    </row>
    <row r="2577" spans="1:6">
      <c r="A2577" s="35" t="s">
        <v>2993</v>
      </c>
      <c r="B2577" s="37">
        <v>1630.4000244140625</v>
      </c>
      <c r="C2577" s="37">
        <v>1547.6392822265625</v>
      </c>
      <c r="D2577" s="35">
        <v>2380133</v>
      </c>
      <c r="E2577" s="35" t="s">
        <v>2952</v>
      </c>
      <c r="F2577" s="35" t="s">
        <v>411</v>
      </c>
    </row>
    <row r="2578" spans="1:6">
      <c r="A2578" s="35" t="s">
        <v>2994</v>
      </c>
      <c r="B2578" s="37">
        <v>1626.0999755859375</v>
      </c>
      <c r="C2578" s="37">
        <v>1543.5576171875</v>
      </c>
      <c r="D2578" s="35">
        <v>1659720</v>
      </c>
      <c r="E2578" s="35" t="s">
        <v>2952</v>
      </c>
      <c r="F2578" s="35" t="s">
        <v>411</v>
      </c>
    </row>
    <row r="2579" spans="1:6">
      <c r="A2579" s="35" t="s">
        <v>2995</v>
      </c>
      <c r="B2579" s="37">
        <v>1632.4000244140625</v>
      </c>
      <c r="C2579" s="37">
        <v>1549.5377197265625</v>
      </c>
      <c r="D2579" s="35">
        <v>1409322</v>
      </c>
      <c r="E2579" s="35" t="s">
        <v>2952</v>
      </c>
      <c r="F2579" s="35" t="s">
        <v>411</v>
      </c>
    </row>
    <row r="2580" spans="1:6">
      <c r="A2580" s="35" t="s">
        <v>2996</v>
      </c>
      <c r="B2580" s="37">
        <v>1637.699951171875</v>
      </c>
      <c r="C2580" s="37">
        <v>1554.568603515625</v>
      </c>
      <c r="D2580" s="35">
        <v>1261281</v>
      </c>
      <c r="E2580" s="35" t="s">
        <v>2952</v>
      </c>
      <c r="F2580" s="35" t="s">
        <v>411</v>
      </c>
    </row>
    <row r="2581" spans="1:6">
      <c r="A2581" s="35" t="s">
        <v>2997</v>
      </c>
      <c r="B2581" s="37">
        <v>1648.300048828125</v>
      </c>
      <c r="C2581" s="37">
        <v>1564.630615234375</v>
      </c>
      <c r="D2581" s="35">
        <v>1299786</v>
      </c>
      <c r="E2581" s="35" t="s">
        <v>2952</v>
      </c>
      <c r="F2581" s="35" t="s">
        <v>411</v>
      </c>
    </row>
    <row r="2582" spans="1:6">
      <c r="A2582" s="35" t="s">
        <v>2998</v>
      </c>
      <c r="B2582" s="37">
        <v>1668.0999755859375</v>
      </c>
      <c r="C2582" s="37">
        <v>1583.425537109375</v>
      </c>
      <c r="D2582" s="35">
        <v>3055223</v>
      </c>
      <c r="E2582" s="35" t="s">
        <v>2952</v>
      </c>
      <c r="F2582" s="35" t="s">
        <v>411</v>
      </c>
    </row>
    <row r="2583" spans="1:6">
      <c r="A2583" s="35" t="s">
        <v>2999</v>
      </c>
      <c r="B2583" s="37">
        <v>1721.9000244140625</v>
      </c>
      <c r="C2583" s="37">
        <v>1634.49462890625</v>
      </c>
      <c r="D2583" s="35">
        <v>5085821</v>
      </c>
      <c r="E2583" s="35" t="s">
        <v>2952</v>
      </c>
      <c r="F2583" s="35" t="s">
        <v>411</v>
      </c>
    </row>
    <row r="2584" spans="1:6">
      <c r="A2584" s="35" t="s">
        <v>3000</v>
      </c>
      <c r="B2584" s="37">
        <v>1701.199951171875</v>
      </c>
      <c r="C2584" s="37">
        <v>1614.8453369140625</v>
      </c>
      <c r="D2584" s="35">
        <v>3607962</v>
      </c>
      <c r="E2584" s="35" t="s">
        <v>2952</v>
      </c>
      <c r="F2584" s="35" t="s">
        <v>411</v>
      </c>
    </row>
    <row r="2585" spans="1:6">
      <c r="A2585" s="35" t="s">
        <v>3001</v>
      </c>
      <c r="B2585" s="37">
        <v>1695.300048828125</v>
      </c>
      <c r="C2585" s="37">
        <v>1609.2447509765625</v>
      </c>
      <c r="D2585" s="35">
        <v>1988422</v>
      </c>
      <c r="E2585" s="35" t="s">
        <v>2952</v>
      </c>
      <c r="F2585" s="35" t="s">
        <v>411</v>
      </c>
    </row>
    <row r="2586" spans="1:6">
      <c r="A2586" s="35" t="s">
        <v>3002</v>
      </c>
      <c r="B2586" s="37">
        <v>1723</v>
      </c>
      <c r="C2586" s="37">
        <v>1635.538818359375</v>
      </c>
      <c r="D2586" s="35">
        <v>2116100</v>
      </c>
      <c r="E2586" s="35" t="s">
        <v>2952</v>
      </c>
      <c r="F2586" s="35" t="s">
        <v>411</v>
      </c>
    </row>
    <row r="2587" spans="1:6">
      <c r="A2587" s="35" t="s">
        <v>3003</v>
      </c>
      <c r="B2587" s="37">
        <v>1729.5999755859375</v>
      </c>
      <c r="C2587" s="37">
        <v>1641.8037109375</v>
      </c>
      <c r="D2587" s="35">
        <v>1777245</v>
      </c>
      <c r="E2587" s="35" t="s">
        <v>2952</v>
      </c>
      <c r="F2587" s="35" t="s">
        <v>411</v>
      </c>
    </row>
    <row r="2588" spans="1:6">
      <c r="A2588" s="35" t="s">
        <v>3004</v>
      </c>
      <c r="B2588" s="37">
        <v>1715.9000244140625</v>
      </c>
      <c r="C2588" s="37">
        <v>1628.79931640625</v>
      </c>
      <c r="D2588" s="35">
        <v>1794428</v>
      </c>
      <c r="E2588" s="35" t="s">
        <v>2952</v>
      </c>
      <c r="F2588" s="35" t="s">
        <v>411</v>
      </c>
    </row>
    <row r="2589" spans="1:6">
      <c r="A2589" s="35" t="s">
        <v>3005</v>
      </c>
      <c r="B2589" s="37">
        <v>1713.9000244140625</v>
      </c>
      <c r="C2589" s="37">
        <v>1626.900634765625</v>
      </c>
      <c r="D2589" s="35">
        <v>2514527</v>
      </c>
      <c r="E2589" s="35" t="s">
        <v>2952</v>
      </c>
      <c r="F2589" s="35" t="s">
        <v>411</v>
      </c>
    </row>
    <row r="2590" spans="1:6">
      <c r="A2590" s="35" t="s">
        <v>3006</v>
      </c>
      <c r="B2590" s="37">
        <v>1739.9000244140625</v>
      </c>
      <c r="C2590" s="37">
        <v>1651.580810546875</v>
      </c>
      <c r="D2590" s="35">
        <v>2719770</v>
      </c>
      <c r="E2590" s="35" t="s">
        <v>2952</v>
      </c>
      <c r="F2590" s="35" t="s">
        <v>411</v>
      </c>
    </row>
    <row r="2591" spans="1:6">
      <c r="A2591" s="35" t="s">
        <v>3007</v>
      </c>
      <c r="B2591" s="37">
        <v>1703.199951171875</v>
      </c>
      <c r="C2591" s="37">
        <v>1616.7437744140625</v>
      </c>
      <c r="D2591" s="35">
        <v>2221446</v>
      </c>
      <c r="E2591" s="35" t="s">
        <v>2952</v>
      </c>
      <c r="F2591" s="35" t="s">
        <v>411</v>
      </c>
    </row>
    <row r="2592" spans="1:6">
      <c r="A2592" s="35" t="s">
        <v>3008</v>
      </c>
      <c r="B2592" s="37">
        <v>1691.800048828125</v>
      </c>
      <c r="C2592" s="37">
        <v>1605.922607421875</v>
      </c>
      <c r="D2592" s="35">
        <v>3601071</v>
      </c>
      <c r="E2592" s="35" t="s">
        <v>2952</v>
      </c>
      <c r="F2592" s="35" t="s">
        <v>411</v>
      </c>
    </row>
    <row r="2593" spans="1:6">
      <c r="A2593" s="35" t="s">
        <v>3009</v>
      </c>
      <c r="B2593" s="37">
        <v>1717.0999755859375</v>
      </c>
      <c r="C2593" s="37">
        <v>1629.938232421875</v>
      </c>
      <c r="D2593" s="35">
        <v>1307518</v>
      </c>
      <c r="E2593" s="35" t="s">
        <v>2952</v>
      </c>
      <c r="F2593" s="35" t="s">
        <v>411</v>
      </c>
    </row>
    <row r="2594" spans="1:6">
      <c r="A2594" s="35" t="s">
        <v>3010</v>
      </c>
      <c r="B2594" s="37">
        <v>1724.0999755859375</v>
      </c>
      <c r="C2594" s="37">
        <v>1636.5828857421875</v>
      </c>
      <c r="D2594" s="35">
        <v>2971055</v>
      </c>
      <c r="E2594" s="35" t="s">
        <v>2952</v>
      </c>
      <c r="F2594" s="35" t="s">
        <v>411</v>
      </c>
    </row>
    <row r="2595" spans="1:6">
      <c r="A2595" s="35" t="s">
        <v>3011</v>
      </c>
      <c r="B2595" s="37">
        <v>1723.300048828125</v>
      </c>
      <c r="C2595" s="37">
        <v>1635.823486328125</v>
      </c>
      <c r="D2595" s="35">
        <v>6478283</v>
      </c>
      <c r="E2595" s="35" t="s">
        <v>2952</v>
      </c>
      <c r="F2595" s="35" t="s">
        <v>411</v>
      </c>
    </row>
    <row r="2596" spans="1:6">
      <c r="A2596" s="35" t="s">
        <v>3012</v>
      </c>
      <c r="B2596" s="37">
        <v>1728.5999755859375</v>
      </c>
      <c r="C2596" s="37">
        <v>1640.8544921875</v>
      </c>
      <c r="D2596" s="35">
        <v>1855229</v>
      </c>
      <c r="E2596" s="35" t="s">
        <v>2952</v>
      </c>
      <c r="F2596" s="35" t="s">
        <v>411</v>
      </c>
    </row>
    <row r="2597" spans="1:6">
      <c r="A2597" s="35" t="s">
        <v>3013</v>
      </c>
      <c r="B2597" s="37">
        <v>1718.300048828125</v>
      </c>
      <c r="C2597" s="37">
        <v>1631.077392578125</v>
      </c>
      <c r="D2597" s="35">
        <v>1639826</v>
      </c>
      <c r="E2597" s="35" t="s">
        <v>2952</v>
      </c>
      <c r="F2597" s="35" t="s">
        <v>411</v>
      </c>
    </row>
    <row r="2598" spans="1:6">
      <c r="A2598" s="35" t="s">
        <v>3014</v>
      </c>
      <c r="B2598" s="37">
        <v>1718.5999755859375</v>
      </c>
      <c r="C2598" s="37">
        <v>1631.3621826171875</v>
      </c>
      <c r="D2598" s="35">
        <v>2069447</v>
      </c>
      <c r="E2598" s="35" t="s">
        <v>2952</v>
      </c>
      <c r="F2598" s="35" t="s">
        <v>411</v>
      </c>
    </row>
    <row r="2599" spans="1:6">
      <c r="A2599" s="35" t="s">
        <v>3015</v>
      </c>
      <c r="B2599" s="37">
        <v>1711.9000244140625</v>
      </c>
      <c r="C2599" s="37">
        <v>1625.002197265625</v>
      </c>
      <c r="D2599" s="35">
        <v>1839063</v>
      </c>
      <c r="E2599" s="35" t="s">
        <v>2952</v>
      </c>
      <c r="F2599" s="35" t="s">
        <v>411</v>
      </c>
    </row>
    <row r="2600" spans="1:6">
      <c r="A2600" s="35" t="s">
        <v>3016</v>
      </c>
      <c r="B2600" s="37">
        <v>1725.9000244140625</v>
      </c>
      <c r="C2600" s="37">
        <v>1638.2916259765625</v>
      </c>
      <c r="D2600" s="35">
        <v>768500</v>
      </c>
      <c r="E2600" s="35" t="s">
        <v>2952</v>
      </c>
      <c r="F2600" s="35" t="s">
        <v>411</v>
      </c>
    </row>
    <row r="2601" spans="1:6">
      <c r="A2601" s="35" t="s">
        <v>3017</v>
      </c>
      <c r="B2601" s="37">
        <v>1710.4000244140625</v>
      </c>
      <c r="C2601" s="37">
        <v>1623.578369140625</v>
      </c>
      <c r="D2601" s="35">
        <v>1366412</v>
      </c>
      <c r="E2601" s="35" t="s">
        <v>2952</v>
      </c>
      <c r="F2601" s="35" t="s">
        <v>411</v>
      </c>
    </row>
    <row r="2602" spans="1:6">
      <c r="A2602" s="35" t="s">
        <v>3018</v>
      </c>
      <c r="B2602" s="37">
        <v>1708.0999755859375</v>
      </c>
      <c r="C2602" s="37">
        <v>1621.3951416015625</v>
      </c>
      <c r="D2602" s="35">
        <v>2139193</v>
      </c>
      <c r="E2602" s="35" t="s">
        <v>2952</v>
      </c>
      <c r="F2602" s="35" t="s">
        <v>411</v>
      </c>
    </row>
    <row r="2603" spans="1:6">
      <c r="A2603" s="35" t="s">
        <v>3019</v>
      </c>
      <c r="B2603" s="37">
        <v>1674</v>
      </c>
      <c r="C2603" s="37">
        <v>1589.0260009765625</v>
      </c>
      <c r="D2603" s="35">
        <v>2894808</v>
      </c>
      <c r="E2603" s="35" t="s">
        <v>2952</v>
      </c>
      <c r="F2603" s="35" t="s">
        <v>411</v>
      </c>
    </row>
    <row r="2604" spans="1:6">
      <c r="A2604" s="35" t="s">
        <v>3020</v>
      </c>
      <c r="B2604" s="37">
        <v>1663.699951171875</v>
      </c>
      <c r="C2604" s="37">
        <v>1579.248779296875</v>
      </c>
      <c r="D2604" s="35">
        <v>2740853</v>
      </c>
      <c r="E2604" s="35" t="s">
        <v>2952</v>
      </c>
      <c r="F2604" s="35" t="s">
        <v>411</v>
      </c>
    </row>
    <row r="2605" spans="1:6">
      <c r="A2605" s="35" t="s">
        <v>3021</v>
      </c>
      <c r="B2605" s="37">
        <v>1638.300048828125</v>
      </c>
      <c r="C2605" s="37">
        <v>1555.1383056640625</v>
      </c>
      <c r="D2605" s="35">
        <v>2548153</v>
      </c>
      <c r="E2605" s="35" t="s">
        <v>2952</v>
      </c>
      <c r="F2605" s="35" t="s">
        <v>411</v>
      </c>
    </row>
    <row r="2606" spans="1:6">
      <c r="A2606" s="35" t="s">
        <v>3022</v>
      </c>
      <c r="B2606" s="37">
        <v>1619.800048828125</v>
      </c>
      <c r="C2606" s="37">
        <v>1537.5775146484375</v>
      </c>
      <c r="D2606" s="35">
        <v>3334703</v>
      </c>
      <c r="E2606" s="35" t="s">
        <v>2952</v>
      </c>
      <c r="F2606" s="35" t="s">
        <v>411</v>
      </c>
    </row>
    <row r="2607" spans="1:6">
      <c r="A2607" s="35" t="s">
        <v>3023</v>
      </c>
      <c r="B2607" s="37">
        <v>1566.4000244140625</v>
      </c>
      <c r="C2607" s="37">
        <v>1486.887939453125</v>
      </c>
      <c r="D2607" s="35">
        <v>14685607</v>
      </c>
      <c r="E2607" s="35" t="s">
        <v>2952</v>
      </c>
      <c r="F2607" s="35" t="s">
        <v>411</v>
      </c>
    </row>
    <row r="2608" spans="1:6">
      <c r="A2608" s="35" t="s">
        <v>3024</v>
      </c>
      <c r="B2608" s="37">
        <v>1562.800048828125</v>
      </c>
      <c r="C2608" s="37">
        <v>1483.4708251953125</v>
      </c>
      <c r="D2608" s="35">
        <v>5218099</v>
      </c>
      <c r="E2608" s="35" t="s">
        <v>2952</v>
      </c>
      <c r="F2608" s="35" t="s">
        <v>411</v>
      </c>
    </row>
    <row r="2609" spans="1:6">
      <c r="A2609" s="35" t="s">
        <v>3025</v>
      </c>
      <c r="B2609" s="37">
        <v>1543.9000244140625</v>
      </c>
      <c r="C2609" s="37">
        <v>1465.530029296875</v>
      </c>
      <c r="D2609" s="35">
        <v>4966082</v>
      </c>
      <c r="E2609" s="35" t="s">
        <v>2952</v>
      </c>
      <c r="F2609" s="35" t="s">
        <v>411</v>
      </c>
    </row>
    <row r="2610" spans="1:6">
      <c r="A2610" s="35" t="s">
        <v>3026</v>
      </c>
      <c r="B2610" s="37">
        <v>1548.800048828125</v>
      </c>
      <c r="C2610" s="37">
        <v>1481.6978759765625</v>
      </c>
      <c r="D2610" s="35">
        <v>3902458</v>
      </c>
      <c r="E2610" s="35" t="s">
        <v>2952</v>
      </c>
      <c r="F2610" s="35" t="s">
        <v>411</v>
      </c>
    </row>
    <row r="2611" spans="1:6">
      <c r="A2611" s="35" t="s">
        <v>3027</v>
      </c>
      <c r="B2611" s="37">
        <v>1530.4000244140625</v>
      </c>
      <c r="C2611" s="37">
        <v>1464.094970703125</v>
      </c>
      <c r="D2611" s="35">
        <v>3368842</v>
      </c>
      <c r="E2611" s="35" t="s">
        <v>2952</v>
      </c>
      <c r="F2611" s="35" t="s">
        <v>411</v>
      </c>
    </row>
    <row r="2612" spans="1:6">
      <c r="A2612" s="35" t="s">
        <v>3028</v>
      </c>
      <c r="B2612" s="37">
        <v>1520.0999755859375</v>
      </c>
      <c r="C2612" s="37">
        <v>1454.2413330078125</v>
      </c>
      <c r="D2612" s="35">
        <v>3218227</v>
      </c>
      <c r="E2612" s="35" t="s">
        <v>2952</v>
      </c>
      <c r="F2612" s="35" t="s">
        <v>411</v>
      </c>
    </row>
    <row r="2613" spans="1:6">
      <c r="A2613" s="35" t="s">
        <v>3029</v>
      </c>
      <c r="B2613" s="37">
        <v>1529.800048828125</v>
      </c>
      <c r="C2613" s="37">
        <v>1463.52099609375</v>
      </c>
      <c r="D2613" s="35">
        <v>3471536</v>
      </c>
      <c r="E2613" s="35" t="s">
        <v>2952</v>
      </c>
      <c r="F2613" s="35" t="s">
        <v>411</v>
      </c>
    </row>
    <row r="2614" spans="1:6">
      <c r="A2614" s="35" t="s">
        <v>3030</v>
      </c>
      <c r="B2614" s="37">
        <v>1507.199951171875</v>
      </c>
      <c r="C2614" s="37">
        <v>1441.900146484375</v>
      </c>
      <c r="D2614" s="35">
        <v>4654421</v>
      </c>
      <c r="E2614" s="35" t="s">
        <v>2952</v>
      </c>
      <c r="F2614" s="35" t="s">
        <v>411</v>
      </c>
    </row>
    <row r="2615" spans="1:6">
      <c r="A2615" s="35" t="s">
        <v>3031</v>
      </c>
      <c r="B2615" s="37">
        <v>1490.0999755859375</v>
      </c>
      <c r="C2615" s="37">
        <v>1425.5408935546875</v>
      </c>
      <c r="D2615" s="35">
        <v>2733655</v>
      </c>
      <c r="E2615" s="35" t="s">
        <v>2952</v>
      </c>
      <c r="F2615" s="35" t="s">
        <v>411</v>
      </c>
    </row>
    <row r="2616" spans="1:6">
      <c r="A2616" s="35" t="s">
        <v>3032</v>
      </c>
      <c r="B2616" s="37">
        <v>1466.0999755859375</v>
      </c>
      <c r="C2616" s="37">
        <v>1402.580810546875</v>
      </c>
      <c r="D2616" s="35">
        <v>4404841</v>
      </c>
      <c r="E2616" s="35" t="s">
        <v>2952</v>
      </c>
      <c r="F2616" s="35" t="s">
        <v>411</v>
      </c>
    </row>
    <row r="2617" spans="1:6">
      <c r="A2617" s="35" t="s">
        <v>3033</v>
      </c>
      <c r="B2617" s="37">
        <v>1472.4000244140625</v>
      </c>
      <c r="C2617" s="37">
        <v>1408.60791015625</v>
      </c>
      <c r="D2617" s="35">
        <v>6223556</v>
      </c>
      <c r="E2617" s="35" t="s">
        <v>2952</v>
      </c>
      <c r="F2617" s="35" t="s">
        <v>411</v>
      </c>
    </row>
    <row r="2618" spans="1:6">
      <c r="A2618" s="35" t="s">
        <v>3034</v>
      </c>
      <c r="B2618" s="37">
        <v>1476.5</v>
      </c>
      <c r="C2618" s="37">
        <v>1412.5302734375</v>
      </c>
      <c r="D2618" s="35">
        <v>1642426</v>
      </c>
      <c r="E2618" s="35" t="s">
        <v>2952</v>
      </c>
      <c r="F2618" s="35" t="s">
        <v>411</v>
      </c>
    </row>
    <row r="2619" spans="1:6">
      <c r="A2619" s="35" t="s">
        <v>3035</v>
      </c>
      <c r="B2619" s="37">
        <v>1467.9000244140625</v>
      </c>
      <c r="C2619" s="37">
        <v>1404.3028564453125</v>
      </c>
      <c r="D2619" s="35">
        <v>2306285</v>
      </c>
      <c r="E2619" s="35" t="s">
        <v>2952</v>
      </c>
      <c r="F2619" s="35" t="s">
        <v>411</v>
      </c>
    </row>
    <row r="2620" spans="1:6">
      <c r="A2620" s="35" t="s">
        <v>3036</v>
      </c>
      <c r="B2620" s="37">
        <v>1452.0999755859375</v>
      </c>
      <c r="C2620" s="37">
        <v>1389.187255859375</v>
      </c>
      <c r="D2620" s="35">
        <v>2152783</v>
      </c>
      <c r="E2620" s="35" t="s">
        <v>2952</v>
      </c>
      <c r="F2620" s="35" t="s">
        <v>411</v>
      </c>
    </row>
    <row r="2621" spans="1:6">
      <c r="A2621" s="35" t="s">
        <v>3037</v>
      </c>
      <c r="B2621" s="37">
        <v>1474.4000244140625</v>
      </c>
      <c r="C2621" s="37">
        <v>1410.5213623046875</v>
      </c>
      <c r="D2621" s="35">
        <v>2384774</v>
      </c>
      <c r="E2621" s="35" t="s">
        <v>2952</v>
      </c>
      <c r="F2621" s="35" t="s">
        <v>411</v>
      </c>
    </row>
    <row r="2622" spans="1:6">
      <c r="A2622" s="35" t="s">
        <v>3038</v>
      </c>
      <c r="B2622" s="37">
        <v>1482.699951171875</v>
      </c>
      <c r="C2622" s="37">
        <v>1418.4615478515625</v>
      </c>
      <c r="D2622" s="35">
        <v>2614394</v>
      </c>
      <c r="E2622" s="35" t="s">
        <v>2952</v>
      </c>
      <c r="F2622" s="35" t="s">
        <v>411</v>
      </c>
    </row>
    <row r="2623" spans="1:6">
      <c r="A2623" s="35" t="s">
        <v>3039</v>
      </c>
      <c r="B2623" s="37">
        <v>1463.199951171875</v>
      </c>
      <c r="C2623" s="37">
        <v>1399.806396484375</v>
      </c>
      <c r="D2623" s="35">
        <v>1735697</v>
      </c>
      <c r="E2623" s="35" t="s">
        <v>2952</v>
      </c>
      <c r="F2623" s="35" t="s">
        <v>411</v>
      </c>
    </row>
    <row r="2624" spans="1:6">
      <c r="A2624" s="35" t="s">
        <v>3040</v>
      </c>
      <c r="B2624" s="37">
        <v>1475.5</v>
      </c>
      <c r="C2624" s="37">
        <v>1411.573486328125</v>
      </c>
      <c r="D2624" s="35">
        <v>1495363</v>
      </c>
      <c r="E2624" s="35" t="s">
        <v>2952</v>
      </c>
      <c r="F2624" s="35" t="s">
        <v>411</v>
      </c>
    </row>
    <row r="2625" spans="1:6">
      <c r="A2625" s="35" t="s">
        <v>3041</v>
      </c>
      <c r="B2625" s="37">
        <v>1475.699951171875</v>
      </c>
      <c r="C2625" s="37">
        <v>1411.7647705078125</v>
      </c>
      <c r="D2625" s="35">
        <v>2815614</v>
      </c>
      <c r="E2625" s="35" t="s">
        <v>2952</v>
      </c>
      <c r="F2625" s="35" t="s">
        <v>411</v>
      </c>
    </row>
    <row r="2626" spans="1:6">
      <c r="A2626" s="35" t="s">
        <v>3042</v>
      </c>
      <c r="B2626" s="37">
        <v>1488</v>
      </c>
      <c r="C2626" s="37">
        <v>1423.5321044921875</v>
      </c>
      <c r="D2626" s="35">
        <v>2374556</v>
      </c>
      <c r="E2626" s="35" t="s">
        <v>2952</v>
      </c>
      <c r="F2626" s="35" t="s">
        <v>411</v>
      </c>
    </row>
    <row r="2627" spans="1:6">
      <c r="A2627" s="35" t="s">
        <v>3043</v>
      </c>
      <c r="B2627" s="37">
        <v>1499.0999755859375</v>
      </c>
      <c r="C2627" s="37">
        <v>1434.1510009765625</v>
      </c>
      <c r="D2627" s="35">
        <v>3422656</v>
      </c>
      <c r="E2627" s="35" t="s">
        <v>2952</v>
      </c>
      <c r="F2627" s="35" t="s">
        <v>411</v>
      </c>
    </row>
    <row r="2628" spans="1:6">
      <c r="A2628" s="35" t="s">
        <v>3044</v>
      </c>
      <c r="B2628" s="37">
        <v>1501.0999755859375</v>
      </c>
      <c r="C2628" s="37">
        <v>1436.064453125</v>
      </c>
      <c r="D2628" s="35">
        <v>2916128</v>
      </c>
      <c r="E2628" s="35" t="s">
        <v>2952</v>
      </c>
      <c r="F2628" s="35" t="s">
        <v>411</v>
      </c>
    </row>
    <row r="2629" spans="1:6">
      <c r="A2629" s="35" t="s">
        <v>3045</v>
      </c>
      <c r="B2629" s="37">
        <v>1489.800048828125</v>
      </c>
      <c r="C2629" s="37">
        <v>1425.254150390625</v>
      </c>
      <c r="D2629" s="35">
        <v>4227538</v>
      </c>
      <c r="E2629" s="35" t="s">
        <v>2952</v>
      </c>
      <c r="F2629" s="35" t="s">
        <v>411</v>
      </c>
    </row>
    <row r="2630" spans="1:6">
      <c r="A2630" s="35" t="s">
        <v>3046</v>
      </c>
      <c r="B2630" s="37">
        <v>1485</v>
      </c>
      <c r="C2630" s="37">
        <v>1420.6619873046875</v>
      </c>
      <c r="D2630" s="35">
        <v>2795155</v>
      </c>
      <c r="E2630" s="35" t="s">
        <v>2952</v>
      </c>
      <c r="F2630" s="35" t="s">
        <v>411</v>
      </c>
    </row>
    <row r="2631" spans="1:6">
      <c r="A2631" s="35" t="s">
        <v>3047</v>
      </c>
      <c r="B2631" s="37">
        <v>1476.0999755859375</v>
      </c>
      <c r="C2631" s="37">
        <v>1412.1475830078125</v>
      </c>
      <c r="D2631" s="35">
        <v>2515817</v>
      </c>
      <c r="E2631" s="35" t="s">
        <v>2952</v>
      </c>
      <c r="F2631" s="35" t="s">
        <v>411</v>
      </c>
    </row>
    <row r="2632" spans="1:6">
      <c r="A2632" s="35" t="s">
        <v>3048</v>
      </c>
      <c r="B2632" s="37">
        <v>1496</v>
      </c>
      <c r="C2632" s="37">
        <v>1431.1854248046875</v>
      </c>
      <c r="D2632" s="35">
        <v>10219330</v>
      </c>
      <c r="E2632" s="35" t="s">
        <v>2952</v>
      </c>
      <c r="F2632" s="35" t="s">
        <v>411</v>
      </c>
    </row>
    <row r="2633" spans="1:6">
      <c r="A2633" s="35" t="s">
        <v>3049</v>
      </c>
      <c r="B2633" s="37">
        <v>1493.5</v>
      </c>
      <c r="C2633" s="37">
        <v>1428.793701171875</v>
      </c>
      <c r="D2633" s="35">
        <v>2157601</v>
      </c>
      <c r="E2633" s="35" t="s">
        <v>2952</v>
      </c>
      <c r="F2633" s="35" t="s">
        <v>411</v>
      </c>
    </row>
    <row r="2634" spans="1:6">
      <c r="A2634" s="35" t="s">
        <v>3050</v>
      </c>
      <c r="B2634" s="37">
        <v>1466.300048828125</v>
      </c>
      <c r="C2634" s="37">
        <v>1402.772216796875</v>
      </c>
      <c r="D2634" s="35">
        <v>2802805</v>
      </c>
      <c r="E2634" s="35" t="s">
        <v>2952</v>
      </c>
      <c r="F2634" s="35" t="s">
        <v>411</v>
      </c>
    </row>
    <row r="2635" spans="1:6">
      <c r="A2635" s="35" t="s">
        <v>3051</v>
      </c>
      <c r="B2635" s="37">
        <v>1504.199951171875</v>
      </c>
      <c r="C2635" s="37">
        <v>1439.0301513671875</v>
      </c>
      <c r="D2635" s="35">
        <v>2764914</v>
      </c>
      <c r="E2635" s="35" t="s">
        <v>2952</v>
      </c>
      <c r="F2635" s="35" t="s">
        <v>411</v>
      </c>
    </row>
    <row r="2636" spans="1:6">
      <c r="A2636" s="35" t="s">
        <v>3052</v>
      </c>
      <c r="B2636" s="37">
        <v>1492.800048828125</v>
      </c>
      <c r="C2636" s="37">
        <v>1428.1241455078125</v>
      </c>
      <c r="D2636" s="35">
        <v>4092265</v>
      </c>
      <c r="E2636" s="35" t="s">
        <v>2952</v>
      </c>
      <c r="F2636" s="35" t="s">
        <v>411</v>
      </c>
    </row>
    <row r="2637" spans="1:6">
      <c r="A2637" s="35" t="s">
        <v>3053</v>
      </c>
      <c r="B2637" s="37">
        <v>1449.800048828125</v>
      </c>
      <c r="C2637" s="37">
        <v>1386.987060546875</v>
      </c>
      <c r="D2637" s="35">
        <v>4367902</v>
      </c>
      <c r="E2637" s="35" t="s">
        <v>2952</v>
      </c>
      <c r="F2637" s="35" t="s">
        <v>411</v>
      </c>
    </row>
    <row r="2638" spans="1:6">
      <c r="A2638" s="35" t="s">
        <v>3054</v>
      </c>
      <c r="B2638" s="37">
        <v>1454.800048828125</v>
      </c>
      <c r="C2638" s="37">
        <v>1391.7705078125</v>
      </c>
      <c r="D2638" s="35">
        <v>3404604</v>
      </c>
      <c r="E2638" s="35" t="s">
        <v>2952</v>
      </c>
      <c r="F2638" s="35" t="s">
        <v>411</v>
      </c>
    </row>
    <row r="2639" spans="1:6">
      <c r="A2639" s="35" t="s">
        <v>3055</v>
      </c>
      <c r="B2639" s="37">
        <v>1468.4000244140625</v>
      </c>
      <c r="C2639" s="37">
        <v>1404.78125</v>
      </c>
      <c r="D2639" s="35">
        <v>2105254</v>
      </c>
      <c r="E2639" s="35" t="s">
        <v>2952</v>
      </c>
      <c r="F2639" s="35" t="s">
        <v>411</v>
      </c>
    </row>
    <row r="2640" spans="1:6">
      <c r="A2640" s="35" t="s">
        <v>3056</v>
      </c>
      <c r="B2640" s="37">
        <v>1465.699951171875</v>
      </c>
      <c r="C2640" s="37">
        <v>1402.1981201171875</v>
      </c>
      <c r="D2640" s="35">
        <v>1295198</v>
      </c>
      <c r="E2640" s="35" t="s">
        <v>2952</v>
      </c>
      <c r="F2640" s="35" t="s">
        <v>411</v>
      </c>
    </row>
    <row r="2641" spans="1:6">
      <c r="A2641" s="35" t="s">
        <v>3057</v>
      </c>
      <c r="B2641" s="37">
        <v>1466.0999755859375</v>
      </c>
      <c r="C2641" s="37">
        <v>1402.580810546875</v>
      </c>
      <c r="D2641" s="35">
        <v>1800307</v>
      </c>
      <c r="E2641" s="35" t="s">
        <v>2952</v>
      </c>
      <c r="F2641" s="35" t="s">
        <v>411</v>
      </c>
    </row>
    <row r="2642" spans="1:6">
      <c r="A2642" s="35" t="s">
        <v>3058</v>
      </c>
      <c r="B2642" s="37">
        <v>1443.300048828125</v>
      </c>
      <c r="C2642" s="37">
        <v>1380.7685546875</v>
      </c>
      <c r="D2642" s="35">
        <v>2192155</v>
      </c>
      <c r="E2642" s="35" t="s">
        <v>2952</v>
      </c>
      <c r="F2642" s="35" t="s">
        <v>411</v>
      </c>
    </row>
    <row r="2643" spans="1:6">
      <c r="A2643" s="35" t="s">
        <v>3059</v>
      </c>
      <c r="B2643" s="37">
        <v>1419</v>
      </c>
      <c r="C2643" s="37">
        <v>1357.521484375</v>
      </c>
      <c r="D2643" s="35">
        <v>3895199</v>
      </c>
      <c r="E2643" s="35" t="s">
        <v>2952</v>
      </c>
      <c r="F2643" s="35" t="s">
        <v>411</v>
      </c>
    </row>
    <row r="2644" spans="1:6">
      <c r="A2644" s="35" t="s">
        <v>3060</v>
      </c>
      <c r="B2644" s="37">
        <v>1403</v>
      </c>
      <c r="C2644" s="37">
        <v>1342.2147216796875</v>
      </c>
      <c r="D2644" s="35">
        <v>2929976</v>
      </c>
      <c r="E2644" s="35" t="s">
        <v>2952</v>
      </c>
      <c r="F2644" s="35" t="s">
        <v>411</v>
      </c>
    </row>
    <row r="2645" spans="1:6">
      <c r="A2645" s="35" t="s">
        <v>3061</v>
      </c>
      <c r="B2645" s="37">
        <v>1427.0999755859375</v>
      </c>
      <c r="C2645" s="37">
        <v>1365.2703857421875</v>
      </c>
      <c r="D2645" s="35">
        <v>2906889</v>
      </c>
      <c r="E2645" s="35" t="s">
        <v>2952</v>
      </c>
      <c r="F2645" s="35" t="s">
        <v>411</v>
      </c>
    </row>
    <row r="2646" spans="1:6">
      <c r="A2646" s="35" t="s">
        <v>3062</v>
      </c>
      <c r="B2646" s="37">
        <v>1463.9000244140625</v>
      </c>
      <c r="C2646" s="37">
        <v>1400.47607421875</v>
      </c>
      <c r="D2646" s="35">
        <v>3205017</v>
      </c>
      <c r="E2646" s="35" t="s">
        <v>2952</v>
      </c>
      <c r="F2646" s="35" t="s">
        <v>411</v>
      </c>
    </row>
    <row r="2647" spans="1:6">
      <c r="A2647" s="35" t="s">
        <v>3063</v>
      </c>
      <c r="B2647" s="37">
        <v>1467.699951171875</v>
      </c>
      <c r="C2647" s="37">
        <v>1404.1114501953125</v>
      </c>
      <c r="D2647" s="35">
        <v>1982922</v>
      </c>
      <c r="E2647" s="35" t="s">
        <v>2952</v>
      </c>
      <c r="F2647" s="35" t="s">
        <v>411</v>
      </c>
    </row>
    <row r="2648" spans="1:6">
      <c r="A2648" s="35" t="s">
        <v>3064</v>
      </c>
      <c r="B2648" s="37">
        <v>1467.199951171875</v>
      </c>
      <c r="C2648" s="37">
        <v>1403.6331787109375</v>
      </c>
      <c r="D2648" s="35">
        <v>2110883</v>
      </c>
      <c r="E2648" s="35" t="s">
        <v>2952</v>
      </c>
      <c r="F2648" s="35" t="s">
        <v>411</v>
      </c>
    </row>
    <row r="2649" spans="1:6">
      <c r="A2649" s="35" t="s">
        <v>3065</v>
      </c>
      <c r="B2649" s="37">
        <v>1466.5</v>
      </c>
      <c r="C2649" s="37">
        <v>1402.9635009765625</v>
      </c>
      <c r="D2649" s="35">
        <v>1725617</v>
      </c>
      <c r="E2649" s="35" t="s">
        <v>2952</v>
      </c>
      <c r="F2649" s="35" t="s">
        <v>411</v>
      </c>
    </row>
    <row r="2650" spans="1:6">
      <c r="A2650" s="35" t="s">
        <v>3066</v>
      </c>
      <c r="B2650" s="37">
        <v>1483.0999755859375</v>
      </c>
      <c r="C2650" s="37">
        <v>1418.8443603515625</v>
      </c>
      <c r="D2650" s="35">
        <v>1724524</v>
      </c>
      <c r="E2650" s="35" t="s">
        <v>2952</v>
      </c>
      <c r="F2650" s="35" t="s">
        <v>411</v>
      </c>
    </row>
    <row r="2651" spans="1:6">
      <c r="A2651" s="35" t="s">
        <v>3067</v>
      </c>
      <c r="B2651" s="37">
        <v>1481.5</v>
      </c>
      <c r="C2651" s="37">
        <v>1417.3135986328125</v>
      </c>
      <c r="D2651" s="35">
        <v>2656774</v>
      </c>
      <c r="E2651" s="35" t="s">
        <v>2952</v>
      </c>
      <c r="F2651" s="35" t="s">
        <v>411</v>
      </c>
    </row>
    <row r="2652" spans="1:6">
      <c r="A2652" s="35" t="s">
        <v>3068</v>
      </c>
      <c r="B2652" s="37">
        <v>1493.800048828125</v>
      </c>
      <c r="C2652" s="37">
        <v>1429.0806884765625</v>
      </c>
      <c r="D2652" s="35">
        <v>2792406</v>
      </c>
      <c r="E2652" s="35" t="s">
        <v>2952</v>
      </c>
      <c r="F2652" s="35" t="s">
        <v>411</v>
      </c>
    </row>
    <row r="2653" spans="1:6">
      <c r="A2653" s="35" t="s">
        <v>3069</v>
      </c>
      <c r="B2653" s="37">
        <v>1467.4000244140625</v>
      </c>
      <c r="C2653" s="37">
        <v>1403.8245849609375</v>
      </c>
      <c r="D2653" s="35">
        <v>3197957</v>
      </c>
      <c r="E2653" s="35" t="s">
        <v>2952</v>
      </c>
      <c r="F2653" s="35" t="s">
        <v>411</v>
      </c>
    </row>
    <row r="2654" spans="1:6">
      <c r="A2654" s="35" t="s">
        <v>3070</v>
      </c>
      <c r="B2654" s="37">
        <v>1439.9000244140625</v>
      </c>
      <c r="C2654" s="37">
        <v>1377.515869140625</v>
      </c>
      <c r="D2654" s="35">
        <v>4457129</v>
      </c>
      <c r="E2654" s="35" t="s">
        <v>2952</v>
      </c>
      <c r="F2654" s="35" t="s">
        <v>411</v>
      </c>
    </row>
    <row r="2655" spans="1:6">
      <c r="A2655" s="35" t="s">
        <v>3071</v>
      </c>
      <c r="B2655" s="37">
        <v>1429.800048828125</v>
      </c>
      <c r="C2655" s="37">
        <v>1367.8536376953125</v>
      </c>
      <c r="D2655" s="35">
        <v>3106480</v>
      </c>
      <c r="E2655" s="35" t="s">
        <v>2952</v>
      </c>
      <c r="F2655" s="35" t="s">
        <v>411</v>
      </c>
    </row>
    <row r="2656" spans="1:6">
      <c r="A2656" s="35" t="s">
        <v>3072</v>
      </c>
      <c r="B2656" s="37">
        <v>1442.300048828125</v>
      </c>
      <c r="C2656" s="37">
        <v>1379.81201171875</v>
      </c>
      <c r="D2656" s="35">
        <v>2894044</v>
      </c>
      <c r="E2656" s="35" t="s">
        <v>2952</v>
      </c>
      <c r="F2656" s="35" t="s">
        <v>411</v>
      </c>
    </row>
    <row r="2657" spans="1:6">
      <c r="A2657" s="35" t="s">
        <v>3073</v>
      </c>
      <c r="B2657" s="37">
        <v>1423.800048828125</v>
      </c>
      <c r="C2657" s="37">
        <v>1362.113525390625</v>
      </c>
      <c r="D2657" s="35">
        <v>2713246</v>
      </c>
      <c r="E2657" s="35" t="s">
        <v>2952</v>
      </c>
      <c r="F2657" s="35" t="s">
        <v>411</v>
      </c>
    </row>
    <row r="2658" spans="1:6">
      <c r="A2658" s="35" t="s">
        <v>3074</v>
      </c>
      <c r="B2658" s="37">
        <v>1395.300048828125</v>
      </c>
      <c r="C2658" s="37">
        <v>1334.848388671875</v>
      </c>
      <c r="D2658" s="35">
        <v>2568054</v>
      </c>
      <c r="E2658" s="35" t="s">
        <v>2952</v>
      </c>
      <c r="F2658" s="35" t="s">
        <v>411</v>
      </c>
    </row>
    <row r="2659" spans="1:6">
      <c r="A2659" s="35" t="s">
        <v>3075</v>
      </c>
      <c r="B2659" s="37">
        <v>1387.4000244140625</v>
      </c>
      <c r="C2659" s="37">
        <v>1327.29052734375</v>
      </c>
      <c r="D2659" s="35">
        <v>2990852</v>
      </c>
      <c r="E2659" s="35" t="s">
        <v>2952</v>
      </c>
      <c r="F2659" s="35" t="s">
        <v>411</v>
      </c>
    </row>
    <row r="2660" spans="1:6">
      <c r="A2660" s="35" t="s">
        <v>3076</v>
      </c>
      <c r="B2660" s="37">
        <v>1385.0999755859375</v>
      </c>
      <c r="C2660" s="37">
        <v>1325.090087890625</v>
      </c>
      <c r="D2660" s="35">
        <v>2782077</v>
      </c>
      <c r="E2660" s="35" t="s">
        <v>2952</v>
      </c>
      <c r="F2660" s="35" t="s">
        <v>411</v>
      </c>
    </row>
    <row r="2661" spans="1:6">
      <c r="A2661" s="35" t="s">
        <v>3077</v>
      </c>
      <c r="B2661" s="37">
        <v>1389.5</v>
      </c>
      <c r="C2661" s="37">
        <v>1329.299560546875</v>
      </c>
      <c r="D2661" s="35">
        <v>2253527</v>
      </c>
      <c r="E2661" s="35" t="s">
        <v>2952</v>
      </c>
      <c r="F2661" s="35" t="s">
        <v>411</v>
      </c>
    </row>
    <row r="2662" spans="1:6">
      <c r="A2662" s="35" t="s">
        <v>3078</v>
      </c>
      <c r="B2662" s="37">
        <v>1393.5</v>
      </c>
      <c r="C2662" s="37">
        <v>1333.126220703125</v>
      </c>
      <c r="D2662" s="35">
        <v>2793839</v>
      </c>
      <c r="E2662" s="35" t="s">
        <v>2952</v>
      </c>
      <c r="F2662" s="35" t="s">
        <v>411</v>
      </c>
    </row>
    <row r="2663" spans="1:6">
      <c r="A2663" s="35" t="s">
        <v>3079</v>
      </c>
      <c r="B2663" s="37">
        <v>1417.699951171875</v>
      </c>
      <c r="C2663" s="37">
        <v>1356.27783203125</v>
      </c>
      <c r="D2663" s="35">
        <v>1970901</v>
      </c>
      <c r="E2663" s="35" t="s">
        <v>2952</v>
      </c>
      <c r="F2663" s="35" t="s">
        <v>411</v>
      </c>
    </row>
    <row r="2664" spans="1:6">
      <c r="A2664" s="35" t="s">
        <v>3080</v>
      </c>
      <c r="B2664" s="37">
        <v>1433.4000244140625</v>
      </c>
      <c r="C2664" s="37">
        <v>1371.297607421875</v>
      </c>
      <c r="D2664" s="35">
        <v>1592836</v>
      </c>
      <c r="E2664" s="35" t="s">
        <v>2952</v>
      </c>
      <c r="F2664" s="35" t="s">
        <v>411</v>
      </c>
    </row>
    <row r="2665" spans="1:6">
      <c r="A2665" s="35" t="s">
        <v>3081</v>
      </c>
      <c r="B2665" s="37">
        <v>1453.199951171875</v>
      </c>
      <c r="C2665" s="37">
        <v>1390.2396240234375</v>
      </c>
      <c r="D2665" s="35">
        <v>1735807</v>
      </c>
      <c r="E2665" s="35" t="s">
        <v>2952</v>
      </c>
      <c r="F2665" s="35" t="s">
        <v>411</v>
      </c>
    </row>
    <row r="2666" spans="1:6">
      <c r="A2666" s="35" t="s">
        <v>3082</v>
      </c>
      <c r="B2666" s="37">
        <v>1486.5</v>
      </c>
      <c r="C2666" s="37">
        <v>1422.096923828125</v>
      </c>
      <c r="D2666" s="35">
        <v>2681316</v>
      </c>
      <c r="E2666" s="35" t="s">
        <v>2952</v>
      </c>
      <c r="F2666" s="35" t="s">
        <v>411</v>
      </c>
    </row>
    <row r="2667" spans="1:6">
      <c r="A2667" s="35" t="s">
        <v>3083</v>
      </c>
      <c r="B2667" s="37">
        <v>1495.5</v>
      </c>
      <c r="C2667" s="37">
        <v>1430.70703125</v>
      </c>
      <c r="D2667" s="35">
        <v>2129445</v>
      </c>
      <c r="E2667" s="35" t="s">
        <v>2952</v>
      </c>
      <c r="F2667" s="35" t="s">
        <v>411</v>
      </c>
    </row>
    <row r="2668" spans="1:6">
      <c r="A2668" s="35" t="s">
        <v>3084</v>
      </c>
      <c r="B2668" s="37">
        <v>1494.699951171875</v>
      </c>
      <c r="C2668" s="37">
        <v>1429.941650390625</v>
      </c>
      <c r="D2668" s="35">
        <v>1820492</v>
      </c>
      <c r="E2668" s="35" t="s">
        <v>2952</v>
      </c>
      <c r="F2668" s="35" t="s">
        <v>411</v>
      </c>
    </row>
    <row r="2669" spans="1:6">
      <c r="A2669" s="35" t="s">
        <v>3085</v>
      </c>
      <c r="B2669" s="37">
        <v>1495.4000244140625</v>
      </c>
      <c r="C2669" s="37">
        <v>1430.6114501953125</v>
      </c>
      <c r="D2669" s="35">
        <v>5802489</v>
      </c>
      <c r="E2669" s="35" t="s">
        <v>2952</v>
      </c>
      <c r="F2669" s="35" t="s">
        <v>411</v>
      </c>
    </row>
    <row r="2670" spans="1:6">
      <c r="A2670" s="35" t="s">
        <v>3086</v>
      </c>
      <c r="B2670" s="37">
        <v>1495.699951171875</v>
      </c>
      <c r="C2670" s="37">
        <v>1430.8984375</v>
      </c>
      <c r="D2670" s="35">
        <v>1710696</v>
      </c>
      <c r="E2670" s="35" t="s">
        <v>2952</v>
      </c>
      <c r="F2670" s="35" t="s">
        <v>411</v>
      </c>
    </row>
    <row r="2671" spans="1:6">
      <c r="A2671" s="35" t="s">
        <v>3087</v>
      </c>
      <c r="B2671" s="37">
        <v>1515</v>
      </c>
      <c r="C2671" s="37">
        <v>1449.3623046875</v>
      </c>
      <c r="D2671" s="35">
        <v>2021043</v>
      </c>
      <c r="E2671" s="35" t="s">
        <v>2952</v>
      </c>
      <c r="F2671" s="35" t="s">
        <v>411</v>
      </c>
    </row>
    <row r="2672" spans="1:6">
      <c r="A2672" s="35" t="s">
        <v>3088</v>
      </c>
      <c r="B2672" s="37">
        <v>1486.199951171875</v>
      </c>
      <c r="C2672" s="37">
        <v>1433.161865234375</v>
      </c>
      <c r="D2672" s="35">
        <v>3210161</v>
      </c>
      <c r="E2672" s="35" t="s">
        <v>2952</v>
      </c>
      <c r="F2672" s="35" t="s">
        <v>411</v>
      </c>
    </row>
    <row r="2673" spans="1:6">
      <c r="A2673" s="35" t="s">
        <v>3089</v>
      </c>
      <c r="B2673" s="37">
        <v>1495.4000244140625</v>
      </c>
      <c r="C2673" s="37">
        <v>1442.0335693359375</v>
      </c>
      <c r="D2673" s="35">
        <v>2354881</v>
      </c>
      <c r="E2673" s="35" t="s">
        <v>2952</v>
      </c>
      <c r="F2673" s="35" t="s">
        <v>411</v>
      </c>
    </row>
    <row r="2674" spans="1:6">
      <c r="A2674" s="35" t="s">
        <v>3090</v>
      </c>
      <c r="B2674" s="37">
        <v>1486</v>
      </c>
      <c r="C2674" s="37">
        <v>1432.9688720703125</v>
      </c>
      <c r="D2674" s="35">
        <v>274400</v>
      </c>
      <c r="E2674" s="35" t="s">
        <v>2952</v>
      </c>
      <c r="F2674" s="35" t="s">
        <v>411</v>
      </c>
    </row>
    <row r="2675" spans="1:6">
      <c r="A2675" s="35" t="s">
        <v>3091</v>
      </c>
      <c r="B2675" s="37">
        <v>1523.9000244140625</v>
      </c>
      <c r="C2675" s="37">
        <v>1469.516357421875</v>
      </c>
      <c r="D2675" s="35">
        <v>5011470</v>
      </c>
      <c r="E2675" s="35" t="s">
        <v>2952</v>
      </c>
      <c r="F2675" s="35" t="s">
        <v>411</v>
      </c>
    </row>
    <row r="2676" spans="1:6">
      <c r="A2676" s="35" t="s">
        <v>3092</v>
      </c>
      <c r="B2676" s="37">
        <v>1523.800048828125</v>
      </c>
      <c r="C2676" s="37">
        <v>1469.419921875</v>
      </c>
      <c r="D2676" s="35">
        <v>1491451</v>
      </c>
      <c r="E2676" s="35" t="s">
        <v>2952</v>
      </c>
      <c r="F2676" s="35" t="s">
        <v>411</v>
      </c>
    </row>
    <row r="2677" spans="1:6">
      <c r="A2677" s="35" t="s">
        <v>3093</v>
      </c>
      <c r="B2677" s="37">
        <v>1533.5</v>
      </c>
      <c r="C2677" s="37">
        <v>1478.7738037109375</v>
      </c>
      <c r="D2677" s="35">
        <v>1394846</v>
      </c>
      <c r="E2677" s="35" t="s">
        <v>2952</v>
      </c>
      <c r="F2677" s="35" t="s">
        <v>411</v>
      </c>
    </row>
    <row r="2678" spans="1:6">
      <c r="A2678" s="35" t="s">
        <v>3094</v>
      </c>
      <c r="B2678" s="37">
        <v>1522.0999755859375</v>
      </c>
      <c r="C2678" s="37">
        <v>1467.780517578125</v>
      </c>
      <c r="D2678" s="35">
        <v>1936466</v>
      </c>
      <c r="E2678" s="35" t="s">
        <v>2952</v>
      </c>
      <c r="F2678" s="35" t="s">
        <v>411</v>
      </c>
    </row>
    <row r="2679" spans="1:6">
      <c r="A2679" s="35" t="s">
        <v>3095</v>
      </c>
      <c r="B2679" s="37">
        <v>1557.300048828125</v>
      </c>
      <c r="C2679" s="37">
        <v>1501.724365234375</v>
      </c>
      <c r="D2679" s="35">
        <v>2596355</v>
      </c>
      <c r="E2679" s="35" t="s">
        <v>2952</v>
      </c>
      <c r="F2679" s="35" t="s">
        <v>411</v>
      </c>
    </row>
    <row r="2680" spans="1:6">
      <c r="A2680" s="35" t="s">
        <v>3096</v>
      </c>
      <c r="B2680" s="37">
        <v>1549.800048828125</v>
      </c>
      <c r="C2680" s="37">
        <v>1494.4920654296875</v>
      </c>
      <c r="D2680" s="35">
        <v>2183395</v>
      </c>
      <c r="E2680" s="35" t="s">
        <v>2952</v>
      </c>
      <c r="F2680" s="35" t="s">
        <v>411</v>
      </c>
    </row>
    <row r="2681" spans="1:6">
      <c r="A2681" s="35" t="s">
        <v>3097</v>
      </c>
      <c r="B2681" s="37">
        <v>1541.5</v>
      </c>
      <c r="C2681" s="37">
        <v>1486.4884033203125</v>
      </c>
      <c r="D2681" s="35">
        <v>1723467</v>
      </c>
      <c r="E2681" s="35" t="s">
        <v>2952</v>
      </c>
      <c r="F2681" s="35" t="s">
        <v>411</v>
      </c>
    </row>
    <row r="2682" spans="1:6">
      <c r="A2682" s="35" t="s">
        <v>3098</v>
      </c>
      <c r="B2682" s="37">
        <v>1543.5</v>
      </c>
      <c r="C2682" s="37">
        <v>1488.4168701171875</v>
      </c>
      <c r="D2682" s="35">
        <v>2252136</v>
      </c>
      <c r="E2682" s="35" t="s">
        <v>2952</v>
      </c>
      <c r="F2682" s="35" t="s">
        <v>411</v>
      </c>
    </row>
    <row r="2683" spans="1:6">
      <c r="A2683" s="35" t="s">
        <v>3099</v>
      </c>
      <c r="B2683" s="37">
        <v>1529.0999755859375</v>
      </c>
      <c r="C2683" s="37">
        <v>1474.5308837890625</v>
      </c>
      <c r="D2683" s="35">
        <v>1666863</v>
      </c>
      <c r="E2683" s="35" t="s">
        <v>2952</v>
      </c>
      <c r="F2683" s="35" t="s">
        <v>411</v>
      </c>
    </row>
    <row r="2684" spans="1:6">
      <c r="A2684" s="35" t="s">
        <v>3100</v>
      </c>
      <c r="B2684" s="37">
        <v>1526.4000244140625</v>
      </c>
      <c r="C2684" s="37">
        <v>1471.9271240234375</v>
      </c>
      <c r="D2684" s="35">
        <v>2474769</v>
      </c>
      <c r="E2684" s="35" t="s">
        <v>2952</v>
      </c>
      <c r="F2684" s="35" t="s">
        <v>411</v>
      </c>
    </row>
    <row r="2685" spans="1:6">
      <c r="A2685" s="35" t="s">
        <v>3101</v>
      </c>
      <c r="B2685" s="37">
        <v>1512.4000244140625</v>
      </c>
      <c r="C2685" s="37">
        <v>1458.4268798828125</v>
      </c>
      <c r="D2685" s="35">
        <v>2238714</v>
      </c>
      <c r="E2685" s="35" t="s">
        <v>2952</v>
      </c>
      <c r="F2685" s="35" t="s">
        <v>411</v>
      </c>
    </row>
    <row r="2686" spans="1:6">
      <c r="A2686" s="35" t="s">
        <v>3102</v>
      </c>
      <c r="B2686" s="37">
        <v>1540.5</v>
      </c>
      <c r="C2686" s="37">
        <v>1485.5240478515625</v>
      </c>
      <c r="D2686" s="35">
        <v>1558896</v>
      </c>
      <c r="E2686" s="35" t="s">
        <v>2952</v>
      </c>
      <c r="F2686" s="35" t="s">
        <v>411</v>
      </c>
    </row>
    <row r="2687" spans="1:6">
      <c r="A2687" s="35" t="s">
        <v>3103</v>
      </c>
      <c r="B2687" s="37">
        <v>1570</v>
      </c>
      <c r="C2687" s="37">
        <v>1513.97119140625</v>
      </c>
      <c r="D2687" s="35">
        <v>2270763</v>
      </c>
      <c r="E2687" s="35" t="s">
        <v>2952</v>
      </c>
      <c r="F2687" s="35" t="s">
        <v>411</v>
      </c>
    </row>
    <row r="2688" spans="1:6">
      <c r="A2688" s="35" t="s">
        <v>3104</v>
      </c>
      <c r="B2688" s="37">
        <v>1594</v>
      </c>
      <c r="C2688" s="37">
        <v>1537.11474609375</v>
      </c>
      <c r="D2688" s="35">
        <v>2331564</v>
      </c>
      <c r="E2688" s="35" t="s">
        <v>2952</v>
      </c>
      <c r="F2688" s="35" t="s">
        <v>411</v>
      </c>
    </row>
    <row r="2689" spans="1:6">
      <c r="A2689" s="35" t="s">
        <v>3105</v>
      </c>
      <c r="B2689" s="37">
        <v>1598.5</v>
      </c>
      <c r="C2689" s="37">
        <v>1541.4542236328125</v>
      </c>
      <c r="D2689" s="35">
        <v>1944022</v>
      </c>
      <c r="E2689" s="35" t="s">
        <v>2952</v>
      </c>
      <c r="F2689" s="35" t="s">
        <v>411</v>
      </c>
    </row>
    <row r="2690" spans="1:6">
      <c r="A2690" s="35" t="s">
        <v>3106</v>
      </c>
      <c r="B2690" s="37">
        <v>1594.5999755859375</v>
      </c>
      <c r="C2690" s="37">
        <v>1537.6932373046875</v>
      </c>
      <c r="D2690" s="35">
        <v>2543918</v>
      </c>
      <c r="E2690" s="35" t="s">
        <v>2952</v>
      </c>
      <c r="F2690" s="35" t="s">
        <v>411</v>
      </c>
    </row>
    <row r="2691" spans="1:6">
      <c r="A2691" s="35" t="s">
        <v>3107</v>
      </c>
      <c r="B2691" s="37">
        <v>1606.4000244140625</v>
      </c>
      <c r="C2691" s="37">
        <v>1549.0721435546875</v>
      </c>
      <c r="D2691" s="35">
        <v>2000978</v>
      </c>
      <c r="E2691" s="35" t="s">
        <v>2952</v>
      </c>
      <c r="F2691" s="35" t="s">
        <v>411</v>
      </c>
    </row>
    <row r="2692" spans="1:6">
      <c r="A2692" s="35" t="s">
        <v>3108</v>
      </c>
      <c r="B2692" s="37">
        <v>1595.199951171875</v>
      </c>
      <c r="C2692" s="37">
        <v>1538.2718505859375</v>
      </c>
      <c r="D2692" s="35">
        <v>1640123</v>
      </c>
      <c r="E2692" s="35" t="s">
        <v>2952</v>
      </c>
      <c r="F2692" s="35" t="s">
        <v>411</v>
      </c>
    </row>
    <row r="2693" spans="1:6">
      <c r="A2693" s="35" t="s">
        <v>3109</v>
      </c>
      <c r="B2693" s="37">
        <v>1662.5999755859375</v>
      </c>
      <c r="C2693" s="37">
        <v>1603.2666015625</v>
      </c>
      <c r="D2693" s="35">
        <v>6342672</v>
      </c>
      <c r="E2693" s="35" t="s">
        <v>2952</v>
      </c>
      <c r="F2693" s="35" t="s">
        <v>411</v>
      </c>
    </row>
    <row r="2694" spans="1:6">
      <c r="A2694" s="35" t="s">
        <v>3110</v>
      </c>
      <c r="B2694" s="37">
        <v>1645.4000244140625</v>
      </c>
      <c r="C2694" s="37">
        <v>1586.680419921875</v>
      </c>
      <c r="D2694" s="35">
        <v>2724035</v>
      </c>
      <c r="E2694" s="35" t="s">
        <v>2952</v>
      </c>
      <c r="F2694" s="35" t="s">
        <v>411</v>
      </c>
    </row>
    <row r="2695" spans="1:6">
      <c r="A2695" s="35" t="s">
        <v>3111</v>
      </c>
      <c r="B2695" s="37">
        <v>1608</v>
      </c>
      <c r="C2695" s="37">
        <v>1550.614990234375</v>
      </c>
      <c r="D2695" s="35">
        <v>2958835</v>
      </c>
      <c r="E2695" s="35" t="s">
        <v>2952</v>
      </c>
      <c r="F2695" s="35" t="s">
        <v>411</v>
      </c>
    </row>
    <row r="2696" spans="1:6">
      <c r="A2696" s="35" t="s">
        <v>3112</v>
      </c>
      <c r="B2696" s="37">
        <v>1610.4000244140625</v>
      </c>
      <c r="C2696" s="37">
        <v>1552.9295654296875</v>
      </c>
      <c r="D2696" s="35">
        <v>6392688</v>
      </c>
      <c r="E2696" s="35" t="s">
        <v>2952</v>
      </c>
      <c r="F2696" s="35" t="s">
        <v>411</v>
      </c>
    </row>
    <row r="2697" spans="1:6">
      <c r="A2697" s="35" t="s">
        <v>3113</v>
      </c>
      <c r="B2697" s="37">
        <v>1601.0999755859375</v>
      </c>
      <c r="C2697" s="37">
        <v>1543.9613037109375</v>
      </c>
      <c r="D2697" s="35">
        <v>2285950</v>
      </c>
      <c r="E2697" s="35" t="s">
        <v>2952</v>
      </c>
      <c r="F2697" s="35" t="s">
        <v>411</v>
      </c>
    </row>
    <row r="2698" spans="1:6">
      <c r="A2698" s="35" t="s">
        <v>3114</v>
      </c>
      <c r="B2698" s="37">
        <v>1617.9000244140625</v>
      </c>
      <c r="C2698" s="37">
        <v>1560.161865234375</v>
      </c>
      <c r="D2698" s="35">
        <v>1243303</v>
      </c>
      <c r="E2698" s="35" t="s">
        <v>2952</v>
      </c>
      <c r="F2698" s="35" t="s">
        <v>411</v>
      </c>
    </row>
    <row r="2699" spans="1:6">
      <c r="A2699" s="35" t="s">
        <v>3115</v>
      </c>
      <c r="B2699" s="37">
        <v>1629</v>
      </c>
      <c r="C2699" s="37">
        <v>1570.8656005859375</v>
      </c>
      <c r="D2699" s="35">
        <v>2106176</v>
      </c>
      <c r="E2699" s="35" t="s">
        <v>2952</v>
      </c>
      <c r="F2699" s="35" t="s">
        <v>411</v>
      </c>
    </row>
    <row r="2700" spans="1:6">
      <c r="A2700" s="35" t="s">
        <v>3116</v>
      </c>
      <c r="B2700" s="37">
        <v>1624.199951171875</v>
      </c>
      <c r="C2700" s="37">
        <v>1566.2369384765625</v>
      </c>
      <c r="D2700" s="35">
        <v>1841289</v>
      </c>
      <c r="E2700" s="35" t="s">
        <v>2952</v>
      </c>
      <c r="F2700" s="35" t="s">
        <v>411</v>
      </c>
    </row>
    <row r="2701" spans="1:6">
      <c r="A2701" s="35" t="s">
        <v>3117</v>
      </c>
      <c r="B2701" s="37">
        <v>1642.9000244140625</v>
      </c>
      <c r="C2701" s="37">
        <v>1584.2696533203125</v>
      </c>
      <c r="D2701" s="35">
        <v>2034350</v>
      </c>
      <c r="E2701" s="35" t="s">
        <v>2952</v>
      </c>
      <c r="F2701" s="35" t="s">
        <v>411</v>
      </c>
    </row>
    <row r="2702" spans="1:6">
      <c r="A2702" s="35" t="s">
        <v>3118</v>
      </c>
      <c r="B2702" s="37">
        <v>1635.5</v>
      </c>
      <c r="C2702" s="37">
        <v>1577.1337890625</v>
      </c>
      <c r="D2702" s="35">
        <v>2326220</v>
      </c>
      <c r="E2702" s="35" t="s">
        <v>2952</v>
      </c>
      <c r="F2702" s="35" t="s">
        <v>411</v>
      </c>
    </row>
    <row r="2703" spans="1:6">
      <c r="A2703" s="35" t="s">
        <v>3119</v>
      </c>
      <c r="B2703" s="37">
        <v>1640.5</v>
      </c>
      <c r="C2703" s="37">
        <v>1581.955322265625</v>
      </c>
      <c r="D2703" s="35">
        <v>2371611</v>
      </c>
      <c r="E2703" s="35" t="s">
        <v>2952</v>
      </c>
      <c r="F2703" s="35" t="s">
        <v>411</v>
      </c>
    </row>
    <row r="2704" spans="1:6">
      <c r="A2704" s="35" t="s">
        <v>3120</v>
      </c>
      <c r="B2704" s="37">
        <v>1654.5999755859375</v>
      </c>
      <c r="C2704" s="37">
        <v>1595.552001953125</v>
      </c>
      <c r="D2704" s="35">
        <v>3935708</v>
      </c>
      <c r="E2704" s="35" t="s">
        <v>2952</v>
      </c>
      <c r="F2704" s="35" t="s">
        <v>411</v>
      </c>
    </row>
    <row r="2705" spans="1:6">
      <c r="A2705" s="35" t="s">
        <v>3121</v>
      </c>
      <c r="B2705" s="37">
        <v>1683</v>
      </c>
      <c r="C2705" s="37">
        <v>1622.9385986328125</v>
      </c>
      <c r="D2705" s="35">
        <v>3391204</v>
      </c>
      <c r="E2705" s="35" t="s">
        <v>2952</v>
      </c>
      <c r="F2705" s="35" t="s">
        <v>411</v>
      </c>
    </row>
    <row r="2706" spans="1:6">
      <c r="A2706" s="35" t="s">
        <v>3122</v>
      </c>
      <c r="B2706" s="37">
        <v>1688.5999755859375</v>
      </c>
      <c r="C2706" s="37">
        <v>1628.3387451171875</v>
      </c>
      <c r="D2706" s="35">
        <v>2702407</v>
      </c>
      <c r="E2706" s="35" t="s">
        <v>2952</v>
      </c>
      <c r="F2706" s="35" t="s">
        <v>411</v>
      </c>
    </row>
    <row r="2707" spans="1:6">
      <c r="A2707" s="35" t="s">
        <v>3123</v>
      </c>
      <c r="B2707" s="37">
        <v>1657.5999755859375</v>
      </c>
      <c r="C2707" s="37">
        <v>1598.4449462890625</v>
      </c>
      <c r="D2707" s="35">
        <v>2817704</v>
      </c>
      <c r="E2707" s="35" t="s">
        <v>2952</v>
      </c>
      <c r="F2707" s="35" t="s">
        <v>411</v>
      </c>
    </row>
    <row r="2708" spans="1:6">
      <c r="A2708" s="35" t="s">
        <v>3124</v>
      </c>
      <c r="B2708" s="37">
        <v>1666</v>
      </c>
      <c r="C2708" s="37">
        <v>1606.545166015625</v>
      </c>
      <c r="D2708" s="35">
        <v>1482249</v>
      </c>
      <c r="E2708" s="35" t="s">
        <v>2952</v>
      </c>
      <c r="F2708" s="35" t="s">
        <v>411</v>
      </c>
    </row>
    <row r="2709" spans="1:6">
      <c r="A2709" s="35" t="s">
        <v>3125</v>
      </c>
      <c r="B2709" s="37">
        <v>1672.4000244140625</v>
      </c>
      <c r="C2709" s="37">
        <v>1612.7169189453125</v>
      </c>
      <c r="D2709" s="35">
        <v>1408684</v>
      </c>
      <c r="E2709" s="35" t="s">
        <v>2952</v>
      </c>
      <c r="F2709" s="35" t="s">
        <v>411</v>
      </c>
    </row>
    <row r="2710" spans="1:6">
      <c r="A2710" s="35" t="s">
        <v>3126</v>
      </c>
      <c r="B2710" s="37">
        <v>1673.199951171875</v>
      </c>
      <c r="C2710" s="37">
        <v>1613.4881591796875</v>
      </c>
      <c r="D2710" s="35">
        <v>1284337</v>
      </c>
      <c r="E2710" s="35" t="s">
        <v>2952</v>
      </c>
      <c r="F2710" s="35" t="s">
        <v>411</v>
      </c>
    </row>
    <row r="2711" spans="1:6">
      <c r="A2711" s="35" t="s">
        <v>3127</v>
      </c>
      <c r="B2711" s="37">
        <v>1684</v>
      </c>
      <c r="C2711" s="37">
        <v>1623.90283203125</v>
      </c>
      <c r="D2711" s="35">
        <v>1689723</v>
      </c>
      <c r="E2711" s="35" t="s">
        <v>2952</v>
      </c>
      <c r="F2711" s="35" t="s">
        <v>411</v>
      </c>
    </row>
    <row r="2712" spans="1:6">
      <c r="A2712" s="35" t="s">
        <v>3128</v>
      </c>
      <c r="B2712" s="37">
        <v>1651.699951171875</v>
      </c>
      <c r="C2712" s="37">
        <v>1592.7554931640625</v>
      </c>
      <c r="D2712" s="35">
        <v>1929309</v>
      </c>
      <c r="E2712" s="35" t="s">
        <v>2952</v>
      </c>
      <c r="F2712" s="35" t="s">
        <v>411</v>
      </c>
    </row>
    <row r="2713" spans="1:6">
      <c r="A2713" s="35" t="s">
        <v>3129</v>
      </c>
      <c r="B2713" s="37">
        <v>1655</v>
      </c>
      <c r="C2713" s="37">
        <v>1595.937744140625</v>
      </c>
      <c r="D2713" s="35">
        <v>1394918</v>
      </c>
      <c r="E2713" s="35" t="s">
        <v>2952</v>
      </c>
      <c r="F2713" s="35" t="s">
        <v>411</v>
      </c>
    </row>
    <row r="2714" spans="1:6">
      <c r="A2714" s="35" t="s">
        <v>3130</v>
      </c>
      <c r="B2714" s="37">
        <v>1661.4000244140625</v>
      </c>
      <c r="C2714" s="37">
        <v>1602.109375</v>
      </c>
      <c r="D2714" s="35">
        <v>1822056</v>
      </c>
      <c r="E2714" s="35" t="s">
        <v>2952</v>
      </c>
      <c r="F2714" s="35" t="s">
        <v>411</v>
      </c>
    </row>
    <row r="2715" spans="1:6">
      <c r="A2715" s="35" t="s">
        <v>3131</v>
      </c>
      <c r="B2715" s="37">
        <v>1642.4000244140625</v>
      </c>
      <c r="C2715" s="37">
        <v>1583.7874755859375</v>
      </c>
      <c r="D2715" s="35">
        <v>3487150</v>
      </c>
      <c r="E2715" s="35" t="s">
        <v>2952</v>
      </c>
      <c r="F2715" s="35" t="s">
        <v>411</v>
      </c>
    </row>
    <row r="2716" spans="1:6">
      <c r="A2716" s="35" t="s">
        <v>3132</v>
      </c>
      <c r="B2716" s="37">
        <v>1670.300048828125</v>
      </c>
      <c r="C2716" s="37">
        <v>1610.69189453125</v>
      </c>
      <c r="D2716" s="35">
        <v>1339691</v>
      </c>
      <c r="E2716" s="35" t="s">
        <v>2952</v>
      </c>
      <c r="F2716" s="35" t="s">
        <v>411</v>
      </c>
    </row>
    <row r="2717" spans="1:6">
      <c r="A2717" s="35" t="s">
        <v>3133</v>
      </c>
      <c r="B2717" s="37">
        <v>1679.9000244140625</v>
      </c>
      <c r="C2717" s="37">
        <v>1619.94921875</v>
      </c>
      <c r="D2717" s="35">
        <v>1614314</v>
      </c>
      <c r="E2717" s="35" t="s">
        <v>2952</v>
      </c>
      <c r="F2717" s="35" t="s">
        <v>411</v>
      </c>
    </row>
    <row r="2718" spans="1:6">
      <c r="A2718" s="35" t="s">
        <v>3134</v>
      </c>
      <c r="B2718" s="37">
        <v>1674.699951171875</v>
      </c>
      <c r="C2718" s="37">
        <v>1614.9346923828125</v>
      </c>
      <c r="D2718" s="35">
        <v>989858</v>
      </c>
      <c r="E2718" s="35" t="s">
        <v>2952</v>
      </c>
      <c r="F2718" s="35" t="s">
        <v>411</v>
      </c>
    </row>
    <row r="2719" spans="1:6">
      <c r="A2719" s="35" t="s">
        <v>3135</v>
      </c>
      <c r="B2719" s="37">
        <v>1660.9000244140625</v>
      </c>
      <c r="C2719" s="37">
        <v>1601.627197265625</v>
      </c>
      <c r="D2719" s="35">
        <v>921138</v>
      </c>
      <c r="E2719" s="35" t="s">
        <v>2952</v>
      </c>
      <c r="F2719" s="35" t="s">
        <v>411</v>
      </c>
    </row>
    <row r="2720" spans="1:6">
      <c r="A2720" s="35" t="s">
        <v>3136</v>
      </c>
      <c r="B2720" s="37">
        <v>1630.800048828125</v>
      </c>
      <c r="C2720" s="37">
        <v>1572.6014404296875</v>
      </c>
      <c r="D2720" s="35">
        <v>1516288</v>
      </c>
      <c r="E2720" s="35" t="s">
        <v>2952</v>
      </c>
      <c r="F2720" s="35" t="s">
        <v>411</v>
      </c>
    </row>
    <row r="2721" spans="1:6">
      <c r="A2721" s="35" t="s">
        <v>3137</v>
      </c>
      <c r="B2721" s="37">
        <v>1615.199951171875</v>
      </c>
      <c r="C2721" s="37">
        <v>1557.55810546875</v>
      </c>
      <c r="D2721" s="35">
        <v>3323273</v>
      </c>
      <c r="E2721" s="35" t="s">
        <v>2952</v>
      </c>
      <c r="F2721" s="35" t="s">
        <v>411</v>
      </c>
    </row>
    <row r="2722" spans="1:6">
      <c r="A2722" s="35" t="s">
        <v>3138</v>
      </c>
      <c r="B2722" s="37">
        <v>1623.300048828125</v>
      </c>
      <c r="C2722" s="37">
        <v>1565.369140625</v>
      </c>
      <c r="D2722" s="35">
        <v>1359963</v>
      </c>
      <c r="E2722" s="35" t="s">
        <v>2952</v>
      </c>
      <c r="F2722" s="35" t="s">
        <v>411</v>
      </c>
    </row>
    <row r="2723" spans="1:6">
      <c r="A2723" s="35" t="s">
        <v>3139</v>
      </c>
      <c r="B2723" s="37">
        <v>1634.5</v>
      </c>
      <c r="C2723" s="37">
        <v>1576.1693115234375</v>
      </c>
      <c r="D2723" s="35">
        <v>773806</v>
      </c>
      <c r="E2723" s="35" t="s">
        <v>2952</v>
      </c>
      <c r="F2723" s="35" t="s">
        <v>411</v>
      </c>
    </row>
    <row r="2724" spans="1:6">
      <c r="A2724" s="35" t="s">
        <v>3140</v>
      </c>
      <c r="B2724" s="37">
        <v>1640.199951171875</v>
      </c>
      <c r="C2724" s="37">
        <v>1581.666015625</v>
      </c>
      <c r="D2724" s="35">
        <v>950573</v>
      </c>
      <c r="E2724" s="35" t="s">
        <v>2952</v>
      </c>
      <c r="F2724" s="35" t="s">
        <v>411</v>
      </c>
    </row>
    <row r="2725" spans="1:6">
      <c r="A2725" s="35" t="s">
        <v>3141</v>
      </c>
      <c r="B2725" s="37">
        <v>1607.5999755859375</v>
      </c>
      <c r="C2725" s="37">
        <v>1550.2294921875</v>
      </c>
      <c r="D2725" s="35">
        <v>3245802</v>
      </c>
      <c r="E2725" s="35" t="s">
        <v>2952</v>
      </c>
      <c r="F2725" s="35" t="s">
        <v>411</v>
      </c>
    </row>
    <row r="2726" spans="1:6">
      <c r="A2726" s="35" t="s">
        <v>3142</v>
      </c>
      <c r="B2726" s="37">
        <v>1616.300048828125</v>
      </c>
      <c r="C2726" s="37">
        <v>1558.6190185546875</v>
      </c>
      <c r="D2726" s="35">
        <v>2112043</v>
      </c>
      <c r="E2726" s="35" t="s">
        <v>2952</v>
      </c>
      <c r="F2726" s="35" t="s">
        <v>411</v>
      </c>
    </row>
    <row r="2727" spans="1:6">
      <c r="A2727" s="35" t="s">
        <v>3143</v>
      </c>
      <c r="B2727" s="37">
        <v>1647.699951171875</v>
      </c>
      <c r="C2727" s="37">
        <v>1588.8983154296875</v>
      </c>
      <c r="D2727" s="35">
        <v>3816569</v>
      </c>
      <c r="E2727" s="35" t="s">
        <v>2952</v>
      </c>
      <c r="F2727" s="35" t="s">
        <v>411</v>
      </c>
    </row>
    <row r="2728" spans="1:6">
      <c r="A2728" s="35" t="s">
        <v>3144</v>
      </c>
      <c r="B2728" s="37">
        <v>1646.699951171875</v>
      </c>
      <c r="C2728" s="37">
        <v>1587.9339599609375</v>
      </c>
      <c r="D2728" s="35">
        <v>3266398</v>
      </c>
      <c r="E2728" s="35" t="s">
        <v>2952</v>
      </c>
      <c r="F2728" s="35" t="s">
        <v>411</v>
      </c>
    </row>
    <row r="2729" spans="1:6">
      <c r="A2729" s="35" t="s">
        <v>3145</v>
      </c>
      <c r="B2729" s="37">
        <v>1661.4000244140625</v>
      </c>
      <c r="C2729" s="37">
        <v>1602.109375</v>
      </c>
      <c r="D2729" s="35">
        <v>3281306</v>
      </c>
      <c r="E2729" s="35" t="s">
        <v>2952</v>
      </c>
      <c r="F2729" s="35" t="s">
        <v>411</v>
      </c>
    </row>
    <row r="2730" spans="1:6">
      <c r="A2730" s="35" t="s">
        <v>3146</v>
      </c>
      <c r="B2730" s="37">
        <v>1667.5999755859375</v>
      </c>
      <c r="C2730" s="37">
        <v>1608.088134765625</v>
      </c>
      <c r="D2730" s="35">
        <v>4175707</v>
      </c>
      <c r="E2730" s="35" t="s">
        <v>2952</v>
      </c>
      <c r="F2730" s="35" t="s">
        <v>411</v>
      </c>
    </row>
    <row r="2731" spans="1:6">
      <c r="A2731" s="35" t="s">
        <v>3147</v>
      </c>
      <c r="B2731" s="37">
        <v>1665</v>
      </c>
      <c r="C2731" s="37">
        <v>1605.580810546875</v>
      </c>
      <c r="D2731" s="35">
        <v>7149266</v>
      </c>
      <c r="E2731" s="35" t="s">
        <v>2952</v>
      </c>
      <c r="F2731" s="35" t="s">
        <v>411</v>
      </c>
    </row>
    <row r="2732" spans="1:6">
      <c r="A2732" s="35" t="s">
        <v>3148</v>
      </c>
      <c r="B2732" s="37">
        <v>1668.5</v>
      </c>
      <c r="C2732" s="37">
        <v>1608.9560546875</v>
      </c>
      <c r="D2732" s="35">
        <v>2470615</v>
      </c>
      <c r="E2732" s="35" t="s">
        <v>2952</v>
      </c>
      <c r="F2732" s="35" t="s">
        <v>411</v>
      </c>
    </row>
    <row r="2733" spans="1:6">
      <c r="A2733" s="35" t="s">
        <v>3149</v>
      </c>
      <c r="B2733" s="37">
        <v>1668.5</v>
      </c>
      <c r="C2733" s="37">
        <v>1608.9560546875</v>
      </c>
      <c r="D2733" s="35">
        <v>0</v>
      </c>
      <c r="E2733" s="35" t="s">
        <v>2952</v>
      </c>
      <c r="F2733" s="35" t="s">
        <v>411</v>
      </c>
    </row>
    <row r="2734" spans="1:6">
      <c r="A2734" s="35" t="s">
        <v>3150</v>
      </c>
      <c r="B2734" s="37">
        <v>1698</v>
      </c>
      <c r="C2734" s="37">
        <v>1649.264892578125</v>
      </c>
      <c r="D2734" s="35">
        <v>3098089</v>
      </c>
      <c r="E2734" s="35" t="s">
        <v>2952</v>
      </c>
      <c r="F2734" s="35" t="s">
        <v>411</v>
      </c>
    </row>
    <row r="2735" spans="1:6">
      <c r="A2735" s="35" t="s">
        <v>3151</v>
      </c>
      <c r="B2735" s="37">
        <v>1716.800048828125</v>
      </c>
      <c r="C2735" s="37">
        <v>1667.525390625</v>
      </c>
      <c r="D2735" s="35">
        <v>2087629</v>
      </c>
      <c r="E2735" s="35" t="s">
        <v>2952</v>
      </c>
      <c r="F2735" s="35" t="s">
        <v>411</v>
      </c>
    </row>
    <row r="2736" spans="1:6">
      <c r="A2736" s="35" t="s">
        <v>3152</v>
      </c>
      <c r="B2736" s="37">
        <v>1687.300048828125</v>
      </c>
      <c r="C2736" s="37">
        <v>1638.8720703125</v>
      </c>
      <c r="D2736" s="35">
        <v>1739341</v>
      </c>
      <c r="E2736" s="35" t="s">
        <v>2952</v>
      </c>
      <c r="F2736" s="35" t="s">
        <v>411</v>
      </c>
    </row>
    <row r="2737" spans="1:6">
      <c r="A2737" s="35" t="s">
        <v>3153</v>
      </c>
      <c r="B2737" s="37">
        <v>1682.5</v>
      </c>
      <c r="C2737" s="37">
        <v>1634.209716796875</v>
      </c>
      <c r="D2737" s="35">
        <v>1728435</v>
      </c>
      <c r="E2737" s="35" t="s">
        <v>2952</v>
      </c>
      <c r="F2737" s="35" t="s">
        <v>411</v>
      </c>
    </row>
    <row r="2738" spans="1:6">
      <c r="A2738" s="35" t="s">
        <v>3154</v>
      </c>
      <c r="B2738" s="37">
        <v>1703.0999755859375</v>
      </c>
      <c r="C2738" s="37">
        <v>1654.218505859375</v>
      </c>
      <c r="D2738" s="35">
        <v>1853439</v>
      </c>
      <c r="E2738" s="35" t="s">
        <v>2952</v>
      </c>
      <c r="F2738" s="35" t="s">
        <v>411</v>
      </c>
    </row>
    <row r="2739" spans="1:6">
      <c r="A2739" s="35" t="s">
        <v>3155</v>
      </c>
      <c r="B2739" s="37">
        <v>1707</v>
      </c>
      <c r="C2739" s="37">
        <v>1658.006591796875</v>
      </c>
      <c r="D2739" s="35">
        <v>1874357</v>
      </c>
      <c r="E2739" s="35" t="s">
        <v>2952</v>
      </c>
      <c r="F2739" s="35" t="s">
        <v>411</v>
      </c>
    </row>
    <row r="2740" spans="1:6">
      <c r="A2740" s="35" t="s">
        <v>3156</v>
      </c>
      <c r="B2740" s="37">
        <v>1720.199951171875</v>
      </c>
      <c r="C2740" s="37">
        <v>1670.8277587890625</v>
      </c>
      <c r="D2740" s="35">
        <v>2671530</v>
      </c>
      <c r="E2740" s="35" t="s">
        <v>2952</v>
      </c>
      <c r="F2740" s="35" t="s">
        <v>411</v>
      </c>
    </row>
    <row r="2741" spans="1:6">
      <c r="A2741" s="35" t="s">
        <v>3157</v>
      </c>
      <c r="B2741" s="37">
        <v>1729.5999755859375</v>
      </c>
      <c r="C2741" s="37">
        <v>1679.9578857421875</v>
      </c>
      <c r="D2741" s="35">
        <v>2713867</v>
      </c>
      <c r="E2741" s="35" t="s">
        <v>2952</v>
      </c>
      <c r="F2741" s="35" t="s">
        <v>411</v>
      </c>
    </row>
    <row r="2742" spans="1:6">
      <c r="A2742" s="35" t="s">
        <v>3158</v>
      </c>
      <c r="B2742" s="37">
        <v>1721.5999755859375</v>
      </c>
      <c r="C2742" s="37">
        <v>1672.1875</v>
      </c>
      <c r="D2742" s="35">
        <v>2235602</v>
      </c>
      <c r="E2742" s="35" t="s">
        <v>2952</v>
      </c>
      <c r="F2742" s="35" t="s">
        <v>411</v>
      </c>
    </row>
    <row r="2743" spans="1:6">
      <c r="A2743" s="35" t="s">
        <v>3159</v>
      </c>
      <c r="B2743" s="37">
        <v>1695.5999755859375</v>
      </c>
      <c r="C2743" s="37">
        <v>1646.9337158203125</v>
      </c>
      <c r="D2743" s="35">
        <v>4448681</v>
      </c>
      <c r="E2743" s="35" t="s">
        <v>2952</v>
      </c>
      <c r="F2743" s="35" t="s">
        <v>411</v>
      </c>
    </row>
    <row r="2744" spans="1:6">
      <c r="A2744" s="35" t="s">
        <v>3160</v>
      </c>
      <c r="B2744" s="37">
        <v>1676.800048828125</v>
      </c>
      <c r="C2744" s="37">
        <v>1628.67333984375</v>
      </c>
      <c r="D2744" s="35">
        <v>1916380</v>
      </c>
      <c r="E2744" s="35" t="s">
        <v>2952</v>
      </c>
      <c r="F2744" s="35" t="s">
        <v>411</v>
      </c>
    </row>
    <row r="2745" spans="1:6">
      <c r="A2745" s="35" t="s">
        <v>3161</v>
      </c>
      <c r="B2745" s="37">
        <v>1695.300048828125</v>
      </c>
      <c r="C2745" s="37">
        <v>1646.6424560546875</v>
      </c>
      <c r="D2745" s="35">
        <v>3200948</v>
      </c>
      <c r="E2745" s="35" t="s">
        <v>2952</v>
      </c>
      <c r="F2745" s="35" t="s">
        <v>411</v>
      </c>
    </row>
    <row r="2746" spans="1:6">
      <c r="A2746" s="35" t="s">
        <v>3162</v>
      </c>
      <c r="B2746" s="37">
        <v>1621.800048828125</v>
      </c>
      <c r="C2746" s="37">
        <v>1575.251953125</v>
      </c>
      <c r="D2746" s="35">
        <v>5834470</v>
      </c>
      <c r="E2746" s="35" t="s">
        <v>2952</v>
      </c>
      <c r="F2746" s="35" t="s">
        <v>411</v>
      </c>
    </row>
    <row r="2747" spans="1:6">
      <c r="A2747" s="35" t="s">
        <v>3163</v>
      </c>
      <c r="B2747" s="37">
        <v>1610</v>
      </c>
      <c r="C2747" s="37">
        <v>1563.7906494140625</v>
      </c>
      <c r="D2747" s="35">
        <v>3184531</v>
      </c>
      <c r="E2747" s="35" t="s">
        <v>2952</v>
      </c>
      <c r="F2747" s="35" t="s">
        <v>411</v>
      </c>
    </row>
    <row r="2748" spans="1:6">
      <c r="A2748" s="35" t="s">
        <v>3164</v>
      </c>
      <c r="B2748" s="37">
        <v>1593.699951171875</v>
      </c>
      <c r="C2748" s="37">
        <v>1547.95849609375</v>
      </c>
      <c r="D2748" s="35">
        <v>3342992</v>
      </c>
      <c r="E2748" s="35" t="s">
        <v>2952</v>
      </c>
      <c r="F2748" s="35" t="s">
        <v>411</v>
      </c>
    </row>
    <row r="2749" spans="1:6">
      <c r="A2749" s="35" t="s">
        <v>3165</v>
      </c>
      <c r="B2749" s="37">
        <v>1602</v>
      </c>
      <c r="C2749" s="37">
        <v>1556.0201416015625</v>
      </c>
      <c r="D2749" s="35">
        <v>1863558</v>
      </c>
      <c r="E2749" s="35" t="s">
        <v>2952</v>
      </c>
      <c r="F2749" s="35" t="s">
        <v>411</v>
      </c>
    </row>
    <row r="2750" spans="1:6">
      <c r="A2750" s="35" t="s">
        <v>3166</v>
      </c>
      <c r="B2750" s="37">
        <v>1573.0999755859375</v>
      </c>
      <c r="C2750" s="37">
        <v>1527.94970703125</v>
      </c>
      <c r="D2750" s="35">
        <v>3234785</v>
      </c>
      <c r="E2750" s="35" t="s">
        <v>2952</v>
      </c>
      <c r="F2750" s="35" t="s">
        <v>411</v>
      </c>
    </row>
    <row r="2751" spans="1:6">
      <c r="A2751" s="35" t="s">
        <v>3167</v>
      </c>
      <c r="B2751" s="37">
        <v>1551.5999755859375</v>
      </c>
      <c r="C2751" s="37">
        <v>1507.0667724609375</v>
      </c>
      <c r="D2751" s="35">
        <v>2944646</v>
      </c>
      <c r="E2751" s="35" t="s">
        <v>2952</v>
      </c>
      <c r="F2751" s="35" t="s">
        <v>411</v>
      </c>
    </row>
    <row r="2752" spans="1:6">
      <c r="A2752" s="35" t="s">
        <v>3168</v>
      </c>
      <c r="B2752" s="37">
        <v>1476.0999755859375</v>
      </c>
      <c r="C2752" s="37">
        <v>1433.7337646484375</v>
      </c>
      <c r="D2752" s="35">
        <v>5397659</v>
      </c>
      <c r="E2752" s="35" t="s">
        <v>2952</v>
      </c>
      <c r="F2752" s="35" t="s">
        <v>411</v>
      </c>
    </row>
    <row r="2753" spans="1:6">
      <c r="A2753" s="35" t="s">
        <v>3169</v>
      </c>
      <c r="B2753" s="37">
        <v>1455.199951171875</v>
      </c>
      <c r="C2753" s="37">
        <v>1413.43359375</v>
      </c>
      <c r="D2753" s="35">
        <v>7214938</v>
      </c>
      <c r="E2753" s="35" t="s">
        <v>2952</v>
      </c>
      <c r="F2753" s="35" t="s">
        <v>411</v>
      </c>
    </row>
    <row r="2754" spans="1:6">
      <c r="A2754" s="35" t="s">
        <v>3170</v>
      </c>
      <c r="B2754" s="37">
        <v>1461.800048828125</v>
      </c>
      <c r="C2754" s="37">
        <v>1419.84423828125</v>
      </c>
      <c r="D2754" s="35">
        <v>2388700</v>
      </c>
      <c r="E2754" s="35" t="s">
        <v>2952</v>
      </c>
      <c r="F2754" s="35" t="s">
        <v>411</v>
      </c>
    </row>
    <row r="2755" spans="1:6">
      <c r="A2755" s="35" t="s">
        <v>3171</v>
      </c>
      <c r="B2755" s="37">
        <v>1482.5999755859375</v>
      </c>
      <c r="C2755" s="37">
        <v>1440.0472412109375</v>
      </c>
      <c r="D2755" s="35">
        <v>2840341</v>
      </c>
      <c r="E2755" s="35" t="s">
        <v>2952</v>
      </c>
      <c r="F2755" s="35" t="s">
        <v>411</v>
      </c>
    </row>
    <row r="2756" spans="1:6">
      <c r="A2756" s="35" t="s">
        <v>3172</v>
      </c>
      <c r="B2756" s="37">
        <v>1467.199951171875</v>
      </c>
      <c r="C2756" s="37">
        <v>1425.0892333984375</v>
      </c>
      <c r="D2756" s="35">
        <v>2036245</v>
      </c>
      <c r="E2756" s="35" t="s">
        <v>2952</v>
      </c>
      <c r="F2756" s="35" t="s">
        <v>411</v>
      </c>
    </row>
    <row r="2757" spans="1:6">
      <c r="A2757" s="35" t="s">
        <v>3173</v>
      </c>
      <c r="B2757" s="37">
        <v>1450.4000244140625</v>
      </c>
      <c r="C2757" s="37">
        <v>1408.7713623046875</v>
      </c>
      <c r="D2757" s="35">
        <v>2397127</v>
      </c>
      <c r="E2757" s="35" t="s">
        <v>2952</v>
      </c>
      <c r="F2757" s="35" t="s">
        <v>411</v>
      </c>
    </row>
    <row r="2758" spans="1:6">
      <c r="A2758" s="35" t="s">
        <v>3174</v>
      </c>
      <c r="B2758" s="37">
        <v>1436.5</v>
      </c>
      <c r="C2758" s="37">
        <v>1395.2703857421875</v>
      </c>
      <c r="D2758" s="35">
        <v>2392491</v>
      </c>
      <c r="E2758" s="35" t="s">
        <v>2952</v>
      </c>
      <c r="F2758" s="35" t="s">
        <v>411</v>
      </c>
    </row>
    <row r="2759" spans="1:6">
      <c r="A2759" s="35" t="s">
        <v>3175</v>
      </c>
      <c r="B2759" s="37">
        <v>1426.199951171875</v>
      </c>
      <c r="C2759" s="37">
        <v>1385.265869140625</v>
      </c>
      <c r="D2759" s="35">
        <v>2629763</v>
      </c>
      <c r="E2759" s="35" t="s">
        <v>2952</v>
      </c>
      <c r="F2759" s="35" t="s">
        <v>411</v>
      </c>
    </row>
    <row r="2760" spans="1:6">
      <c r="A2760" s="35" t="s">
        <v>3176</v>
      </c>
      <c r="B2760" s="37">
        <v>1339.199951171875</v>
      </c>
      <c r="C2760" s="37">
        <v>1300.762939453125</v>
      </c>
      <c r="D2760" s="35">
        <v>10004684</v>
      </c>
      <c r="E2760" s="35" t="s">
        <v>2952</v>
      </c>
      <c r="F2760" s="35" t="s">
        <v>411</v>
      </c>
    </row>
    <row r="2761" spans="1:6">
      <c r="A2761" s="35" t="s">
        <v>3177</v>
      </c>
      <c r="B2761" s="37">
        <v>1378.199951171875</v>
      </c>
      <c r="C2761" s="37">
        <v>1338.6436767578125</v>
      </c>
      <c r="D2761" s="35">
        <v>5703505</v>
      </c>
      <c r="E2761" s="35" t="s">
        <v>2952</v>
      </c>
      <c r="F2761" s="35" t="s">
        <v>411</v>
      </c>
    </row>
    <row r="2762" spans="1:6">
      <c r="A2762" s="35" t="s">
        <v>3178</v>
      </c>
      <c r="B2762" s="37">
        <v>1373.5</v>
      </c>
      <c r="C2762" s="37">
        <v>1334.0784912109375</v>
      </c>
      <c r="D2762" s="35">
        <v>2329520</v>
      </c>
      <c r="E2762" s="35" t="s">
        <v>2952</v>
      </c>
      <c r="F2762" s="35" t="s">
        <v>411</v>
      </c>
    </row>
    <row r="2763" spans="1:6">
      <c r="A2763" s="35" t="s">
        <v>3179</v>
      </c>
      <c r="B2763" s="37">
        <v>1389.0999755859375</v>
      </c>
      <c r="C2763" s="37">
        <v>1349.230712890625</v>
      </c>
      <c r="D2763" s="35">
        <v>8651443</v>
      </c>
      <c r="E2763" s="35" t="s">
        <v>2952</v>
      </c>
      <c r="F2763" s="35" t="s">
        <v>411</v>
      </c>
    </row>
    <row r="2764" spans="1:6">
      <c r="A2764" s="35" t="s">
        <v>3180</v>
      </c>
      <c r="B2764" s="37">
        <v>1371</v>
      </c>
      <c r="C2764" s="37">
        <v>1331.6502685546875</v>
      </c>
      <c r="D2764" s="35">
        <v>2088938</v>
      </c>
      <c r="E2764" s="35" t="s">
        <v>2952</v>
      </c>
      <c r="F2764" s="35" t="s">
        <v>411</v>
      </c>
    </row>
    <row r="2765" spans="1:6">
      <c r="A2765" s="35" t="s">
        <v>3181</v>
      </c>
      <c r="B2765" s="37">
        <v>1364</v>
      </c>
      <c r="C2765" s="37">
        <v>1324.8511962890625</v>
      </c>
      <c r="D2765" s="35">
        <v>3161598</v>
      </c>
      <c r="E2765" s="35" t="s">
        <v>2952</v>
      </c>
      <c r="F2765" s="35" t="s">
        <v>411</v>
      </c>
    </row>
    <row r="2766" spans="1:6">
      <c r="A2766" s="35" t="s">
        <v>3182</v>
      </c>
      <c r="B2766" s="37">
        <v>1354.0999755859375</v>
      </c>
      <c r="C2766" s="37">
        <v>1315.2352294921875</v>
      </c>
      <c r="D2766" s="35">
        <v>2217963</v>
      </c>
      <c r="E2766" s="35" t="s">
        <v>2952</v>
      </c>
      <c r="F2766" s="35" t="s">
        <v>411</v>
      </c>
    </row>
    <row r="2767" spans="1:6">
      <c r="A2767" s="35" t="s">
        <v>3183</v>
      </c>
      <c r="B2767" s="37">
        <v>1356.699951171875</v>
      </c>
      <c r="C2767" s="37">
        <v>1317.7606201171875</v>
      </c>
      <c r="D2767" s="35">
        <v>1871596</v>
      </c>
      <c r="E2767" s="35" t="s">
        <v>2952</v>
      </c>
      <c r="F2767" s="35" t="s">
        <v>411</v>
      </c>
    </row>
    <row r="2768" spans="1:6">
      <c r="A2768" s="35" t="s">
        <v>3184</v>
      </c>
      <c r="B2768" s="37">
        <v>1358.5999755859375</v>
      </c>
      <c r="C2768" s="37">
        <v>1319.606201171875</v>
      </c>
      <c r="D2768" s="35">
        <v>2256550</v>
      </c>
      <c r="E2768" s="35" t="s">
        <v>2952</v>
      </c>
      <c r="F2768" s="35" t="s">
        <v>411</v>
      </c>
    </row>
    <row r="2769" spans="1:6">
      <c r="A2769" s="35" t="s">
        <v>3185</v>
      </c>
      <c r="B2769" s="37">
        <v>1361.5</v>
      </c>
      <c r="C2769" s="37">
        <v>1322.4229736328125</v>
      </c>
      <c r="D2769" s="35">
        <v>1671877</v>
      </c>
      <c r="E2769" s="35" t="s">
        <v>2952</v>
      </c>
      <c r="F2769" s="35" t="s">
        <v>411</v>
      </c>
    </row>
    <row r="2770" spans="1:6">
      <c r="A2770" s="35" t="s">
        <v>3186</v>
      </c>
      <c r="B2770" s="37">
        <v>1350.300048828125</v>
      </c>
      <c r="C2770" s="37">
        <v>1311.54443359375</v>
      </c>
      <c r="D2770" s="35">
        <v>1837000</v>
      </c>
      <c r="E2770" s="35" t="s">
        <v>2952</v>
      </c>
      <c r="F2770" s="35" t="s">
        <v>411</v>
      </c>
    </row>
    <row r="2771" spans="1:6">
      <c r="A2771" s="35" t="s">
        <v>3187</v>
      </c>
      <c r="B2771" s="37">
        <v>1358.0999755859375</v>
      </c>
      <c r="C2771" s="37">
        <v>1319.1204833984375</v>
      </c>
      <c r="D2771" s="35">
        <v>2616965</v>
      </c>
      <c r="E2771" s="35" t="s">
        <v>2952</v>
      </c>
      <c r="F2771" s="35" t="s">
        <v>411</v>
      </c>
    </row>
    <row r="2772" spans="1:6">
      <c r="A2772" s="35" t="s">
        <v>3188</v>
      </c>
      <c r="B2772" s="37">
        <v>1325.4000244140625</v>
      </c>
      <c r="C2772" s="37">
        <v>1287.359130859375</v>
      </c>
      <c r="D2772" s="35">
        <v>2190786</v>
      </c>
      <c r="E2772" s="35" t="s">
        <v>2952</v>
      </c>
      <c r="F2772" s="35" t="s">
        <v>411</v>
      </c>
    </row>
    <row r="2773" spans="1:6">
      <c r="A2773" s="35" t="s">
        <v>3189</v>
      </c>
      <c r="B2773" s="37">
        <v>1328.5999755859375</v>
      </c>
      <c r="C2773" s="37">
        <v>1290.46728515625</v>
      </c>
      <c r="D2773" s="35">
        <v>3618375</v>
      </c>
      <c r="E2773" s="35" t="s">
        <v>2952</v>
      </c>
      <c r="F2773" s="35" t="s">
        <v>411</v>
      </c>
    </row>
    <row r="2774" spans="1:6">
      <c r="A2774" s="35" t="s">
        <v>3190</v>
      </c>
      <c r="B2774" s="37">
        <v>1321.0999755859375</v>
      </c>
      <c r="C2774" s="37">
        <v>1283.1824951171875</v>
      </c>
      <c r="D2774" s="35">
        <v>2285672</v>
      </c>
      <c r="E2774" s="35" t="s">
        <v>2952</v>
      </c>
      <c r="F2774" s="35" t="s">
        <v>411</v>
      </c>
    </row>
    <row r="2775" spans="1:6">
      <c r="A2775" s="35" t="s">
        <v>3191</v>
      </c>
      <c r="B2775" s="37">
        <v>1357.199951171875</v>
      </c>
      <c r="C2775" s="37">
        <v>1318.2462158203125</v>
      </c>
      <c r="D2775" s="35">
        <v>2564106</v>
      </c>
      <c r="E2775" s="35" t="s">
        <v>2952</v>
      </c>
      <c r="F2775" s="35" t="s">
        <v>411</v>
      </c>
    </row>
    <row r="2776" spans="1:6">
      <c r="A2776" s="35" t="s">
        <v>3192</v>
      </c>
      <c r="B2776" s="37">
        <v>1311.800048828125</v>
      </c>
      <c r="C2776" s="37">
        <v>1274.1494140625</v>
      </c>
      <c r="D2776" s="35">
        <v>1663249</v>
      </c>
      <c r="E2776" s="35" t="s">
        <v>2952</v>
      </c>
      <c r="F2776" s="35" t="s">
        <v>411</v>
      </c>
    </row>
    <row r="2777" spans="1:6">
      <c r="A2777" s="35" t="s">
        <v>3193</v>
      </c>
      <c r="B2777" s="37">
        <v>1333.699951171875</v>
      </c>
      <c r="C2777" s="37">
        <v>1295.4207763671875</v>
      </c>
      <c r="D2777" s="35">
        <v>5050431</v>
      </c>
      <c r="E2777" s="35" t="s">
        <v>2952</v>
      </c>
      <c r="F2777" s="35" t="s">
        <v>411</v>
      </c>
    </row>
    <row r="2778" spans="1:6">
      <c r="A2778" s="35" t="s">
        <v>3194</v>
      </c>
      <c r="B2778" s="37">
        <v>1358.5999755859375</v>
      </c>
      <c r="C2778" s="37">
        <v>1319.606201171875</v>
      </c>
      <c r="D2778" s="35">
        <v>5166409</v>
      </c>
      <c r="E2778" s="35" t="s">
        <v>2952</v>
      </c>
      <c r="F2778" s="35" t="s">
        <v>411</v>
      </c>
    </row>
    <row r="2779" spans="1:6">
      <c r="A2779" s="35" t="s">
        <v>3195</v>
      </c>
      <c r="B2779" s="37">
        <v>1373.300048828125</v>
      </c>
      <c r="C2779" s="37">
        <v>1333.8843994140625</v>
      </c>
      <c r="D2779" s="35">
        <v>3555664</v>
      </c>
      <c r="E2779" s="35" t="s">
        <v>2952</v>
      </c>
      <c r="F2779" s="35" t="s">
        <v>411</v>
      </c>
    </row>
    <row r="2780" spans="1:6">
      <c r="A2780" s="35" t="s">
        <v>3196</v>
      </c>
      <c r="B2780" s="37">
        <v>1381.300048828125</v>
      </c>
      <c r="C2780" s="37">
        <v>1341.65478515625</v>
      </c>
      <c r="D2780" s="35">
        <v>4167275</v>
      </c>
      <c r="E2780" s="35" t="s">
        <v>2952</v>
      </c>
      <c r="F2780" s="35" t="s">
        <v>411</v>
      </c>
    </row>
    <row r="2781" spans="1:6">
      <c r="A2781" s="35" t="s">
        <v>3197</v>
      </c>
      <c r="B2781" s="37">
        <v>1364.4000244140625</v>
      </c>
      <c r="C2781" s="37">
        <v>1325.23974609375</v>
      </c>
      <c r="D2781" s="35">
        <v>8956139</v>
      </c>
      <c r="E2781" s="35" t="s">
        <v>2952</v>
      </c>
      <c r="F2781" s="35" t="s">
        <v>411</v>
      </c>
    </row>
    <row r="2782" spans="1:6">
      <c r="A2782" s="35" t="s">
        <v>3198</v>
      </c>
      <c r="B2782" s="37">
        <v>1341.5999755859375</v>
      </c>
      <c r="C2782" s="37">
        <v>1303.0941162109375</v>
      </c>
      <c r="D2782" s="35">
        <v>5541018</v>
      </c>
      <c r="E2782" s="35" t="s">
        <v>2952</v>
      </c>
      <c r="F2782" s="35" t="s">
        <v>411</v>
      </c>
    </row>
    <row r="2783" spans="1:6">
      <c r="A2783" s="35" t="s">
        <v>3199</v>
      </c>
      <c r="B2783" s="37">
        <v>1354.4000244140625</v>
      </c>
      <c r="C2783" s="37">
        <v>1315.5267333984375</v>
      </c>
      <c r="D2783" s="35">
        <v>2469237</v>
      </c>
      <c r="E2783" s="35" t="s">
        <v>3200</v>
      </c>
      <c r="F2783" s="35" t="s">
        <v>411</v>
      </c>
    </row>
    <row r="2784" spans="1:6">
      <c r="A2784" s="35" t="s">
        <v>3201</v>
      </c>
      <c r="B2784" s="37">
        <v>1402.199951171875</v>
      </c>
      <c r="C2784" s="37">
        <v>1361.9547119140625</v>
      </c>
      <c r="D2784" s="35">
        <v>6509389</v>
      </c>
      <c r="E2784" s="35" t="s">
        <v>3200</v>
      </c>
      <c r="F2784" s="35" t="s">
        <v>411</v>
      </c>
    </row>
    <row r="2785" spans="1:6">
      <c r="A2785" s="35" t="s">
        <v>3202</v>
      </c>
      <c r="B2785" s="37">
        <v>1403.300048828125</v>
      </c>
      <c r="C2785" s="37">
        <v>1363.0233154296875</v>
      </c>
      <c r="D2785" s="35">
        <v>2134581</v>
      </c>
      <c r="E2785" s="35" t="s">
        <v>3200</v>
      </c>
      <c r="F2785" s="35" t="s">
        <v>411</v>
      </c>
    </row>
    <row r="2786" spans="1:6">
      <c r="A2786" s="35" t="s">
        <v>3203</v>
      </c>
      <c r="B2786" s="37">
        <v>1441.5999755859375</v>
      </c>
      <c r="C2786" s="37">
        <v>1400.223876953125</v>
      </c>
      <c r="D2786" s="35">
        <v>3459049</v>
      </c>
      <c r="E2786" s="35" t="s">
        <v>3200</v>
      </c>
      <c r="F2786" s="35" t="s">
        <v>411</v>
      </c>
    </row>
    <row r="2787" spans="1:6">
      <c r="A2787" s="35" t="s">
        <v>3204</v>
      </c>
      <c r="B2787" s="37">
        <v>1461</v>
      </c>
      <c r="C2787" s="37">
        <v>1419.067138671875</v>
      </c>
      <c r="D2787" s="35">
        <v>4239052</v>
      </c>
      <c r="E2787" s="35" t="s">
        <v>3200</v>
      </c>
      <c r="F2787" s="35" t="s">
        <v>411</v>
      </c>
    </row>
    <row r="2788" spans="1:6">
      <c r="A2788" s="35" t="s">
        <v>3205</v>
      </c>
      <c r="B2788" s="37">
        <v>1464.9000244140625</v>
      </c>
      <c r="C2788" s="37">
        <v>1422.855224609375</v>
      </c>
      <c r="D2788" s="35">
        <v>3101205</v>
      </c>
      <c r="E2788" s="35" t="s">
        <v>3200</v>
      </c>
      <c r="F2788" s="35" t="s">
        <v>411</v>
      </c>
    </row>
    <row r="2789" spans="1:6">
      <c r="A2789" s="35" t="s">
        <v>3206</v>
      </c>
      <c r="B2789" s="37">
        <v>1451.199951171875</v>
      </c>
      <c r="C2789" s="37">
        <v>1409.54833984375</v>
      </c>
      <c r="D2789" s="35">
        <v>3450066</v>
      </c>
      <c r="E2789" s="35" t="s">
        <v>3200</v>
      </c>
      <c r="F2789" s="35" t="s">
        <v>411</v>
      </c>
    </row>
    <row r="2790" spans="1:6">
      <c r="A2790" s="35" t="s">
        <v>3207</v>
      </c>
      <c r="B2790" s="37">
        <v>1429.4000244140625</v>
      </c>
      <c r="C2790" s="37">
        <v>1388.3741455078125</v>
      </c>
      <c r="D2790" s="35">
        <v>2252652</v>
      </c>
      <c r="E2790" s="35" t="s">
        <v>3200</v>
      </c>
      <c r="F2790" s="35" t="s">
        <v>411</v>
      </c>
    </row>
    <row r="2791" spans="1:6">
      <c r="A2791" s="35" t="s">
        <v>3208</v>
      </c>
      <c r="B2791" s="37">
        <v>1451.300048828125</v>
      </c>
      <c r="C2791" s="37">
        <v>1409.6455078125</v>
      </c>
      <c r="D2791" s="35">
        <v>3993858</v>
      </c>
      <c r="E2791" s="35" t="s">
        <v>3200</v>
      </c>
      <c r="F2791" s="35" t="s">
        <v>411</v>
      </c>
    </row>
    <row r="2792" spans="1:6">
      <c r="A2792" s="35" t="s">
        <v>3209</v>
      </c>
      <c r="B2792" s="37">
        <v>1450.199951171875</v>
      </c>
      <c r="C2792" s="37">
        <v>1408.5771484375</v>
      </c>
      <c r="D2792" s="35">
        <v>5229848</v>
      </c>
      <c r="E2792" s="35" t="s">
        <v>3200</v>
      </c>
      <c r="F2792" s="35" t="s">
        <v>411</v>
      </c>
    </row>
    <row r="2793" spans="1:6">
      <c r="A2793" s="35" t="s">
        <v>3210</v>
      </c>
      <c r="B2793" s="37">
        <v>1442.300048828125</v>
      </c>
      <c r="C2793" s="37">
        <v>1400.90380859375</v>
      </c>
      <c r="D2793" s="35">
        <v>3319268</v>
      </c>
      <c r="E2793" s="35" t="s">
        <v>3200</v>
      </c>
      <c r="F2793" s="35" t="s">
        <v>411</v>
      </c>
    </row>
    <row r="2794" spans="1:6">
      <c r="A2794" s="35" t="s">
        <v>3211</v>
      </c>
      <c r="B2794" s="37">
        <v>1428.300048828125</v>
      </c>
      <c r="C2794" s="37">
        <v>1387.3057861328125</v>
      </c>
      <c r="D2794" s="35">
        <v>2352656</v>
      </c>
      <c r="E2794" s="35" t="s">
        <v>3200</v>
      </c>
      <c r="F2794" s="35" t="s">
        <v>411</v>
      </c>
    </row>
    <row r="2795" spans="1:6">
      <c r="A2795" s="35" t="s">
        <v>3212</v>
      </c>
      <c r="B2795" s="37">
        <v>1441.199951171875</v>
      </c>
      <c r="C2795" s="37">
        <v>1399.83544921875</v>
      </c>
      <c r="D2795" s="35">
        <v>3091487</v>
      </c>
      <c r="E2795" s="35" t="s">
        <v>3200</v>
      </c>
      <c r="F2795" s="35" t="s">
        <v>411</v>
      </c>
    </row>
    <row r="2796" spans="1:6">
      <c r="A2796" s="35" t="s">
        <v>3213</v>
      </c>
      <c r="B2796" s="37">
        <v>1285.300048828125</v>
      </c>
      <c r="C2796" s="37">
        <v>1248.4100341796875</v>
      </c>
      <c r="D2796" s="35">
        <v>33066256</v>
      </c>
      <c r="E2796" s="35" t="s">
        <v>3200</v>
      </c>
      <c r="F2796" s="35" t="s">
        <v>411</v>
      </c>
    </row>
    <row r="2797" spans="1:6">
      <c r="A2797" s="35" t="s">
        <v>3214</v>
      </c>
      <c r="B2797" s="37">
        <v>1277.5999755859375</v>
      </c>
      <c r="C2797" s="37">
        <v>1240.9310302734375</v>
      </c>
      <c r="D2797" s="35">
        <v>8304759</v>
      </c>
      <c r="E2797" s="35" t="s">
        <v>3200</v>
      </c>
      <c r="F2797" s="35" t="s">
        <v>411</v>
      </c>
    </row>
    <row r="2798" spans="1:6">
      <c r="A2798" s="35" t="s">
        <v>3215</v>
      </c>
      <c r="B2798" s="37">
        <v>1203.199951171875</v>
      </c>
      <c r="C2798" s="37">
        <v>1191.040283203125</v>
      </c>
      <c r="D2798" s="35">
        <v>10903519</v>
      </c>
      <c r="E2798" s="35" t="s">
        <v>3200</v>
      </c>
      <c r="F2798" s="35" t="s">
        <v>411</v>
      </c>
    </row>
    <row r="2799" spans="1:6">
      <c r="A2799" s="35" t="s">
        <v>3216</v>
      </c>
      <c r="B2799" s="37">
        <v>1228.199951171875</v>
      </c>
      <c r="C2799" s="37">
        <v>1215.78759765625</v>
      </c>
      <c r="D2799" s="35">
        <v>6066942</v>
      </c>
      <c r="E2799" s="35" t="s">
        <v>3200</v>
      </c>
      <c r="F2799" s="35" t="s">
        <v>411</v>
      </c>
    </row>
    <row r="2800" spans="1:6">
      <c r="A2800" s="35" t="s">
        <v>3217</v>
      </c>
      <c r="B2800" s="37">
        <v>1196</v>
      </c>
      <c r="C2800" s="37">
        <v>1183.9130859375</v>
      </c>
      <c r="D2800" s="35">
        <v>6643295</v>
      </c>
      <c r="E2800" s="35" t="s">
        <v>3200</v>
      </c>
      <c r="F2800" s="35" t="s">
        <v>411</v>
      </c>
    </row>
    <row r="2801" spans="1:6">
      <c r="A2801" s="35" t="s">
        <v>3218</v>
      </c>
      <c r="B2801" s="37">
        <v>1200.199951171875</v>
      </c>
      <c r="C2801" s="37">
        <v>1188.0706787109375</v>
      </c>
      <c r="D2801" s="35">
        <v>4777201</v>
      </c>
      <c r="E2801" s="35" t="s">
        <v>3200</v>
      </c>
      <c r="F2801" s="35" t="s">
        <v>411</v>
      </c>
    </row>
    <row r="2802" spans="1:6">
      <c r="A2802" s="35" t="s">
        <v>3219</v>
      </c>
      <c r="B2802" s="37">
        <v>1199.0999755859375</v>
      </c>
      <c r="C2802" s="37">
        <v>1186.9818115234375</v>
      </c>
      <c r="D2802" s="35">
        <v>5070033</v>
      </c>
      <c r="E2802" s="35" t="s">
        <v>3200</v>
      </c>
      <c r="F2802" s="35" t="s">
        <v>411</v>
      </c>
    </row>
    <row r="2803" spans="1:6">
      <c r="A2803" s="35" t="s">
        <v>3220</v>
      </c>
      <c r="B2803" s="37">
        <v>1199.0999755859375</v>
      </c>
      <c r="C2803" s="37">
        <v>1186.9818115234375</v>
      </c>
      <c r="D2803" s="35">
        <v>0</v>
      </c>
      <c r="E2803" s="35" t="s">
        <v>3200</v>
      </c>
      <c r="F2803" s="35" t="s">
        <v>411</v>
      </c>
    </row>
    <row r="2804" spans="1:6">
      <c r="A2804" s="35" t="s">
        <v>3221</v>
      </c>
      <c r="B2804" s="37">
        <v>1200.5</v>
      </c>
      <c r="C2804" s="37">
        <v>1188.36767578125</v>
      </c>
      <c r="D2804" s="35">
        <v>3318673</v>
      </c>
      <c r="E2804" s="35" t="s">
        <v>3200</v>
      </c>
      <c r="F2804" s="35" t="s">
        <v>411</v>
      </c>
    </row>
    <row r="2805" spans="1:6">
      <c r="A2805" s="35" t="s">
        <v>3222</v>
      </c>
      <c r="B2805" s="37">
        <v>1200.199951171875</v>
      </c>
      <c r="C2805" s="37">
        <v>1188.0706787109375</v>
      </c>
      <c r="D2805" s="35">
        <v>2459953</v>
      </c>
      <c r="E2805" s="35" t="s">
        <v>3200</v>
      </c>
      <c r="F2805" s="35" t="s">
        <v>411</v>
      </c>
    </row>
    <row r="2806" spans="1:6">
      <c r="A2806" s="35" t="s">
        <v>3223</v>
      </c>
      <c r="B2806" s="37">
        <v>1189.0999755859375</v>
      </c>
      <c r="C2806" s="37">
        <v>1177.0828857421875</v>
      </c>
      <c r="D2806" s="35">
        <v>3541520</v>
      </c>
      <c r="E2806" s="35" t="s">
        <v>3200</v>
      </c>
      <c r="F2806" s="35" t="s">
        <v>411</v>
      </c>
    </row>
    <row r="2807" spans="1:6">
      <c r="A2807" s="35" t="s">
        <v>3224</v>
      </c>
      <c r="B2807" s="37">
        <v>1183.4000244140625</v>
      </c>
      <c r="C2807" s="37">
        <v>1171.4404296875</v>
      </c>
      <c r="D2807" s="35">
        <v>3725309</v>
      </c>
      <c r="E2807" s="35" t="s">
        <v>3200</v>
      </c>
      <c r="F2807" s="35" t="s">
        <v>411</v>
      </c>
    </row>
    <row r="2808" spans="1:6">
      <c r="A2808" s="35" t="s">
        <v>3225</v>
      </c>
      <c r="B2808" s="37">
        <v>1198.4000244140625</v>
      </c>
      <c r="C2808" s="37">
        <v>1186.2889404296875</v>
      </c>
      <c r="D2808" s="35">
        <v>2813749</v>
      </c>
      <c r="E2808" s="35" t="s">
        <v>3200</v>
      </c>
      <c r="F2808" s="35" t="s">
        <v>411</v>
      </c>
    </row>
    <row r="2809" spans="1:6">
      <c r="A2809" s="35" t="s">
        <v>3226</v>
      </c>
      <c r="B2809" s="37">
        <v>1194.9000244140625</v>
      </c>
      <c r="C2809" s="37">
        <v>1182.82421875</v>
      </c>
      <c r="D2809" s="35">
        <v>2505962</v>
      </c>
      <c r="E2809" s="35" t="s">
        <v>3200</v>
      </c>
      <c r="F2809" s="35" t="s">
        <v>411</v>
      </c>
    </row>
    <row r="2810" spans="1:6">
      <c r="A2810" s="35" t="s">
        <v>3227</v>
      </c>
      <c r="B2810" s="37">
        <v>1145.800048828125</v>
      </c>
      <c r="C2810" s="37">
        <v>1134.220458984375</v>
      </c>
      <c r="D2810" s="35">
        <v>3959561</v>
      </c>
      <c r="E2810" s="35" t="s">
        <v>3200</v>
      </c>
      <c r="F2810" s="35" t="s">
        <v>411</v>
      </c>
    </row>
    <row r="2811" spans="1:6">
      <c r="A2811" s="35" t="s">
        <v>3228</v>
      </c>
      <c r="B2811" s="37">
        <v>1143.199951171875</v>
      </c>
      <c r="C2811" s="37">
        <v>1131.646728515625</v>
      </c>
      <c r="D2811" s="35">
        <v>2635034</v>
      </c>
      <c r="E2811" s="35" t="s">
        <v>3200</v>
      </c>
      <c r="F2811" s="35" t="s">
        <v>411</v>
      </c>
    </row>
    <row r="2812" spans="1:6">
      <c r="A2812" s="35" t="s">
        <v>3229</v>
      </c>
      <c r="B2812" s="37">
        <v>1124</v>
      </c>
      <c r="C2812" s="37">
        <v>1112.6407470703125</v>
      </c>
      <c r="D2812" s="35">
        <v>5837032</v>
      </c>
      <c r="E2812" s="35" t="s">
        <v>3200</v>
      </c>
      <c r="F2812" s="35" t="s">
        <v>411</v>
      </c>
    </row>
    <row r="2813" spans="1:6">
      <c r="A2813" s="35" t="s">
        <v>3230</v>
      </c>
      <c r="B2813" s="37">
        <v>1132.5999755859375</v>
      </c>
      <c r="C2813" s="37">
        <v>1121.15380859375</v>
      </c>
      <c r="D2813" s="35">
        <v>3729249</v>
      </c>
      <c r="E2813" s="35" t="s">
        <v>3200</v>
      </c>
      <c r="F2813" s="35" t="s">
        <v>411</v>
      </c>
    </row>
    <row r="2814" spans="1:6">
      <c r="A2814" s="35" t="s">
        <v>3231</v>
      </c>
      <c r="B2814" s="37">
        <v>1146.5999755859375</v>
      </c>
      <c r="C2814" s="37">
        <v>1135.0123291015625</v>
      </c>
      <c r="D2814" s="35">
        <v>2588569</v>
      </c>
      <c r="E2814" s="35" t="s">
        <v>3200</v>
      </c>
      <c r="F2814" s="35" t="s">
        <v>411</v>
      </c>
    </row>
    <row r="2815" spans="1:6">
      <c r="A2815" s="35" t="s">
        <v>3232</v>
      </c>
      <c r="B2815" s="37">
        <v>1179.4000244140625</v>
      </c>
      <c r="C2815" s="37">
        <v>1167.48095703125</v>
      </c>
      <c r="D2815" s="35">
        <v>5756760</v>
      </c>
      <c r="E2815" s="35" t="s">
        <v>3200</v>
      </c>
      <c r="F2815" s="35" t="s">
        <v>411</v>
      </c>
    </row>
    <row r="2816" spans="1:6">
      <c r="A2816" s="35" t="s">
        <v>3233</v>
      </c>
      <c r="B2816" s="37">
        <v>1169.800048828125</v>
      </c>
      <c r="C2816" s="37">
        <v>1157.9779052734375</v>
      </c>
      <c r="D2816" s="35">
        <v>1415960</v>
      </c>
      <c r="E2816" s="35" t="s">
        <v>3200</v>
      </c>
      <c r="F2816" s="35" t="s">
        <v>411</v>
      </c>
    </row>
    <row r="2817" spans="1:6">
      <c r="A2817" s="35" t="s">
        <v>3234</v>
      </c>
      <c r="B2817" s="37">
        <v>1168.199951171875</v>
      </c>
      <c r="C2817" s="37">
        <v>1156.39404296875</v>
      </c>
      <c r="D2817" s="35">
        <v>2245247</v>
      </c>
      <c r="E2817" s="35" t="s">
        <v>3200</v>
      </c>
      <c r="F2817" s="35" t="s">
        <v>411</v>
      </c>
    </row>
    <row r="2818" spans="1:6">
      <c r="A2818" s="35" t="s">
        <v>3235</v>
      </c>
      <c r="B2818" s="37">
        <v>1164</v>
      </c>
      <c r="C2818" s="37">
        <v>1152.236572265625</v>
      </c>
      <c r="D2818" s="35">
        <v>2044782</v>
      </c>
      <c r="E2818" s="35" t="s">
        <v>3200</v>
      </c>
      <c r="F2818" s="35" t="s">
        <v>411</v>
      </c>
    </row>
    <row r="2819" spans="1:6">
      <c r="A2819" s="35" t="s">
        <v>3236</v>
      </c>
      <c r="B2819" s="37">
        <v>1165.699951171875</v>
      </c>
      <c r="C2819" s="37">
        <v>1153.9193115234375</v>
      </c>
      <c r="D2819" s="35">
        <v>1419803</v>
      </c>
      <c r="E2819" s="35" t="s">
        <v>3200</v>
      </c>
      <c r="F2819" s="35" t="s">
        <v>411</v>
      </c>
    </row>
    <row r="2820" spans="1:6">
      <c r="A2820" s="35" t="s">
        <v>3237</v>
      </c>
      <c r="B2820" s="37">
        <v>1161.9000244140625</v>
      </c>
      <c r="C2820" s="37">
        <v>1150.15771484375</v>
      </c>
      <c r="D2820" s="35">
        <v>1196820</v>
      </c>
      <c r="E2820" s="35" t="s">
        <v>3200</v>
      </c>
      <c r="F2820" s="35" t="s">
        <v>411</v>
      </c>
    </row>
    <row r="2821" spans="1:6">
      <c r="A2821" s="35" t="s">
        <v>3238</v>
      </c>
      <c r="B2821" s="37">
        <v>1165.199951171875</v>
      </c>
      <c r="C2821" s="37">
        <v>1153.42431640625</v>
      </c>
      <c r="D2821" s="35">
        <v>1004168</v>
      </c>
      <c r="E2821" s="35" t="s">
        <v>3200</v>
      </c>
      <c r="F2821" s="35" t="s">
        <v>411</v>
      </c>
    </row>
    <row r="2822" spans="1:6">
      <c r="A2822" s="35" t="s">
        <v>3239</v>
      </c>
      <c r="B2822" s="37">
        <v>1165.199951171875</v>
      </c>
      <c r="C2822" s="37">
        <v>1153.42431640625</v>
      </c>
      <c r="D2822" s="35">
        <v>0</v>
      </c>
      <c r="E2822" s="35" t="s">
        <v>3200</v>
      </c>
      <c r="F2822" s="35" t="s">
        <v>411</v>
      </c>
    </row>
    <row r="2823" spans="1:6">
      <c r="A2823" s="35" t="s">
        <v>3240</v>
      </c>
      <c r="B2823" s="37">
        <v>1183.800048828125</v>
      </c>
      <c r="C2823" s="37">
        <v>1171.83642578125</v>
      </c>
      <c r="D2823" s="35">
        <v>12446602</v>
      </c>
      <c r="E2823" s="35" t="s">
        <v>3200</v>
      </c>
      <c r="F2823" s="35" t="s">
        <v>411</v>
      </c>
    </row>
    <row r="2824" spans="1:6">
      <c r="A2824" s="35" t="s">
        <v>3241</v>
      </c>
      <c r="B2824" s="37">
        <v>1195.0999755859375</v>
      </c>
      <c r="C2824" s="37">
        <v>1183.022216796875</v>
      </c>
      <c r="D2824" s="35">
        <v>5970435</v>
      </c>
      <c r="E2824" s="35" t="s">
        <v>3200</v>
      </c>
      <c r="F2824" s="35" t="s">
        <v>411</v>
      </c>
    </row>
    <row r="2825" spans="1:6">
      <c r="A2825" s="35" t="s">
        <v>3242</v>
      </c>
      <c r="B2825" s="37">
        <v>1243.5</v>
      </c>
      <c r="C2825" s="37">
        <v>1230.93310546875</v>
      </c>
      <c r="D2825" s="35">
        <v>7663067</v>
      </c>
      <c r="E2825" s="35" t="s">
        <v>3200</v>
      </c>
      <c r="F2825" s="35" t="s">
        <v>411</v>
      </c>
    </row>
    <row r="2826" spans="1:6">
      <c r="A2826" s="35" t="s">
        <v>3243</v>
      </c>
      <c r="B2826" s="37">
        <v>1179</v>
      </c>
      <c r="C2826" s="37">
        <v>1167.0849609375</v>
      </c>
      <c r="D2826" s="35">
        <v>4800922</v>
      </c>
      <c r="E2826" s="35" t="s">
        <v>3200</v>
      </c>
      <c r="F2826" s="35" t="s">
        <v>411</v>
      </c>
    </row>
    <row r="2827" spans="1:6">
      <c r="A2827" s="35" t="s">
        <v>3244</v>
      </c>
      <c r="B2827" s="37">
        <v>1168.300048828125</v>
      </c>
      <c r="C2827" s="37">
        <v>1156.4931640625</v>
      </c>
      <c r="D2827" s="35">
        <v>2025595</v>
      </c>
      <c r="E2827" s="35" t="s">
        <v>3200</v>
      </c>
      <c r="F2827" s="35" t="s">
        <v>411</v>
      </c>
    </row>
    <row r="2828" spans="1:6">
      <c r="A2828" s="35" t="s">
        <v>3245</v>
      </c>
      <c r="B2828" s="37">
        <v>1154.699951171875</v>
      </c>
      <c r="C2828" s="37">
        <v>1143.0303955078125</v>
      </c>
      <c r="D2828" s="35">
        <v>1971395</v>
      </c>
      <c r="E2828" s="35" t="s">
        <v>3200</v>
      </c>
      <c r="F2828" s="35" t="s">
        <v>411</v>
      </c>
    </row>
    <row r="2829" spans="1:6">
      <c r="A2829" s="35" t="s">
        <v>3246</v>
      </c>
      <c r="B2829" s="37">
        <v>1151.300048828125</v>
      </c>
      <c r="C2829" s="37">
        <v>1139.6649169921875</v>
      </c>
      <c r="D2829" s="35">
        <v>1546444</v>
      </c>
      <c r="E2829" s="35" t="s">
        <v>3200</v>
      </c>
      <c r="F2829" s="35" t="s">
        <v>411</v>
      </c>
    </row>
    <row r="2830" spans="1:6">
      <c r="A2830" s="35" t="s">
        <v>3247</v>
      </c>
      <c r="B2830" s="37">
        <v>1146.300048828125</v>
      </c>
      <c r="C2830" s="37">
        <v>1134.7154541015625</v>
      </c>
      <c r="D2830" s="35">
        <v>2225582</v>
      </c>
      <c r="E2830" s="35" t="s">
        <v>3200</v>
      </c>
      <c r="F2830" s="35" t="s">
        <v>411</v>
      </c>
    </row>
    <row r="2831" spans="1:6">
      <c r="A2831" s="35" t="s">
        <v>3248</v>
      </c>
      <c r="B2831" s="37">
        <v>1132.0999755859375</v>
      </c>
      <c r="C2831" s="37">
        <v>1120.658935546875</v>
      </c>
      <c r="D2831" s="35">
        <v>1600595</v>
      </c>
      <c r="E2831" s="35" t="s">
        <v>3200</v>
      </c>
      <c r="F2831" s="35" t="s">
        <v>411</v>
      </c>
    </row>
    <row r="2832" spans="1:6">
      <c r="A2832" s="35" t="s">
        <v>3249</v>
      </c>
      <c r="B2832" s="37">
        <v>1110.199951171875</v>
      </c>
      <c r="C2832" s="37">
        <v>1098.980224609375</v>
      </c>
      <c r="D2832" s="35">
        <v>3435236</v>
      </c>
      <c r="E2832" s="35" t="s">
        <v>3200</v>
      </c>
      <c r="F2832" s="35" t="s">
        <v>411</v>
      </c>
    </row>
    <row r="2833" spans="1:6">
      <c r="A2833" s="35" t="s">
        <v>3250</v>
      </c>
      <c r="B2833" s="37">
        <v>1109.5999755859375</v>
      </c>
      <c r="C2833" s="37">
        <v>1098.38623046875</v>
      </c>
      <c r="D2833" s="35">
        <v>2203987</v>
      </c>
      <c r="E2833" s="35" t="s">
        <v>3200</v>
      </c>
      <c r="F2833" s="35" t="s">
        <v>411</v>
      </c>
    </row>
    <row r="2834" spans="1:6">
      <c r="A2834" s="35" t="s">
        <v>3251</v>
      </c>
      <c r="B2834" s="37">
        <v>1119.300048828125</v>
      </c>
      <c r="C2834" s="37">
        <v>1107.98828125</v>
      </c>
      <c r="D2834" s="35">
        <v>2361006</v>
      </c>
      <c r="E2834" s="35" t="s">
        <v>3200</v>
      </c>
      <c r="F2834" s="35" t="s">
        <v>411</v>
      </c>
    </row>
    <row r="2835" spans="1:6">
      <c r="A2835" s="35" t="s">
        <v>3252</v>
      </c>
      <c r="B2835" s="37">
        <v>1159</v>
      </c>
      <c r="C2835" s="37">
        <v>1147.2869873046875</v>
      </c>
      <c r="D2835" s="35">
        <v>8343470</v>
      </c>
      <c r="E2835" s="35" t="s">
        <v>3200</v>
      </c>
      <c r="F2835" s="35" t="s">
        <v>411</v>
      </c>
    </row>
    <row r="2836" spans="1:6">
      <c r="A2836" s="35" t="s">
        <v>3253</v>
      </c>
      <c r="B2836" s="37">
        <v>1166.800048828125</v>
      </c>
      <c r="C2836" s="37">
        <v>1155.00830078125</v>
      </c>
      <c r="D2836" s="35">
        <v>2263670</v>
      </c>
      <c r="E2836" s="35" t="s">
        <v>3200</v>
      </c>
      <c r="F2836" s="35" t="s">
        <v>411</v>
      </c>
    </row>
    <row r="2837" spans="1:6">
      <c r="A2837" s="35" t="s">
        <v>3254</v>
      </c>
      <c r="B2837" s="37">
        <v>1161.800048828125</v>
      </c>
      <c r="C2837" s="37">
        <v>1150.058837890625</v>
      </c>
      <c r="D2837" s="35">
        <v>3368037</v>
      </c>
      <c r="E2837" s="35" t="s">
        <v>3200</v>
      </c>
      <c r="F2837" s="35" t="s">
        <v>411</v>
      </c>
    </row>
    <row r="2838" spans="1:6">
      <c r="A2838" s="35" t="s">
        <v>3255</v>
      </c>
      <c r="B2838" s="37">
        <v>1131.699951171875</v>
      </c>
      <c r="C2838" s="37">
        <v>1120.262939453125</v>
      </c>
      <c r="D2838" s="35">
        <v>10014063</v>
      </c>
      <c r="E2838" s="35" t="s">
        <v>3200</v>
      </c>
      <c r="F2838" s="35" t="s">
        <v>411</v>
      </c>
    </row>
    <row r="2839" spans="1:6">
      <c r="A2839" s="35" t="s">
        <v>3256</v>
      </c>
      <c r="B2839" s="37">
        <v>1130.5</v>
      </c>
      <c r="C2839" s="37">
        <v>1119.0750732421875</v>
      </c>
      <c r="D2839" s="35">
        <v>2312385</v>
      </c>
      <c r="E2839" s="35" t="s">
        <v>3200</v>
      </c>
      <c r="F2839" s="35" t="s">
        <v>411</v>
      </c>
    </row>
    <row r="2840" spans="1:6">
      <c r="A2840" s="35" t="s">
        <v>3257</v>
      </c>
      <c r="B2840" s="37">
        <v>1109.5</v>
      </c>
      <c r="C2840" s="37">
        <v>1098.287353515625</v>
      </c>
      <c r="D2840" s="35">
        <v>3235632</v>
      </c>
      <c r="E2840" s="35" t="s">
        <v>3200</v>
      </c>
      <c r="F2840" s="35" t="s">
        <v>411</v>
      </c>
    </row>
    <row r="2841" spans="1:6">
      <c r="A2841" s="35" t="s">
        <v>3258</v>
      </c>
      <c r="B2841" s="37">
        <v>1113.9000244140625</v>
      </c>
      <c r="C2841" s="37">
        <v>1102.642822265625</v>
      </c>
      <c r="D2841" s="35">
        <v>3503015</v>
      </c>
      <c r="E2841" s="35" t="s">
        <v>3200</v>
      </c>
      <c r="F2841" s="35" t="s">
        <v>411</v>
      </c>
    </row>
    <row r="2842" spans="1:6">
      <c r="A2842" s="35" t="s">
        <v>3259</v>
      </c>
      <c r="B2842" s="37">
        <v>1100.699951171875</v>
      </c>
      <c r="C2842" s="37">
        <v>1089.576171875</v>
      </c>
      <c r="D2842" s="35">
        <v>5877425</v>
      </c>
      <c r="E2842" s="35" t="s">
        <v>3200</v>
      </c>
      <c r="F2842" s="35" t="s">
        <v>411</v>
      </c>
    </row>
    <row r="2843" spans="1:6">
      <c r="A2843" s="35" t="s">
        <v>3260</v>
      </c>
      <c r="B2843" s="37">
        <v>1100.699951171875</v>
      </c>
      <c r="C2843" s="37">
        <v>1089.576171875</v>
      </c>
      <c r="D2843" s="35">
        <v>0</v>
      </c>
      <c r="E2843" s="35" t="s">
        <v>3200</v>
      </c>
      <c r="F2843" s="35" t="s">
        <v>411</v>
      </c>
    </row>
    <row r="2844" spans="1:6">
      <c r="A2844" s="35" t="s">
        <v>3261</v>
      </c>
      <c r="B2844" s="37">
        <v>1102.4000244140625</v>
      </c>
      <c r="C2844" s="37">
        <v>1091.259033203125</v>
      </c>
      <c r="D2844" s="35">
        <v>5186504</v>
      </c>
      <c r="E2844" s="35" t="s">
        <v>3200</v>
      </c>
      <c r="F2844" s="35" t="s">
        <v>411</v>
      </c>
    </row>
    <row r="2845" spans="1:6">
      <c r="A2845" s="35" t="s">
        <v>3262</v>
      </c>
      <c r="B2845" s="37">
        <v>1071.800048828125</v>
      </c>
      <c r="C2845" s="37">
        <v>1060.9683837890625</v>
      </c>
      <c r="D2845" s="35">
        <v>3794233</v>
      </c>
      <c r="E2845" s="35" t="s">
        <v>3200</v>
      </c>
      <c r="F2845" s="35" t="s">
        <v>411</v>
      </c>
    </row>
    <row r="2846" spans="1:6">
      <c r="A2846" s="35" t="s">
        <v>3263</v>
      </c>
      <c r="B2846" s="37">
        <v>1034.199951171875</v>
      </c>
      <c r="C2846" s="37">
        <v>1023.7482299804688</v>
      </c>
      <c r="D2846" s="35">
        <v>3819777</v>
      </c>
      <c r="E2846" s="35" t="s">
        <v>3200</v>
      </c>
      <c r="F2846" s="35" t="s">
        <v>411</v>
      </c>
    </row>
    <row r="2847" spans="1:6">
      <c r="A2847" s="35" t="s">
        <v>3264</v>
      </c>
      <c r="B2847" s="37">
        <v>1078.0999755859375</v>
      </c>
      <c r="C2847" s="37">
        <v>1067.20458984375</v>
      </c>
      <c r="D2847" s="35">
        <v>3726609</v>
      </c>
      <c r="E2847" s="35" t="s">
        <v>3200</v>
      </c>
      <c r="F2847" s="35" t="s">
        <v>411</v>
      </c>
    </row>
    <row r="2848" spans="1:6">
      <c r="A2848" s="35" t="s">
        <v>3265</v>
      </c>
      <c r="B2848" s="37">
        <v>1139</v>
      </c>
      <c r="C2848" s="37">
        <v>1127.4891357421875</v>
      </c>
      <c r="D2848" s="35">
        <v>12768463</v>
      </c>
      <c r="E2848" s="35" t="s">
        <v>3200</v>
      </c>
      <c r="F2848" s="35" t="s">
        <v>411</v>
      </c>
    </row>
    <row r="2849" spans="1:6">
      <c r="A2849" s="35" t="s">
        <v>3266</v>
      </c>
      <c r="B2849" s="37">
        <v>1134.199951171875</v>
      </c>
      <c r="C2849" s="37">
        <v>1122.7376708984375</v>
      </c>
      <c r="D2849" s="35">
        <v>2747815</v>
      </c>
      <c r="E2849" s="35" t="s">
        <v>3200</v>
      </c>
      <c r="F2849" s="35" t="s">
        <v>411</v>
      </c>
    </row>
    <row r="2850" spans="1:6">
      <c r="A2850" s="35" t="s">
        <v>3267</v>
      </c>
      <c r="B2850" s="37">
        <v>1168.199951171875</v>
      </c>
      <c r="C2850" s="37">
        <v>1156.39404296875</v>
      </c>
      <c r="D2850" s="35">
        <v>5179529</v>
      </c>
      <c r="E2850" s="35" t="s">
        <v>3200</v>
      </c>
      <c r="F2850" s="35" t="s">
        <v>411</v>
      </c>
    </row>
    <row r="2851" spans="1:6">
      <c r="A2851" s="35" t="s">
        <v>3268</v>
      </c>
      <c r="B2851" s="37">
        <v>1145.5999755859375</v>
      </c>
      <c r="C2851" s="37">
        <v>1134.0224609375</v>
      </c>
      <c r="D2851" s="35">
        <v>3091794</v>
      </c>
      <c r="E2851" s="35" t="s">
        <v>3200</v>
      </c>
      <c r="F2851" s="35" t="s">
        <v>411</v>
      </c>
    </row>
    <row r="2852" spans="1:6">
      <c r="A2852" s="35" t="s">
        <v>3269</v>
      </c>
      <c r="B2852" s="37">
        <v>1150.4000244140625</v>
      </c>
      <c r="C2852" s="37">
        <v>1138.77392578125</v>
      </c>
      <c r="D2852" s="35">
        <v>2033525</v>
      </c>
      <c r="E2852" s="35" t="s">
        <v>3200</v>
      </c>
      <c r="F2852" s="35" t="s">
        <v>411</v>
      </c>
    </row>
    <row r="2853" spans="1:6">
      <c r="A2853" s="35" t="s">
        <v>3270</v>
      </c>
      <c r="B2853" s="37">
        <v>1164.0999755859375</v>
      </c>
      <c r="C2853" s="37">
        <v>1152.33544921875</v>
      </c>
      <c r="D2853" s="35">
        <v>3979475</v>
      </c>
      <c r="E2853" s="35" t="s">
        <v>3200</v>
      </c>
      <c r="F2853" s="35" t="s">
        <v>411</v>
      </c>
    </row>
    <row r="2854" spans="1:6">
      <c r="A2854" s="35" t="s">
        <v>3271</v>
      </c>
      <c r="B2854" s="37">
        <v>1221.199951171875</v>
      </c>
      <c r="C2854" s="37">
        <v>1208.8583984375</v>
      </c>
      <c r="D2854" s="35">
        <v>9028077</v>
      </c>
      <c r="E2854" s="35" t="s">
        <v>3200</v>
      </c>
      <c r="F2854" s="35" t="s">
        <v>411</v>
      </c>
    </row>
    <row r="2855" spans="1:6">
      <c r="A2855" s="35" t="s">
        <v>3272</v>
      </c>
      <c r="B2855" s="37">
        <v>1166.699951171875</v>
      </c>
      <c r="C2855" s="37">
        <v>1154.9091796875</v>
      </c>
      <c r="D2855" s="35">
        <v>9754723</v>
      </c>
      <c r="E2855" s="35" t="s">
        <v>3200</v>
      </c>
      <c r="F2855" s="35" t="s">
        <v>411</v>
      </c>
    </row>
    <row r="2856" spans="1:6">
      <c r="A2856" s="35" t="s">
        <v>3273</v>
      </c>
      <c r="B2856" s="37">
        <v>1168</v>
      </c>
      <c r="C2856" s="37">
        <v>1156.196044921875</v>
      </c>
      <c r="D2856" s="35">
        <v>3253196</v>
      </c>
      <c r="E2856" s="35" t="s">
        <v>3200</v>
      </c>
      <c r="F2856" s="35" t="s">
        <v>411</v>
      </c>
    </row>
    <row r="2857" spans="1:6">
      <c r="A2857" s="35" t="s">
        <v>3274</v>
      </c>
      <c r="B2857" s="37">
        <v>1187.4000244140625</v>
      </c>
      <c r="C2857" s="37">
        <v>1175.4000244140625</v>
      </c>
      <c r="D2857" s="35">
        <v>5147444</v>
      </c>
      <c r="E2857" s="35" t="s">
        <v>3200</v>
      </c>
      <c r="F2857" s="35" t="s">
        <v>411</v>
      </c>
    </row>
    <row r="2858" spans="1:6">
      <c r="A2858" s="35" t="s">
        <v>3275</v>
      </c>
      <c r="B2858" s="37">
        <v>1203.9000244140625</v>
      </c>
      <c r="C2858" s="37">
        <v>1203.9000244140625</v>
      </c>
      <c r="D2858" s="35">
        <v>5037972</v>
      </c>
      <c r="E2858" s="35" t="s">
        <v>3200</v>
      </c>
      <c r="F2858" s="35" t="s">
        <v>411</v>
      </c>
    </row>
    <row r="2859" spans="1:6">
      <c r="A2859" s="35" t="s">
        <v>3276</v>
      </c>
      <c r="B2859" s="37">
        <v>1221.300048828125</v>
      </c>
      <c r="C2859" s="37">
        <v>1221.300048828125</v>
      </c>
      <c r="D2859" s="35">
        <v>3612829</v>
      </c>
      <c r="E2859" s="35" t="s">
        <v>3200</v>
      </c>
      <c r="F2859" s="35" t="s">
        <v>411</v>
      </c>
    </row>
    <row r="2860" spans="1:6">
      <c r="A2860" s="35" t="s">
        <v>3277</v>
      </c>
      <c r="B2860" s="37">
        <v>1239.5</v>
      </c>
      <c r="C2860" s="37">
        <v>1239.5</v>
      </c>
      <c r="D2860" s="35">
        <v>4642320</v>
      </c>
      <c r="E2860" s="35" t="s">
        <v>3200</v>
      </c>
      <c r="F2860" s="35" t="s">
        <v>411</v>
      </c>
    </row>
    <row r="2861" spans="1:6">
      <c r="A2861" s="35" t="s">
        <v>3278</v>
      </c>
      <c r="B2861" s="37">
        <v>1237.300048828125</v>
      </c>
      <c r="C2861" s="37">
        <v>1237.300048828125</v>
      </c>
      <c r="D2861" s="35">
        <v>2377718</v>
      </c>
      <c r="E2861" s="35" t="s">
        <v>3200</v>
      </c>
      <c r="F2861" s="35" t="s">
        <v>411</v>
      </c>
    </row>
    <row r="2862" spans="1:6">
      <c r="A2862" s="35" t="s">
        <v>3279</v>
      </c>
      <c r="B2862" s="37">
        <v>1244.699951171875</v>
      </c>
      <c r="C2862" s="37">
        <v>1244.699951171875</v>
      </c>
      <c r="D2862" s="35">
        <v>1878476</v>
      </c>
      <c r="E2862" s="35" t="s">
        <v>3200</v>
      </c>
      <c r="F2862" s="35" t="s">
        <v>411</v>
      </c>
    </row>
    <row r="2863" spans="1:6">
      <c r="A2863" s="35" t="s">
        <v>3280</v>
      </c>
      <c r="B2863" s="37">
        <v>1271</v>
      </c>
      <c r="C2863" s="37">
        <v>1271</v>
      </c>
      <c r="D2863" s="35">
        <v>3674904</v>
      </c>
      <c r="E2863" s="35" t="s">
        <v>3200</v>
      </c>
      <c r="F2863" s="35" t="s">
        <v>411</v>
      </c>
    </row>
    <row r="2864" spans="1:6">
      <c r="A2864" s="35" t="s">
        <v>3281</v>
      </c>
      <c r="B2864" s="37">
        <v>1295.9000244140625</v>
      </c>
      <c r="C2864" s="37">
        <v>1295.9000244140625</v>
      </c>
      <c r="D2864" s="35">
        <v>3847049</v>
      </c>
      <c r="E2864" s="35" t="s">
        <v>3200</v>
      </c>
      <c r="F2864" s="35" t="s">
        <v>411</v>
      </c>
    </row>
    <row r="2865" spans="1:6">
      <c r="A2865" s="35" t="s">
        <v>3282</v>
      </c>
      <c r="B2865" s="37">
        <v>1318.5999755859375</v>
      </c>
      <c r="C2865" s="37">
        <v>1318.5999755859375</v>
      </c>
      <c r="D2865" s="35">
        <v>5187064</v>
      </c>
      <c r="E2865" s="35" t="s">
        <v>3200</v>
      </c>
      <c r="F2865" s="35" t="s">
        <v>411</v>
      </c>
    </row>
    <row r="2866" spans="1:6">
      <c r="A2866" s="35" t="s">
        <v>3283</v>
      </c>
      <c r="B2866" s="37">
        <v>1344.300048828125</v>
      </c>
      <c r="C2866" s="37">
        <v>1344.300048828125</v>
      </c>
      <c r="D2866" s="35">
        <v>3061520</v>
      </c>
      <c r="E2866" s="35" t="s">
        <v>3200</v>
      </c>
      <c r="F2866" s="35" t="s">
        <v>411</v>
      </c>
    </row>
    <row r="2867" spans="1:6">
      <c r="A2867" s="35" t="s">
        <v>3284</v>
      </c>
      <c r="B2867" s="37">
        <v>1352.699951171875</v>
      </c>
      <c r="C2867" s="37">
        <v>1352.699951171875</v>
      </c>
      <c r="D2867" s="35">
        <v>3747919</v>
      </c>
      <c r="E2867" s="35" t="s">
        <v>3200</v>
      </c>
      <c r="F2867" s="35" t="s">
        <v>411</v>
      </c>
    </row>
    <row r="2868" spans="1:6">
      <c r="A2868" s="35" t="s">
        <v>3285</v>
      </c>
      <c r="B2868" s="37">
        <v>1346.9000244140625</v>
      </c>
      <c r="C2868" s="37">
        <v>1346.9000244140625</v>
      </c>
      <c r="D2868" s="35">
        <v>3369019</v>
      </c>
      <c r="E2868" s="35" t="s">
        <v>3200</v>
      </c>
      <c r="F2868" s="35" t="s">
        <v>411</v>
      </c>
    </row>
    <row r="2869" spans="1:6">
      <c r="A2869" s="35" t="s">
        <v>3286</v>
      </c>
      <c r="B2869" s="37">
        <v>1377</v>
      </c>
      <c r="C2869" s="37">
        <v>1377</v>
      </c>
      <c r="D2869" s="35">
        <v>2314332</v>
      </c>
      <c r="E2869" s="35" t="s">
        <v>3200</v>
      </c>
      <c r="F2869" s="35" t="s">
        <v>411</v>
      </c>
    </row>
    <row r="2870" spans="1:6">
      <c r="A2870" s="35" t="s">
        <v>3287</v>
      </c>
      <c r="B2870" s="37">
        <v>1369.9000244140625</v>
      </c>
      <c r="C2870" s="37">
        <v>1369.9000244140625</v>
      </c>
      <c r="D2870" s="35">
        <v>3013543</v>
      </c>
      <c r="E2870" s="35" t="s">
        <v>3200</v>
      </c>
      <c r="F2870" s="35" t="s">
        <v>411</v>
      </c>
    </row>
    <row r="2871" spans="1:6">
      <c r="A2871" s="35" t="s">
        <v>3288</v>
      </c>
      <c r="B2871" s="37">
        <v>1350</v>
      </c>
      <c r="C2871" s="37">
        <v>1350</v>
      </c>
      <c r="D2871" s="35">
        <v>3215211</v>
      </c>
      <c r="E2871" s="35" t="s">
        <v>3200</v>
      </c>
      <c r="F2871" s="35" t="s">
        <v>411</v>
      </c>
    </row>
    <row r="2872" spans="1:6">
      <c r="A2872" s="35" t="s">
        <v>3289</v>
      </c>
      <c r="B2872" s="37">
        <v>1335</v>
      </c>
      <c r="C2872" s="37">
        <v>1335</v>
      </c>
      <c r="D2872" s="35">
        <v>3821560</v>
      </c>
      <c r="E2872" s="35" t="s">
        <v>3200</v>
      </c>
      <c r="F2872" s="35" t="s">
        <v>411</v>
      </c>
    </row>
    <row r="2873" spans="1:6">
      <c r="A2873" s="35" t="s">
        <v>3290</v>
      </c>
      <c r="B2873" s="37">
        <v>1356.5999755859375</v>
      </c>
      <c r="C2873" s="37">
        <v>1356.5999755859375</v>
      </c>
      <c r="D2873" s="35">
        <v>1725616</v>
      </c>
      <c r="E2873" s="35" t="s">
        <v>3200</v>
      </c>
      <c r="F2873" s="35" t="s">
        <v>411</v>
      </c>
    </row>
    <row r="2874" spans="1:6">
      <c r="A2874" s="35" t="s">
        <v>3291</v>
      </c>
      <c r="B2874" s="37">
        <v>1357.199951171875</v>
      </c>
      <c r="C2874" s="37">
        <v>1357.199951171875</v>
      </c>
      <c r="D2874" s="35">
        <v>1321698</v>
      </c>
      <c r="E2874" s="35" t="s">
        <v>3200</v>
      </c>
      <c r="F2874" s="35" t="s">
        <v>411</v>
      </c>
    </row>
    <row r="2875" spans="1:6">
      <c r="A2875" s="35" t="s">
        <v>3292</v>
      </c>
      <c r="B2875" s="37">
        <v>1365.4000244140625</v>
      </c>
      <c r="C2875" s="37">
        <v>1365.4000244140625</v>
      </c>
      <c r="D2875" s="35">
        <v>1828636</v>
      </c>
      <c r="E2875" s="35" t="s">
        <v>3200</v>
      </c>
      <c r="F2875" s="35" t="s">
        <v>411</v>
      </c>
    </row>
    <row r="2876" spans="1:6">
      <c r="A2876" s="35" t="s">
        <v>3293</v>
      </c>
      <c r="B2876" s="37">
        <v>1365.4000244140625</v>
      </c>
      <c r="C2876" s="37">
        <v>1365.4000244140625</v>
      </c>
      <c r="D2876" s="35">
        <v>1418468</v>
      </c>
      <c r="E2876" s="35" t="s">
        <v>3200</v>
      </c>
      <c r="F2876" s="35" t="s">
        <v>411</v>
      </c>
    </row>
    <row r="2877" spans="1:6">
      <c r="A2877" s="35" t="s">
        <v>3294</v>
      </c>
      <c r="B2877" s="37">
        <v>1370</v>
      </c>
      <c r="C2877" s="37">
        <v>1370</v>
      </c>
      <c r="D2877" s="35">
        <v>778760</v>
      </c>
      <c r="E2877" s="35" t="s">
        <v>3200</v>
      </c>
      <c r="F2877" s="35" t="s">
        <v>411</v>
      </c>
    </row>
    <row r="2878" spans="1:6">
      <c r="A2878" s="35" t="s">
        <v>3295</v>
      </c>
      <c r="B2878" s="37">
        <v>1360</v>
      </c>
      <c r="C2878" s="37">
        <v>1360</v>
      </c>
      <c r="D2878" s="35">
        <v>1033374</v>
      </c>
      <c r="E2878" s="35" t="s">
        <v>3200</v>
      </c>
      <c r="F2878" s="35" t="s">
        <v>411</v>
      </c>
    </row>
    <row r="2879" spans="1:6">
      <c r="A2879" s="35" t="s">
        <v>3296</v>
      </c>
      <c r="B2879" s="37">
        <v>1325</v>
      </c>
      <c r="C2879" s="37">
        <v>1325</v>
      </c>
      <c r="D2879" s="35">
        <v>970745</v>
      </c>
      <c r="E2879" s="35" t="s">
        <v>3200</v>
      </c>
      <c r="F2879" s="35" t="s">
        <v>411</v>
      </c>
    </row>
    <row r="2880" spans="1:6">
      <c r="A2880" s="35" t="s">
        <v>3297</v>
      </c>
      <c r="B2880" s="37">
        <v>1298</v>
      </c>
      <c r="C2880" s="37">
        <v>1298</v>
      </c>
      <c r="D2880" s="35">
        <v>3056990</v>
      </c>
      <c r="E2880" s="35" t="s">
        <v>3200</v>
      </c>
      <c r="F2880" s="35" t="s">
        <v>411</v>
      </c>
    </row>
    <row r="2881" spans="1:6">
      <c r="A2881" s="35" t="s">
        <v>3298</v>
      </c>
      <c r="B2881" s="37">
        <v>1324.800048828125</v>
      </c>
      <c r="C2881" s="37">
        <v>1324.800048828125</v>
      </c>
      <c r="D2881" s="35">
        <v>1693632</v>
      </c>
      <c r="E2881" s="35" t="s">
        <v>3200</v>
      </c>
      <c r="F2881" s="35" t="s">
        <v>411</v>
      </c>
    </row>
    <row r="2882" spans="1:6">
      <c r="A2882" s="35" t="s">
        <v>3299</v>
      </c>
      <c r="B2882" s="37">
        <v>1318.4000244140625</v>
      </c>
      <c r="C2882" s="37">
        <v>1318.4000244140625</v>
      </c>
      <c r="D2882" s="35">
        <v>1510868</v>
      </c>
      <c r="E2882" s="35" t="s">
        <v>3200</v>
      </c>
      <c r="F2882" s="35" t="s">
        <v>411</v>
      </c>
    </row>
    <row r="2883" spans="1:6">
      <c r="A2883" s="35" t="s">
        <v>3300</v>
      </c>
      <c r="B2883" s="37">
        <v>1302.5</v>
      </c>
      <c r="C2883" s="37">
        <v>1302.5</v>
      </c>
      <c r="D2883" s="35">
        <v>1484443</v>
      </c>
      <c r="E2883" s="35" t="s">
        <v>3200</v>
      </c>
      <c r="F2883" s="35" t="s">
        <v>411</v>
      </c>
    </row>
    <row r="2884" spans="1:6">
      <c r="A2884" s="35" t="s">
        <v>3301</v>
      </c>
      <c r="B2884" s="37">
        <v>1322</v>
      </c>
      <c r="C2884" s="37">
        <v>1322</v>
      </c>
      <c r="D2884" s="35">
        <v>1091648</v>
      </c>
      <c r="E2884" s="35" t="s">
        <v>3200</v>
      </c>
      <c r="F2884" s="35" t="s">
        <v>411</v>
      </c>
    </row>
    <row r="2885" spans="1:6">
      <c r="A2885" s="35" t="s">
        <v>3302</v>
      </c>
      <c r="B2885" s="37">
        <v>1315.800048828125</v>
      </c>
      <c r="C2885" s="37">
        <v>1315.800048828125</v>
      </c>
      <c r="D2885" s="35">
        <v>1314187</v>
      </c>
      <c r="E2885" s="35" t="s">
        <v>3200</v>
      </c>
      <c r="F2885" s="35" t="s">
        <v>411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T300"/>
  <sheetViews>
    <sheetView showGridLines="0" workbookViewId="0"/>
  </sheetViews>
  <sheetFormatPr defaultRowHeight="13.8"/>
  <cols>
    <col min="1" max="1" width="34" customWidth="1"/>
    <col min="2" max="17" width="11" customWidth="1"/>
  </cols>
  <sheetData>
    <row r="1" spans="1:46" ht="25.95" customHeight="1">
      <c r="A1" s="43" t="s">
        <v>3303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4" t="s">
        <v>3304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19" t="s">
        <v>39</v>
      </c>
      <c r="O5" s="19" t="s">
        <v>40</v>
      </c>
      <c r="P5" s="19" t="s">
        <v>41</v>
      </c>
      <c r="Q5" s="19" t="s">
        <v>42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3"/>
      <c r="O6" s="33"/>
      <c r="P6" s="33"/>
      <c r="Q6" s="3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3305</v>
      </c>
      <c r="B7" s="1" t="s">
        <v>54</v>
      </c>
      <c r="C7" s="36">
        <v>407.04998779296875</v>
      </c>
      <c r="D7" s="36">
        <v>437.375</v>
      </c>
      <c r="E7" s="36">
        <v>484.29998779296875</v>
      </c>
      <c r="F7" s="36">
        <v>541.45001220703125</v>
      </c>
      <c r="G7" s="36">
        <v>436.39999389648438</v>
      </c>
      <c r="H7" s="36">
        <v>982.6500244140625</v>
      </c>
      <c r="I7" s="36">
        <v>1163.75</v>
      </c>
      <c r="J7" s="36">
        <v>1085.25</v>
      </c>
      <c r="K7" s="36">
        <v>1543.550048828125</v>
      </c>
      <c r="L7" s="36">
        <v>1592.5</v>
      </c>
      <c r="M7" s="36">
        <v>1341.5999755859375</v>
      </c>
      <c r="N7" s="38">
        <f>'Annual P&amp;L'!N34*N18</f>
        <v>1426.2298960694393</v>
      </c>
      <c r="O7" s="38">
        <f>'Annual P&amp;L'!O34*O18</f>
        <v>1599.592024306447</v>
      </c>
      <c r="P7" s="38">
        <f>'Annual P&amp;L'!P34*P18</f>
        <v>1799.8324265464933</v>
      </c>
      <c r="Q7" s="38">
        <f>'Annual P&amp;L'!Q34*Q18</f>
        <v>1956.8096008570776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275</v>
      </c>
      <c r="B8" s="1" t="s">
        <v>276</v>
      </c>
      <c r="C8" s="21">
        <f>'Annual P&amp;L'!C31</f>
        <v>2713.7</v>
      </c>
      <c r="D8" s="21">
        <f>'Annual P&amp;L'!D31</f>
        <v>2713.7</v>
      </c>
      <c r="E8" s="21">
        <f>'Annual P&amp;L'!E31</f>
        <v>2713.7</v>
      </c>
      <c r="F8" s="21">
        <f>'Annual P&amp;L'!F31</f>
        <v>2713.7</v>
      </c>
      <c r="G8" s="21">
        <f>'Annual P&amp;L'!G31</f>
        <v>2713.7</v>
      </c>
      <c r="H8" s="21">
        <f>'Annual P&amp;L'!H31</f>
        <v>2713.7</v>
      </c>
      <c r="I8" s="21">
        <f>'Annual P&amp;L'!I31</f>
        <v>2713.7</v>
      </c>
      <c r="J8" s="21">
        <f>'Annual P&amp;L'!J31</f>
        <v>2713.7</v>
      </c>
      <c r="K8" s="21">
        <f>'Annual P&amp;L'!K31</f>
        <v>2713.7</v>
      </c>
      <c r="L8" s="21">
        <f>'Annual P&amp;L'!L31</f>
        <v>2713.7</v>
      </c>
      <c r="M8" s="21">
        <f>'Annual P&amp;L'!M31</f>
        <v>2713.7</v>
      </c>
      <c r="N8" s="27">
        <f>'Annual P&amp;L'!N31</f>
        <v>2713.7</v>
      </c>
      <c r="O8" s="27">
        <f>'Annual P&amp;L'!O31</f>
        <v>2713.7</v>
      </c>
      <c r="P8" s="27">
        <f>'Annual P&amp;L'!P31</f>
        <v>2713.7</v>
      </c>
      <c r="Q8" s="27">
        <f>'Annual P&amp;L'!Q31</f>
        <v>2713.7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3306</v>
      </c>
      <c r="B9" s="1" t="s">
        <v>44</v>
      </c>
      <c r="C9" s="14">
        <f t="shared" ref="C9:Q9" si="0">C7*C8/10</f>
        <v>110461.15518737791</v>
      </c>
      <c r="D9" s="14">
        <f t="shared" si="0"/>
        <v>118690.45374999999</v>
      </c>
      <c r="E9" s="14">
        <f t="shared" si="0"/>
        <v>131424.4876873779</v>
      </c>
      <c r="F9" s="14">
        <f t="shared" si="0"/>
        <v>146933.28981262207</v>
      </c>
      <c r="G9" s="14">
        <f t="shared" si="0"/>
        <v>118425.86634368896</v>
      </c>
      <c r="H9" s="14">
        <f t="shared" si="0"/>
        <v>266661.73712524411</v>
      </c>
      <c r="I9" s="14">
        <f t="shared" si="0"/>
        <v>315806.83750000002</v>
      </c>
      <c r="J9" s="14">
        <f t="shared" si="0"/>
        <v>294504.29249999998</v>
      </c>
      <c r="K9" s="14">
        <f t="shared" si="0"/>
        <v>418873.17675048823</v>
      </c>
      <c r="L9" s="14">
        <f t="shared" si="0"/>
        <v>432156.72499999998</v>
      </c>
      <c r="M9" s="14">
        <f t="shared" si="0"/>
        <v>364069.98537475581</v>
      </c>
      <c r="N9" s="28">
        <f t="shared" si="0"/>
        <v>387036.00689636369</v>
      </c>
      <c r="O9" s="28">
        <f t="shared" si="0"/>
        <v>434081.28763604054</v>
      </c>
      <c r="P9" s="28">
        <f t="shared" si="0"/>
        <v>488420.52559192182</v>
      </c>
      <c r="Q9" s="28">
        <f t="shared" si="0"/>
        <v>531019.42138458509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3307</v>
      </c>
      <c r="B10" s="1" t="s">
        <v>44</v>
      </c>
      <c r="C10" s="14">
        <f>'Annual Balance Sheet'!C7+'Annual Balance Sheet'!C10</f>
        <v>11852.9</v>
      </c>
      <c r="D10" s="14">
        <f>'Annual Balance Sheet'!D7+'Annual Balance Sheet'!D10</f>
        <v>12681.8</v>
      </c>
      <c r="E10" s="14">
        <f>'Annual Balance Sheet'!E7+'Annual Balance Sheet'!E10</f>
        <v>9777.7000000000007</v>
      </c>
      <c r="F10" s="14">
        <f>'Annual Balance Sheet'!F7+'Annual Balance Sheet'!F10</f>
        <v>11391</v>
      </c>
      <c r="G10" s="14">
        <f>'Annual Balance Sheet'!G7+'Annual Balance Sheet'!G10</f>
        <v>15373</v>
      </c>
      <c r="H10" s="14">
        <f>'Annual Balance Sheet'!H7+'Annual Balance Sheet'!H10</f>
        <v>20490</v>
      </c>
      <c r="I10" s="14">
        <f>'Annual Balance Sheet'!I7+'Annual Balance Sheet'!I10</f>
        <v>21883</v>
      </c>
      <c r="J10" s="14">
        <f>'Annual Balance Sheet'!J7+'Annual Balance Sheet'!J10</f>
        <v>22712</v>
      </c>
      <c r="K10" s="14">
        <f>'Annual Balance Sheet'!K7+'Annual Balance Sheet'!K10</f>
        <v>27988</v>
      </c>
      <c r="L10" s="14">
        <f>'Annual Balance Sheet'!L7+'Annual Balance Sheet'!L10</f>
        <v>29738</v>
      </c>
      <c r="M10" s="14">
        <f>'Annual Balance Sheet'!M7+'Annual Balance Sheet'!M10</f>
        <v>31401</v>
      </c>
      <c r="N10" s="28">
        <f>'Annual Balance Sheet'!N7+'Annual Balance Sheet'!N10</f>
        <v>37431.738633271059</v>
      </c>
      <c r="O10" s="28">
        <f>'Annual Balance Sheet'!O7+'Annual Balance Sheet'!O10</f>
        <v>40263.432291314275</v>
      </c>
      <c r="P10" s="28">
        <f>'Annual Balance Sheet'!P7+'Annual Balance Sheet'!P10</f>
        <v>43584.549193788334</v>
      </c>
      <c r="Q10" s="28">
        <f>'Annual Balance Sheet'!Q7+'Annual Balance Sheet'!Q10</f>
        <v>46842.861448731608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286</v>
      </c>
      <c r="B11" s="1" t="s">
        <v>44</v>
      </c>
      <c r="C11" s="14">
        <f>'Annual Balance Sheet'!C22</f>
        <v>973.2</v>
      </c>
      <c r="D11" s="14">
        <f>'Annual Balance Sheet'!D22</f>
        <v>541.70000000000005</v>
      </c>
      <c r="E11" s="14">
        <f>'Annual Balance Sheet'!E22</f>
        <v>437.1</v>
      </c>
      <c r="F11" s="14">
        <f>'Annual Balance Sheet'!F22</f>
        <v>3986</v>
      </c>
      <c r="G11" s="14">
        <f>'Annual Balance Sheet'!G22</f>
        <v>5092</v>
      </c>
      <c r="H11" s="14">
        <f>'Annual Balance Sheet'!H22</f>
        <v>3907</v>
      </c>
      <c r="I11" s="14">
        <f>'Annual Balance Sheet'!I22</f>
        <v>3985</v>
      </c>
      <c r="J11" s="14">
        <f>'Annual Balance Sheet'!J22</f>
        <v>2251</v>
      </c>
      <c r="K11" s="14">
        <f>'Annual Balance Sheet'!K22</f>
        <v>2327</v>
      </c>
      <c r="L11" s="14">
        <f>'Annual Balance Sheet'!L22</f>
        <v>2291</v>
      </c>
      <c r="M11" s="14">
        <f>'Annual Balance Sheet'!M22</f>
        <v>159</v>
      </c>
      <c r="N11" s="28">
        <f>'Annual Balance Sheet'!N22</f>
        <v>59</v>
      </c>
      <c r="O11" s="28">
        <f>'Annual Balance Sheet'!O22</f>
        <v>0</v>
      </c>
      <c r="P11" s="28">
        <f>'Annual Balance Sheet'!P22</f>
        <v>0</v>
      </c>
      <c r="Q11" s="28">
        <f>'Annual Balance Sheet'!Q22</f>
        <v>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3308</v>
      </c>
      <c r="B12" s="1" t="s">
        <v>44</v>
      </c>
      <c r="C12" s="14">
        <f t="shared" ref="C12:Q12" si="1">C9-C10+C11</f>
        <v>99581.455187377913</v>
      </c>
      <c r="D12" s="14">
        <f t="shared" si="1"/>
        <v>106550.35374999998</v>
      </c>
      <c r="E12" s="14">
        <f t="shared" si="1"/>
        <v>122083.88768737791</v>
      </c>
      <c r="F12" s="14">
        <f t="shared" si="1"/>
        <v>139528.28981262207</v>
      </c>
      <c r="G12" s="14">
        <f t="shared" si="1"/>
        <v>108144.86634368896</v>
      </c>
      <c r="H12" s="14">
        <f t="shared" si="1"/>
        <v>250078.73712524411</v>
      </c>
      <c r="I12" s="14">
        <f t="shared" si="1"/>
        <v>297908.83750000002</v>
      </c>
      <c r="J12" s="14">
        <f t="shared" si="1"/>
        <v>274043.29249999998</v>
      </c>
      <c r="K12" s="14">
        <f t="shared" si="1"/>
        <v>393212.17675048823</v>
      </c>
      <c r="L12" s="14">
        <f t="shared" si="1"/>
        <v>404709.72499999998</v>
      </c>
      <c r="M12" s="14">
        <f t="shared" si="1"/>
        <v>332827.98537475581</v>
      </c>
      <c r="N12" s="28">
        <f t="shared" si="1"/>
        <v>349663.26826309261</v>
      </c>
      <c r="O12" s="28">
        <f t="shared" si="1"/>
        <v>393817.85534472624</v>
      </c>
      <c r="P12" s="28">
        <f t="shared" si="1"/>
        <v>444835.9763981335</v>
      </c>
      <c r="Q12" s="28">
        <f t="shared" si="1"/>
        <v>484176.55993585347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67</v>
      </c>
      <c r="B13" s="1" t="s">
        <v>68</v>
      </c>
      <c r="C13" s="21">
        <f>IFERROR(C7/'Annual P&amp;L'!C34,"")</f>
        <v>15.028856769859514</v>
      </c>
      <c r="D13" s="21">
        <f>IFERROR(D7/'Annual P&amp;L'!D34,"")</f>
        <v>14.042338890859643</v>
      </c>
      <c r="E13" s="21">
        <f>IFERROR(E7/'Annual P&amp;L'!E34,"")</f>
        <v>14.976894383319689</v>
      </c>
      <c r="F13" s="21">
        <f>IFERROR(F7/'Annual P&amp;L'!F34,"")</f>
        <v>14.522820044893125</v>
      </c>
      <c r="G13" s="21">
        <f>IFERROR(G7/'Annual P&amp;L'!G34,"")</f>
        <v>10.711564485877185</v>
      </c>
      <c r="H13" s="21">
        <f>IFERROR(H7/'Annual P&amp;L'!H34,"")</f>
        <v>23.939805709188537</v>
      </c>
      <c r="I13" s="21">
        <f>IFERROR(I7/'Annual P&amp;L'!I34,"")</f>
        <v>23.407763538039855</v>
      </c>
      <c r="J13" s="21">
        <f>IFERROR(J7/'Annual P&amp;L'!J34,"")</f>
        <v>19.841564877786006</v>
      </c>
      <c r="K13" s="21">
        <f>IFERROR(K7/'Annual P&amp;L'!K34,"")</f>
        <v>26.691167319947297</v>
      </c>
      <c r="L13" s="21">
        <f>IFERROR(L7/'Annual P&amp;L'!L34,"")</f>
        <v>24.86461184588844</v>
      </c>
      <c r="M13" s="21">
        <f>IFERROR(M7/'Annual P&amp;L'!M34,"")</f>
        <v>20.982156867178951</v>
      </c>
      <c r="N13" s="27">
        <f>IFERROR(N7/'Annual P&amp;L'!N34,"")</f>
        <v>20</v>
      </c>
      <c r="O13" s="27">
        <f>IFERROR(O7/'Annual P&amp;L'!O34,"")</f>
        <v>20.5</v>
      </c>
      <c r="P13" s="27">
        <f>IFERROR(P7/'Annual P&amp;L'!P34,"")</f>
        <v>21</v>
      </c>
      <c r="Q13" s="27">
        <f>IFERROR(Q7/'Annual P&amp;L'!Q34,"")</f>
        <v>21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69</v>
      </c>
      <c r="B14" s="1" t="s">
        <v>68</v>
      </c>
      <c r="C14" s="21">
        <f>IFERROR(C12/'Annual P&amp;L'!C17,"")</f>
        <v>11.404197799745523</v>
      </c>
      <c r="D14" s="21">
        <f>IFERROR(D12/'Annual P&amp;L'!D17,"")</f>
        <v>10.335663376661168</v>
      </c>
      <c r="E14" s="21">
        <f>IFERROR(E12/'Annual P&amp;L'!E17,"")</f>
        <v>10.671668504141426</v>
      </c>
      <c r="F14" s="21">
        <f>IFERROR(F12/'Annual P&amp;L'!F17,"")</f>
        <v>9.9898539280176184</v>
      </c>
      <c r="G14" s="21">
        <f>IFERROR(G12/'Annual P&amp;L'!G17,"")</f>
        <v>6.4780679491846751</v>
      </c>
      <c r="H14" s="21">
        <f>IFERROR(H12/'Annual P&amp;L'!H17,"")</f>
        <v>12.532134158117971</v>
      </c>
      <c r="I14" s="21">
        <f>IFERROR(I12/'Annual P&amp;L'!I17,"")</f>
        <v>14.510902946906967</v>
      </c>
      <c r="J14" s="21">
        <f>IFERROR(J12/'Annual P&amp;L'!J17,"")</f>
        <v>12.110804865653172</v>
      </c>
      <c r="K14" s="21">
        <f>IFERROR(K12/'Annual P&amp;L'!K17,"")</f>
        <v>16.248437055805297</v>
      </c>
      <c r="L14" s="21">
        <f>IFERROR(L12/'Annual P&amp;L'!L17,"")</f>
        <v>15.868480434441656</v>
      </c>
      <c r="M14" s="21">
        <f>IFERROR(M12/'Annual P&amp;L'!M17,"")</f>
        <v>12.441237491580285</v>
      </c>
      <c r="N14" s="27">
        <f>IFERROR(N12/'Annual P&amp;L'!N17,"")</f>
        <v>11.879173804186866</v>
      </c>
      <c r="O14" s="27">
        <f>IFERROR(O12/'Annual P&amp;L'!O17,"")</f>
        <v>12.347355092319049</v>
      </c>
      <c r="P14" s="27">
        <f>IFERROR(P12/'Annual P&amp;L'!P17,"")</f>
        <v>12.766465519248237</v>
      </c>
      <c r="Q14" s="27">
        <f>IFERROR(Q12/'Annual P&amp;L'!Q17,"")</f>
        <v>12.847995184866162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3309</v>
      </c>
      <c r="B15" s="1" t="s">
        <v>68</v>
      </c>
      <c r="C15" s="21">
        <f>IFERROR(C9/'Annual Balance Sheet'!C31,"")</f>
        <v>3.9419299476976355</v>
      </c>
      <c r="D15" s="21">
        <f>IFERROR(D9/'Annual Balance Sheet'!D31,"")</f>
        <v>3.5440142175071059</v>
      </c>
      <c r="E15" s="21">
        <f>IFERROR(E9/'Annual Balance Sheet'!E31,"")</f>
        <v>3.5696879600448135</v>
      </c>
      <c r="F15" s="21">
        <f>IFERROR(F9/'Annual Balance Sheet'!F31,"")</f>
        <v>3.4797700370070355</v>
      </c>
      <c r="G15" s="21">
        <f>IFERROR(G9/'Annual Balance Sheet'!G31,"")</f>
        <v>2.2680864584917639</v>
      </c>
      <c r="H15" s="21">
        <f>IFERROR(H9/'Annual Balance Sheet'!H31,"")</f>
        <v>4.2947614289780018</v>
      </c>
      <c r="I15" s="21">
        <f>IFERROR(I9/'Annual Balance Sheet'!I31,"")</f>
        <v>5.0931657823436449</v>
      </c>
      <c r="J15" s="21">
        <f>IFERROR(J9/'Annual Balance Sheet'!J31,"")</f>
        <v>4.5032614529496309</v>
      </c>
      <c r="K15" s="21">
        <f>IFERROR(K9/'Annual Balance Sheet'!K31,"")</f>
        <v>6.1354480929016457</v>
      </c>
      <c r="L15" s="21">
        <f>IFERROR(L9/'Annual Balance Sheet'!L31,"")</f>
        <v>6.202642702338065</v>
      </c>
      <c r="M15" s="21">
        <f>IFERROR(M9/'Annual Balance Sheet'!M31,"")</f>
        <v>4.84154933540907</v>
      </c>
      <c r="N15" s="27">
        <f>IFERROR(N9/'Annual Balance Sheet'!N31,"")</f>
        <v>5.0177583385511335</v>
      </c>
      <c r="O15" s="27">
        <f>IFERROR(O9/'Annual Balance Sheet'!O31,"")</f>
        <v>5.4772357925467228</v>
      </c>
      <c r="P15" s="27">
        <f>IFERROR(P9/'Annual Balance Sheet'!P31,"")</f>
        <v>5.9870873715953943</v>
      </c>
      <c r="Q15" s="27">
        <f>IFERROR(Q9/'Annual Balance Sheet'!Q31,"")</f>
        <v>6.3134636181527766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279</v>
      </c>
      <c r="B16" s="1" t="s">
        <v>54</v>
      </c>
      <c r="C16" s="32">
        <f>'Annual P&amp;L'!C35</f>
        <v>9.9384604046136271</v>
      </c>
      <c r="D16" s="32">
        <f>'Annual P&amp;L'!D35</f>
        <v>14.990603235435016</v>
      </c>
      <c r="E16" s="32">
        <f>'Annual P&amp;L'!E35</f>
        <v>7.4842466005822317</v>
      </c>
      <c r="F16" s="32">
        <f>'Annual P&amp;L'!F35</f>
        <v>4.8678925452334454</v>
      </c>
      <c r="G16" s="32">
        <f>'Annual P&amp;L'!G35</f>
        <v>5.9881342816081373</v>
      </c>
      <c r="H16" s="32">
        <f>'Annual P&amp;L'!H35</f>
        <v>11.998378597486827</v>
      </c>
      <c r="I16" s="32">
        <f>'Annual P&amp;L'!I35</f>
        <v>41.968530051221585</v>
      </c>
      <c r="J16" s="32">
        <f>'Annual P&amp;L'!J35</f>
        <v>47.886649224306304</v>
      </c>
      <c r="K16" s="32">
        <f>'Annual P&amp;L'!K35</f>
        <v>51.859085381582346</v>
      </c>
      <c r="L16" s="32">
        <f>'Annual P&amp;L'!L35</f>
        <v>59.881342816081371</v>
      </c>
      <c r="M16" s="32">
        <f>'Annual P&amp;L'!M35</f>
        <v>53.867413494490918</v>
      </c>
      <c r="N16" s="34">
        <f>'Annual P&amp;L'!N35</f>
        <v>64.215821063989537</v>
      </c>
      <c r="O16" s="34">
        <f>'Annual P&amp;L'!O35</f>
        <v>70.264808787879005</v>
      </c>
      <c r="P16" s="34">
        <f>'Annual P&amp;L'!P35</f>
        <v>77.178312234098499</v>
      </c>
      <c r="Q16" s="34">
        <f>'Annual P&amp;L'!Q35</f>
        <v>83.90962410173465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70</v>
      </c>
      <c r="B17" s="1" t="s">
        <v>46</v>
      </c>
      <c r="C17" s="15">
        <f t="shared" ref="C17:Q17" si="2">IFERROR(C16/C7,"")</f>
        <v>2.4415822878413807E-2</v>
      </c>
      <c r="D17" s="15">
        <f t="shared" si="2"/>
        <v>3.4274028546293266E-2</v>
      </c>
      <c r="E17" s="15">
        <f t="shared" si="2"/>
        <v>1.5453741047339525E-2</v>
      </c>
      <c r="F17" s="15">
        <f t="shared" si="2"/>
        <v>8.9904745322494078E-3</v>
      </c>
      <c r="G17" s="15">
        <f t="shared" si="2"/>
        <v>1.3721664448575917E-2</v>
      </c>
      <c r="H17" s="15">
        <f t="shared" si="2"/>
        <v>1.2210225715550412E-2</v>
      </c>
      <c r="I17" s="15">
        <f t="shared" si="2"/>
        <v>3.6063183717483641E-2</v>
      </c>
      <c r="J17" s="15">
        <f t="shared" si="2"/>
        <v>4.4124993526197927E-2</v>
      </c>
      <c r="K17" s="15">
        <f t="shared" si="2"/>
        <v>3.3597281423400661E-2</v>
      </c>
      <c r="L17" s="15">
        <f t="shared" si="2"/>
        <v>3.7602099099580136E-2</v>
      </c>
      <c r="M17" s="15">
        <f t="shared" si="2"/>
        <v>4.0151620807062534E-2</v>
      </c>
      <c r="N17" s="25">
        <f t="shared" si="2"/>
        <v>4.5024873788554381E-2</v>
      </c>
      <c r="O17" s="25">
        <f t="shared" si="2"/>
        <v>4.3926706135174999E-2</v>
      </c>
      <c r="P17" s="25">
        <f t="shared" si="2"/>
        <v>4.2880832179575598E-2</v>
      </c>
      <c r="Q17" s="25">
        <f t="shared" si="2"/>
        <v>4.2880832179575598E-2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3310</v>
      </c>
      <c r="B18" s="1" t="s">
        <v>68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7">
        <f>Assumptions!C38</f>
        <v>20</v>
      </c>
      <c r="O18" s="27">
        <f>Assumptions!D38</f>
        <v>20.5</v>
      </c>
      <c r="P18" s="27">
        <f>Assumptions!E38</f>
        <v>21</v>
      </c>
      <c r="Q18" s="27">
        <f>Assumptions!F38</f>
        <v>21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3311</v>
      </c>
      <c r="B19" s="1" t="s">
        <v>54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8">
        <f>N7</f>
        <v>1426.2298960694393</v>
      </c>
      <c r="O19" s="38">
        <f>O7</f>
        <v>1599.592024306447</v>
      </c>
      <c r="P19" s="38">
        <f>P7</f>
        <v>1799.8324265464933</v>
      </c>
      <c r="Q19" s="38">
        <f>Q7</f>
        <v>1956.8096008570776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3312</v>
      </c>
      <c r="B20" s="1" t="s">
        <v>46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5">
        <f>IFERROR(N19/M7-1,"")</f>
        <v>6.308133722687348E-2</v>
      </c>
      <c r="O20" s="25">
        <f>IFERROR(O19/N7-1,"")</f>
        <v>0.12155272352288926</v>
      </c>
      <c r="P20" s="25">
        <f>IFERROR(P19/O7-1,"")</f>
        <v>0.12518217095191297</v>
      </c>
      <c r="Q20" s="25">
        <f>IFERROR(Q19/P7-1,"")</f>
        <v>8.721766093068517E-2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33"/>
      <c r="O21" s="33"/>
      <c r="P21" s="33"/>
      <c r="Q21" s="33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33"/>
      <c r="O22" s="33"/>
      <c r="P22" s="33"/>
      <c r="Q22" s="33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3"/>
      <c r="O23" s="33"/>
      <c r="P23" s="33"/>
      <c r="Q23" s="33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3"/>
      <c r="O24" s="33"/>
      <c r="P24" s="33"/>
      <c r="Q24" s="33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3"/>
      <c r="O25" s="33"/>
      <c r="P25" s="33"/>
      <c r="Q25" s="33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33"/>
      <c r="O26" s="33"/>
      <c r="P26" s="33"/>
      <c r="Q26" s="33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3"/>
      <c r="O27" s="33"/>
      <c r="P27" s="33"/>
      <c r="Q27" s="33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3"/>
      <c r="O28" s="33"/>
      <c r="P28" s="33"/>
      <c r="Q28" s="33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3"/>
      <c r="O29" s="33"/>
      <c r="P29" s="33"/>
      <c r="Q29" s="33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3"/>
      <c r="O30" s="33"/>
      <c r="P30" s="33"/>
      <c r="Q30" s="33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33"/>
      <c r="O31" s="33"/>
      <c r="P31" s="33"/>
      <c r="Q31" s="33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3"/>
      <c r="O32" s="33"/>
      <c r="P32" s="33"/>
      <c r="Q32" s="33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33"/>
      <c r="O33" s="33"/>
      <c r="P33" s="33"/>
      <c r="Q33" s="33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3"/>
      <c r="O34" s="33"/>
      <c r="P34" s="33"/>
      <c r="Q34" s="33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3"/>
      <c r="O35" s="33"/>
      <c r="P35" s="33"/>
      <c r="Q35" s="33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3"/>
      <c r="O36" s="33"/>
      <c r="P36" s="33"/>
      <c r="Q36" s="3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3"/>
      <c r="O37" s="33"/>
      <c r="P37" s="33"/>
      <c r="Q37" s="3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3"/>
      <c r="O38" s="33"/>
      <c r="P38" s="33"/>
      <c r="Q38" s="33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3"/>
      <c r="O39" s="33"/>
      <c r="P39" s="33"/>
      <c r="Q39" s="33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3"/>
      <c r="O40" s="33"/>
      <c r="P40" s="33"/>
      <c r="Q40" s="33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3"/>
      <c r="O41" s="33"/>
      <c r="P41" s="33"/>
      <c r="Q41" s="33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3"/>
      <c r="O42" s="33"/>
      <c r="P42" s="33"/>
      <c r="Q42" s="33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3"/>
      <c r="O43" s="33"/>
      <c r="P43" s="33"/>
      <c r="Q43" s="33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3"/>
      <c r="O44" s="33"/>
      <c r="P44" s="33"/>
      <c r="Q44" s="33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3"/>
      <c r="O45" s="33"/>
      <c r="P45" s="33"/>
      <c r="Q45" s="33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3"/>
      <c r="O46" s="33"/>
      <c r="P46" s="33"/>
      <c r="Q46" s="33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3"/>
      <c r="O47" s="33"/>
      <c r="P47" s="33"/>
      <c r="Q47" s="3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3"/>
      <c r="O48" s="33"/>
      <c r="P48" s="33"/>
      <c r="Q48" s="3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3"/>
      <c r="O49" s="33"/>
      <c r="P49" s="33"/>
      <c r="Q49" s="3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3"/>
      <c r="O50" s="33"/>
      <c r="P50" s="33"/>
      <c r="Q50" s="3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3"/>
      <c r="O51" s="33"/>
      <c r="P51" s="33"/>
      <c r="Q51" s="3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3"/>
      <c r="O52" s="33"/>
      <c r="P52" s="33"/>
      <c r="Q52" s="33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3"/>
      <c r="O53" s="33"/>
      <c r="P53" s="33"/>
      <c r="Q53" s="33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3"/>
      <c r="O54" s="33"/>
      <c r="P54" s="33"/>
      <c r="Q54" s="33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3"/>
      <c r="O55" s="33"/>
      <c r="P55" s="33"/>
      <c r="Q55" s="33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3"/>
      <c r="O56" s="33"/>
      <c r="P56" s="33"/>
      <c r="Q56" s="33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3"/>
      <c r="O57" s="33"/>
      <c r="P57" s="33"/>
      <c r="Q57" s="33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3"/>
      <c r="O58" s="33"/>
      <c r="P58" s="33"/>
      <c r="Q58" s="33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3"/>
      <c r="O59" s="33"/>
      <c r="P59" s="33"/>
      <c r="Q59" s="33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3"/>
      <c r="O60" s="33"/>
      <c r="P60" s="33"/>
      <c r="Q60" s="33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3"/>
      <c r="O61" s="33"/>
      <c r="P61" s="33"/>
      <c r="Q61" s="33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3"/>
      <c r="O62" s="33"/>
      <c r="P62" s="33"/>
      <c r="Q62" s="33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3"/>
      <c r="O63" s="33"/>
      <c r="P63" s="33"/>
      <c r="Q63" s="33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3"/>
      <c r="O64" s="33"/>
      <c r="P64" s="33"/>
      <c r="Q64" s="3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3"/>
      <c r="O65" s="33"/>
      <c r="P65" s="33"/>
      <c r="Q65" s="33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3"/>
      <c r="O66" s="33"/>
      <c r="P66" s="33"/>
      <c r="Q66" s="33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3"/>
      <c r="O67" s="33"/>
      <c r="P67" s="33"/>
      <c r="Q67" s="33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3"/>
      <c r="O68" s="33"/>
      <c r="P68" s="33"/>
      <c r="Q68" s="33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3"/>
      <c r="O69" s="33"/>
      <c r="P69" s="33"/>
      <c r="Q69" s="33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3"/>
      <c r="O70" s="33"/>
      <c r="P70" s="33"/>
      <c r="Q70" s="33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3"/>
      <c r="O71" s="33"/>
      <c r="P71" s="33"/>
      <c r="Q71" s="33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3"/>
      <c r="O72" s="33"/>
      <c r="P72" s="33"/>
      <c r="Q72" s="33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3"/>
      <c r="O73" s="33"/>
      <c r="P73" s="33"/>
      <c r="Q73" s="33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3"/>
      <c r="O74" s="33"/>
      <c r="P74" s="33"/>
      <c r="Q74" s="3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3"/>
      <c r="O75" s="33"/>
      <c r="P75" s="33"/>
      <c r="Q75" s="3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3"/>
      <c r="O76" s="33"/>
      <c r="P76" s="33"/>
      <c r="Q76" s="3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3"/>
      <c r="O77" s="33"/>
      <c r="P77" s="33"/>
      <c r="Q77" s="33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3"/>
      <c r="O78" s="33"/>
      <c r="P78" s="33"/>
      <c r="Q78" s="33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3"/>
      <c r="O79" s="33"/>
      <c r="P79" s="33"/>
      <c r="Q79" s="33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3"/>
      <c r="O80" s="33"/>
      <c r="P80" s="33"/>
      <c r="Q80" s="33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3"/>
      <c r="O81" s="33"/>
      <c r="P81" s="33"/>
      <c r="Q81" s="33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3"/>
      <c r="O82" s="33"/>
      <c r="P82" s="33"/>
      <c r="Q82" s="33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3"/>
      <c r="O83" s="33"/>
      <c r="P83" s="33"/>
      <c r="Q83" s="33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3"/>
      <c r="O84" s="33"/>
      <c r="P84" s="33"/>
      <c r="Q84" s="33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3"/>
      <c r="O85" s="33"/>
      <c r="P85" s="33"/>
      <c r="Q85" s="33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3"/>
      <c r="O86" s="33"/>
      <c r="P86" s="33"/>
      <c r="Q86" s="3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3"/>
      <c r="O87" s="33"/>
      <c r="P87" s="33"/>
      <c r="Q87" s="3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3"/>
      <c r="O88" s="33"/>
      <c r="P88" s="33"/>
      <c r="Q88" s="33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3"/>
      <c r="O89" s="33"/>
      <c r="P89" s="33"/>
      <c r="Q89" s="33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33"/>
      <c r="O90" s="33"/>
      <c r="P90" s="33"/>
      <c r="Q90" s="33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33"/>
      <c r="O91" s="33"/>
      <c r="P91" s="33"/>
      <c r="Q91" s="33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3"/>
      <c r="O92" s="33"/>
      <c r="P92" s="33"/>
      <c r="Q92" s="33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3"/>
      <c r="O93" s="33"/>
      <c r="P93" s="33"/>
      <c r="Q93" s="33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3"/>
      <c r="O94" s="33"/>
      <c r="P94" s="33"/>
      <c r="Q94" s="33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3"/>
      <c r="O95" s="33"/>
      <c r="P95" s="33"/>
      <c r="Q95" s="33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3"/>
      <c r="O96" s="33"/>
      <c r="P96" s="33"/>
      <c r="Q96" s="33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3"/>
      <c r="O97" s="33"/>
      <c r="P97" s="33"/>
      <c r="Q97" s="33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3"/>
      <c r="O98" s="33"/>
      <c r="P98" s="33"/>
      <c r="Q98" s="33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3"/>
      <c r="O99" s="33"/>
      <c r="P99" s="33"/>
      <c r="Q99" s="33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3"/>
      <c r="O100" s="33"/>
      <c r="P100" s="33"/>
      <c r="Q100" s="3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3"/>
      <c r="O101" s="33"/>
      <c r="P101" s="33"/>
      <c r="Q101" s="3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3"/>
      <c r="O102" s="33"/>
      <c r="P102" s="33"/>
      <c r="Q102" s="3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3"/>
      <c r="O103" s="33"/>
      <c r="P103" s="33"/>
      <c r="Q103" s="3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3"/>
      <c r="O104" s="33"/>
      <c r="P104" s="33"/>
      <c r="Q104" s="3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3"/>
      <c r="O105" s="33"/>
      <c r="P105" s="33"/>
      <c r="Q105" s="3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3"/>
      <c r="O106" s="33"/>
      <c r="P106" s="33"/>
      <c r="Q106" s="3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3"/>
      <c r="O107" s="33"/>
      <c r="P107" s="33"/>
      <c r="Q107" s="3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3"/>
      <c r="O108" s="33"/>
      <c r="P108" s="33"/>
      <c r="Q108" s="3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3"/>
      <c r="O109" s="33"/>
      <c r="P109" s="33"/>
      <c r="Q109" s="3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3"/>
      <c r="O110" s="33"/>
      <c r="P110" s="33"/>
      <c r="Q110" s="3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3"/>
      <c r="O111" s="33"/>
      <c r="P111" s="33"/>
      <c r="Q111" s="3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3"/>
      <c r="O112" s="33"/>
      <c r="P112" s="33"/>
      <c r="Q112" s="3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3"/>
      <c r="O113" s="33"/>
      <c r="P113" s="33"/>
      <c r="Q113" s="3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3"/>
      <c r="O114" s="33"/>
      <c r="P114" s="33"/>
      <c r="Q114" s="3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3"/>
      <c r="O115" s="33"/>
      <c r="P115" s="33"/>
      <c r="Q115" s="3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3"/>
      <c r="O116" s="33"/>
      <c r="P116" s="33"/>
      <c r="Q116" s="3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3"/>
      <c r="O117" s="33"/>
      <c r="P117" s="33"/>
      <c r="Q117" s="3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3"/>
      <c r="O118" s="33"/>
      <c r="P118" s="33"/>
      <c r="Q118" s="3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3"/>
      <c r="O119" s="33"/>
      <c r="P119" s="33"/>
      <c r="Q119" s="3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3"/>
      <c r="O120" s="33"/>
      <c r="P120" s="33"/>
      <c r="Q120" s="3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3"/>
      <c r="O121" s="33"/>
      <c r="P121" s="33"/>
      <c r="Q121" s="3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3"/>
      <c r="O122" s="33"/>
      <c r="P122" s="33"/>
      <c r="Q122" s="3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3"/>
      <c r="O123" s="33"/>
      <c r="P123" s="33"/>
      <c r="Q123" s="3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3"/>
      <c r="O124" s="33"/>
      <c r="P124" s="33"/>
      <c r="Q124" s="3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3"/>
      <c r="O125" s="33"/>
      <c r="P125" s="33"/>
      <c r="Q125" s="3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3"/>
      <c r="O126" s="33"/>
      <c r="P126" s="33"/>
      <c r="Q126" s="3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33"/>
      <c r="O127" s="33"/>
      <c r="P127" s="33"/>
      <c r="Q127" s="3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3"/>
      <c r="O128" s="33"/>
      <c r="P128" s="33"/>
      <c r="Q128" s="3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3"/>
      <c r="O129" s="33"/>
      <c r="P129" s="33"/>
      <c r="Q129" s="3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3"/>
      <c r="O130" s="33"/>
      <c r="P130" s="33"/>
      <c r="Q130" s="3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3"/>
      <c r="O131" s="33"/>
      <c r="P131" s="33"/>
      <c r="Q131" s="3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3"/>
      <c r="O132" s="33"/>
      <c r="P132" s="33"/>
      <c r="Q132" s="3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3"/>
      <c r="O133" s="33"/>
      <c r="P133" s="33"/>
      <c r="Q133" s="3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3"/>
      <c r="O134" s="33"/>
      <c r="P134" s="33"/>
      <c r="Q134" s="3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3"/>
      <c r="O135" s="33"/>
      <c r="P135" s="33"/>
      <c r="Q135" s="3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3"/>
      <c r="O136" s="33"/>
      <c r="P136" s="33"/>
      <c r="Q136" s="3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3"/>
      <c r="O137" s="33"/>
      <c r="P137" s="33"/>
      <c r="Q137" s="3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3"/>
      <c r="O138" s="33"/>
      <c r="P138" s="33"/>
      <c r="Q138" s="3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3"/>
      <c r="O139" s="33"/>
      <c r="P139" s="33"/>
      <c r="Q139" s="3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3"/>
      <c r="O140" s="33"/>
      <c r="P140" s="33"/>
      <c r="Q140" s="3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3"/>
      <c r="O141" s="33"/>
      <c r="P141" s="33"/>
      <c r="Q141" s="3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3"/>
      <c r="O142" s="33"/>
      <c r="P142" s="33"/>
      <c r="Q142" s="3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3"/>
      <c r="O143" s="33"/>
      <c r="P143" s="33"/>
      <c r="Q143" s="3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3"/>
      <c r="O144" s="33"/>
      <c r="P144" s="33"/>
      <c r="Q144" s="3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3"/>
      <c r="O145" s="33"/>
      <c r="P145" s="33"/>
      <c r="Q145" s="3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3"/>
      <c r="O146" s="33"/>
      <c r="P146" s="33"/>
      <c r="Q146" s="3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3"/>
      <c r="O147" s="33"/>
      <c r="P147" s="33"/>
      <c r="Q147" s="3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3"/>
      <c r="O148" s="33"/>
      <c r="P148" s="33"/>
      <c r="Q148" s="3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3"/>
      <c r="O149" s="33"/>
      <c r="P149" s="33"/>
      <c r="Q149" s="3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3"/>
      <c r="O150" s="33"/>
      <c r="P150" s="33"/>
      <c r="Q150" s="3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3"/>
      <c r="O151" s="33"/>
      <c r="P151" s="33"/>
      <c r="Q151" s="3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3"/>
      <c r="O152" s="33"/>
      <c r="P152" s="33"/>
      <c r="Q152" s="3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3"/>
      <c r="O153" s="33"/>
      <c r="P153" s="33"/>
      <c r="Q153" s="3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33"/>
      <c r="O154" s="33"/>
      <c r="P154" s="33"/>
      <c r="Q154" s="3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3"/>
      <c r="O155" s="33"/>
      <c r="P155" s="33"/>
      <c r="Q155" s="3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3"/>
      <c r="O156" s="33"/>
      <c r="P156" s="33"/>
      <c r="Q156" s="3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3"/>
      <c r="O157" s="33"/>
      <c r="P157" s="33"/>
      <c r="Q157" s="3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3"/>
      <c r="O158" s="33"/>
      <c r="P158" s="33"/>
      <c r="Q158" s="3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3"/>
      <c r="O159" s="33"/>
      <c r="P159" s="33"/>
      <c r="Q159" s="3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3"/>
      <c r="O160" s="33"/>
      <c r="P160" s="33"/>
      <c r="Q160" s="3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3"/>
      <c r="O161" s="33"/>
      <c r="P161" s="33"/>
      <c r="Q161" s="3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3"/>
      <c r="O162" s="33"/>
      <c r="P162" s="33"/>
      <c r="Q162" s="3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3"/>
      <c r="O163" s="33"/>
      <c r="P163" s="33"/>
      <c r="Q163" s="3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3"/>
      <c r="O164" s="33"/>
      <c r="P164" s="33"/>
      <c r="Q164" s="3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3"/>
      <c r="O165" s="33"/>
      <c r="P165" s="33"/>
      <c r="Q165" s="3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3"/>
      <c r="O166" s="33"/>
      <c r="P166" s="33"/>
      <c r="Q166" s="3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3"/>
      <c r="O167" s="33"/>
      <c r="P167" s="33"/>
      <c r="Q167" s="3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3"/>
      <c r="O168" s="33"/>
      <c r="P168" s="33"/>
      <c r="Q168" s="3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3"/>
      <c r="O169" s="33"/>
      <c r="P169" s="33"/>
      <c r="Q169" s="3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3"/>
      <c r="O170" s="33"/>
      <c r="P170" s="33"/>
      <c r="Q170" s="3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33"/>
      <c r="O171" s="33"/>
      <c r="P171" s="33"/>
      <c r="Q171" s="3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3"/>
      <c r="O172" s="33"/>
      <c r="P172" s="33"/>
      <c r="Q172" s="3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3"/>
      <c r="O173" s="33"/>
      <c r="P173" s="33"/>
      <c r="Q173" s="3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3"/>
      <c r="O174" s="33"/>
      <c r="P174" s="33"/>
      <c r="Q174" s="3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3"/>
      <c r="O175" s="33"/>
      <c r="P175" s="33"/>
      <c r="Q175" s="3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3"/>
      <c r="O176" s="33"/>
      <c r="P176" s="33"/>
      <c r="Q176" s="3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3"/>
      <c r="O177" s="33"/>
      <c r="P177" s="33"/>
      <c r="Q177" s="3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3"/>
      <c r="O178" s="33"/>
      <c r="P178" s="33"/>
      <c r="Q178" s="3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3"/>
      <c r="O179" s="33"/>
      <c r="P179" s="33"/>
      <c r="Q179" s="3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3"/>
      <c r="O180" s="33"/>
      <c r="P180" s="33"/>
      <c r="Q180" s="3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3"/>
      <c r="O181" s="33"/>
      <c r="P181" s="33"/>
      <c r="Q181" s="3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3"/>
      <c r="O182" s="33"/>
      <c r="P182" s="33"/>
      <c r="Q182" s="3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3"/>
      <c r="O183" s="33"/>
      <c r="P183" s="33"/>
      <c r="Q183" s="3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33"/>
      <c r="O184" s="33"/>
      <c r="P184" s="33"/>
      <c r="Q184" s="3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3"/>
      <c r="O185" s="33"/>
      <c r="P185" s="33"/>
      <c r="Q185" s="3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3"/>
      <c r="O186" s="33"/>
      <c r="P186" s="33"/>
      <c r="Q186" s="3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3"/>
      <c r="O187" s="33"/>
      <c r="P187" s="33"/>
      <c r="Q187" s="3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3"/>
      <c r="O188" s="33"/>
      <c r="P188" s="33"/>
      <c r="Q188" s="3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3"/>
      <c r="O189" s="33"/>
      <c r="P189" s="33"/>
      <c r="Q189" s="3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3"/>
      <c r="O190" s="33"/>
      <c r="P190" s="33"/>
      <c r="Q190" s="3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3"/>
      <c r="O191" s="33"/>
      <c r="P191" s="33"/>
      <c r="Q191" s="3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3"/>
      <c r="O192" s="33"/>
      <c r="P192" s="33"/>
      <c r="Q192" s="3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33"/>
      <c r="O193" s="33"/>
      <c r="P193" s="33"/>
      <c r="Q193" s="3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3"/>
      <c r="O194" s="33"/>
      <c r="P194" s="33"/>
      <c r="Q194" s="3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3"/>
      <c r="O195" s="33"/>
      <c r="P195" s="33"/>
      <c r="Q195" s="3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33"/>
      <c r="O196" s="33"/>
      <c r="P196" s="33"/>
      <c r="Q196" s="3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33"/>
      <c r="O197" s="33"/>
      <c r="P197" s="33"/>
      <c r="Q197" s="3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3"/>
      <c r="O198" s="33"/>
      <c r="P198" s="33"/>
      <c r="Q198" s="3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3"/>
      <c r="O199" s="33"/>
      <c r="P199" s="33"/>
      <c r="Q199" s="3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3"/>
      <c r="O200" s="33"/>
      <c r="P200" s="33"/>
      <c r="Q200" s="3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T300"/>
  <sheetViews>
    <sheetView showGridLines="0" workbookViewId="0"/>
  </sheetViews>
  <sheetFormatPr defaultRowHeight="13.8"/>
  <cols>
    <col min="1" max="1" width="38" customWidth="1"/>
    <col min="2" max="2" width="12" customWidth="1"/>
    <col min="3" max="5" width="16" customWidth="1"/>
    <col min="6" max="6" width="12" customWidth="1"/>
  </cols>
  <sheetData>
    <row r="1" spans="1:46" ht="25.95" customHeight="1">
      <c r="A1" s="43" t="s">
        <v>3313</v>
      </c>
      <c r="B1" s="43"/>
      <c r="C1" s="43"/>
      <c r="D1" s="43"/>
      <c r="E1" s="43"/>
      <c r="F1" s="4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8" customHeight="1">
      <c r="A2" s="44" t="s">
        <v>3314</v>
      </c>
      <c r="B2" s="44"/>
      <c r="C2" s="44"/>
      <c r="D2" s="44"/>
      <c r="E2" s="44"/>
      <c r="F2" s="4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5" t="s">
        <v>3315</v>
      </c>
      <c r="B5" s="5" t="s">
        <v>77</v>
      </c>
      <c r="C5" s="5" t="s">
        <v>3316</v>
      </c>
      <c r="D5" s="5" t="s">
        <v>3317</v>
      </c>
      <c r="E5" s="5" t="s">
        <v>3318</v>
      </c>
      <c r="F5" s="5" t="s">
        <v>3319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8" t="s">
        <v>3320</v>
      </c>
      <c r="B6" s="41" t="str">
        <f ca="1">IF(COUNTIF(B7:B141,"FAIL")=0,"OK","REVIEW")</f>
        <v>OK</v>
      </c>
      <c r="C6" s="8"/>
      <c r="D6" s="8"/>
      <c r="E6" s="8"/>
      <c r="F6" s="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3321</v>
      </c>
      <c r="B7" s="14" t="str">
        <f>IF(ABS('Annual Balance Sheet'!C33)&lt;=0.5,"OK","FAIL")</f>
        <v>OK</v>
      </c>
      <c r="C7" s="14">
        <f>'Annual Balance Sheet'!C17</f>
        <v>39767.300000000003</v>
      </c>
      <c r="D7" s="14">
        <f>'Annual Balance Sheet'!C32</f>
        <v>39767.300000000003</v>
      </c>
      <c r="E7" s="14">
        <f>'Annual Balance Sheet'!C33</f>
        <v>0</v>
      </c>
      <c r="F7" s="1">
        <v>0.5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3322</v>
      </c>
      <c r="B8" s="14" t="str">
        <f ca="1">IF(ABS('Annual Cash Flow'!C37)&lt;=0.5,"OK","FAIL")</f>
        <v>OK</v>
      </c>
      <c r="C8" s="14">
        <f ca="1">'Annual Cash Flow'!C35</f>
        <v>729.3</v>
      </c>
      <c r="D8" s="14">
        <f>'Annual Cash Flow'!C36</f>
        <v>729.3</v>
      </c>
      <c r="E8" s="14">
        <f ca="1">'Annual Cash Flow'!C37</f>
        <v>0</v>
      </c>
      <c r="F8" s="1">
        <v>0.5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3323</v>
      </c>
      <c r="B9" s="14" t="str">
        <f>IF(ABS('Annual Balance Sheet'!D33)&lt;=0.5,"OK","FAIL")</f>
        <v>OK</v>
      </c>
      <c r="C9" s="14">
        <f>'Annual Balance Sheet'!D17</f>
        <v>46432.3</v>
      </c>
      <c r="D9" s="14">
        <f>'Annual Balance Sheet'!D32</f>
        <v>46432.3</v>
      </c>
      <c r="E9" s="14">
        <f>'Annual Balance Sheet'!D33</f>
        <v>0</v>
      </c>
      <c r="F9" s="1">
        <v>0.5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3324</v>
      </c>
      <c r="B10" s="14" t="str">
        <f>IF(ABS('Annual Cash Flow'!D37)&lt;=0.5,"OK","FAIL")</f>
        <v>OK</v>
      </c>
      <c r="C10" s="14">
        <f>'Annual Cash Flow'!D35</f>
        <v>1316.5</v>
      </c>
      <c r="D10" s="14">
        <f>'Annual Cash Flow'!D36</f>
        <v>1316.5</v>
      </c>
      <c r="E10" s="14">
        <f>'Annual Cash Flow'!D37</f>
        <v>0</v>
      </c>
      <c r="F10" s="1">
        <v>0.5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3325</v>
      </c>
      <c r="B11" s="14" t="str">
        <f>IF(ABS('Annual Balance Sheet'!E33)&lt;=0.5,"OK","FAIL")</f>
        <v>OK</v>
      </c>
      <c r="C11" s="14">
        <f>'Annual Balance Sheet'!E17</f>
        <v>48435.1</v>
      </c>
      <c r="D11" s="14">
        <f>'Annual Balance Sheet'!E32</f>
        <v>48435.100000000006</v>
      </c>
      <c r="E11" s="14">
        <f>'Annual Balance Sheet'!E33</f>
        <v>0</v>
      </c>
      <c r="F11" s="1">
        <v>0.5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3326</v>
      </c>
      <c r="B12" s="14" t="str">
        <f>IF(ABS('Annual Cash Flow'!E37)&lt;=0.5,"OK","FAIL")</f>
        <v>OK</v>
      </c>
      <c r="C12" s="14">
        <f>'Annual Cash Flow'!E35</f>
        <v>1693.9</v>
      </c>
      <c r="D12" s="14">
        <f>'Annual Cash Flow'!E36</f>
        <v>1693.9</v>
      </c>
      <c r="E12" s="14">
        <f>'Annual Cash Flow'!E37</f>
        <v>0</v>
      </c>
      <c r="F12" s="1">
        <v>0.5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3327</v>
      </c>
      <c r="B13" s="14" t="str">
        <f>IF(ABS('Annual Balance Sheet'!F33)&lt;=0.5,"OK","FAIL")</f>
        <v>OK</v>
      </c>
      <c r="C13" s="14">
        <f>'Annual Balance Sheet'!F17</f>
        <v>58897</v>
      </c>
      <c r="D13" s="14">
        <f>'Annual Balance Sheet'!F32</f>
        <v>58897</v>
      </c>
      <c r="E13" s="14">
        <f>'Annual Balance Sheet'!F33</f>
        <v>0</v>
      </c>
      <c r="F13" s="1">
        <v>0.5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3328</v>
      </c>
      <c r="B14" s="14" t="str">
        <f>IF(ABS('Annual Cash Flow'!F37)&lt;=0.5,"OK","FAIL")</f>
        <v>OK</v>
      </c>
      <c r="C14" s="14">
        <f>'Annual Cash Flow'!F35</f>
        <v>5929</v>
      </c>
      <c r="D14" s="14">
        <f>'Annual Cash Flow'!F36</f>
        <v>5929</v>
      </c>
      <c r="E14" s="14">
        <f>'Annual Cash Flow'!F37</f>
        <v>0</v>
      </c>
      <c r="F14" s="1">
        <v>0.5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3329</v>
      </c>
      <c r="B15" s="14" t="str">
        <f>IF(ABS('Annual Balance Sheet'!G33)&lt;=0.5,"OK","FAIL")</f>
        <v>OK</v>
      </c>
      <c r="C15" s="14">
        <f>'Annual Balance Sheet'!G17</f>
        <v>83216</v>
      </c>
      <c r="D15" s="14">
        <f>'Annual Balance Sheet'!G32</f>
        <v>83216</v>
      </c>
      <c r="E15" s="14">
        <f>'Annual Balance Sheet'!G33</f>
        <v>0</v>
      </c>
      <c r="F15" s="1">
        <v>0.5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3330</v>
      </c>
      <c r="B16" s="14" t="str">
        <f>IF(ABS('Annual Cash Flow'!G37)&lt;=0.5,"OK","FAIL")</f>
        <v>OK</v>
      </c>
      <c r="C16" s="14">
        <f>'Annual Cash Flow'!G35</f>
        <v>4843</v>
      </c>
      <c r="D16" s="14">
        <f>'Annual Cash Flow'!G36</f>
        <v>4843</v>
      </c>
      <c r="E16" s="14">
        <f>'Annual Cash Flow'!G37</f>
        <v>0</v>
      </c>
      <c r="F16" s="1">
        <v>0.5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3331</v>
      </c>
      <c r="B17" s="14" t="str">
        <f>IF(ABS('Annual Balance Sheet'!H33)&lt;=0.5,"OK","FAIL")</f>
        <v>OK</v>
      </c>
      <c r="C17" s="14">
        <f>'Annual Balance Sheet'!H17</f>
        <v>87702</v>
      </c>
      <c r="D17" s="14">
        <f>'Annual Balance Sheet'!H32</f>
        <v>87702</v>
      </c>
      <c r="E17" s="14">
        <f>'Annual Balance Sheet'!H33</f>
        <v>0</v>
      </c>
      <c r="F17" s="1">
        <v>0.5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3332</v>
      </c>
      <c r="B18" s="14" t="str">
        <f>IF(ABS('Annual Cash Flow'!H37)&lt;=0.5,"OK","FAIL")</f>
        <v>OK</v>
      </c>
      <c r="C18" s="14">
        <f>'Annual Cash Flow'!H35</f>
        <v>6515</v>
      </c>
      <c r="D18" s="14">
        <f>'Annual Cash Flow'!H36</f>
        <v>6515</v>
      </c>
      <c r="E18" s="14">
        <f>'Annual Cash Flow'!H37</f>
        <v>0</v>
      </c>
      <c r="F18" s="1">
        <v>0.5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3333</v>
      </c>
      <c r="B19" s="14" t="str">
        <f>IF(ABS('Annual Balance Sheet'!I33)&lt;=0.5,"OK","FAIL")</f>
        <v>OK</v>
      </c>
      <c r="C19" s="14">
        <f>'Annual Balance Sheet'!I17</f>
        <v>89033</v>
      </c>
      <c r="D19" s="14">
        <f>'Annual Balance Sheet'!I32</f>
        <v>89033</v>
      </c>
      <c r="E19" s="14">
        <f>'Annual Balance Sheet'!I33</f>
        <v>0</v>
      </c>
      <c r="F19" s="1">
        <v>0.5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3334</v>
      </c>
      <c r="B20" s="14" t="str">
        <f>IF(ABS('Annual Cash Flow'!I37)&lt;=0.5,"OK","FAIL")</f>
        <v>OK</v>
      </c>
      <c r="C20" s="14">
        <f>'Annual Cash Flow'!I35</f>
        <v>10510</v>
      </c>
      <c r="D20" s="14">
        <f>'Annual Cash Flow'!I36</f>
        <v>10510</v>
      </c>
      <c r="E20" s="14">
        <f>'Annual Cash Flow'!I37</f>
        <v>0</v>
      </c>
      <c r="F20" s="1">
        <v>0.5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3335</v>
      </c>
      <c r="B21" s="14" t="str">
        <f>IF(ABS('Annual Balance Sheet'!J33)&lt;=0.5,"OK","FAIL")</f>
        <v>OK</v>
      </c>
      <c r="C21" s="14">
        <f>'Annual Balance Sheet'!J17</f>
        <v>93411</v>
      </c>
      <c r="D21" s="14">
        <f>'Annual Balance Sheet'!J32</f>
        <v>93411</v>
      </c>
      <c r="E21" s="14">
        <f>'Annual Balance Sheet'!J33</f>
        <v>0</v>
      </c>
      <c r="F21" s="1">
        <v>0.5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3336</v>
      </c>
      <c r="B22" s="14" t="str">
        <f>IF(ABS('Annual Cash Flow'!J37)&lt;=0.5,"OK","FAIL")</f>
        <v>OK</v>
      </c>
      <c r="C22" s="14">
        <f>'Annual Cash Flow'!J35</f>
        <v>9065</v>
      </c>
      <c r="D22" s="14">
        <f>'Annual Cash Flow'!J36</f>
        <v>9065</v>
      </c>
      <c r="E22" s="14">
        <f>'Annual Cash Flow'!J37</f>
        <v>0</v>
      </c>
      <c r="F22" s="1">
        <v>0.5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3337</v>
      </c>
      <c r="B23" s="14" t="str">
        <f>IF(ABS('Annual Balance Sheet'!K33)&lt;=0.5,"OK","FAIL")</f>
        <v>OK</v>
      </c>
      <c r="C23" s="14">
        <f>'Annual Balance Sheet'!K17</f>
        <v>99777</v>
      </c>
      <c r="D23" s="14">
        <f>'Annual Balance Sheet'!K32</f>
        <v>99777</v>
      </c>
      <c r="E23" s="14">
        <f>'Annual Balance Sheet'!K33</f>
        <v>0</v>
      </c>
      <c r="F23" s="1">
        <v>0.5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3338</v>
      </c>
      <c r="B24" s="14" t="str">
        <f>IF(ABS('Annual Cash Flow'!K37)&lt;=0.5,"OK","FAIL")</f>
        <v>OK</v>
      </c>
      <c r="C24" s="14">
        <f>'Annual Cash Flow'!K35</f>
        <v>9456</v>
      </c>
      <c r="D24" s="14">
        <f>'Annual Cash Flow'!K36</f>
        <v>9456</v>
      </c>
      <c r="E24" s="14">
        <f>'Annual Cash Flow'!K37</f>
        <v>0</v>
      </c>
      <c r="F24" s="1">
        <v>0.5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3339</v>
      </c>
      <c r="B25" s="14" t="str">
        <f>IF(ABS('Annual Balance Sheet'!L33)&lt;=0.5,"OK","FAIL")</f>
        <v>OK</v>
      </c>
      <c r="C25" s="14">
        <f>'Annual Balance Sheet'!L17</f>
        <v>105544</v>
      </c>
      <c r="D25" s="14">
        <f>'Annual Balance Sheet'!L32</f>
        <v>105544</v>
      </c>
      <c r="E25" s="14">
        <f>'Annual Balance Sheet'!L33</f>
        <v>0</v>
      </c>
      <c r="F25" s="1">
        <v>0.5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3340</v>
      </c>
      <c r="B26" s="14" t="str">
        <f>IF(ABS('Annual Cash Flow'!L37)&lt;=0.5,"OK","FAIL")</f>
        <v>OK</v>
      </c>
      <c r="C26" s="14">
        <f>'Annual Cash Flow'!L35</f>
        <v>8245</v>
      </c>
      <c r="D26" s="14">
        <f>'Annual Cash Flow'!L36</f>
        <v>8245</v>
      </c>
      <c r="E26" s="14">
        <f>'Annual Cash Flow'!L37</f>
        <v>0</v>
      </c>
      <c r="F26" s="1">
        <v>0.5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3341</v>
      </c>
      <c r="B27" s="14" t="str">
        <f>IF(ABS('Annual Balance Sheet'!M33)&lt;=0.5,"OK","FAIL")</f>
        <v>OK</v>
      </c>
      <c r="C27" s="14">
        <f>'Annual Balance Sheet'!M17</f>
        <v>116258</v>
      </c>
      <c r="D27" s="14">
        <f>'Annual Balance Sheet'!M32</f>
        <v>116258</v>
      </c>
      <c r="E27" s="14">
        <f>'Annual Balance Sheet'!M33</f>
        <v>0</v>
      </c>
      <c r="F27" s="1">
        <v>0.5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3342</v>
      </c>
      <c r="B28" s="14" t="str">
        <f>IF(ABS('Annual Cash Flow'!M37)&lt;=0.5,"OK","FAIL")</f>
        <v>OK</v>
      </c>
      <c r="C28" s="14">
        <f>'Annual Cash Flow'!M35</f>
        <v>8265</v>
      </c>
      <c r="D28" s="14">
        <f>'Annual Cash Flow'!M36</f>
        <v>8265</v>
      </c>
      <c r="E28" s="14">
        <f>'Annual Cash Flow'!M37</f>
        <v>0</v>
      </c>
      <c r="F28" s="1">
        <v>0.5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3343</v>
      </c>
      <c r="B29" s="14" t="str">
        <f>IF(ABS('Annual Balance Sheet'!N33)&lt;=0.5,"OK","FAIL")</f>
        <v>OK</v>
      </c>
      <c r="C29" s="14">
        <f>'Annual Balance Sheet'!N17</f>
        <v>120006.64950588295</v>
      </c>
      <c r="D29" s="14">
        <f>'Annual Balance Sheet'!N32</f>
        <v>120006.64950588295</v>
      </c>
      <c r="E29" s="14">
        <f>'Annual Balance Sheet'!N33</f>
        <v>0</v>
      </c>
      <c r="F29" s="1">
        <v>0.5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3344</v>
      </c>
      <c r="B30" s="14" t="str">
        <f>IF(ABS('Annual Cash Flow'!N37)&lt;=0.5,"OK","FAIL")</f>
        <v>OK</v>
      </c>
      <c r="C30" s="14">
        <f>'Annual Cash Flow'!N35</f>
        <v>11175.181832401769</v>
      </c>
      <c r="D30" s="14">
        <f>'Annual Cash Flow'!N36</f>
        <v>11175.181832401769</v>
      </c>
      <c r="E30" s="14">
        <f>'Annual Cash Flow'!N37</f>
        <v>0</v>
      </c>
      <c r="F30" s="1">
        <v>0.5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3345</v>
      </c>
      <c r="B31" s="14" t="str">
        <f>IF(ABS('Annual Balance Sheet'!O33)&lt;=0.5,"OK","FAIL")</f>
        <v>OK</v>
      </c>
      <c r="C31" s="14">
        <f>'Annual Balance Sheet'!O17</f>
        <v>124857.16801572508</v>
      </c>
      <c r="D31" s="14">
        <f>'Annual Balance Sheet'!O32</f>
        <v>124857.16801572512</v>
      </c>
      <c r="E31" s="14">
        <f>'Annual Balance Sheet'!O33</f>
        <v>0</v>
      </c>
      <c r="F31" s="1">
        <v>0.5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3346</v>
      </c>
      <c r="B32" s="14" t="str">
        <f>IF(ABS('Annual Cash Flow'!O37)&lt;=0.5,"OK","FAIL")</f>
        <v>OK</v>
      </c>
      <c r="C32" s="14">
        <f>'Annual Cash Flow'!O35</f>
        <v>12690.724404566598</v>
      </c>
      <c r="D32" s="14">
        <f>'Annual Cash Flow'!O36</f>
        <v>12690.724404566598</v>
      </c>
      <c r="E32" s="14">
        <f>'Annual Cash Flow'!O37</f>
        <v>0</v>
      </c>
      <c r="F32" s="1">
        <v>0.5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3347</v>
      </c>
      <c r="B33" s="14" t="str">
        <f>IF(ABS('Annual Balance Sheet'!P33)&lt;=0.5,"OK","FAIL")</f>
        <v>OK</v>
      </c>
      <c r="C33" s="14">
        <f>'Annual Balance Sheet'!P17</f>
        <v>130439.05545809215</v>
      </c>
      <c r="D33" s="14">
        <f>'Annual Balance Sheet'!P32</f>
        <v>130439.05545809216</v>
      </c>
      <c r="E33" s="14">
        <f>'Annual Balance Sheet'!P33</f>
        <v>0</v>
      </c>
      <c r="F33" s="1">
        <v>0.5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3348</v>
      </c>
      <c r="B34" s="14" t="str">
        <f>IF(ABS('Annual Cash Flow'!P37)&lt;=0.5,"OK","FAIL")</f>
        <v>OK</v>
      </c>
      <c r="C34" s="14">
        <f>'Annual Cash Flow'!P35</f>
        <v>14412.746169051828</v>
      </c>
      <c r="D34" s="14">
        <f>'Annual Cash Flow'!P36</f>
        <v>14412.746169051828</v>
      </c>
      <c r="E34" s="14">
        <f>'Annual Cash Flow'!P37</f>
        <v>0</v>
      </c>
      <c r="F34" s="1">
        <v>0.5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3349</v>
      </c>
      <c r="B35" s="14" t="str">
        <f>IF(ABS('Annual Balance Sheet'!Q33)&lt;=0.5,"OK","FAIL")</f>
        <v>OK</v>
      </c>
      <c r="C35" s="14">
        <f>'Annual Balance Sheet'!Q17</f>
        <v>136412.2428421088</v>
      </c>
      <c r="D35" s="14">
        <f>'Annual Balance Sheet'!Q32</f>
        <v>136412.24284210883</v>
      </c>
      <c r="E35" s="14">
        <f>'Annual Balance Sheet'!Q33</f>
        <v>0</v>
      </c>
      <c r="F35" s="1">
        <v>0.5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3350</v>
      </c>
      <c r="B36" s="14" t="str">
        <f>IF(ABS('Annual Cash Flow'!Q37)&lt;=0.5,"OK","FAIL")</f>
        <v>OK</v>
      </c>
      <c r="C36" s="14">
        <f>'Annual Cash Flow'!Q35</f>
        <v>16169.033020464423</v>
      </c>
      <c r="D36" s="14">
        <f>'Annual Cash Flow'!Q36</f>
        <v>16169.033020464423</v>
      </c>
      <c r="E36" s="14">
        <f>'Annual Cash Flow'!Q37</f>
        <v>0</v>
      </c>
      <c r="F36" s="1">
        <v>0.5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3351</v>
      </c>
      <c r="B37" s="14" t="str">
        <f t="shared" ref="B37:B69" si="0">IF(ABS(E37)&lt;=F37,"OK","FAIL")</f>
        <v>OK</v>
      </c>
      <c r="C37" s="14">
        <f>SUM('Quarterly P&amp;L'!C6:F6)</f>
        <v>40913</v>
      </c>
      <c r="D37" s="14">
        <f>'Annual P&amp;L'!C7</f>
        <v>40913</v>
      </c>
      <c r="E37" s="14">
        <f t="shared" ref="E37:E69" si="1">C37-D37</f>
        <v>0</v>
      </c>
      <c r="F37" s="1">
        <v>1.5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3352</v>
      </c>
      <c r="B38" s="14" t="str">
        <f t="shared" si="0"/>
        <v>OK</v>
      </c>
      <c r="C38" s="14">
        <f>SUM('Quarterly P&amp;L'!C18:F18)</f>
        <v>8226</v>
      </c>
      <c r="D38" s="14">
        <f>'Annual P&amp;L'!C20</f>
        <v>8226</v>
      </c>
      <c r="E38" s="14">
        <f t="shared" si="1"/>
        <v>0</v>
      </c>
      <c r="F38" s="1">
        <v>1.5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3353</v>
      </c>
      <c r="B39" s="14" t="str">
        <f t="shared" si="0"/>
        <v>OK</v>
      </c>
      <c r="C39" s="14">
        <f>SUM('Quarterly P&amp;L'!C25:F25)</f>
        <v>7354</v>
      </c>
      <c r="D39" s="14">
        <f>'Annual P&amp;L'!C29</f>
        <v>7354</v>
      </c>
      <c r="E39" s="14">
        <f t="shared" si="1"/>
        <v>0</v>
      </c>
      <c r="F39" s="1">
        <v>1.5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3354</v>
      </c>
      <c r="B40" s="14" t="str">
        <f t="shared" si="0"/>
        <v>OK</v>
      </c>
      <c r="C40" s="14">
        <f>SUM('Quarterly P&amp;L'!G6:J6)</f>
        <v>46722</v>
      </c>
      <c r="D40" s="14">
        <f>'Annual P&amp;L'!D7</f>
        <v>46723</v>
      </c>
      <c r="E40" s="14">
        <f t="shared" si="1"/>
        <v>-1</v>
      </c>
      <c r="F40" s="1">
        <v>1.5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3355</v>
      </c>
      <c r="B41" s="14" t="str">
        <f t="shared" si="0"/>
        <v>OK</v>
      </c>
      <c r="C41" s="14">
        <f>SUM('Quarterly P&amp;L'!G18:J18)</f>
        <v>9475</v>
      </c>
      <c r="D41" s="14">
        <f>'Annual P&amp;L'!D20</f>
        <v>9474</v>
      </c>
      <c r="E41" s="14">
        <f t="shared" si="1"/>
        <v>1</v>
      </c>
      <c r="F41" s="1">
        <v>1.5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3356</v>
      </c>
      <c r="B42" s="14" t="str">
        <f t="shared" si="0"/>
        <v>OK</v>
      </c>
      <c r="C42" s="14">
        <f>SUM('Quarterly P&amp;L'!G25:J25)</f>
        <v>8456</v>
      </c>
      <c r="D42" s="14">
        <f>'Annual P&amp;L'!D29</f>
        <v>8457</v>
      </c>
      <c r="E42" s="14">
        <f t="shared" si="1"/>
        <v>-1</v>
      </c>
      <c r="F42" s="1">
        <v>1.5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3357</v>
      </c>
      <c r="B43" s="14" t="str">
        <f t="shared" si="0"/>
        <v>OK</v>
      </c>
      <c r="C43" s="14">
        <f>SUM('Quarterly P&amp;L'!K6:N6)</f>
        <v>50570</v>
      </c>
      <c r="D43" s="14">
        <f>'Annual P&amp;L'!E7</f>
        <v>50570</v>
      </c>
      <c r="E43" s="14">
        <f t="shared" si="1"/>
        <v>0</v>
      </c>
      <c r="F43" s="1">
        <v>1.5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3358</v>
      </c>
      <c r="B44" s="14" t="str">
        <f t="shared" si="0"/>
        <v>OK</v>
      </c>
      <c r="C44" s="14">
        <f>SUM('Quarterly P&amp;L'!K18:N18)</f>
        <v>9988</v>
      </c>
      <c r="D44" s="14">
        <f>'Annual P&amp;L'!E20</f>
        <v>9987</v>
      </c>
      <c r="E44" s="14">
        <f t="shared" si="1"/>
        <v>1</v>
      </c>
      <c r="F44" s="1">
        <v>1.5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3359</v>
      </c>
      <c r="B45" s="14" t="str">
        <f t="shared" si="0"/>
        <v>OK</v>
      </c>
      <c r="C45" s="14">
        <f>SUM('Quarterly P&amp;L'!K25:N25)</f>
        <v>8780</v>
      </c>
      <c r="D45" s="14">
        <f>'Annual P&amp;L'!E29</f>
        <v>8780</v>
      </c>
      <c r="E45" s="14">
        <f t="shared" si="1"/>
        <v>0</v>
      </c>
      <c r="F45" s="1">
        <v>1.5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 t="s">
        <v>3360</v>
      </c>
      <c r="B46" s="14" t="str">
        <f t="shared" si="0"/>
        <v>OK</v>
      </c>
      <c r="C46" s="14">
        <f>SUM('Quarterly P&amp;L'!O6:R6)</f>
        <v>60428</v>
      </c>
      <c r="D46" s="14">
        <f>'Annual P&amp;L'!F7</f>
        <v>60427</v>
      </c>
      <c r="E46" s="14">
        <f t="shared" si="1"/>
        <v>1</v>
      </c>
      <c r="F46" s="1">
        <v>1.5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 t="s">
        <v>3361</v>
      </c>
      <c r="B47" s="14" t="str">
        <f t="shared" si="0"/>
        <v>OK</v>
      </c>
      <c r="C47" s="14">
        <f>SUM('Quarterly P&amp;L'!O18:R18)</f>
        <v>11820</v>
      </c>
      <c r="D47" s="14">
        <f>'Annual P&amp;L'!F20</f>
        <v>11820</v>
      </c>
      <c r="E47" s="14">
        <f t="shared" si="1"/>
        <v>0</v>
      </c>
      <c r="F47" s="1">
        <v>1.5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 t="s">
        <v>3362</v>
      </c>
      <c r="B48" s="14" t="str">
        <f t="shared" si="0"/>
        <v>OK</v>
      </c>
      <c r="C48" s="14">
        <f>SUM('Quarterly P&amp;L'!O25:R25)</f>
        <v>10122</v>
      </c>
      <c r="D48" s="14">
        <f>'Annual P&amp;L'!F29</f>
        <v>10123</v>
      </c>
      <c r="E48" s="14">
        <f t="shared" si="1"/>
        <v>-1</v>
      </c>
      <c r="F48" s="1">
        <v>1.5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 t="s">
        <v>3363</v>
      </c>
      <c r="B49" s="14" t="str">
        <f t="shared" si="0"/>
        <v>OK</v>
      </c>
      <c r="C49" s="14">
        <f>SUM('Quarterly P&amp;L'!S6:V6)</f>
        <v>70678</v>
      </c>
      <c r="D49" s="14">
        <f>'Annual P&amp;L'!G7</f>
        <v>70678</v>
      </c>
      <c r="E49" s="14">
        <f t="shared" si="1"/>
        <v>0</v>
      </c>
      <c r="F49" s="1">
        <v>1.5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 t="s">
        <v>3364</v>
      </c>
      <c r="B50" s="14" t="str">
        <f t="shared" si="0"/>
        <v>OK</v>
      </c>
      <c r="C50" s="14">
        <f>SUM('Quarterly P&amp;L'!S18:V18)</f>
        <v>13854</v>
      </c>
      <c r="D50" s="14">
        <f>'Annual P&amp;L'!G20</f>
        <v>13853</v>
      </c>
      <c r="E50" s="14">
        <f t="shared" si="1"/>
        <v>1</v>
      </c>
      <c r="F50" s="1">
        <v>1.5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 t="s">
        <v>3365</v>
      </c>
      <c r="B51" s="14" t="str">
        <f t="shared" si="0"/>
        <v>OK</v>
      </c>
      <c r="C51" s="14">
        <f>SUM('Quarterly P&amp;L'!S25:V25)</f>
        <v>11062</v>
      </c>
      <c r="D51" s="14">
        <f>'Annual P&amp;L'!G29</f>
        <v>11062</v>
      </c>
      <c r="E51" s="14">
        <f t="shared" si="1"/>
        <v>0</v>
      </c>
      <c r="F51" s="1">
        <v>1.5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 t="s">
        <v>3366</v>
      </c>
      <c r="B52" s="14" t="str">
        <f t="shared" si="0"/>
        <v>OK</v>
      </c>
      <c r="C52" s="14">
        <f>SUM('Quarterly P&amp;L'!W6:Z6)</f>
        <v>75379</v>
      </c>
      <c r="D52" s="14">
        <f>'Annual P&amp;L'!H7</f>
        <v>75379</v>
      </c>
      <c r="E52" s="14">
        <f t="shared" si="1"/>
        <v>0</v>
      </c>
      <c r="F52" s="1">
        <v>1.5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 t="s">
        <v>3367</v>
      </c>
      <c r="B53" s="14" t="str">
        <f t="shared" si="0"/>
        <v>OK</v>
      </c>
      <c r="C53" s="14">
        <f>SUM('Quarterly P&amp;L'!W18:Z18)</f>
        <v>15344</v>
      </c>
      <c r="D53" s="14">
        <f>'Annual P&amp;L'!H20</f>
        <v>15344</v>
      </c>
      <c r="E53" s="14">
        <f t="shared" si="1"/>
        <v>0</v>
      </c>
      <c r="F53" s="1">
        <v>1.5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 t="s">
        <v>3368</v>
      </c>
      <c r="B54" s="14" t="str">
        <f t="shared" si="0"/>
        <v>OK</v>
      </c>
      <c r="C54" s="14">
        <f>SUM('Quarterly P&amp;L'!W25:Z25)</f>
        <v>11145</v>
      </c>
      <c r="D54" s="14">
        <f>'Annual P&amp;L'!H29</f>
        <v>11145</v>
      </c>
      <c r="E54" s="14">
        <f t="shared" si="1"/>
        <v>0</v>
      </c>
      <c r="F54" s="1">
        <v>1.5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 t="s">
        <v>3369</v>
      </c>
      <c r="B55" s="14" t="str">
        <f t="shared" si="0"/>
        <v>OK</v>
      </c>
      <c r="C55" s="14">
        <f>SUM('Quarterly P&amp;L'!AA6:AD6)</f>
        <v>85651</v>
      </c>
      <c r="D55" s="14">
        <f>'Annual P&amp;L'!I7</f>
        <v>85651</v>
      </c>
      <c r="E55" s="14">
        <f t="shared" si="1"/>
        <v>0</v>
      </c>
      <c r="F55" s="1">
        <v>1.5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 t="s">
        <v>3370</v>
      </c>
      <c r="B56" s="14" t="str">
        <f t="shared" si="0"/>
        <v>OK</v>
      </c>
      <c r="C56" s="14">
        <f>SUM('Quarterly P&amp;L'!AA18:AD18)</f>
        <v>16173</v>
      </c>
      <c r="D56" s="14">
        <f>'Annual P&amp;L'!I20</f>
        <v>16204</v>
      </c>
      <c r="E56" s="14">
        <f t="shared" si="1"/>
        <v>-31</v>
      </c>
      <c r="F56" s="1">
        <v>50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 t="s">
        <v>3371</v>
      </c>
      <c r="B57" s="14" t="str">
        <f t="shared" si="0"/>
        <v>OK</v>
      </c>
      <c r="C57" s="14">
        <f>SUM('Quarterly P&amp;L'!AA25:AD25)</f>
        <v>13514</v>
      </c>
      <c r="D57" s="14">
        <f>'Annual P&amp;L'!I29</f>
        <v>13499</v>
      </c>
      <c r="E57" s="14">
        <f t="shared" si="1"/>
        <v>15</v>
      </c>
      <c r="F57" s="1">
        <v>50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 t="s">
        <v>3372</v>
      </c>
      <c r="B58" s="14" t="str">
        <f t="shared" si="0"/>
        <v>OK</v>
      </c>
      <c r="C58" s="14">
        <f>SUM('Quarterly P&amp;L'!AE6:AH6)</f>
        <v>101456</v>
      </c>
      <c r="D58" s="14">
        <f>'Annual P&amp;L'!J7</f>
        <v>101456</v>
      </c>
      <c r="E58" s="14">
        <f t="shared" si="1"/>
        <v>0</v>
      </c>
      <c r="F58" s="1">
        <v>1.5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 t="s">
        <v>3373</v>
      </c>
      <c r="B59" s="14" t="str">
        <f t="shared" si="0"/>
        <v>OK</v>
      </c>
      <c r="C59" s="14">
        <f>SUM('Quarterly P&amp;L'!AE18:AH18)</f>
        <v>18509</v>
      </c>
      <c r="D59" s="14">
        <f>'Annual P&amp;L'!J20</f>
        <v>18483</v>
      </c>
      <c r="E59" s="14">
        <f t="shared" si="1"/>
        <v>26</v>
      </c>
      <c r="F59" s="1">
        <v>50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 t="s">
        <v>3374</v>
      </c>
      <c r="B60" s="14" t="str">
        <f t="shared" si="0"/>
        <v>OK</v>
      </c>
      <c r="C60" s="14">
        <f>SUM('Quarterly P&amp;L'!AE25:AH25)</f>
        <v>14851</v>
      </c>
      <c r="D60" s="14">
        <f>'Annual P&amp;L'!J29</f>
        <v>14851</v>
      </c>
      <c r="E60" s="14">
        <f t="shared" si="1"/>
        <v>0</v>
      </c>
      <c r="F60" s="1">
        <v>1.5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 t="s">
        <v>3375</v>
      </c>
      <c r="B61" s="14" t="str">
        <f t="shared" si="0"/>
        <v>OK</v>
      </c>
      <c r="C61" s="14">
        <f>SUM('Quarterly P&amp;L'!AI6:AL6)</f>
        <v>109913</v>
      </c>
      <c r="D61" s="14">
        <f>'Annual P&amp;L'!K7</f>
        <v>109913</v>
      </c>
      <c r="E61" s="14">
        <f t="shared" si="1"/>
        <v>0</v>
      </c>
      <c r="F61" s="1">
        <v>1.5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 t="s">
        <v>3376</v>
      </c>
      <c r="B62" s="14" t="str">
        <f t="shared" si="0"/>
        <v>OK</v>
      </c>
      <c r="C62" s="14">
        <f>SUM('Quarterly P&amp;L'!AI18:AL18)</f>
        <v>20027</v>
      </c>
      <c r="D62" s="14">
        <f>'Annual P&amp;L'!K20</f>
        <v>20027</v>
      </c>
      <c r="E62" s="14">
        <f t="shared" si="1"/>
        <v>0</v>
      </c>
      <c r="F62" s="1">
        <v>1.5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 t="s">
        <v>3377</v>
      </c>
      <c r="B63" s="14" t="str">
        <f t="shared" si="0"/>
        <v>OK</v>
      </c>
      <c r="C63" s="14">
        <f>SUM('Quarterly P&amp;L'!AI25:AL25)</f>
        <v>15702</v>
      </c>
      <c r="D63" s="14">
        <f>'Annual P&amp;L'!K29</f>
        <v>15702</v>
      </c>
      <c r="E63" s="14">
        <f t="shared" si="1"/>
        <v>0</v>
      </c>
      <c r="F63" s="1">
        <v>1.5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 t="s">
        <v>3378</v>
      </c>
      <c r="B64" s="14" t="str">
        <f t="shared" si="0"/>
        <v>OK</v>
      </c>
      <c r="C64" s="14">
        <f>SUM('Quarterly P&amp;L'!AM6:AP6)</f>
        <v>117055</v>
      </c>
      <c r="D64" s="14">
        <f>'Annual P&amp;L'!L7</f>
        <v>117055</v>
      </c>
      <c r="E64" s="14">
        <f t="shared" si="1"/>
        <v>0</v>
      </c>
      <c r="F64" s="1">
        <v>1.5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 t="s">
        <v>3379</v>
      </c>
      <c r="B65" s="14" t="str">
        <f t="shared" si="0"/>
        <v>OK</v>
      </c>
      <c r="C65" s="14">
        <f>SUM('Quarterly P&amp;L'!AM18:AP18)</f>
        <v>21420</v>
      </c>
      <c r="D65" s="14">
        <f>'Annual P&amp;L'!L20</f>
        <v>21420</v>
      </c>
      <c r="E65" s="14">
        <f t="shared" si="1"/>
        <v>0</v>
      </c>
      <c r="F65" s="1">
        <v>1.5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 t="s">
        <v>3380</v>
      </c>
      <c r="B66" s="14" t="str">
        <f t="shared" si="0"/>
        <v>OK</v>
      </c>
      <c r="C66" s="14">
        <f>SUM('Quarterly P&amp;L'!AM25:AP25)</f>
        <v>17390</v>
      </c>
      <c r="D66" s="14">
        <f>'Annual P&amp;L'!L29</f>
        <v>17390</v>
      </c>
      <c r="E66" s="14">
        <f t="shared" si="1"/>
        <v>0</v>
      </c>
      <c r="F66" s="1">
        <v>1.5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 t="s">
        <v>3381</v>
      </c>
      <c r="B67" s="14" t="str">
        <f t="shared" si="0"/>
        <v>OK</v>
      </c>
      <c r="C67" s="14">
        <f>SUM('Quarterly P&amp;L'!AQ6:AT6)</f>
        <v>130144</v>
      </c>
      <c r="D67" s="14">
        <f>'Annual P&amp;L'!M7</f>
        <v>130144</v>
      </c>
      <c r="E67" s="14">
        <f t="shared" si="1"/>
        <v>0</v>
      </c>
      <c r="F67" s="1">
        <v>1.5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 t="s">
        <v>3382</v>
      </c>
      <c r="B68" s="14" t="str">
        <f t="shared" si="0"/>
        <v>OK</v>
      </c>
      <c r="C68" s="14">
        <f>SUM('Quarterly P&amp;L'!AQ18:AT18)</f>
        <v>22397</v>
      </c>
      <c r="D68" s="14">
        <f>'Annual P&amp;L'!M20</f>
        <v>22397</v>
      </c>
      <c r="E68" s="14">
        <f t="shared" si="1"/>
        <v>0</v>
      </c>
      <c r="F68" s="1">
        <v>1.5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 t="s">
        <v>3383</v>
      </c>
      <c r="B69" s="14" t="str">
        <f t="shared" si="0"/>
        <v>OK</v>
      </c>
      <c r="C69" s="14">
        <f>SUM('Quarterly P&amp;L'!AQ25:AT25)</f>
        <v>17361</v>
      </c>
      <c r="D69" s="14">
        <f>'Annual P&amp;L'!M29</f>
        <v>17361</v>
      </c>
      <c r="E69" s="14">
        <f t="shared" si="1"/>
        <v>0</v>
      </c>
      <c r="F69" s="1">
        <v>1.5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 t="s">
        <v>3384</v>
      </c>
      <c r="B70" s="14" t="str">
        <f>IF(ABS('Revenue Drivers'!N28)&lt;=0.5,"OK","FAIL")</f>
        <v>OK</v>
      </c>
      <c r="C70" s="14">
        <f>'Revenue Drivers'!N26</f>
        <v>138192.40421510153</v>
      </c>
      <c r="D70" s="14">
        <f>'Annual P&amp;L'!N7</f>
        <v>138192.40421510153</v>
      </c>
      <c r="E70" s="14">
        <f>'Revenue Drivers'!N28</f>
        <v>0</v>
      </c>
      <c r="F70" s="1">
        <v>0.5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 t="s">
        <v>3385</v>
      </c>
      <c r="B71" s="14" t="str">
        <f>IF(ABS('Segment Revenue'!N17)&lt;=0.5,"OK","FAIL")</f>
        <v>OK</v>
      </c>
      <c r="C71" s="14">
        <f>'Segment Revenue'!N15</f>
        <v>138192.40421510153</v>
      </c>
      <c r="D71" s="14">
        <f>'Segment Revenue'!N16</f>
        <v>138192.40421510153</v>
      </c>
      <c r="E71" s="14">
        <f>'Segment Revenue'!N17</f>
        <v>0</v>
      </c>
      <c r="F71" s="1">
        <v>0.5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 t="s">
        <v>3386</v>
      </c>
      <c r="B72" s="14" t="str">
        <f>IF(ABS('Revenue Drivers'!O28)&lt;=0.5,"OK","FAIL")</f>
        <v>OK</v>
      </c>
      <c r="C72" s="14">
        <f>'Revenue Drivers'!O26</f>
        <v>149041.66425269016</v>
      </c>
      <c r="D72" s="14">
        <f>'Annual P&amp;L'!O7</f>
        <v>149041.66425269016</v>
      </c>
      <c r="E72" s="14">
        <f>'Revenue Drivers'!O28</f>
        <v>0</v>
      </c>
      <c r="F72" s="1">
        <v>0.5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 t="s">
        <v>3387</v>
      </c>
      <c r="B73" s="14" t="str">
        <f>IF(ABS('Segment Revenue'!O17)&lt;=0.5,"OK","FAIL")</f>
        <v>OK</v>
      </c>
      <c r="C73" s="14">
        <f>'Segment Revenue'!O15</f>
        <v>149041.66425269016</v>
      </c>
      <c r="D73" s="14">
        <f>'Segment Revenue'!O16</f>
        <v>149041.66425269016</v>
      </c>
      <c r="E73" s="14">
        <f>'Segment Revenue'!O17</f>
        <v>0</v>
      </c>
      <c r="F73" s="1">
        <v>0.5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 t="s">
        <v>3388</v>
      </c>
      <c r="B74" s="14" t="str">
        <f>IF(ABS('Revenue Drivers'!P28)&lt;=0.5,"OK","FAIL")</f>
        <v>OK</v>
      </c>
      <c r="C74" s="14">
        <f>'Revenue Drivers'!P26</f>
        <v>162065.57235964728</v>
      </c>
      <c r="D74" s="14">
        <f>'Annual P&amp;L'!P7</f>
        <v>162065.57235964728</v>
      </c>
      <c r="E74" s="14">
        <f>'Revenue Drivers'!P28</f>
        <v>0</v>
      </c>
      <c r="F74" s="1">
        <v>0.5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 t="s">
        <v>3389</v>
      </c>
      <c r="B75" s="14" t="str">
        <f>IF(ABS('Segment Revenue'!P17)&lt;=0.5,"OK","FAIL")</f>
        <v>OK</v>
      </c>
      <c r="C75" s="14">
        <f>'Segment Revenue'!P15</f>
        <v>162065.57235964728</v>
      </c>
      <c r="D75" s="14">
        <f>'Segment Revenue'!P16</f>
        <v>162065.57235964728</v>
      </c>
      <c r="E75" s="14">
        <f>'Segment Revenue'!P17</f>
        <v>0</v>
      </c>
      <c r="F75" s="1">
        <v>0.5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 t="s">
        <v>3390</v>
      </c>
      <c r="B76" s="14" t="str">
        <f>IF(ABS('Revenue Drivers'!Q28)&lt;=0.5,"OK","FAIL")</f>
        <v>OK</v>
      </c>
      <c r="C76" s="14">
        <f>'Revenue Drivers'!Q26</f>
        <v>175279.01959009824</v>
      </c>
      <c r="D76" s="14">
        <f>'Annual P&amp;L'!Q7</f>
        <v>175279.01959009824</v>
      </c>
      <c r="E76" s="14">
        <f>'Revenue Drivers'!Q28</f>
        <v>0</v>
      </c>
      <c r="F76" s="1">
        <v>0.5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 t="s">
        <v>3391</v>
      </c>
      <c r="B77" s="14" t="str">
        <f>IF(ABS('Segment Revenue'!Q17)&lt;=0.5,"OK","FAIL")</f>
        <v>OK</v>
      </c>
      <c r="C77" s="14">
        <f>'Segment Revenue'!Q15</f>
        <v>175279.01959009824</v>
      </c>
      <c r="D77" s="14">
        <f>'Segment Revenue'!Q16</f>
        <v>175279.01959009824</v>
      </c>
      <c r="E77" s="14">
        <f>'Segment Revenue'!Q17</f>
        <v>0</v>
      </c>
      <c r="F77" s="1">
        <v>0.5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 t="s">
        <v>3392</v>
      </c>
      <c r="B78" s="14" t="str">
        <f t="shared" ref="B78:B109" si="2">IF(ABS(E78)&lt;=F78,"OK","FAIL")</f>
        <v>OK</v>
      </c>
      <c r="C78" s="14">
        <f>MAX(0,'Revenue Drivers'!C9-'Revenue Drivers'!C6)</f>
        <v>0</v>
      </c>
      <c r="D78" s="14">
        <f>0</f>
        <v>0</v>
      </c>
      <c r="E78" s="14">
        <f t="shared" ref="E78:E109" si="3">C78-D78</f>
        <v>0</v>
      </c>
      <c r="F78" s="1">
        <v>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 t="s">
        <v>3393</v>
      </c>
      <c r="B79" s="14" t="str">
        <f t="shared" si="2"/>
        <v>OK</v>
      </c>
      <c r="C79" s="14">
        <f>MAX(0,'Revenue Drivers'!C11-'Revenue Drivers'!C9)</f>
        <v>0</v>
      </c>
      <c r="D79" s="14">
        <f>0</f>
        <v>0</v>
      </c>
      <c r="E79" s="14">
        <f t="shared" si="3"/>
        <v>0</v>
      </c>
      <c r="F79" s="1">
        <v>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 t="s">
        <v>3394</v>
      </c>
      <c r="B80" s="14" t="str">
        <f t="shared" si="2"/>
        <v>OK</v>
      </c>
      <c r="C80" s="14">
        <f>'Geography &amp; Verticals'!D11</f>
        <v>1</v>
      </c>
      <c r="D80" s="14">
        <f>1</f>
        <v>1</v>
      </c>
      <c r="E80" s="14">
        <f t="shared" si="3"/>
        <v>0</v>
      </c>
      <c r="F80" s="1">
        <v>2E-3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 t="s">
        <v>3395</v>
      </c>
      <c r="B81" s="14" t="str">
        <f t="shared" si="2"/>
        <v>OK</v>
      </c>
      <c r="C81" s="14">
        <f>'Geography &amp; Verticals'!D37</f>
        <v>1</v>
      </c>
      <c r="D81" s="14">
        <f>1</f>
        <v>1</v>
      </c>
      <c r="E81" s="14">
        <f t="shared" si="3"/>
        <v>0</v>
      </c>
      <c r="F81" s="1">
        <v>2E-3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 t="s">
        <v>3396</v>
      </c>
      <c r="B82" s="14" t="str">
        <f t="shared" si="2"/>
        <v>OK</v>
      </c>
      <c r="C82" s="14">
        <f>'Revenue Drivers'!D15+'Revenue Drivers'!D35</f>
        <v>1</v>
      </c>
      <c r="D82" s="14">
        <f>1</f>
        <v>1</v>
      </c>
      <c r="E82" s="14">
        <f t="shared" si="3"/>
        <v>0</v>
      </c>
      <c r="F82" s="1">
        <v>2E-3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 t="s">
        <v>3397</v>
      </c>
      <c r="B83" s="14" t="str">
        <f t="shared" si="2"/>
        <v>OK</v>
      </c>
      <c r="C83" s="14">
        <f>MAX(0,'Revenue Drivers'!D9-'Revenue Drivers'!D6)</f>
        <v>0</v>
      </c>
      <c r="D83" s="14">
        <f>0</f>
        <v>0</v>
      </c>
      <c r="E83" s="14">
        <f t="shared" si="3"/>
        <v>0</v>
      </c>
      <c r="F83" s="1">
        <v>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 t="s">
        <v>3398</v>
      </c>
      <c r="B84" s="14" t="str">
        <f t="shared" si="2"/>
        <v>OK</v>
      </c>
      <c r="C84" s="14">
        <f>MAX(0,'Revenue Drivers'!D11-'Revenue Drivers'!D9)</f>
        <v>0</v>
      </c>
      <c r="D84" s="14">
        <f>0</f>
        <v>0</v>
      </c>
      <c r="E84" s="14">
        <f t="shared" si="3"/>
        <v>0</v>
      </c>
      <c r="F84" s="1">
        <v>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 t="s">
        <v>3399</v>
      </c>
      <c r="B85" s="14" t="str">
        <f t="shared" si="2"/>
        <v>OK</v>
      </c>
      <c r="C85" s="14">
        <f>'Geography &amp; Verticals'!E11</f>
        <v>0.999</v>
      </c>
      <c r="D85" s="14">
        <f>1</f>
        <v>1</v>
      </c>
      <c r="E85" s="14">
        <f t="shared" si="3"/>
        <v>-1.0000000000000009E-3</v>
      </c>
      <c r="F85" s="1">
        <v>2E-3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 t="s">
        <v>3400</v>
      </c>
      <c r="B86" s="14" t="str">
        <f t="shared" si="2"/>
        <v>OK</v>
      </c>
      <c r="C86" s="14">
        <f>'Geography &amp; Verticals'!E37</f>
        <v>0.99999999999999989</v>
      </c>
      <c r="D86" s="14">
        <f>1</f>
        <v>1</v>
      </c>
      <c r="E86" s="14">
        <f t="shared" si="3"/>
        <v>0</v>
      </c>
      <c r="F86" s="1">
        <v>2E-3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 t="s">
        <v>3401</v>
      </c>
      <c r="B87" s="14" t="str">
        <f t="shared" si="2"/>
        <v>OK</v>
      </c>
      <c r="C87" s="14">
        <f>'Revenue Drivers'!E15+'Revenue Drivers'!E35</f>
        <v>1</v>
      </c>
      <c r="D87" s="14">
        <f>1</f>
        <v>1</v>
      </c>
      <c r="E87" s="14">
        <f t="shared" si="3"/>
        <v>0</v>
      </c>
      <c r="F87" s="1">
        <v>2E-3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 t="s">
        <v>3402</v>
      </c>
      <c r="B88" s="14" t="str">
        <f t="shared" si="2"/>
        <v>OK</v>
      </c>
      <c r="C88" s="14">
        <f>MAX(0,'Revenue Drivers'!E9-'Revenue Drivers'!E6)</f>
        <v>0</v>
      </c>
      <c r="D88" s="14">
        <f>0</f>
        <v>0</v>
      </c>
      <c r="E88" s="14">
        <f t="shared" si="3"/>
        <v>0</v>
      </c>
      <c r="F88" s="1">
        <v>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 t="s">
        <v>3403</v>
      </c>
      <c r="B89" s="14" t="str">
        <f t="shared" si="2"/>
        <v>OK</v>
      </c>
      <c r="C89" s="14">
        <f>MAX(0,'Revenue Drivers'!E11-'Revenue Drivers'!E9)</f>
        <v>0</v>
      </c>
      <c r="D89" s="14">
        <f>0</f>
        <v>0</v>
      </c>
      <c r="E89" s="14">
        <f t="shared" si="3"/>
        <v>0</v>
      </c>
      <c r="F89" s="1">
        <v>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 t="s">
        <v>3404</v>
      </c>
      <c r="B90" s="14" t="str">
        <f t="shared" si="2"/>
        <v>OK</v>
      </c>
      <c r="C90" s="14">
        <f>SUM('Segment Revenue'!F7,'Segment Revenue'!F9,'Segment Revenue'!F11,'Segment Revenue'!F13)</f>
        <v>1</v>
      </c>
      <c r="D90" s="14">
        <f>1</f>
        <v>1</v>
      </c>
      <c r="E90" s="14">
        <f t="shared" si="3"/>
        <v>0</v>
      </c>
      <c r="F90" s="1">
        <v>2E-3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 t="s">
        <v>3405</v>
      </c>
      <c r="B91" s="14" t="str">
        <f t="shared" si="2"/>
        <v>OK</v>
      </c>
      <c r="C91" s="14">
        <f>'Geography &amp; Verticals'!F11</f>
        <v>0.99999999999999989</v>
      </c>
      <c r="D91" s="14">
        <f>1</f>
        <v>1</v>
      </c>
      <c r="E91" s="14">
        <f t="shared" si="3"/>
        <v>0</v>
      </c>
      <c r="F91" s="1">
        <v>2E-3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 t="s">
        <v>3406</v>
      </c>
      <c r="B92" s="14" t="str">
        <f t="shared" si="2"/>
        <v>OK</v>
      </c>
      <c r="C92" s="14">
        <f>'Geography &amp; Verticals'!F22</f>
        <v>1</v>
      </c>
      <c r="D92" s="14">
        <f>1</f>
        <v>1</v>
      </c>
      <c r="E92" s="14">
        <f t="shared" si="3"/>
        <v>0</v>
      </c>
      <c r="F92" s="1">
        <v>2E-3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 t="s">
        <v>3407</v>
      </c>
      <c r="B93" s="14" t="str">
        <f t="shared" si="2"/>
        <v>OK</v>
      </c>
      <c r="C93" s="14">
        <f>'Geography &amp; Verticals'!F37</f>
        <v>1.0009999999999999</v>
      </c>
      <c r="D93" s="14">
        <f>1</f>
        <v>1</v>
      </c>
      <c r="E93" s="14">
        <f t="shared" si="3"/>
        <v>9.9999999999988987E-4</v>
      </c>
      <c r="F93" s="1">
        <v>2E-3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 t="s">
        <v>3408</v>
      </c>
      <c r="B94" s="14" t="str">
        <f t="shared" si="2"/>
        <v>OK</v>
      </c>
      <c r="C94" s="14">
        <f>'Revenue Drivers'!F15+'Revenue Drivers'!F35</f>
        <v>1</v>
      </c>
      <c r="D94" s="14">
        <f>1</f>
        <v>1</v>
      </c>
      <c r="E94" s="14">
        <f t="shared" si="3"/>
        <v>0</v>
      </c>
      <c r="F94" s="1">
        <v>2E-3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 t="s">
        <v>3409</v>
      </c>
      <c r="B95" s="14" t="str">
        <f t="shared" si="2"/>
        <v>OK</v>
      </c>
      <c r="C95" s="14">
        <f>MAX(0,'Revenue Drivers'!F9-'Revenue Drivers'!F6)</f>
        <v>0</v>
      </c>
      <c r="D95" s="14">
        <f>0</f>
        <v>0</v>
      </c>
      <c r="E95" s="14">
        <f t="shared" si="3"/>
        <v>0</v>
      </c>
      <c r="F95" s="1">
        <v>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 t="s">
        <v>3410</v>
      </c>
      <c r="B96" s="14" t="str">
        <f t="shared" si="2"/>
        <v>OK</v>
      </c>
      <c r="C96" s="14">
        <f>MAX(0,'Revenue Drivers'!F11-'Revenue Drivers'!F9)</f>
        <v>0</v>
      </c>
      <c r="D96" s="14">
        <f>0</f>
        <v>0</v>
      </c>
      <c r="E96" s="14">
        <f t="shared" si="3"/>
        <v>0</v>
      </c>
      <c r="F96" s="1">
        <v>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 t="s">
        <v>3411</v>
      </c>
      <c r="B97" s="14" t="str">
        <f t="shared" si="2"/>
        <v>OK</v>
      </c>
      <c r="C97" s="14">
        <f>SUM('Segment Revenue'!G7,'Segment Revenue'!G9,'Segment Revenue'!G11,'Segment Revenue'!G13)</f>
        <v>1</v>
      </c>
      <c r="D97" s="14">
        <f>1</f>
        <v>1</v>
      </c>
      <c r="E97" s="14">
        <f t="shared" si="3"/>
        <v>0</v>
      </c>
      <c r="F97" s="1">
        <v>2E-3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 t="s">
        <v>3412</v>
      </c>
      <c r="B98" s="14" t="str">
        <f t="shared" si="2"/>
        <v>OK</v>
      </c>
      <c r="C98" s="14">
        <f>'Geography &amp; Verticals'!G22</f>
        <v>1</v>
      </c>
      <c r="D98" s="14">
        <f>1</f>
        <v>1</v>
      </c>
      <c r="E98" s="14">
        <f t="shared" si="3"/>
        <v>0</v>
      </c>
      <c r="F98" s="1">
        <v>2E-3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 t="s">
        <v>3413</v>
      </c>
      <c r="B99" s="14" t="str">
        <f t="shared" si="2"/>
        <v>OK</v>
      </c>
      <c r="C99" s="14">
        <f>MAX(0,'Revenue Drivers'!G9-'Revenue Drivers'!G6)</f>
        <v>0</v>
      </c>
      <c r="D99" s="14">
        <f>0</f>
        <v>0</v>
      </c>
      <c r="E99" s="14">
        <f t="shared" si="3"/>
        <v>0</v>
      </c>
      <c r="F99" s="1">
        <v>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 t="s">
        <v>3414</v>
      </c>
      <c r="B100" s="14" t="str">
        <f t="shared" si="2"/>
        <v>OK</v>
      </c>
      <c r="C100" s="14">
        <f>SUM('Segment Revenue'!H7,'Segment Revenue'!H9,'Segment Revenue'!H11,'Segment Revenue'!H13)</f>
        <v>1</v>
      </c>
      <c r="D100" s="14">
        <f>1</f>
        <v>1</v>
      </c>
      <c r="E100" s="14">
        <f t="shared" si="3"/>
        <v>0</v>
      </c>
      <c r="F100" s="1">
        <v>2E-3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 t="s">
        <v>3415</v>
      </c>
      <c r="B101" s="14" t="str">
        <f t="shared" si="2"/>
        <v>OK</v>
      </c>
      <c r="C101" s="14">
        <f>'Geography &amp; Verticals'!H11</f>
        <v>0.99999999999999989</v>
      </c>
      <c r="D101" s="14">
        <f>1</f>
        <v>1</v>
      </c>
      <c r="E101" s="14">
        <f t="shared" si="3"/>
        <v>0</v>
      </c>
      <c r="F101" s="1">
        <v>2E-3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 t="s">
        <v>3416</v>
      </c>
      <c r="B102" s="14" t="str">
        <f t="shared" si="2"/>
        <v>OK</v>
      </c>
      <c r="C102" s="14">
        <f>'Geography &amp; Verticals'!H37</f>
        <v>1</v>
      </c>
      <c r="D102" s="14">
        <f>1</f>
        <v>1</v>
      </c>
      <c r="E102" s="14">
        <f t="shared" si="3"/>
        <v>0</v>
      </c>
      <c r="F102" s="1">
        <v>2E-3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 t="s">
        <v>3417</v>
      </c>
      <c r="B103" s="14" t="str">
        <f t="shared" si="2"/>
        <v>OK</v>
      </c>
      <c r="C103" s="14">
        <f>'Revenue Drivers'!H15+'Revenue Drivers'!H35</f>
        <v>1</v>
      </c>
      <c r="D103" s="14">
        <f>1</f>
        <v>1</v>
      </c>
      <c r="E103" s="14">
        <f t="shared" si="3"/>
        <v>0</v>
      </c>
      <c r="F103" s="1">
        <v>2E-3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 t="s">
        <v>3418</v>
      </c>
      <c r="B104" s="14" t="str">
        <f t="shared" si="2"/>
        <v>OK</v>
      </c>
      <c r="C104" s="14">
        <f>MAX(0,'Revenue Drivers'!H9-'Revenue Drivers'!H6)</f>
        <v>0</v>
      </c>
      <c r="D104" s="14">
        <f>0</f>
        <v>0</v>
      </c>
      <c r="E104" s="14">
        <f t="shared" si="3"/>
        <v>0</v>
      </c>
      <c r="F104" s="1">
        <v>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 t="s">
        <v>3419</v>
      </c>
      <c r="B105" s="14" t="str">
        <f t="shared" si="2"/>
        <v>OK</v>
      </c>
      <c r="C105" s="14">
        <f>SUM('Segment Revenue'!I7,'Segment Revenue'!I9,'Segment Revenue'!I11,'Segment Revenue'!I13)</f>
        <v>1</v>
      </c>
      <c r="D105" s="14">
        <f>1</f>
        <v>1</v>
      </c>
      <c r="E105" s="14">
        <f t="shared" si="3"/>
        <v>0</v>
      </c>
      <c r="F105" s="1">
        <v>2E-3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 t="s">
        <v>3420</v>
      </c>
      <c r="B106" s="14" t="str">
        <f t="shared" si="2"/>
        <v>OK</v>
      </c>
      <c r="C106" s="14">
        <f>'Geography &amp; Verticals'!I11</f>
        <v>1</v>
      </c>
      <c r="D106" s="14">
        <f>1</f>
        <v>1</v>
      </c>
      <c r="E106" s="14">
        <f t="shared" si="3"/>
        <v>0</v>
      </c>
      <c r="F106" s="1">
        <v>2E-3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 t="s">
        <v>3421</v>
      </c>
      <c r="B107" s="14" t="str">
        <f t="shared" si="2"/>
        <v>OK</v>
      </c>
      <c r="C107" s="14">
        <f>'Geography &amp; Verticals'!I37</f>
        <v>0.999</v>
      </c>
      <c r="D107" s="14">
        <f>1</f>
        <v>1</v>
      </c>
      <c r="E107" s="14">
        <f t="shared" si="3"/>
        <v>-1.0000000000000009E-3</v>
      </c>
      <c r="F107" s="1">
        <v>2E-3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 t="s">
        <v>3422</v>
      </c>
      <c r="B108" s="14" t="str">
        <f t="shared" si="2"/>
        <v>OK</v>
      </c>
      <c r="C108" s="14">
        <f>'Revenue Drivers'!I15+'Revenue Drivers'!I35</f>
        <v>1</v>
      </c>
      <c r="D108" s="14">
        <f>1</f>
        <v>1</v>
      </c>
      <c r="E108" s="14">
        <f t="shared" si="3"/>
        <v>0</v>
      </c>
      <c r="F108" s="1">
        <v>2E-3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 t="s">
        <v>3423</v>
      </c>
      <c r="B109" s="14" t="str">
        <f t="shared" si="2"/>
        <v>OK</v>
      </c>
      <c r="C109" s="14">
        <f>MAX(0,'Revenue Drivers'!I9-'Revenue Drivers'!I6)</f>
        <v>0</v>
      </c>
      <c r="D109" s="14">
        <f>0</f>
        <v>0</v>
      </c>
      <c r="E109" s="14">
        <f t="shared" si="3"/>
        <v>0</v>
      </c>
      <c r="F109" s="1">
        <v>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 t="s">
        <v>3424</v>
      </c>
      <c r="B110" s="14" t="str">
        <f t="shared" ref="B110:B141" si="4">IF(ABS(E110)&lt;=F110,"OK","FAIL")</f>
        <v>OK</v>
      </c>
      <c r="C110" s="14">
        <f>SUM('Segment Revenue'!J7,'Segment Revenue'!J9,'Segment Revenue'!J11,'Segment Revenue'!J13)</f>
        <v>1.0000000000000002</v>
      </c>
      <c r="D110" s="14">
        <f>1</f>
        <v>1</v>
      </c>
      <c r="E110" s="14">
        <f t="shared" ref="E110:E141" si="5">C110-D110</f>
        <v>0</v>
      </c>
      <c r="F110" s="1">
        <v>2E-3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 t="s">
        <v>3425</v>
      </c>
      <c r="B111" s="14" t="str">
        <f t="shared" si="4"/>
        <v>OK</v>
      </c>
      <c r="C111" s="14">
        <f>'Geography &amp; Verticals'!J11</f>
        <v>1.0010000000000001</v>
      </c>
      <c r="D111" s="14">
        <f>1</f>
        <v>1</v>
      </c>
      <c r="E111" s="14">
        <f t="shared" si="5"/>
        <v>1.0000000000001119E-3</v>
      </c>
      <c r="F111" s="1">
        <v>2E-3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 t="s">
        <v>3426</v>
      </c>
      <c r="B112" s="14" t="str">
        <f t="shared" si="4"/>
        <v>OK</v>
      </c>
      <c r="C112" s="14">
        <f>'Geography &amp; Verticals'!J37</f>
        <v>1.0010000000000001</v>
      </c>
      <c r="D112" s="14">
        <f>1</f>
        <v>1</v>
      </c>
      <c r="E112" s="14">
        <f t="shared" si="5"/>
        <v>1.0000000000001119E-3</v>
      </c>
      <c r="F112" s="1">
        <v>2E-3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 t="s">
        <v>3427</v>
      </c>
      <c r="B113" s="14" t="str">
        <f t="shared" si="4"/>
        <v>OK</v>
      </c>
      <c r="C113" s="14">
        <f>MAX(0,'Revenue Drivers'!J9-'Revenue Drivers'!J6)</f>
        <v>0</v>
      </c>
      <c r="D113" s="14">
        <f>0</f>
        <v>0</v>
      </c>
      <c r="E113" s="14">
        <f t="shared" si="5"/>
        <v>0</v>
      </c>
      <c r="F113" s="1">
        <v>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 t="s">
        <v>3428</v>
      </c>
      <c r="B114" s="14" t="str">
        <f t="shared" si="4"/>
        <v>OK</v>
      </c>
      <c r="C114" s="14">
        <f>SUM('Segment Revenue'!K7,'Segment Revenue'!K9,'Segment Revenue'!K11,'Segment Revenue'!K13)</f>
        <v>1</v>
      </c>
      <c r="D114" s="14">
        <f>1</f>
        <v>1</v>
      </c>
      <c r="E114" s="14">
        <f t="shared" si="5"/>
        <v>0</v>
      </c>
      <c r="F114" s="1">
        <v>2E-3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 t="s">
        <v>3429</v>
      </c>
      <c r="B115" s="14" t="str">
        <f t="shared" si="4"/>
        <v>OK</v>
      </c>
      <c r="C115" s="14">
        <f>'Geography &amp; Verticals'!K11</f>
        <v>1</v>
      </c>
      <c r="D115" s="14">
        <f>1</f>
        <v>1</v>
      </c>
      <c r="E115" s="14">
        <f t="shared" si="5"/>
        <v>0</v>
      </c>
      <c r="F115" s="1">
        <v>2E-3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 t="s">
        <v>3430</v>
      </c>
      <c r="B116" s="14" t="str">
        <f t="shared" si="4"/>
        <v>OK</v>
      </c>
      <c r="C116" s="14">
        <f>'Geography &amp; Verticals'!K22</f>
        <v>1.0010000000000001</v>
      </c>
      <c r="D116" s="14">
        <f>1</f>
        <v>1</v>
      </c>
      <c r="E116" s="14">
        <f t="shared" si="5"/>
        <v>1.0000000000001119E-3</v>
      </c>
      <c r="F116" s="1">
        <v>2E-3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 t="s">
        <v>3431</v>
      </c>
      <c r="B117" s="14" t="str">
        <f t="shared" si="4"/>
        <v>OK</v>
      </c>
      <c r="C117" s="14">
        <f>'Geography &amp; Verticals'!K37</f>
        <v>0.999</v>
      </c>
      <c r="D117" s="14">
        <f>1</f>
        <v>1</v>
      </c>
      <c r="E117" s="14">
        <f t="shared" si="5"/>
        <v>-1.0000000000000009E-3</v>
      </c>
      <c r="F117" s="1">
        <v>2E-3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 t="s">
        <v>3432</v>
      </c>
      <c r="B118" s="14" t="str">
        <f t="shared" si="4"/>
        <v>OK</v>
      </c>
      <c r="C118" s="14">
        <f>MAX(0,'Revenue Drivers'!K9-'Revenue Drivers'!K6)</f>
        <v>0</v>
      </c>
      <c r="D118" s="14">
        <f>0</f>
        <v>0</v>
      </c>
      <c r="E118" s="14">
        <f t="shared" si="5"/>
        <v>0</v>
      </c>
      <c r="F118" s="1">
        <v>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 t="s">
        <v>3433</v>
      </c>
      <c r="B119" s="14" t="str">
        <f t="shared" si="4"/>
        <v>OK</v>
      </c>
      <c r="C119" s="14">
        <f>SUM('Segment Revenue'!L7,'Segment Revenue'!L9,'Segment Revenue'!L11,'Segment Revenue'!L13)</f>
        <v>1.0000000000000002</v>
      </c>
      <c r="D119" s="14">
        <f>1</f>
        <v>1</v>
      </c>
      <c r="E119" s="14">
        <f t="shared" si="5"/>
        <v>0</v>
      </c>
      <c r="F119" s="1">
        <v>2E-3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 t="s">
        <v>3434</v>
      </c>
      <c r="B120" s="14" t="str">
        <f t="shared" si="4"/>
        <v>OK</v>
      </c>
      <c r="C120" s="14">
        <f>'Geography &amp; Verticals'!L11</f>
        <v>1</v>
      </c>
      <c r="D120" s="14">
        <f>1</f>
        <v>1</v>
      </c>
      <c r="E120" s="14">
        <f t="shared" si="5"/>
        <v>0</v>
      </c>
      <c r="F120" s="1">
        <v>2E-3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 t="s">
        <v>3435</v>
      </c>
      <c r="B121" s="14" t="str">
        <f t="shared" si="4"/>
        <v>OK</v>
      </c>
      <c r="C121" s="14">
        <f>'Geography &amp; Verticals'!L22</f>
        <v>1</v>
      </c>
      <c r="D121" s="14">
        <f>1</f>
        <v>1</v>
      </c>
      <c r="E121" s="14">
        <f t="shared" si="5"/>
        <v>0</v>
      </c>
      <c r="F121" s="1">
        <v>2E-3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 t="s">
        <v>3436</v>
      </c>
      <c r="B122" s="14" t="str">
        <f t="shared" si="4"/>
        <v>OK</v>
      </c>
      <c r="C122" s="14">
        <f>'Geography &amp; Verticals'!L37</f>
        <v>0.998</v>
      </c>
      <c r="D122" s="14">
        <f>1</f>
        <v>1</v>
      </c>
      <c r="E122" s="14">
        <f t="shared" si="5"/>
        <v>-2.0000000000000018E-3</v>
      </c>
      <c r="F122" s="1">
        <v>2E-3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 t="s">
        <v>3437</v>
      </c>
      <c r="B123" s="14" t="str">
        <f t="shared" si="4"/>
        <v>OK</v>
      </c>
      <c r="C123" s="14">
        <f>MAX(0,'Revenue Drivers'!L9-'Revenue Drivers'!L6)</f>
        <v>0</v>
      </c>
      <c r="D123" s="14">
        <f>0</f>
        <v>0</v>
      </c>
      <c r="E123" s="14">
        <f t="shared" si="5"/>
        <v>0</v>
      </c>
      <c r="F123" s="1">
        <v>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 t="s">
        <v>3438</v>
      </c>
      <c r="B124" s="14" t="str">
        <f t="shared" si="4"/>
        <v>OK</v>
      </c>
      <c r="C124" s="14">
        <f>SUM('Segment Revenue'!M7,'Segment Revenue'!M9,'Segment Revenue'!M11,'Segment Revenue'!M13)</f>
        <v>1.0000000000000002</v>
      </c>
      <c r="D124" s="14">
        <f>1</f>
        <v>1</v>
      </c>
      <c r="E124" s="14">
        <f t="shared" si="5"/>
        <v>0</v>
      </c>
      <c r="F124" s="1">
        <v>2E-3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 t="s">
        <v>3439</v>
      </c>
      <c r="B125" s="14" t="str">
        <f t="shared" si="4"/>
        <v>OK</v>
      </c>
      <c r="C125" s="14">
        <f>'Geography &amp; Verticals'!M22</f>
        <v>1</v>
      </c>
      <c r="D125" s="14">
        <f>1</f>
        <v>1</v>
      </c>
      <c r="E125" s="14">
        <f t="shared" si="5"/>
        <v>0</v>
      </c>
      <c r="F125" s="1">
        <v>2E-3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 t="s">
        <v>3440</v>
      </c>
      <c r="B126" s="14" t="str">
        <f t="shared" si="4"/>
        <v>OK</v>
      </c>
      <c r="C126" s="14">
        <f>'Geography &amp; Verticals'!M37</f>
        <v>1</v>
      </c>
      <c r="D126" s="14">
        <f>1</f>
        <v>1</v>
      </c>
      <c r="E126" s="14">
        <f t="shared" si="5"/>
        <v>0</v>
      </c>
      <c r="F126" s="1">
        <v>2E-3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 t="s">
        <v>3441</v>
      </c>
      <c r="B127" s="14" t="str">
        <f t="shared" si="4"/>
        <v>OK</v>
      </c>
      <c r="C127" s="14">
        <f>MAX(0,'Revenue Drivers'!M9-'Revenue Drivers'!M6)</f>
        <v>0</v>
      </c>
      <c r="D127" s="14">
        <f>0</f>
        <v>0</v>
      </c>
      <c r="E127" s="14">
        <f t="shared" si="5"/>
        <v>0</v>
      </c>
      <c r="F127" s="1">
        <v>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 t="s">
        <v>3442</v>
      </c>
      <c r="B128" s="14" t="str">
        <f t="shared" si="4"/>
        <v>OK</v>
      </c>
      <c r="C128" s="14">
        <f>COUNT('Client Data'!C10:M18)</f>
        <v>99</v>
      </c>
      <c r="D128" s="14">
        <f>99</f>
        <v>99</v>
      </c>
      <c r="E128" s="14">
        <f t="shared" si="5"/>
        <v>0</v>
      </c>
      <c r="F128" s="1">
        <v>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 t="s">
        <v>3443</v>
      </c>
      <c r="B129" s="14" t="str">
        <f t="shared" si="4"/>
        <v>OK</v>
      </c>
      <c r="C129" s="14">
        <f>COUNT('Raw Financials'!C26:M28)</f>
        <v>33</v>
      </c>
      <c r="D129" s="14">
        <f>33</f>
        <v>33</v>
      </c>
      <c r="E129" s="14">
        <f t="shared" si="5"/>
        <v>0</v>
      </c>
      <c r="F129" s="1">
        <v>0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 t="s">
        <v>3444</v>
      </c>
      <c r="B130" s="14" t="str">
        <f t="shared" si="4"/>
        <v>OK</v>
      </c>
      <c r="C130" s="14">
        <f>COUNT('Raw Financials'!H22:M22)</f>
        <v>6</v>
      </c>
      <c r="D130" s="14">
        <f>6</f>
        <v>6</v>
      </c>
      <c r="E130" s="14">
        <f t="shared" si="5"/>
        <v>0</v>
      </c>
      <c r="F130" s="1">
        <v>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 t="s">
        <v>3445</v>
      </c>
      <c r="B131" s="14" t="str">
        <f t="shared" si="4"/>
        <v>OK</v>
      </c>
      <c r="C131" s="14">
        <f>'Revenue Drivers'!N15+'Revenue Drivers'!N35</f>
        <v>1</v>
      </c>
      <c r="D131" s="14">
        <f>1</f>
        <v>1</v>
      </c>
      <c r="E131" s="14">
        <f t="shared" si="5"/>
        <v>0</v>
      </c>
      <c r="F131" s="1">
        <v>2E-3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 t="s">
        <v>3446</v>
      </c>
      <c r="B132" s="14" t="str">
        <f t="shared" si="4"/>
        <v>OK</v>
      </c>
      <c r="C132" s="14">
        <f>MAX(0,'Revenue Drivers'!N11-'Revenue Drivers'!N9)</f>
        <v>0</v>
      </c>
      <c r="D132" s="14">
        <f>0</f>
        <v>0</v>
      </c>
      <c r="E132" s="14">
        <f t="shared" si="5"/>
        <v>0</v>
      </c>
      <c r="F132" s="1">
        <v>0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 t="s">
        <v>3447</v>
      </c>
      <c r="B133" s="14" t="str">
        <f t="shared" si="4"/>
        <v>OK</v>
      </c>
      <c r="C133" s="14">
        <f>'Revenue Drivers'!O15+'Revenue Drivers'!O35</f>
        <v>1</v>
      </c>
      <c r="D133" s="14">
        <f>1</f>
        <v>1</v>
      </c>
      <c r="E133" s="14">
        <f t="shared" si="5"/>
        <v>0</v>
      </c>
      <c r="F133" s="1">
        <v>2E-3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 t="s">
        <v>3448</v>
      </c>
      <c r="B134" s="14" t="str">
        <f t="shared" si="4"/>
        <v>OK</v>
      </c>
      <c r="C134" s="14">
        <f>MAX(0,'Revenue Drivers'!O15-'Revenue Drivers'!N15)</f>
        <v>0</v>
      </c>
      <c r="D134" s="14">
        <f>0</f>
        <v>0</v>
      </c>
      <c r="E134" s="14">
        <f t="shared" si="5"/>
        <v>0</v>
      </c>
      <c r="F134" s="1">
        <v>0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 t="s">
        <v>3449</v>
      </c>
      <c r="B135" s="14" t="str">
        <f t="shared" si="4"/>
        <v>OK</v>
      </c>
      <c r="C135" s="14">
        <f>MAX(0,'Revenue Drivers'!O11-'Revenue Drivers'!O9)</f>
        <v>0</v>
      </c>
      <c r="D135" s="14">
        <f>0</f>
        <v>0</v>
      </c>
      <c r="E135" s="14">
        <f t="shared" si="5"/>
        <v>0</v>
      </c>
      <c r="F135" s="1">
        <v>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 t="s">
        <v>3450</v>
      </c>
      <c r="B136" s="14" t="str">
        <f t="shared" si="4"/>
        <v>OK</v>
      </c>
      <c r="C136" s="14">
        <f>'Revenue Drivers'!P15+'Revenue Drivers'!P35</f>
        <v>1</v>
      </c>
      <c r="D136" s="14">
        <f>1</f>
        <v>1</v>
      </c>
      <c r="E136" s="14">
        <f t="shared" si="5"/>
        <v>0</v>
      </c>
      <c r="F136" s="1">
        <v>2E-3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 t="s">
        <v>3451</v>
      </c>
      <c r="B137" s="14" t="str">
        <f t="shared" si="4"/>
        <v>OK</v>
      </c>
      <c r="C137" s="14">
        <f>MAX(0,'Revenue Drivers'!P15-'Revenue Drivers'!O15)</f>
        <v>0</v>
      </c>
      <c r="D137" s="14">
        <f>0</f>
        <v>0</v>
      </c>
      <c r="E137" s="14">
        <f t="shared" si="5"/>
        <v>0</v>
      </c>
      <c r="F137" s="1">
        <v>0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 t="s">
        <v>3452</v>
      </c>
      <c r="B138" s="14" t="str">
        <f t="shared" si="4"/>
        <v>OK</v>
      </c>
      <c r="C138" s="14">
        <f>MAX(0,'Revenue Drivers'!P11-'Revenue Drivers'!P9)</f>
        <v>0</v>
      </c>
      <c r="D138" s="14">
        <f>0</f>
        <v>0</v>
      </c>
      <c r="E138" s="14">
        <f t="shared" si="5"/>
        <v>0</v>
      </c>
      <c r="F138" s="1">
        <v>0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 t="s">
        <v>3453</v>
      </c>
      <c r="B139" s="14" t="str">
        <f t="shared" si="4"/>
        <v>OK</v>
      </c>
      <c r="C139" s="14">
        <f>'Revenue Drivers'!Q15+'Revenue Drivers'!Q35</f>
        <v>1</v>
      </c>
      <c r="D139" s="14">
        <f>1</f>
        <v>1</v>
      </c>
      <c r="E139" s="14">
        <f t="shared" si="5"/>
        <v>0</v>
      </c>
      <c r="F139" s="1">
        <v>2E-3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 t="s">
        <v>3454</v>
      </c>
      <c r="B140" s="14" t="str">
        <f t="shared" si="4"/>
        <v>OK</v>
      </c>
      <c r="C140" s="14">
        <f>MAX(0,'Revenue Drivers'!Q15-'Revenue Drivers'!P15)</f>
        <v>0</v>
      </c>
      <c r="D140" s="14">
        <f>0</f>
        <v>0</v>
      </c>
      <c r="E140" s="14">
        <f t="shared" si="5"/>
        <v>0</v>
      </c>
      <c r="F140" s="1">
        <v>0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 t="s">
        <v>3455</v>
      </c>
      <c r="B141" s="14" t="str">
        <f t="shared" si="4"/>
        <v>OK</v>
      </c>
      <c r="C141" s="14">
        <f>MAX(0,'Revenue Drivers'!Q11-'Revenue Drivers'!Q9)</f>
        <v>0</v>
      </c>
      <c r="D141" s="14">
        <f>0</f>
        <v>0</v>
      </c>
      <c r="E141" s="14">
        <f t="shared" si="5"/>
        <v>0</v>
      </c>
      <c r="F141" s="1">
        <v>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Summary</vt:lpstr>
      <vt:lpstr>Sources</vt:lpstr>
      <vt:lpstr>Assumptions</vt:lpstr>
      <vt:lpstr>Raw Financials</vt:lpstr>
      <vt:lpstr>Quarterly P&amp;L</vt:lpstr>
      <vt:lpstr>Annual P&amp;L</vt:lpstr>
      <vt:lpstr>Annual Balance Sheet</vt:lpstr>
      <vt:lpstr>Annual Cash Flow</vt:lpstr>
      <vt:lpstr>Segment Revenue</vt:lpstr>
      <vt:lpstr>Geography &amp; Verticals</vt:lpstr>
      <vt:lpstr>Client Data</vt:lpstr>
      <vt:lpstr>Revenue Drivers</vt:lpstr>
      <vt:lpstr>HCLT Prices</vt:lpstr>
      <vt:lpstr>Valuation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Anusha Kumar</cp:lastModifiedBy>
  <dcterms:created xsi:type="dcterms:W3CDTF">2026-08-26T02:21:06Z</dcterms:created>
  <dcterms:modified xsi:type="dcterms:W3CDTF">2026-08-26T02:21:07Z</dcterms:modified>
</cp:coreProperties>
</file>