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00c5b6d20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 size trends" sheetId="1" r:id="R3e6007b1054f4ee4"/>
  </x:sheets>
</x:workbook>
</file>

<file path=xl/comments1.xml><?xml version="1.0" encoding="utf-8"?>
<x:comments xmlns:x="http://schemas.openxmlformats.org/spreadsheetml/2006/main">
  <x:authors>
    <x:author/>
  </x:authors>
  <x:commentList>
    <x:comment ref="A43" authorId="0">
      <x:text>
        <x:r>
          <x:t>https://www.crisilratings.com/content/dam/crisil-intelligence/what-we-think/reports/2025/12/unlocking-domestic-capital/unlocking-domestic-capital.pdf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1"/>
      <x:color rgb="FF243247"/>
      <x:name val="Arial"/>
    </x:font>
    <x:font>
      <x:b/>
      <x:sz val="17"/>
      <x:color rgb="FF203864"/>
      <x:name val="Arial"/>
    </x:font>
    <x:font>
      <x:i/>
      <x:sz val="11"/>
      <x:color rgb="FF58677B"/>
      <x:name val="Arial"/>
    </x:font>
    <x:font>
      <x:b/>
      <x:sz val="11"/>
      <x:color rgb="FFFFFFFF"/>
      <x:name val="Arial"/>
    </x:font>
    <x:font>
      <x:sz val="11"/>
      <x:color rgb="FF245A81"/>
      <x:name val="Arial"/>
    </x:font>
    <x:font>
      <x:sz val="11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5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c1b563018483d" /><Relationship Type="http://schemas.openxmlformats.org/officeDocument/2006/relationships/theme" Target="/xl/theme/theme1.xml" Id="R866b3f59c9454b82" /><Relationship Type="http://schemas.openxmlformats.org/officeDocument/2006/relationships/sharedStrings" Target="/xl/sharedStrings.xml" Id="R8dfb501dd4504b30" /><Relationship Type="http://schemas.openxmlformats.org/officeDocument/2006/relationships/worksheet" Target="/xl/worksheets/sheet1.xml" Id="R3e6007b1054f4e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b33dc7050b46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Deal count share by size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Small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'Deal size trends'!$A$7:$A$12</c:f>
              <c:strCache>
                <c:ptCount val="0"/>
              </c:strCache>
            </c:strRef>
          </c:cat>
          <c:val>
            <c:numRef>
              <c:f>'Deal size trends'!$B$7:$B$12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Mid</c:v>
          </c:tx>
          <c:spPr>
            <a:solidFill xmlns:a="http://schemas.openxmlformats.org/drawingml/2006/main">
              <a:srgbClr val="00A6A0"/>
            </a:solidFill>
            <a:ln xmlns:a="http://schemas.openxmlformats.org/drawingml/2006/main" w="19050">
              <a:solidFill>
                <a:srgbClr val="00A6A0"/>
              </a:solidFill>
              <a:prstDash val="solid"/>
            </a:ln>
          </c:spPr>
          <c:marker>
            <c:symbol val="none"/>
          </c:marker>
          <c:cat>
            <c:strRef>
              <c:f>'Deal size trends'!$A$7:$A$12</c:f>
              <c:strCache>
                <c:ptCount val="0"/>
              </c:strCache>
            </c:strRef>
          </c:cat>
          <c:val>
            <c:numRef>
              <c:f>'Deal size trends'!$C$7:$C$12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Large</c:v>
          </c:tx>
          <c:spPr>
            <a:solidFill xmlns:a="http://schemas.openxmlformats.org/drawingml/2006/main">
              <a:srgbClr val="E7A33E"/>
            </a:solidFill>
            <a:ln xmlns:a="http://schemas.openxmlformats.org/drawingml/2006/main" w="19050">
              <a:solidFill>
                <a:srgbClr val="E7A33E"/>
              </a:solidFill>
              <a:prstDash val="solid"/>
            </a:ln>
          </c:spPr>
          <c:marker>
            <c:symbol val="none"/>
          </c:marker>
          <c:cat>
            <c:strRef>
              <c:f>'Deal size trends'!$A$7:$A$12</c:f>
              <c:strCache>
                <c:ptCount val="0"/>
              </c:strCache>
            </c:strRef>
          </c:cat>
          <c:val>
            <c:numRef>
              <c:f>'Deal size trends'!$D$7:$D$12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Mega</c:v>
          </c:tx>
          <c:spPr>
            <a:solidFill xmlns:a="http://schemas.openxmlformats.org/drawingml/2006/main">
              <a:srgbClr val="754B9E"/>
            </a:solidFill>
            <a:ln xmlns:a="http://schemas.openxmlformats.org/drawingml/2006/main" w="19050">
              <a:solidFill>
                <a:srgbClr val="754B9E"/>
              </a:solidFill>
              <a:prstDash val="solid"/>
            </a:ln>
          </c:spPr>
          <c:marker>
            <c:symbol val="none"/>
          </c:marker>
          <c:cat>
            <c:strRef>
              <c:f>'Deal size trends'!$A$7:$A$12</c:f>
              <c:strCache>
                <c:ptCount val="0"/>
              </c:strCache>
            </c:strRef>
          </c:cat>
          <c:val>
            <c:numRef>
              <c:f>'Deal size trends'!$E$7:$E$12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b33dc7050b46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5b4a421847a4ad4" /><Relationship Type="http://schemas.openxmlformats.org/officeDocument/2006/relationships/vmlDrawing" Target="/xl/drawings/vmldrawing.vml" Id="R27b03225e11e4961" /><Relationship Type="http://schemas.openxmlformats.org/officeDocument/2006/relationships/drawing" Target="/xl/drawings/drawing1.xml" Id="R685fac1fc6df41a4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India private deals by size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Share of deal count with disclosed transaction values (%)</x:v>
      </x:c>
      <x:c r="B3" s="3"/>
      <x:c r="C3" s="3"/>
      <x:c r="D3" s="3"/>
      <x:c r="E3" s="3"/>
      <x:c r="F3" s="3"/>
      <x:c r="G3" s="3"/>
      <x:c r="H3" s="3"/>
    </x:row>
    <x:row r="4" ht="23" customHeight="1">
      <x:c r="A4" s="3" t="str">
        <x:v>2020–2024 calendar years; 2025 covers January–September only.</x:v>
      </x:c>
      <x:c r="B4" s="3"/>
      <x:c r="C4" s="3"/>
      <x:c r="D4" s="3"/>
      <x:c r="E4" s="3"/>
      <x:c r="F4" s="3"/>
      <x:c r="G4" s="3"/>
      <x:c r="H4" s="3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6" t="str">
        <x:v>Period</x:v>
      </x:c>
      <x:c r="B6" s="6" t="str">
        <x:v>Small</x:v>
      </x:c>
      <x:c r="C6" s="6" t="str">
        <x:v>Mid</x:v>
      </x:c>
      <x:c r="D6" s="6" t="str">
        <x:v>Large</x:v>
      </x:c>
      <x:c r="E6" s="6" t="str">
        <x:v>Mega</x:v>
      </x:c>
      <x:c r="F6" s="6" t="str">
        <x:v>Published total</x:v>
      </x:c>
      <x:c r="G6" s="1"/>
      <x:c r="H6" s="1"/>
    </x:row>
    <x:row r="7" ht="23" customHeight="1">
      <x:c r="A7" s="1" t="str">
        <x:v>2020</x:v>
      </x:c>
      <x:c r="B7" s="8" t="n">
        <x:v>0.588</x:v>
      </x:c>
      <x:c r="C7" s="8" t="n">
        <x:v>0.209</x:v>
      </x:c>
      <x:c r="D7" s="8" t="n">
        <x:v>0.166</x:v>
      </x:c>
      <x:c r="E7" s="8" t="n">
        <x:v>0.036</x:v>
      </x:c>
      <x:c r="F7" s="7" t="n">
        <x:f>SUM(B7:E7)</x:f>
        <x:v>0.999</x:v>
      </x:c>
      <x:c r="G7" s="1"/>
      <x:c r="H7" s="1"/>
    </x:row>
    <x:row r="8" ht="23" customHeight="1">
      <x:c r="A8" s="9" t="str">
        <x:v>2021</x:v>
      </x:c>
      <x:c r="B8" s="10" t="n">
        <x:v>0.438</x:v>
      </x:c>
      <x:c r="C8" s="10" t="n">
        <x:v>0.303</x:v>
      </x:c>
      <x:c r="D8" s="10" t="n">
        <x:v>0.235</x:v>
      </x:c>
      <x:c r="E8" s="10" t="n">
        <x:v>0.024</x:v>
      </x:c>
      <x:c r="F8" s="11" t="n">
        <x:f>SUM(B8:E8)</x:f>
        <x:v>1</x:v>
      </x:c>
      <x:c r="G8" s="1"/>
      <x:c r="H8" s="1"/>
    </x:row>
    <x:row r="9" ht="23" customHeight="1">
      <x:c r="A9" s="1" t="str">
        <x:v>2022</x:v>
      </x:c>
      <x:c r="B9" s="8" t="n">
        <x:v>0.454</x:v>
      </x:c>
      <x:c r="C9" s="8" t="n">
        <x:v>0.333</x:v>
      </x:c>
      <x:c r="D9" s="8" t="n">
        <x:v>0.202</x:v>
      </x:c>
      <x:c r="E9" s="8" t="n">
        <x:v>0.012</x:v>
      </x:c>
      <x:c r="F9" s="7" t="n">
        <x:f>SUM(B9:E9)</x:f>
        <x:v>1.0010000000000001</x:v>
      </x:c>
      <x:c r="G9" s="1"/>
      <x:c r="H9" s="1"/>
    </x:row>
    <x:row r="10" ht="23" customHeight="1">
      <x:c r="A10" s="9" t="str">
        <x:v>2023</x:v>
      </x:c>
      <x:c r="B10" s="10" t="n">
        <x:v>0.469</x:v>
      </x:c>
      <x:c r="C10" s="10" t="n">
        <x:v>0.292</x:v>
      </x:c>
      <x:c r="D10" s="10" t="n">
        <x:v>0.208</x:v>
      </x:c>
      <x:c r="E10" s="10" t="n">
        <x:v>0.031</x:v>
      </x:c>
      <x:c r="F10" s="11" t="n">
        <x:f>SUM(B10:E10)</x:f>
        <x:v>0.9999999999999999</x:v>
      </x:c>
      <x:c r="G10" s="1"/>
      <x:c r="H10" s="1"/>
    </x:row>
    <x:row r="11" ht="23" customHeight="1">
      <x:c r="A11" s="1" t="str">
        <x:v>2024</x:v>
      </x:c>
      <x:c r="B11" s="8" t="n">
        <x:v>0.493</x:v>
      </x:c>
      <x:c r="C11" s="8" t="n">
        <x:v>0.338</x:v>
      </x:c>
      <x:c r="D11" s="8" t="n">
        <x:v>0.149</x:v>
      </x:c>
      <x:c r="E11" s="8" t="n">
        <x:v>0.015</x:v>
      </x:c>
      <x:c r="F11" s="7" t="n">
        <x:f>SUM(B11:E11)</x:f>
        <x:v>0.995</x:v>
      </x:c>
      <x:c r="G11" s="1"/>
      <x:c r="H11" s="1"/>
    </x:row>
    <x:row r="12" ht="23" customHeight="1">
      <x:c r="A12" s="9" t="str">
        <x:v>2025 Jan–Sep</x:v>
      </x:c>
      <x:c r="B12" s="10" t="n">
        <x:v>0.533</x:v>
      </x:c>
      <x:c r="C12" s="10" t="n">
        <x:v>0.307</x:v>
      </x:c>
      <x:c r="D12" s="10" t="n">
        <x:v>0.146</x:v>
      </x:c>
      <x:c r="E12" s="10" t="n">
        <x:v>0.014</x:v>
      </x:c>
      <x:c r="F12" s="11" t="n">
        <x:f>SUM(B12:E12)</x:f>
        <x:v>1</x:v>
      </x:c>
      <x:c r="G12" s="1"/>
      <x:c r="H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6" t="str">
        <x:v>Workbook label</x:v>
      </x:c>
      <x:c r="B33" s="6" t="str">
        <x:v>Deal size (USD)</x:v>
      </x:c>
      <x:c r="C33" s="6" t="str">
        <x:v>Source label</x:v>
      </x:c>
      <x:c r="D33" s="1"/>
      <x:c r="E33" s="1"/>
      <x:c r="F33" s="1"/>
      <x:c r="G33" s="1"/>
      <x:c r="H33" s="1"/>
    </x:row>
    <x:row r="34" ht="23" customHeight="1">
      <x:c r="A34" s="1" t="str">
        <x:v>Small</x:v>
      </x:c>
      <x:c r="B34" s="1" t="str">
        <x:v>Below $10m</x:v>
      </x:c>
      <x:c r="C34" s="1" t="str">
        <x:v>Small</x:v>
      </x:c>
      <x:c r="D34" s="1"/>
      <x:c r="E34" s="1"/>
      <x:c r="F34" s="1"/>
      <x:c r="G34" s="1"/>
      <x:c r="H34" s="1"/>
    </x:row>
    <x:row r="35" ht="23" customHeight="1">
      <x:c r="A35" s="1" t="str">
        <x:v>Mid</x:v>
      </x:c>
      <x:c r="B35" s="1" t="str">
        <x:v>$10m–$50m</x:v>
      </x:c>
      <x:c r="C35" s="1" t="str">
        <x:v>Big</x:v>
      </x:c>
      <x:c r="D35" s="1"/>
      <x:c r="E35" s="1"/>
      <x:c r="F35" s="1"/>
      <x:c r="G35" s="1"/>
      <x:c r="H35" s="1"/>
    </x:row>
    <x:row r="36" ht="23" customHeight="1">
      <x:c r="A36" s="1" t="str">
        <x:v>Large</x:v>
      </x:c>
      <x:c r="B36" s="1" t="str">
        <x:v>$50m–$500m</x:v>
      </x:c>
      <x:c r="C36" s="1" t="str">
        <x:v>Large</x:v>
      </x:c>
      <x:c r="D36" s="1"/>
      <x:c r="E36" s="1"/>
      <x:c r="F36" s="1"/>
      <x:c r="G36" s="1"/>
      <x:c r="H36" s="1"/>
    </x:row>
    <x:row r="37" ht="23" customHeight="1">
      <x:c r="A37" s="1" t="str">
        <x:v>Mega</x:v>
      </x:c>
      <x:c r="B37" s="1" t="str">
        <x:v>Above $500m</x:v>
      </x:c>
      <x:c r="C37" s="1" t="str">
        <x:v>Very large</x:v>
      </x:c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 t="str">
        <x:v>2024: published shares sum to 99.5%. Values are retained as reported; not normalised.</x:v>
      </x:c>
      <x:c r="B39" s="1"/>
      <x:c r="C39" s="1"/>
      <x:c r="D39" s="1"/>
      <x:c r="E39" s="1"/>
      <x:c r="F39" s="1"/>
      <x:c r="G39" s="1"/>
      <x:c r="H39" s="1"/>
    </x:row>
    <x:row r="40" ht="23" customHeight="1">
      <x:c r="A40" s="1" t="str">
        <x:v>2020 and 2022 totals differ from 100% by 0.1 percentage point, consistent with rounding.</x:v>
      </x:c>
      <x:c r="B40" s="1"/>
      <x:c r="C40" s="1"/>
      <x:c r="D40" s="1"/>
      <x:c r="E40" s="1"/>
      <x:c r="F40" s="1"/>
      <x:c r="G40" s="1"/>
      <x:c r="H40" s="1"/>
    </x:row>
    <x:row r="41" ht="23" customHeight="1">
      <x:c r="A41" s="1" t="str">
        <x:v>Private investments only. Exact counts and aggregate deal values by band are not provided in this source.</x:v>
      </x:c>
      <x:c r="B41" s="1"/>
      <x:c r="C41" s="1"/>
      <x:c r="D41" s="1"/>
      <x:c r="E41" s="1"/>
      <x:c r="F41" s="1"/>
      <x:c r="G41" s="1"/>
      <x:c r="H41" s="1"/>
    </x:row>
    <x:row r="42" ht="23" customHeight="1">
      <x:c r="A42" s="1" t="str">
        <x:v>Bands follow the source labels. Mid and Mega are renamed from Big and Very large.</x:v>
      </x:c>
      <x:c r="B42" s="1"/>
      <x:c r="C42" s="1"/>
      <x:c r="D42" s="1"/>
      <x:c r="E42" s="1"/>
      <x:c r="F42" s="1"/>
      <x:c r="G42" s="1"/>
      <x:c r="H42" s="1"/>
    </x:row>
    <x:row r="43" ht="23" customHeight="1">
      <x:c r="A43" s="12" t="str">
        <x:v>Source: Crisil / IVCA, Unlocking Domestic Capital (Dec 2025), p.17; IVCA–EY data. URL in cell note.</x:v>
      </x:c>
      <x:c r="B43" s="1"/>
      <x:c r="C43" s="1"/>
      <x:c r="D43" s="1"/>
      <x:c r="E43" s="1"/>
      <x:c r="F43" s="1"/>
      <x:c r="G43" s="1"/>
      <x:c r="H43" s="1"/>
    </x:row>
    <x:row r="44" ht="23" customHeight="1">
      <x:c r="A44" s="1" t="str">
        <x:v>Retrieved 21 September 2026. Change the data in B7:E12 to update the native Excel chart.</x:v>
      </x:c>
      <x:c r="B44" s="1"/>
      <x:c r="C44" s="1"/>
      <x:c r="D44" s="1"/>
      <x:c r="E44" s="1"/>
      <x:c r="F44" s="1"/>
      <x:c r="G44" s="1"/>
      <x:c r="H44" s="1"/>
    </x:row>
  </x:sheetData>
  <x:conditionalFormatting sqref="F7:F12">
    <x:cfRule type="cellIs" dxfId="0" priority="1" operator="lessThan">
      <x:formula>0.998</x:formula>
    </x:cfRule>
  </x:conditionalFormatting>
  <x:pageMargins left="0.7" right="0.7" top="0.75" bottom="0.75" header="0.3" footer="0.3"/>
  <x:drawing xmlns:r="http://schemas.openxmlformats.org/officeDocument/2006/relationships" r:id="R685fac1fc6df41a4"/>
  <x:legacyDrawing xmlns:r="http://schemas.openxmlformats.org/officeDocument/2006/relationships" r:id="R27b03225e11e4961"/>
</x:worksheet>
</file>