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55B120F5-63FF-428A-B6D7-FEEDA02650EA}" xr6:coauthVersionLast="47" xr6:coauthVersionMax="47" xr10:uidLastSave="{00000000-0000-0000-0000-000000000000}"/>
  <bookViews>
    <workbookView xWindow="-108" yWindow="-108" windowWidth="23256" windowHeight="12456" firstSheet="9" activeTab="12" xr2:uid="{00000000-000D-0000-FFFF-FFFF00000000}"/>
  </bookViews>
  <sheets>
    <sheet name="Cover" sheetId="1" r:id="rId1"/>
    <sheet name="Summary" sheetId="2" r:id="rId2"/>
    <sheet name="Sources" sheetId="3" r:id="rId3"/>
    <sheet name="Assumptions" sheetId="4" r:id="rId4"/>
    <sheet name="Raw Financials" sheetId="5" r:id="rId5"/>
    <sheet name="Raw Operating" sheetId="6" r:id="rId6"/>
    <sheet name="Quarterly P&amp;L" sheetId="7" r:id="rId7"/>
    <sheet name="Annual P&amp;L" sheetId="8" r:id="rId8"/>
    <sheet name="Annual Balance Sheet" sheetId="9" r:id="rId9"/>
    <sheet name="Annual Cash Flow" sheetId="10" r:id="rId10"/>
    <sheet name="BS Forecast Schedules" sheetId="11" r:id="rId11"/>
    <sheet name="Vertical Revenue" sheetId="12" r:id="rId12"/>
    <sheet name="Geography &amp; Currency" sheetId="13" r:id="rId13"/>
    <sheet name="Client Data" sheetId="14" r:id="rId14"/>
    <sheet name="Revenue Drivers" sheetId="15" r:id="rId15"/>
    <sheet name="WIPRO Prices" sheetId="16" r:id="rId16"/>
    <sheet name="Valuation" sheetId="17" r:id="rId17"/>
    <sheet name="Checks" sheetId="18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5" i="18" l="1"/>
  <c r="B115" i="18"/>
  <c r="E114" i="18"/>
  <c r="B114" i="18"/>
  <c r="E113" i="18"/>
  <c r="B113" i="18"/>
  <c r="D112" i="18"/>
  <c r="D111" i="18"/>
  <c r="D110" i="18"/>
  <c r="D109" i="18"/>
  <c r="D108" i="18"/>
  <c r="D107" i="18"/>
  <c r="D106" i="18"/>
  <c r="D105" i="18"/>
  <c r="D104" i="18"/>
  <c r="D103" i="18"/>
  <c r="D102" i="18"/>
  <c r="D101" i="18"/>
  <c r="D100" i="18"/>
  <c r="D99" i="18"/>
  <c r="D98" i="18"/>
  <c r="D97" i="18"/>
  <c r="D96" i="18"/>
  <c r="D95" i="18"/>
  <c r="D94" i="18"/>
  <c r="D93" i="18"/>
  <c r="D92" i="18"/>
  <c r="D91" i="18"/>
  <c r="D89" i="18"/>
  <c r="D87" i="18"/>
  <c r="D86" i="18"/>
  <c r="D84" i="18"/>
  <c r="D82" i="18"/>
  <c r="D81" i="18"/>
  <c r="D79" i="18"/>
  <c r="D77" i="18"/>
  <c r="D76" i="18"/>
  <c r="D74" i="18"/>
  <c r="D72" i="18"/>
  <c r="D71" i="18"/>
  <c r="D70" i="18"/>
  <c r="Q22" i="17"/>
  <c r="P22" i="17"/>
  <c r="O22" i="17"/>
  <c r="N22" i="17"/>
  <c r="Q7" i="17"/>
  <c r="P7" i="17"/>
  <c r="O7" i="17"/>
  <c r="N7" i="17"/>
  <c r="M37" i="15"/>
  <c r="N37" i="15" s="1"/>
  <c r="O37" i="15" s="1"/>
  <c r="P37" i="15" s="1"/>
  <c r="Q37" i="15" s="1"/>
  <c r="L37" i="15"/>
  <c r="K37" i="15"/>
  <c r="J37" i="15"/>
  <c r="I37" i="15"/>
  <c r="H37" i="15"/>
  <c r="G37" i="15"/>
  <c r="F37" i="15"/>
  <c r="E37" i="15"/>
  <c r="D37" i="15"/>
  <c r="C37" i="15"/>
  <c r="Q35" i="15"/>
  <c r="P35" i="15"/>
  <c r="O35" i="15"/>
  <c r="N35" i="15"/>
  <c r="M34" i="15"/>
  <c r="L34" i="15"/>
  <c r="K34" i="15"/>
  <c r="J34" i="15"/>
  <c r="I34" i="15"/>
  <c r="H34" i="15"/>
  <c r="G34" i="15"/>
  <c r="F34" i="15"/>
  <c r="E34" i="15"/>
  <c r="D34" i="15"/>
  <c r="C34" i="15"/>
  <c r="M33" i="15"/>
  <c r="L33" i="15"/>
  <c r="K33" i="15"/>
  <c r="J33" i="15"/>
  <c r="I33" i="15"/>
  <c r="H33" i="15"/>
  <c r="G33" i="15"/>
  <c r="F33" i="15"/>
  <c r="E33" i="15"/>
  <c r="D33" i="15"/>
  <c r="C33" i="15"/>
  <c r="M30" i="15"/>
  <c r="L30" i="15"/>
  <c r="K30" i="15"/>
  <c r="J30" i="15"/>
  <c r="I30" i="15"/>
  <c r="H30" i="15"/>
  <c r="G30" i="15"/>
  <c r="F30" i="15"/>
  <c r="E30" i="15"/>
  <c r="D30" i="15"/>
  <c r="C30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M28" i="15"/>
  <c r="L28" i="15"/>
  <c r="K28" i="15"/>
  <c r="J28" i="15"/>
  <c r="I28" i="15"/>
  <c r="H28" i="15"/>
  <c r="G28" i="15"/>
  <c r="F28" i="15"/>
  <c r="E28" i="15"/>
  <c r="D28" i="15"/>
  <c r="C28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M26" i="15"/>
  <c r="L26" i="15"/>
  <c r="K26" i="15"/>
  <c r="J26" i="15"/>
  <c r="I26" i="15"/>
  <c r="H26" i="15"/>
  <c r="G26" i="15"/>
  <c r="F26" i="15"/>
  <c r="E26" i="15"/>
  <c r="D26" i="15"/>
  <c r="C26" i="15"/>
  <c r="Q25" i="15"/>
  <c r="P25" i="15"/>
  <c r="O25" i="15"/>
  <c r="N25" i="15"/>
  <c r="M25" i="15"/>
  <c r="L25" i="15"/>
  <c r="K25" i="15"/>
  <c r="J25" i="15"/>
  <c r="I25" i="15"/>
  <c r="H25" i="15"/>
  <c r="G25" i="15"/>
  <c r="F25" i="15"/>
  <c r="E25" i="15"/>
  <c r="D25" i="15"/>
  <c r="C25" i="15"/>
  <c r="M24" i="15"/>
  <c r="L24" i="15"/>
  <c r="G24" i="15"/>
  <c r="F24" i="15"/>
  <c r="N23" i="15"/>
  <c r="M23" i="15"/>
  <c r="L23" i="15"/>
  <c r="K23" i="15"/>
  <c r="J23" i="15"/>
  <c r="K24" i="15" s="1"/>
  <c r="I23" i="15"/>
  <c r="H23" i="15"/>
  <c r="H24" i="15" s="1"/>
  <c r="G23" i="15"/>
  <c r="F23" i="15"/>
  <c r="E23" i="15"/>
  <c r="D23" i="15"/>
  <c r="E24" i="15" s="1"/>
  <c r="C23" i="15"/>
  <c r="M22" i="15"/>
  <c r="L22" i="15"/>
  <c r="K22" i="15"/>
  <c r="J22" i="15"/>
  <c r="I22" i="15"/>
  <c r="H22" i="15"/>
  <c r="G22" i="15"/>
  <c r="F22" i="15"/>
  <c r="E22" i="15"/>
  <c r="D22" i="15"/>
  <c r="C22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M20" i="15"/>
  <c r="L20" i="15"/>
  <c r="K20" i="15"/>
  <c r="J20" i="15"/>
  <c r="I20" i="15"/>
  <c r="H20" i="15"/>
  <c r="G20" i="15"/>
  <c r="F20" i="15"/>
  <c r="E20" i="15"/>
  <c r="D20" i="15"/>
  <c r="C20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O15" i="15"/>
  <c r="N15" i="15"/>
  <c r="I15" i="15"/>
  <c r="H15" i="15"/>
  <c r="C15" i="15"/>
  <c r="Q14" i="15"/>
  <c r="P14" i="15"/>
  <c r="P15" i="15" s="1"/>
  <c r="O14" i="15"/>
  <c r="C82" i="18" s="1"/>
  <c r="E82" i="18" s="1"/>
  <c r="B82" i="18" s="1"/>
  <c r="N14" i="15"/>
  <c r="C77" i="18" s="1"/>
  <c r="E77" i="18" s="1"/>
  <c r="B77" i="18" s="1"/>
  <c r="M14" i="15"/>
  <c r="M15" i="15" s="1"/>
  <c r="L14" i="15"/>
  <c r="L15" i="15" s="1"/>
  <c r="K14" i="15"/>
  <c r="K15" i="15" s="1"/>
  <c r="J14" i="15"/>
  <c r="J15" i="15" s="1"/>
  <c r="I14" i="15"/>
  <c r="H14" i="15"/>
  <c r="G14" i="15"/>
  <c r="G15" i="15" s="1"/>
  <c r="F14" i="15"/>
  <c r="F15" i="15" s="1"/>
  <c r="E14" i="15"/>
  <c r="E15" i="15" s="1"/>
  <c r="D14" i="15"/>
  <c r="D15" i="15" s="1"/>
  <c r="C14" i="15"/>
  <c r="Q11" i="15"/>
  <c r="P11" i="15"/>
  <c r="O11" i="15"/>
  <c r="N11" i="15"/>
  <c r="M11" i="15"/>
  <c r="L11" i="15"/>
  <c r="K11" i="15"/>
  <c r="J11" i="15"/>
  <c r="I11" i="15"/>
  <c r="H11" i="15"/>
  <c r="G11" i="15"/>
  <c r="F11" i="15"/>
  <c r="E11" i="15"/>
  <c r="D11" i="15"/>
  <c r="C11" i="15"/>
  <c r="E10" i="15"/>
  <c r="E12" i="15" s="1"/>
  <c r="E13" i="15" s="1"/>
  <c r="D10" i="15"/>
  <c r="D12" i="15" s="1"/>
  <c r="Q9" i="15"/>
  <c r="P9" i="15"/>
  <c r="O9" i="15"/>
  <c r="N9" i="15"/>
  <c r="M9" i="15"/>
  <c r="H9" i="15"/>
  <c r="K8" i="15"/>
  <c r="M7" i="15"/>
  <c r="L7" i="15"/>
  <c r="K7" i="15"/>
  <c r="K9" i="15" s="1"/>
  <c r="K10" i="15" s="1"/>
  <c r="K12" i="15" s="1"/>
  <c r="J7" i="15"/>
  <c r="J9" i="15" s="1"/>
  <c r="I7" i="15"/>
  <c r="H7" i="15"/>
  <c r="G7" i="15"/>
  <c r="F7" i="15"/>
  <c r="E7" i="15"/>
  <c r="E9" i="15" s="1"/>
  <c r="D7" i="15"/>
  <c r="D9" i="15" s="1"/>
  <c r="C7" i="15"/>
  <c r="K26" i="14"/>
  <c r="E26" i="14"/>
  <c r="I25" i="14"/>
  <c r="H25" i="14"/>
  <c r="C25" i="14"/>
  <c r="L24" i="14"/>
  <c r="K24" i="14"/>
  <c r="F24" i="14"/>
  <c r="E24" i="14"/>
  <c r="M23" i="14"/>
  <c r="L23" i="14"/>
  <c r="L25" i="14" s="1"/>
  <c r="K23" i="14"/>
  <c r="K25" i="14" s="1"/>
  <c r="J23" i="14"/>
  <c r="J24" i="14" s="1"/>
  <c r="I23" i="14"/>
  <c r="I24" i="14" s="1"/>
  <c r="H23" i="14"/>
  <c r="G23" i="14"/>
  <c r="F23" i="14"/>
  <c r="F25" i="14" s="1"/>
  <c r="E23" i="14"/>
  <c r="E25" i="14" s="1"/>
  <c r="D23" i="14"/>
  <c r="D24" i="14" s="1"/>
  <c r="C23" i="14"/>
  <c r="K22" i="14"/>
  <c r="J22" i="14"/>
  <c r="E22" i="14"/>
  <c r="D22" i="14"/>
  <c r="N21" i="14"/>
  <c r="N22" i="14" s="1"/>
  <c r="M21" i="14"/>
  <c r="L21" i="14"/>
  <c r="K21" i="14"/>
  <c r="J21" i="14"/>
  <c r="J26" i="14" s="1"/>
  <c r="I21" i="14"/>
  <c r="I22" i="14" s="1"/>
  <c r="H21" i="14"/>
  <c r="H22" i="14" s="1"/>
  <c r="G21" i="14"/>
  <c r="F21" i="14"/>
  <c r="E21" i="14"/>
  <c r="D21" i="14"/>
  <c r="D26" i="14" s="1"/>
  <c r="C21" i="14"/>
  <c r="C26" i="14" s="1"/>
  <c r="I20" i="14"/>
  <c r="M18" i="14"/>
  <c r="H18" i="14"/>
  <c r="G18" i="14"/>
  <c r="M16" i="14"/>
  <c r="N16" i="14" s="1"/>
  <c r="O16" i="14" s="1"/>
  <c r="P16" i="14" s="1"/>
  <c r="Q16" i="14" s="1"/>
  <c r="L16" i="14"/>
  <c r="K16" i="14"/>
  <c r="J16" i="14"/>
  <c r="I16" i="14"/>
  <c r="H16" i="14"/>
  <c r="G16" i="14"/>
  <c r="F16" i="14"/>
  <c r="E16" i="14"/>
  <c r="D16" i="14"/>
  <c r="C16" i="14"/>
  <c r="P15" i="14"/>
  <c r="Q15" i="14" s="1"/>
  <c r="M15" i="14"/>
  <c r="N15" i="14" s="1"/>
  <c r="O15" i="14" s="1"/>
  <c r="L15" i="14"/>
  <c r="K15" i="14"/>
  <c r="J15" i="14"/>
  <c r="I15" i="14"/>
  <c r="H15" i="14"/>
  <c r="G15" i="14"/>
  <c r="F15" i="14"/>
  <c r="E15" i="14"/>
  <c r="D15" i="14"/>
  <c r="C15" i="14"/>
  <c r="M14" i="14"/>
  <c r="N14" i="14" s="1"/>
  <c r="O14" i="14" s="1"/>
  <c r="P14" i="14" s="1"/>
  <c r="Q14" i="14" s="1"/>
  <c r="L14" i="14"/>
  <c r="K14" i="14"/>
  <c r="J14" i="14"/>
  <c r="I14" i="14"/>
  <c r="H14" i="14"/>
  <c r="G14" i="14"/>
  <c r="F14" i="14"/>
  <c r="E14" i="14"/>
  <c r="D14" i="14"/>
  <c r="C14" i="14"/>
  <c r="M13" i="14"/>
  <c r="M20" i="14" s="1"/>
  <c r="L13" i="14"/>
  <c r="L18" i="14" s="1"/>
  <c r="K13" i="14"/>
  <c r="K18" i="14" s="1"/>
  <c r="J13" i="14"/>
  <c r="I13" i="14"/>
  <c r="I18" i="14" s="1"/>
  <c r="H13" i="14"/>
  <c r="H20" i="14" s="1"/>
  <c r="G13" i="14"/>
  <c r="G20" i="14" s="1"/>
  <c r="F13" i="14"/>
  <c r="F18" i="14" s="1"/>
  <c r="E13" i="14"/>
  <c r="E18" i="14" s="1"/>
  <c r="D13" i="14"/>
  <c r="C13" i="14"/>
  <c r="C18" i="14" s="1"/>
  <c r="M12" i="14"/>
  <c r="L12" i="14"/>
  <c r="K12" i="14"/>
  <c r="J12" i="14"/>
  <c r="I12" i="14"/>
  <c r="H12" i="14"/>
  <c r="G12" i="14"/>
  <c r="F12" i="14"/>
  <c r="E12" i="14"/>
  <c r="D12" i="14"/>
  <c r="C12" i="14"/>
  <c r="M11" i="14"/>
  <c r="L11" i="14"/>
  <c r="K11" i="14"/>
  <c r="J11" i="14"/>
  <c r="I11" i="14"/>
  <c r="H11" i="14"/>
  <c r="G11" i="14"/>
  <c r="F11" i="14"/>
  <c r="E11" i="14"/>
  <c r="D11" i="14"/>
  <c r="C11" i="14"/>
  <c r="M10" i="14"/>
  <c r="L10" i="14"/>
  <c r="K10" i="14"/>
  <c r="J10" i="14"/>
  <c r="I10" i="14"/>
  <c r="H10" i="14"/>
  <c r="G10" i="14"/>
  <c r="F10" i="14"/>
  <c r="E10" i="14"/>
  <c r="D10" i="14"/>
  <c r="C10" i="14"/>
  <c r="M9" i="14"/>
  <c r="L9" i="14"/>
  <c r="K9" i="14"/>
  <c r="J9" i="14"/>
  <c r="I9" i="14"/>
  <c r="H9" i="14"/>
  <c r="G9" i="14"/>
  <c r="F9" i="14"/>
  <c r="E9" i="14"/>
  <c r="D9" i="14"/>
  <c r="C9" i="14"/>
  <c r="M8" i="14"/>
  <c r="L8" i="14"/>
  <c r="K8" i="14"/>
  <c r="J8" i="14"/>
  <c r="I8" i="14"/>
  <c r="H8" i="14"/>
  <c r="G8" i="14"/>
  <c r="F8" i="14"/>
  <c r="E8" i="14"/>
  <c r="D8" i="14"/>
  <c r="C8" i="14"/>
  <c r="M7" i="14"/>
  <c r="M17" i="14" s="1"/>
  <c r="L7" i="14"/>
  <c r="L17" i="14" s="1"/>
  <c r="K7" i="14"/>
  <c r="L19" i="14" s="1"/>
  <c r="J7" i="14"/>
  <c r="J19" i="14" s="1"/>
  <c r="I7" i="14"/>
  <c r="I17" i="14" s="1"/>
  <c r="H7" i="14"/>
  <c r="H17" i="14" s="1"/>
  <c r="G7" i="14"/>
  <c r="G17" i="14" s="1"/>
  <c r="F7" i="14"/>
  <c r="F17" i="14" s="1"/>
  <c r="E7" i="14"/>
  <c r="F19" i="14" s="1"/>
  <c r="D7" i="14"/>
  <c r="D19" i="14" s="1"/>
  <c r="C7" i="14"/>
  <c r="C17" i="14" s="1"/>
  <c r="Q51" i="13"/>
  <c r="P51" i="13"/>
  <c r="O51" i="13"/>
  <c r="N51" i="13"/>
  <c r="K50" i="13"/>
  <c r="J50" i="13"/>
  <c r="E50" i="13"/>
  <c r="D50" i="13"/>
  <c r="M49" i="13"/>
  <c r="L49" i="13"/>
  <c r="L50" i="13" s="1"/>
  <c r="K49" i="13"/>
  <c r="J49" i="13"/>
  <c r="I49" i="13"/>
  <c r="H49" i="13"/>
  <c r="I50" i="13" s="1"/>
  <c r="G49" i="13"/>
  <c r="F49" i="13"/>
  <c r="F50" i="13" s="1"/>
  <c r="E49" i="13"/>
  <c r="D49" i="13"/>
  <c r="C49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O36" i="13"/>
  <c r="N36" i="13"/>
  <c r="M36" i="13"/>
  <c r="L36" i="13"/>
  <c r="K36" i="13"/>
  <c r="J36" i="13"/>
  <c r="I36" i="13"/>
  <c r="H36" i="13"/>
  <c r="G36" i="13"/>
  <c r="F36" i="13"/>
  <c r="E36" i="13"/>
  <c r="D36" i="13"/>
  <c r="C36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O32" i="13"/>
  <c r="N32" i="13"/>
  <c r="M32" i="13"/>
  <c r="M46" i="13" s="1"/>
  <c r="C112" i="18" s="1"/>
  <c r="E112" i="18" s="1"/>
  <c r="B112" i="18" s="1"/>
  <c r="L32" i="13"/>
  <c r="L46" i="13" s="1"/>
  <c r="C110" i="18" s="1"/>
  <c r="E110" i="18" s="1"/>
  <c r="B110" i="18" s="1"/>
  <c r="K32" i="13"/>
  <c r="K46" i="13" s="1"/>
  <c r="C108" i="18" s="1"/>
  <c r="E108" i="18" s="1"/>
  <c r="B108" i="18" s="1"/>
  <c r="J32" i="13"/>
  <c r="I32" i="13"/>
  <c r="H32" i="13"/>
  <c r="G32" i="13"/>
  <c r="G46" i="13" s="1"/>
  <c r="C100" i="18" s="1"/>
  <c r="E100" i="18" s="1"/>
  <c r="B100" i="18" s="1"/>
  <c r="F32" i="13"/>
  <c r="F46" i="13" s="1"/>
  <c r="C99" i="18" s="1"/>
  <c r="E99" i="18" s="1"/>
  <c r="B99" i="18" s="1"/>
  <c r="E32" i="13"/>
  <c r="E46" i="13" s="1"/>
  <c r="C98" i="18" s="1"/>
  <c r="E98" i="18" s="1"/>
  <c r="B98" i="18" s="1"/>
  <c r="D32" i="13"/>
  <c r="C32" i="13"/>
  <c r="K28" i="13"/>
  <c r="C107" i="18" s="1"/>
  <c r="E107" i="18" s="1"/>
  <c r="B107" i="18" s="1"/>
  <c r="E28" i="13"/>
  <c r="C28" i="13"/>
  <c r="G27" i="13"/>
  <c r="F27" i="13"/>
  <c r="E27" i="13"/>
  <c r="D27" i="13"/>
  <c r="C27" i="13"/>
  <c r="M26" i="13"/>
  <c r="L26" i="13"/>
  <c r="K26" i="13"/>
  <c r="J26" i="13"/>
  <c r="I26" i="13"/>
  <c r="H26" i="13"/>
  <c r="M24" i="13"/>
  <c r="L24" i="13"/>
  <c r="K24" i="13"/>
  <c r="J24" i="13"/>
  <c r="I24" i="13"/>
  <c r="H24" i="13"/>
  <c r="G24" i="13"/>
  <c r="F24" i="13"/>
  <c r="E24" i="13"/>
  <c r="D24" i="13"/>
  <c r="D28" i="13" s="1"/>
  <c r="C24" i="13"/>
  <c r="G23" i="13"/>
  <c r="F23" i="13"/>
  <c r="E23" i="13"/>
  <c r="D23" i="13"/>
  <c r="C23" i="13"/>
  <c r="N22" i="13"/>
  <c r="M22" i="13"/>
  <c r="L22" i="13"/>
  <c r="L28" i="13" s="1"/>
  <c r="C109" i="18" s="1"/>
  <c r="E109" i="18" s="1"/>
  <c r="B109" i="18" s="1"/>
  <c r="K22" i="13"/>
  <c r="J22" i="13"/>
  <c r="I22" i="13"/>
  <c r="H22" i="13"/>
  <c r="G21" i="13"/>
  <c r="F21" i="13"/>
  <c r="E21" i="13"/>
  <c r="D21" i="13"/>
  <c r="C21" i="13"/>
  <c r="M20" i="13"/>
  <c r="L20" i="13"/>
  <c r="K20" i="13"/>
  <c r="J20" i="13"/>
  <c r="I20" i="13"/>
  <c r="I28" i="13" s="1"/>
  <c r="C103" i="18" s="1"/>
  <c r="E103" i="18" s="1"/>
  <c r="B103" i="18" s="1"/>
  <c r="H20" i="13"/>
  <c r="Q16" i="13"/>
  <c r="P16" i="13"/>
  <c r="O16" i="13"/>
  <c r="N16" i="13"/>
  <c r="M16" i="13"/>
  <c r="L16" i="13"/>
  <c r="K16" i="13"/>
  <c r="D16" i="13"/>
  <c r="C95" i="18" s="1"/>
  <c r="E95" i="18" s="1"/>
  <c r="B95" i="18" s="1"/>
  <c r="Q15" i="13"/>
  <c r="P15" i="13"/>
  <c r="O15" i="13"/>
  <c r="N15" i="13"/>
  <c r="M15" i="13"/>
  <c r="L15" i="13"/>
  <c r="K15" i="13"/>
  <c r="J14" i="13"/>
  <c r="I14" i="13"/>
  <c r="H14" i="13"/>
  <c r="G14" i="13"/>
  <c r="F14" i="13"/>
  <c r="E14" i="13"/>
  <c r="D14" i="13"/>
  <c r="C14" i="13"/>
  <c r="Q13" i="13"/>
  <c r="P13" i="13"/>
  <c r="O13" i="13"/>
  <c r="N13" i="13"/>
  <c r="M13" i="13"/>
  <c r="L13" i="13"/>
  <c r="K13" i="13"/>
  <c r="J12" i="13"/>
  <c r="I12" i="13"/>
  <c r="H12" i="13"/>
  <c r="G12" i="13"/>
  <c r="F12" i="13"/>
  <c r="E12" i="13"/>
  <c r="D12" i="13"/>
  <c r="C12" i="13"/>
  <c r="Q11" i="13"/>
  <c r="P11" i="13"/>
  <c r="O11" i="13"/>
  <c r="N11" i="13"/>
  <c r="M11" i="13"/>
  <c r="L11" i="13"/>
  <c r="K11" i="13"/>
  <c r="J10" i="13"/>
  <c r="I10" i="13"/>
  <c r="H10" i="13"/>
  <c r="G10" i="13"/>
  <c r="F10" i="13"/>
  <c r="E10" i="13"/>
  <c r="D10" i="13"/>
  <c r="C10" i="13"/>
  <c r="Q9" i="13"/>
  <c r="P9" i="13"/>
  <c r="O9" i="13"/>
  <c r="N9" i="13"/>
  <c r="M9" i="13"/>
  <c r="L9" i="13"/>
  <c r="K9" i="13"/>
  <c r="J8" i="13"/>
  <c r="J16" i="13" s="1"/>
  <c r="I8" i="13"/>
  <c r="I16" i="13" s="1"/>
  <c r="H8" i="13"/>
  <c r="G8" i="13"/>
  <c r="F8" i="13"/>
  <c r="E8" i="13"/>
  <c r="D8" i="13"/>
  <c r="C8" i="13"/>
  <c r="C16" i="13" s="1"/>
  <c r="C93" i="18" s="1"/>
  <c r="E93" i="18" s="1"/>
  <c r="B93" i="18" s="1"/>
  <c r="J40" i="12"/>
  <c r="H40" i="12"/>
  <c r="F40" i="12"/>
  <c r="D40" i="12"/>
  <c r="J37" i="12"/>
  <c r="I37" i="12"/>
  <c r="I40" i="12" s="1"/>
  <c r="H37" i="12"/>
  <c r="G37" i="12"/>
  <c r="G40" i="12" s="1"/>
  <c r="F37" i="12"/>
  <c r="E37" i="12"/>
  <c r="E40" i="12" s="1"/>
  <c r="D37" i="12"/>
  <c r="C37" i="12"/>
  <c r="C40" i="12" s="1"/>
  <c r="J36" i="12"/>
  <c r="I36" i="12"/>
  <c r="H36" i="12"/>
  <c r="G36" i="12"/>
  <c r="F36" i="12"/>
  <c r="E36" i="12"/>
  <c r="D36" i="12"/>
  <c r="C36" i="12"/>
  <c r="M35" i="12"/>
  <c r="L35" i="12"/>
  <c r="K35" i="12"/>
  <c r="J34" i="12"/>
  <c r="I34" i="12"/>
  <c r="H34" i="12"/>
  <c r="G34" i="12"/>
  <c r="F34" i="12"/>
  <c r="E34" i="12"/>
  <c r="D34" i="12"/>
  <c r="C34" i="12"/>
  <c r="M33" i="12"/>
  <c r="L33" i="12"/>
  <c r="K33" i="12"/>
  <c r="J32" i="12"/>
  <c r="I32" i="12"/>
  <c r="H32" i="12"/>
  <c r="G32" i="12"/>
  <c r="F32" i="12"/>
  <c r="E32" i="12"/>
  <c r="D32" i="12"/>
  <c r="C32" i="12"/>
  <c r="M31" i="12"/>
  <c r="L31" i="12"/>
  <c r="K31" i="12"/>
  <c r="J30" i="12"/>
  <c r="I30" i="12"/>
  <c r="H30" i="12"/>
  <c r="G30" i="12"/>
  <c r="F30" i="12"/>
  <c r="E30" i="12"/>
  <c r="E38" i="12" s="1"/>
  <c r="D30" i="12"/>
  <c r="C30" i="12"/>
  <c r="M29" i="12"/>
  <c r="L29" i="12"/>
  <c r="K29" i="12"/>
  <c r="J28" i="12"/>
  <c r="I28" i="12"/>
  <c r="I38" i="12" s="1"/>
  <c r="H28" i="12"/>
  <c r="H38" i="12" s="1"/>
  <c r="G28" i="12"/>
  <c r="G38" i="12" s="1"/>
  <c r="F28" i="12"/>
  <c r="E28" i="12"/>
  <c r="D28" i="12"/>
  <c r="C28" i="12"/>
  <c r="C38" i="12" s="1"/>
  <c r="M27" i="12"/>
  <c r="L27" i="12"/>
  <c r="L37" i="12" s="1"/>
  <c r="K27" i="12"/>
  <c r="N23" i="12"/>
  <c r="M23" i="12"/>
  <c r="L23" i="12"/>
  <c r="Q20" i="12"/>
  <c r="Q23" i="12" s="1"/>
  <c r="P20" i="12"/>
  <c r="P23" i="12" s="1"/>
  <c r="O20" i="12"/>
  <c r="O23" i="12" s="1"/>
  <c r="N20" i="12"/>
  <c r="M20" i="12"/>
  <c r="L20" i="12"/>
  <c r="K20" i="12"/>
  <c r="K23" i="12" s="1"/>
  <c r="Q19" i="12"/>
  <c r="P19" i="12"/>
  <c r="O19" i="12"/>
  <c r="N19" i="12"/>
  <c r="M19" i="12"/>
  <c r="L19" i="12"/>
  <c r="K19" i="12"/>
  <c r="J19" i="12"/>
  <c r="J18" i="12"/>
  <c r="I18" i="12"/>
  <c r="H18" i="12"/>
  <c r="G18" i="12"/>
  <c r="F18" i="12"/>
  <c r="E18" i="12"/>
  <c r="D18" i="12"/>
  <c r="C18" i="12"/>
  <c r="Q17" i="12"/>
  <c r="P17" i="12"/>
  <c r="O17" i="12"/>
  <c r="N17" i="12"/>
  <c r="M17" i="12"/>
  <c r="L17" i="12"/>
  <c r="K17" i="12"/>
  <c r="J16" i="12"/>
  <c r="I16" i="12"/>
  <c r="H16" i="12"/>
  <c r="G16" i="12"/>
  <c r="F16" i="12"/>
  <c r="E16" i="12"/>
  <c r="D16" i="12"/>
  <c r="C16" i="12"/>
  <c r="Q15" i="12"/>
  <c r="P15" i="12"/>
  <c r="O15" i="12"/>
  <c r="N15" i="12"/>
  <c r="M15" i="12"/>
  <c r="L15" i="12"/>
  <c r="K15" i="12"/>
  <c r="J14" i="12"/>
  <c r="I14" i="12"/>
  <c r="H14" i="12"/>
  <c r="G14" i="12"/>
  <c r="F14" i="12"/>
  <c r="E14" i="12"/>
  <c r="D14" i="12"/>
  <c r="C14" i="12"/>
  <c r="Q13" i="12"/>
  <c r="P13" i="12"/>
  <c r="O13" i="12"/>
  <c r="N13" i="12"/>
  <c r="M13" i="12"/>
  <c r="L13" i="12"/>
  <c r="K13" i="12"/>
  <c r="J13" i="12"/>
  <c r="J12" i="12"/>
  <c r="I12" i="12"/>
  <c r="H12" i="12"/>
  <c r="G12" i="12"/>
  <c r="F12" i="12"/>
  <c r="E12" i="12"/>
  <c r="D12" i="12"/>
  <c r="C12" i="12"/>
  <c r="Q11" i="12"/>
  <c r="P11" i="12"/>
  <c r="O11" i="12"/>
  <c r="N11" i="12"/>
  <c r="M11" i="12"/>
  <c r="L11" i="12"/>
  <c r="L21" i="12" s="1"/>
  <c r="K11" i="12"/>
  <c r="J10" i="12"/>
  <c r="I10" i="12"/>
  <c r="H10" i="12"/>
  <c r="G10" i="12"/>
  <c r="F10" i="12"/>
  <c r="E10" i="12"/>
  <c r="D10" i="12"/>
  <c r="C10" i="12"/>
  <c r="Q9" i="12"/>
  <c r="P9" i="12"/>
  <c r="O9" i="12"/>
  <c r="N9" i="12"/>
  <c r="N21" i="12" s="1"/>
  <c r="M9" i="12"/>
  <c r="M21" i="12" s="1"/>
  <c r="L9" i="12"/>
  <c r="K9" i="12"/>
  <c r="J8" i="12"/>
  <c r="I8" i="12"/>
  <c r="H8" i="12"/>
  <c r="G8" i="12"/>
  <c r="F8" i="12"/>
  <c r="F20" i="12" s="1"/>
  <c r="E8" i="12"/>
  <c r="E20" i="12" s="1"/>
  <c r="D8" i="12"/>
  <c r="C8" i="12"/>
  <c r="E57" i="11"/>
  <c r="G46" i="11"/>
  <c r="F46" i="11"/>
  <c r="E46" i="11"/>
  <c r="D46" i="11"/>
  <c r="G44" i="11"/>
  <c r="F44" i="11"/>
  <c r="E44" i="11"/>
  <c r="D44" i="11"/>
  <c r="G34" i="11"/>
  <c r="F34" i="11"/>
  <c r="P41" i="10" s="1"/>
  <c r="E34" i="11"/>
  <c r="D34" i="11"/>
  <c r="N41" i="10" s="1"/>
  <c r="K61" i="10"/>
  <c r="E59" i="10"/>
  <c r="M56" i="10"/>
  <c r="C28" i="18" s="1"/>
  <c r="L56" i="10"/>
  <c r="C26" i="18" s="1"/>
  <c r="K56" i="10"/>
  <c r="C24" i="18" s="1"/>
  <c r="J56" i="10"/>
  <c r="C22" i="18" s="1"/>
  <c r="I56" i="10"/>
  <c r="C20" i="18" s="1"/>
  <c r="H56" i="10"/>
  <c r="G56" i="10"/>
  <c r="C16" i="18" s="1"/>
  <c r="F56" i="10"/>
  <c r="C14" i="18" s="1"/>
  <c r="E56" i="10"/>
  <c r="C12" i="18" s="1"/>
  <c r="D56" i="10"/>
  <c r="C10" i="18" s="1"/>
  <c r="C56" i="10"/>
  <c r="C8" i="18" s="1"/>
  <c r="N55" i="10"/>
  <c r="M55" i="10"/>
  <c r="L55" i="10"/>
  <c r="K55" i="10"/>
  <c r="J55" i="10"/>
  <c r="I55" i="10"/>
  <c r="H55" i="10"/>
  <c r="G55" i="10"/>
  <c r="F55" i="10"/>
  <c r="E55" i="10"/>
  <c r="D55" i="10"/>
  <c r="C55" i="10"/>
  <c r="Q53" i="10"/>
  <c r="P53" i="10"/>
  <c r="O53" i="10"/>
  <c r="N53" i="10"/>
  <c r="Q52" i="10"/>
  <c r="G57" i="11" s="1"/>
  <c r="P52" i="10"/>
  <c r="F57" i="11" s="1"/>
  <c r="O52" i="10"/>
  <c r="N52" i="10"/>
  <c r="D57" i="11" s="1"/>
  <c r="M52" i="10"/>
  <c r="L52" i="10"/>
  <c r="K52" i="10"/>
  <c r="J52" i="10"/>
  <c r="I52" i="10"/>
  <c r="H52" i="10"/>
  <c r="G52" i="10"/>
  <c r="F52" i="10"/>
  <c r="E52" i="10"/>
  <c r="D52" i="10"/>
  <c r="C52" i="10"/>
  <c r="M50" i="10"/>
  <c r="L50" i="10"/>
  <c r="L49" i="10" s="1"/>
  <c r="K50" i="10"/>
  <c r="J50" i="10"/>
  <c r="I50" i="10"/>
  <c r="H50" i="10"/>
  <c r="G50" i="10"/>
  <c r="F50" i="10"/>
  <c r="F49" i="10" s="1"/>
  <c r="E50" i="10"/>
  <c r="D50" i="10"/>
  <c r="C50" i="10"/>
  <c r="Q49" i="10"/>
  <c r="P49" i="10"/>
  <c r="O49" i="10"/>
  <c r="N49" i="10"/>
  <c r="Q48" i="10"/>
  <c r="P48" i="10"/>
  <c r="O48" i="10"/>
  <c r="N48" i="10"/>
  <c r="M48" i="10"/>
  <c r="L48" i="10"/>
  <c r="K48" i="10"/>
  <c r="J48" i="10"/>
  <c r="I48" i="10"/>
  <c r="H48" i="10"/>
  <c r="G48" i="10"/>
  <c r="F48" i="10"/>
  <c r="E48" i="10"/>
  <c r="D48" i="10"/>
  <c r="C48" i="10"/>
  <c r="Q47" i="10"/>
  <c r="P47" i="10"/>
  <c r="O47" i="10"/>
  <c r="N47" i="10"/>
  <c r="M47" i="10"/>
  <c r="L47" i="10"/>
  <c r="K47" i="10"/>
  <c r="J47" i="10"/>
  <c r="I47" i="10"/>
  <c r="H47" i="10"/>
  <c r="G47" i="10"/>
  <c r="F47" i="10"/>
  <c r="E47" i="10"/>
  <c r="D47" i="10"/>
  <c r="C47" i="10"/>
  <c r="M46" i="10"/>
  <c r="L46" i="10"/>
  <c r="K46" i="10"/>
  <c r="J46" i="10"/>
  <c r="I46" i="10"/>
  <c r="H46" i="10"/>
  <c r="G46" i="10"/>
  <c r="F46" i="10"/>
  <c r="E46" i="10"/>
  <c r="E61" i="10" s="1"/>
  <c r="D46" i="10"/>
  <c r="C46" i="10"/>
  <c r="M45" i="10"/>
  <c r="L45" i="10"/>
  <c r="K45" i="10"/>
  <c r="J45" i="10"/>
  <c r="I45" i="10"/>
  <c r="H45" i="10"/>
  <c r="G45" i="10"/>
  <c r="F45" i="10"/>
  <c r="E45" i="10"/>
  <c r="D45" i="10"/>
  <c r="C45" i="10"/>
  <c r="M44" i="10"/>
  <c r="L44" i="10"/>
  <c r="K44" i="10"/>
  <c r="J44" i="10"/>
  <c r="I44" i="10"/>
  <c r="H44" i="10"/>
  <c r="G44" i="10"/>
  <c r="F44" i="10"/>
  <c r="E44" i="10"/>
  <c r="D44" i="10"/>
  <c r="C44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Q41" i="10"/>
  <c r="O41" i="10"/>
  <c r="M41" i="10"/>
  <c r="M49" i="10" s="1"/>
  <c r="L41" i="10"/>
  <c r="K41" i="10"/>
  <c r="K49" i="10" s="1"/>
  <c r="J41" i="10"/>
  <c r="I41" i="10"/>
  <c r="I49" i="10" s="1"/>
  <c r="H41" i="10"/>
  <c r="G41" i="10"/>
  <c r="G49" i="10" s="1"/>
  <c r="F41" i="10"/>
  <c r="E41" i="10"/>
  <c r="E49" i="10" s="1"/>
  <c r="D41" i="10"/>
  <c r="C41" i="10"/>
  <c r="C49" i="10" s="1"/>
  <c r="Q40" i="10"/>
  <c r="P40" i="10"/>
  <c r="O40" i="10"/>
  <c r="N40" i="10"/>
  <c r="M40" i="10"/>
  <c r="L40" i="10"/>
  <c r="K40" i="10"/>
  <c r="J40" i="10"/>
  <c r="I40" i="10"/>
  <c r="H40" i="10"/>
  <c r="H49" i="10" s="1"/>
  <c r="G40" i="10"/>
  <c r="F40" i="10"/>
  <c r="E40" i="10"/>
  <c r="D40" i="10"/>
  <c r="C40" i="10"/>
  <c r="M39" i="10"/>
  <c r="L39" i="10"/>
  <c r="K39" i="10"/>
  <c r="K38" i="10" s="1"/>
  <c r="J39" i="10"/>
  <c r="I39" i="10"/>
  <c r="I38" i="10" s="1"/>
  <c r="H39" i="10"/>
  <c r="G39" i="10"/>
  <c r="F39" i="10"/>
  <c r="E39" i="10"/>
  <c r="E38" i="10" s="1"/>
  <c r="D39" i="10"/>
  <c r="C39" i="10"/>
  <c r="C38" i="10" s="1"/>
  <c r="Q38" i="10"/>
  <c r="P38" i="10"/>
  <c r="O38" i="10"/>
  <c r="N38" i="10"/>
  <c r="Q37" i="10"/>
  <c r="P37" i="10"/>
  <c r="O37" i="10"/>
  <c r="N37" i="10"/>
  <c r="M37" i="10"/>
  <c r="L37" i="10"/>
  <c r="K37" i="10"/>
  <c r="J37" i="10"/>
  <c r="I37" i="10"/>
  <c r="H37" i="10"/>
  <c r="G37" i="10"/>
  <c r="F37" i="10"/>
  <c r="E37" i="10"/>
  <c r="D37" i="10"/>
  <c r="C37" i="10"/>
  <c r="M36" i="10"/>
  <c r="L36" i="10"/>
  <c r="K36" i="10"/>
  <c r="J36" i="10"/>
  <c r="I36" i="10"/>
  <c r="H36" i="10"/>
  <c r="G36" i="10"/>
  <c r="F36" i="10"/>
  <c r="E36" i="10"/>
  <c r="D36" i="10"/>
  <c r="C36" i="10"/>
  <c r="M35" i="10"/>
  <c r="L35" i="10"/>
  <c r="K35" i="10"/>
  <c r="J35" i="10"/>
  <c r="I35" i="10"/>
  <c r="H35" i="10"/>
  <c r="G35" i="10"/>
  <c r="F35" i="10"/>
  <c r="E35" i="10"/>
  <c r="D35" i="10"/>
  <c r="C35" i="10"/>
  <c r="M34" i="10"/>
  <c r="L34" i="10"/>
  <c r="K34" i="10"/>
  <c r="J34" i="10"/>
  <c r="I34" i="10"/>
  <c r="H34" i="10"/>
  <c r="G34" i="10"/>
  <c r="F34" i="10"/>
  <c r="E34" i="10"/>
  <c r="D34" i="10"/>
  <c r="C34" i="10"/>
  <c r="Q33" i="10"/>
  <c r="P33" i="10"/>
  <c r="O33" i="10"/>
  <c r="N33" i="10"/>
  <c r="M33" i="10"/>
  <c r="L33" i="10"/>
  <c r="K33" i="10"/>
  <c r="J33" i="10"/>
  <c r="I33" i="10"/>
  <c r="H33" i="10"/>
  <c r="G33" i="10"/>
  <c r="F33" i="10"/>
  <c r="E33" i="10"/>
  <c r="D33" i="10"/>
  <c r="C33" i="10"/>
  <c r="Q32" i="10"/>
  <c r="P32" i="10"/>
  <c r="O32" i="10"/>
  <c r="N32" i="10"/>
  <c r="M32" i="10"/>
  <c r="L32" i="10"/>
  <c r="L38" i="10" s="1"/>
  <c r="K32" i="10"/>
  <c r="J32" i="10"/>
  <c r="J38" i="10" s="1"/>
  <c r="I32" i="10"/>
  <c r="H32" i="10"/>
  <c r="G32" i="10"/>
  <c r="F32" i="10"/>
  <c r="F38" i="10" s="1"/>
  <c r="E32" i="10"/>
  <c r="D32" i="10"/>
  <c r="D38" i="10" s="1"/>
  <c r="C32" i="10"/>
  <c r="M31" i="10"/>
  <c r="L31" i="10"/>
  <c r="K31" i="10"/>
  <c r="J31" i="10"/>
  <c r="I31" i="10"/>
  <c r="H31" i="10"/>
  <c r="G31" i="10"/>
  <c r="F31" i="10"/>
  <c r="E31" i="10"/>
  <c r="D31" i="10"/>
  <c r="C31" i="10"/>
  <c r="K30" i="10"/>
  <c r="M29" i="10"/>
  <c r="L29" i="10"/>
  <c r="L59" i="10" s="1"/>
  <c r="K29" i="10"/>
  <c r="K59" i="10" s="1"/>
  <c r="K60" i="10" s="1"/>
  <c r="J29" i="10"/>
  <c r="J59" i="10" s="1"/>
  <c r="I29" i="10"/>
  <c r="I59" i="10" s="1"/>
  <c r="H29" i="10"/>
  <c r="G29" i="10"/>
  <c r="F29" i="10"/>
  <c r="F59" i="10" s="1"/>
  <c r="E29" i="10"/>
  <c r="E51" i="10" s="1"/>
  <c r="D29" i="10"/>
  <c r="D59" i="10" s="1"/>
  <c r="C29" i="10"/>
  <c r="C59" i="10" s="1"/>
  <c r="M28" i="10"/>
  <c r="L28" i="10"/>
  <c r="L27" i="10" s="1"/>
  <c r="K28" i="10"/>
  <c r="J28" i="10"/>
  <c r="J27" i="10" s="1"/>
  <c r="I28" i="10"/>
  <c r="H28" i="10"/>
  <c r="G28" i="10"/>
  <c r="F28" i="10"/>
  <c r="F27" i="10" s="1"/>
  <c r="E28" i="10"/>
  <c r="D28" i="10"/>
  <c r="D27" i="10" s="1"/>
  <c r="C28" i="10"/>
  <c r="M27" i="10"/>
  <c r="I27" i="10"/>
  <c r="G27" i="10"/>
  <c r="E27" i="10"/>
  <c r="C27" i="10"/>
  <c r="M26" i="10"/>
  <c r="L26" i="10"/>
  <c r="K26" i="10"/>
  <c r="J26" i="10"/>
  <c r="I26" i="10"/>
  <c r="H26" i="10"/>
  <c r="G26" i="10"/>
  <c r="F26" i="10"/>
  <c r="E26" i="10"/>
  <c r="D26" i="10"/>
  <c r="C26" i="10"/>
  <c r="M25" i="10"/>
  <c r="L25" i="10"/>
  <c r="K25" i="10"/>
  <c r="J25" i="10"/>
  <c r="I25" i="10"/>
  <c r="H25" i="10"/>
  <c r="G25" i="10"/>
  <c r="F25" i="10"/>
  <c r="E25" i="10"/>
  <c r="D25" i="10"/>
  <c r="C25" i="10"/>
  <c r="M24" i="10"/>
  <c r="L24" i="10"/>
  <c r="K24" i="10"/>
  <c r="J24" i="10"/>
  <c r="I24" i="10"/>
  <c r="H24" i="10"/>
  <c r="G24" i="10"/>
  <c r="F24" i="10"/>
  <c r="E24" i="10"/>
  <c r="D24" i="10"/>
  <c r="C24" i="10"/>
  <c r="M23" i="10"/>
  <c r="L23" i="10"/>
  <c r="K23" i="10"/>
  <c r="J23" i="10"/>
  <c r="I23" i="10"/>
  <c r="H23" i="10"/>
  <c r="G23" i="10"/>
  <c r="F23" i="10"/>
  <c r="E23" i="10"/>
  <c r="D23" i="10"/>
  <c r="C23" i="10"/>
  <c r="M22" i="10"/>
  <c r="L22" i="10"/>
  <c r="K22" i="10"/>
  <c r="J22" i="10"/>
  <c r="I22" i="10"/>
  <c r="H22" i="10"/>
  <c r="G22" i="10"/>
  <c r="F22" i="10"/>
  <c r="E22" i="10"/>
  <c r="D22" i="10"/>
  <c r="C22" i="10"/>
  <c r="M21" i="10"/>
  <c r="L21" i="10"/>
  <c r="K21" i="10"/>
  <c r="J21" i="10"/>
  <c r="I21" i="10"/>
  <c r="H21" i="10"/>
  <c r="G21" i="10"/>
  <c r="F21" i="10"/>
  <c r="E21" i="10"/>
  <c r="D21" i="10"/>
  <c r="C21" i="10"/>
  <c r="M20" i="10"/>
  <c r="L20" i="10"/>
  <c r="K20" i="10"/>
  <c r="J20" i="10"/>
  <c r="I20" i="10"/>
  <c r="H20" i="10"/>
  <c r="G20" i="10"/>
  <c r="F20" i="10"/>
  <c r="E20" i="10"/>
  <c r="D20" i="10"/>
  <c r="C20" i="10"/>
  <c r="M19" i="10"/>
  <c r="L19" i="10"/>
  <c r="K19" i="10"/>
  <c r="J19" i="10"/>
  <c r="I19" i="10"/>
  <c r="H19" i="10"/>
  <c r="G19" i="10"/>
  <c r="F19" i="10"/>
  <c r="E19" i="10"/>
  <c r="D19" i="10"/>
  <c r="C19" i="10"/>
  <c r="M18" i="10"/>
  <c r="L18" i="10"/>
  <c r="K18" i="10"/>
  <c r="J18" i="10"/>
  <c r="I18" i="10"/>
  <c r="H18" i="10"/>
  <c r="G18" i="10"/>
  <c r="F18" i="10"/>
  <c r="E18" i="10"/>
  <c r="D18" i="10"/>
  <c r="C18" i="10"/>
  <c r="M17" i="10"/>
  <c r="L17" i="10"/>
  <c r="K17" i="10"/>
  <c r="J17" i="10"/>
  <c r="I17" i="10"/>
  <c r="H17" i="10"/>
  <c r="G17" i="10"/>
  <c r="F17" i="10"/>
  <c r="E17" i="10"/>
  <c r="D17" i="10"/>
  <c r="C17" i="10"/>
  <c r="M16" i="10"/>
  <c r="L16" i="10"/>
  <c r="K16" i="10"/>
  <c r="J16" i="10"/>
  <c r="I16" i="10"/>
  <c r="H16" i="10"/>
  <c r="G16" i="10"/>
  <c r="F16" i="10"/>
  <c r="E16" i="10"/>
  <c r="D16" i="10"/>
  <c r="C16" i="10"/>
  <c r="M15" i="10"/>
  <c r="L15" i="10"/>
  <c r="K15" i="10"/>
  <c r="J15" i="10"/>
  <c r="I15" i="10"/>
  <c r="H15" i="10"/>
  <c r="G15" i="10"/>
  <c r="F15" i="10"/>
  <c r="E15" i="10"/>
  <c r="D15" i="10"/>
  <c r="C15" i="10"/>
  <c r="Q14" i="10"/>
  <c r="P14" i="10"/>
  <c r="O14" i="10"/>
  <c r="N14" i="10"/>
  <c r="M13" i="10"/>
  <c r="L13" i="10"/>
  <c r="K13" i="10"/>
  <c r="J13" i="10"/>
  <c r="I13" i="10"/>
  <c r="H13" i="10"/>
  <c r="G13" i="10"/>
  <c r="F13" i="10"/>
  <c r="E13" i="10"/>
  <c r="D13" i="10"/>
  <c r="C13" i="10"/>
  <c r="M12" i="10"/>
  <c r="L12" i="10"/>
  <c r="K12" i="10"/>
  <c r="J12" i="10"/>
  <c r="I12" i="10"/>
  <c r="H12" i="10"/>
  <c r="G12" i="10"/>
  <c r="F12" i="10"/>
  <c r="E12" i="10"/>
  <c r="D12" i="10"/>
  <c r="C12" i="10"/>
  <c r="M11" i="10"/>
  <c r="L11" i="10"/>
  <c r="K11" i="10"/>
  <c r="J11" i="10"/>
  <c r="I11" i="10"/>
  <c r="H11" i="10"/>
  <c r="G11" i="10"/>
  <c r="F11" i="10"/>
  <c r="E11" i="10"/>
  <c r="D11" i="10"/>
  <c r="C11" i="10"/>
  <c r="Q10" i="10"/>
  <c r="P10" i="10"/>
  <c r="O10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M9" i="10"/>
  <c r="L9" i="10"/>
  <c r="K9" i="10"/>
  <c r="J9" i="10"/>
  <c r="I9" i="10"/>
  <c r="H9" i="10"/>
  <c r="G9" i="10"/>
  <c r="F9" i="10"/>
  <c r="E9" i="10"/>
  <c r="D9" i="10"/>
  <c r="C9" i="10"/>
  <c r="M8" i="10"/>
  <c r="L8" i="10"/>
  <c r="L14" i="10" s="1"/>
  <c r="K8" i="10"/>
  <c r="J8" i="10"/>
  <c r="I8" i="10"/>
  <c r="H8" i="10"/>
  <c r="G8" i="10"/>
  <c r="F8" i="10"/>
  <c r="F14" i="10" s="1"/>
  <c r="E8" i="10"/>
  <c r="E14" i="10" s="1"/>
  <c r="D8" i="10"/>
  <c r="D14" i="10" s="1"/>
  <c r="C8" i="10"/>
  <c r="M7" i="10"/>
  <c r="L7" i="10"/>
  <c r="K7" i="10"/>
  <c r="J7" i="10"/>
  <c r="I7" i="10"/>
  <c r="H7" i="10"/>
  <c r="G7" i="10"/>
  <c r="F7" i="10"/>
  <c r="E7" i="10"/>
  <c r="D7" i="10"/>
  <c r="C7" i="10"/>
  <c r="F62" i="9"/>
  <c r="F20" i="2" s="1"/>
  <c r="M61" i="9"/>
  <c r="C29" i="11" s="1"/>
  <c r="D26" i="11" s="1"/>
  <c r="I61" i="9"/>
  <c r="G61" i="9"/>
  <c r="C61" i="9"/>
  <c r="L60" i="9"/>
  <c r="L12" i="17" s="1"/>
  <c r="J60" i="9"/>
  <c r="F60" i="9"/>
  <c r="F12" i="17" s="1"/>
  <c r="D60" i="9"/>
  <c r="D12" i="17" s="1"/>
  <c r="L58" i="9"/>
  <c r="C25" i="18" s="1"/>
  <c r="J58" i="9"/>
  <c r="C21" i="18" s="1"/>
  <c r="D58" i="9"/>
  <c r="C9" i="18" s="1"/>
  <c r="M57" i="9"/>
  <c r="L57" i="9"/>
  <c r="K57" i="9"/>
  <c r="J57" i="9"/>
  <c r="I57" i="9"/>
  <c r="H57" i="9"/>
  <c r="H58" i="9" s="1"/>
  <c r="C17" i="18" s="1"/>
  <c r="E17" i="18" s="1"/>
  <c r="B17" i="18" s="1"/>
  <c r="G57" i="9"/>
  <c r="F57" i="9"/>
  <c r="E57" i="9"/>
  <c r="D57" i="9"/>
  <c r="C57" i="9"/>
  <c r="M56" i="9"/>
  <c r="L56" i="9"/>
  <c r="K56" i="9"/>
  <c r="J56" i="9"/>
  <c r="I56" i="9"/>
  <c r="H56" i="9"/>
  <c r="G56" i="9"/>
  <c r="F56" i="9"/>
  <c r="E56" i="9"/>
  <c r="D56" i="9"/>
  <c r="C56" i="9"/>
  <c r="M55" i="9"/>
  <c r="L55" i="9"/>
  <c r="K55" i="9"/>
  <c r="J55" i="9"/>
  <c r="I55" i="9"/>
  <c r="H55" i="9"/>
  <c r="G55" i="9"/>
  <c r="F55" i="9"/>
  <c r="E55" i="9"/>
  <c r="D55" i="9"/>
  <c r="C55" i="9"/>
  <c r="M54" i="9"/>
  <c r="L54" i="9"/>
  <c r="K54" i="9"/>
  <c r="J54" i="9"/>
  <c r="I54" i="9"/>
  <c r="H54" i="9"/>
  <c r="G54" i="9"/>
  <c r="F54" i="9"/>
  <c r="E54" i="9"/>
  <c r="D54" i="9"/>
  <c r="C54" i="9"/>
  <c r="M53" i="9"/>
  <c r="L53" i="9"/>
  <c r="K53" i="9"/>
  <c r="J53" i="9"/>
  <c r="I53" i="9"/>
  <c r="H53" i="9"/>
  <c r="G53" i="9"/>
  <c r="F53" i="9"/>
  <c r="E53" i="9"/>
  <c r="D53" i="9"/>
  <c r="C53" i="9"/>
  <c r="M52" i="9"/>
  <c r="L52" i="9"/>
  <c r="K52" i="9"/>
  <c r="J52" i="9"/>
  <c r="I52" i="9"/>
  <c r="H52" i="9"/>
  <c r="G52" i="9"/>
  <c r="F52" i="9"/>
  <c r="E52" i="9"/>
  <c r="D52" i="9"/>
  <c r="C52" i="9"/>
  <c r="M51" i="9"/>
  <c r="L51" i="9"/>
  <c r="K51" i="9"/>
  <c r="J51" i="9"/>
  <c r="I51" i="9"/>
  <c r="H51" i="9"/>
  <c r="G51" i="9"/>
  <c r="F51" i="9"/>
  <c r="E51" i="9"/>
  <c r="D51" i="9"/>
  <c r="C51" i="9"/>
  <c r="M50" i="9"/>
  <c r="L50" i="9"/>
  <c r="K50" i="9"/>
  <c r="J50" i="9"/>
  <c r="I50" i="9"/>
  <c r="H50" i="9"/>
  <c r="G50" i="9"/>
  <c r="F50" i="9"/>
  <c r="E50" i="9"/>
  <c r="D50" i="9"/>
  <c r="C50" i="9"/>
  <c r="M49" i="9"/>
  <c r="N49" i="9" s="1"/>
  <c r="O49" i="9" s="1"/>
  <c r="P49" i="9" s="1"/>
  <c r="Q49" i="9" s="1"/>
  <c r="L49" i="9"/>
  <c r="K49" i="9"/>
  <c r="J49" i="9"/>
  <c r="I49" i="9"/>
  <c r="H49" i="9"/>
  <c r="G49" i="9"/>
  <c r="F49" i="9"/>
  <c r="E49" i="9"/>
  <c r="D49" i="9"/>
  <c r="C49" i="9"/>
  <c r="M48" i="9"/>
  <c r="L48" i="9"/>
  <c r="K48" i="9"/>
  <c r="J48" i="9"/>
  <c r="I48" i="9"/>
  <c r="H48" i="9"/>
  <c r="G48" i="9"/>
  <c r="F48" i="9"/>
  <c r="E48" i="9"/>
  <c r="D48" i="9"/>
  <c r="C48" i="9"/>
  <c r="M47" i="9"/>
  <c r="L47" i="9"/>
  <c r="K47" i="9"/>
  <c r="J47" i="9"/>
  <c r="I47" i="9"/>
  <c r="H47" i="9"/>
  <c r="G47" i="9"/>
  <c r="F47" i="9"/>
  <c r="E47" i="9"/>
  <c r="D47" i="9"/>
  <c r="C47" i="9"/>
  <c r="M45" i="9"/>
  <c r="L45" i="9"/>
  <c r="K45" i="9"/>
  <c r="J45" i="9"/>
  <c r="I45" i="9"/>
  <c r="H45" i="9"/>
  <c r="G45" i="9"/>
  <c r="F45" i="9"/>
  <c r="E45" i="9"/>
  <c r="D45" i="9"/>
  <c r="C45" i="9"/>
  <c r="M44" i="9"/>
  <c r="L44" i="9"/>
  <c r="K44" i="9"/>
  <c r="J44" i="9"/>
  <c r="I44" i="9"/>
  <c r="H44" i="9"/>
  <c r="G44" i="9"/>
  <c r="F44" i="9"/>
  <c r="E44" i="9"/>
  <c r="D44" i="9"/>
  <c r="C44" i="9"/>
  <c r="L43" i="9"/>
  <c r="F43" i="9"/>
  <c r="D43" i="9"/>
  <c r="N42" i="9"/>
  <c r="O42" i="9" s="1"/>
  <c r="P42" i="9" s="1"/>
  <c r="Q42" i="9" s="1"/>
  <c r="M42" i="9"/>
  <c r="L42" i="9"/>
  <c r="K42" i="9"/>
  <c r="J42" i="9"/>
  <c r="I42" i="9"/>
  <c r="H42" i="9"/>
  <c r="G42" i="9"/>
  <c r="F42" i="9"/>
  <c r="E42" i="9"/>
  <c r="D42" i="9"/>
  <c r="C42" i="9"/>
  <c r="Q41" i="9"/>
  <c r="P41" i="9"/>
  <c r="N41" i="9"/>
  <c r="O41" i="9" s="1"/>
  <c r="M41" i="9"/>
  <c r="L41" i="9"/>
  <c r="K41" i="9"/>
  <c r="J41" i="9"/>
  <c r="J43" i="9" s="1"/>
  <c r="I41" i="9"/>
  <c r="H41" i="9"/>
  <c r="G41" i="9"/>
  <c r="F41" i="9"/>
  <c r="E41" i="9"/>
  <c r="D41" i="9"/>
  <c r="C41" i="9"/>
  <c r="M40" i="9"/>
  <c r="L40" i="9"/>
  <c r="K40" i="9"/>
  <c r="J40" i="9"/>
  <c r="I40" i="9"/>
  <c r="H40" i="9"/>
  <c r="G40" i="9"/>
  <c r="F40" i="9"/>
  <c r="E40" i="9"/>
  <c r="D40" i="9"/>
  <c r="C40" i="9"/>
  <c r="M39" i="9"/>
  <c r="L39" i="9"/>
  <c r="L61" i="9" s="1"/>
  <c r="K39" i="9"/>
  <c r="K61" i="9" s="1"/>
  <c r="J39" i="9"/>
  <c r="J61" i="9" s="1"/>
  <c r="I39" i="9"/>
  <c r="H39" i="9"/>
  <c r="H61" i="9" s="1"/>
  <c r="G39" i="9"/>
  <c r="F39" i="9"/>
  <c r="F61" i="9" s="1"/>
  <c r="E39" i="9"/>
  <c r="E61" i="9" s="1"/>
  <c r="D39" i="9"/>
  <c r="D61" i="9" s="1"/>
  <c r="C39" i="9"/>
  <c r="M38" i="9"/>
  <c r="L38" i="9"/>
  <c r="K38" i="9"/>
  <c r="J38" i="9"/>
  <c r="I38" i="9"/>
  <c r="H38" i="9"/>
  <c r="H60" i="9" s="1"/>
  <c r="G38" i="9"/>
  <c r="F38" i="9"/>
  <c r="E38" i="9"/>
  <c r="E60" i="9" s="1"/>
  <c r="D38" i="9"/>
  <c r="C38" i="9"/>
  <c r="M36" i="9"/>
  <c r="L36" i="9"/>
  <c r="L18" i="17" s="1"/>
  <c r="K36" i="9"/>
  <c r="K18" i="17" s="1"/>
  <c r="J36" i="9"/>
  <c r="J18" i="17" s="1"/>
  <c r="I36" i="9"/>
  <c r="I18" i="17" s="1"/>
  <c r="H36" i="9"/>
  <c r="H18" i="17" s="1"/>
  <c r="G36" i="9"/>
  <c r="G18" i="17" s="1"/>
  <c r="F36" i="9"/>
  <c r="F18" i="17" s="1"/>
  <c r="E36" i="9"/>
  <c r="E18" i="17" s="1"/>
  <c r="D36" i="9"/>
  <c r="D18" i="17" s="1"/>
  <c r="C36" i="9"/>
  <c r="C18" i="17" s="1"/>
  <c r="N35" i="9"/>
  <c r="M35" i="9"/>
  <c r="C48" i="11" s="1"/>
  <c r="D48" i="11" s="1"/>
  <c r="E48" i="11" s="1"/>
  <c r="F48" i="11" s="1"/>
  <c r="L35" i="9"/>
  <c r="K35" i="9"/>
  <c r="J35" i="9"/>
  <c r="I35" i="9"/>
  <c r="H35" i="9"/>
  <c r="G35" i="9"/>
  <c r="F35" i="9"/>
  <c r="E35" i="9"/>
  <c r="D35" i="9"/>
  <c r="C35" i="9"/>
  <c r="M34" i="9"/>
  <c r="C47" i="11" s="1"/>
  <c r="D41" i="11" s="1"/>
  <c r="L34" i="9"/>
  <c r="K34" i="9"/>
  <c r="J34" i="9"/>
  <c r="I34" i="9"/>
  <c r="H34" i="9"/>
  <c r="G34" i="9"/>
  <c r="F34" i="9"/>
  <c r="E34" i="9"/>
  <c r="E33" i="9" s="1"/>
  <c r="D34" i="9"/>
  <c r="C34" i="9"/>
  <c r="G33" i="9"/>
  <c r="Q32" i="9"/>
  <c r="P32" i="9"/>
  <c r="N32" i="9"/>
  <c r="O32" i="9" s="1"/>
  <c r="M32" i="9"/>
  <c r="L32" i="9"/>
  <c r="K32" i="9"/>
  <c r="J32" i="9"/>
  <c r="I32" i="9"/>
  <c r="H32" i="9"/>
  <c r="H33" i="9" s="1"/>
  <c r="G32" i="9"/>
  <c r="F32" i="9"/>
  <c r="E32" i="9"/>
  <c r="D32" i="9"/>
  <c r="C32" i="9"/>
  <c r="M31" i="9"/>
  <c r="N31" i="9" s="1"/>
  <c r="O31" i="9" s="1"/>
  <c r="P31" i="9" s="1"/>
  <c r="Q31" i="9" s="1"/>
  <c r="L31" i="9"/>
  <c r="K31" i="9"/>
  <c r="K33" i="9" s="1"/>
  <c r="J31" i="9"/>
  <c r="I31" i="9"/>
  <c r="I33" i="9" s="1"/>
  <c r="H31" i="9"/>
  <c r="G31" i="9"/>
  <c r="F31" i="9"/>
  <c r="E31" i="9"/>
  <c r="D31" i="9"/>
  <c r="C31" i="9"/>
  <c r="C33" i="9" s="1"/>
  <c r="M29" i="9"/>
  <c r="D27" i="18" s="1"/>
  <c r="L29" i="9"/>
  <c r="K29" i="9"/>
  <c r="J29" i="9"/>
  <c r="I29" i="9"/>
  <c r="D19" i="18" s="1"/>
  <c r="H29" i="9"/>
  <c r="D17" i="18" s="1"/>
  <c r="G29" i="9"/>
  <c r="D15" i="18" s="1"/>
  <c r="F29" i="9"/>
  <c r="E29" i="9"/>
  <c r="D29" i="9"/>
  <c r="C29" i="9"/>
  <c r="D7" i="18" s="1"/>
  <c r="M28" i="9"/>
  <c r="L28" i="9"/>
  <c r="K28" i="9"/>
  <c r="J28" i="9"/>
  <c r="I28" i="9"/>
  <c r="H28" i="9"/>
  <c r="G28" i="9"/>
  <c r="F28" i="9"/>
  <c r="E28" i="9"/>
  <c r="D28" i="9"/>
  <c r="C28" i="9"/>
  <c r="M27" i="9"/>
  <c r="L27" i="9"/>
  <c r="K27" i="9"/>
  <c r="J27" i="9"/>
  <c r="I27" i="9"/>
  <c r="H27" i="9"/>
  <c r="G27" i="9"/>
  <c r="F27" i="9"/>
  <c r="E27" i="9"/>
  <c r="D27" i="9"/>
  <c r="C27" i="9"/>
  <c r="N26" i="9"/>
  <c r="O26" i="9" s="1"/>
  <c r="P26" i="9" s="1"/>
  <c r="Q26" i="9" s="1"/>
  <c r="M26" i="9"/>
  <c r="L26" i="9"/>
  <c r="K26" i="9"/>
  <c r="J26" i="9"/>
  <c r="I26" i="9"/>
  <c r="H26" i="9"/>
  <c r="G26" i="9"/>
  <c r="F26" i="9"/>
  <c r="E26" i="9"/>
  <c r="D26" i="9"/>
  <c r="C26" i="9"/>
  <c r="M25" i="9"/>
  <c r="L25" i="9"/>
  <c r="K25" i="9"/>
  <c r="J25" i="9"/>
  <c r="I25" i="9"/>
  <c r="H25" i="9"/>
  <c r="G25" i="9"/>
  <c r="F25" i="9"/>
  <c r="E25" i="9"/>
  <c r="D25" i="9"/>
  <c r="C25" i="9"/>
  <c r="M24" i="9"/>
  <c r="L24" i="9"/>
  <c r="K24" i="9"/>
  <c r="J24" i="9"/>
  <c r="I24" i="9"/>
  <c r="H24" i="9"/>
  <c r="G24" i="9"/>
  <c r="F24" i="9"/>
  <c r="E24" i="9"/>
  <c r="D24" i="9"/>
  <c r="C24" i="9"/>
  <c r="M23" i="9"/>
  <c r="L23" i="9"/>
  <c r="K23" i="9"/>
  <c r="J23" i="9"/>
  <c r="I23" i="9"/>
  <c r="H23" i="9"/>
  <c r="G23" i="9"/>
  <c r="F23" i="9"/>
  <c r="E23" i="9"/>
  <c r="D23" i="9"/>
  <c r="C23" i="9"/>
  <c r="M22" i="9"/>
  <c r="L22" i="9"/>
  <c r="L57" i="10" s="1"/>
  <c r="D26" i="18" s="1"/>
  <c r="K22" i="9"/>
  <c r="K57" i="10" s="1"/>
  <c r="D24" i="18" s="1"/>
  <c r="J22" i="9"/>
  <c r="J57" i="10" s="1"/>
  <c r="D22" i="18" s="1"/>
  <c r="I22" i="9"/>
  <c r="I57" i="10" s="1"/>
  <c r="D20" i="18" s="1"/>
  <c r="H22" i="9"/>
  <c r="H57" i="10" s="1"/>
  <c r="D18" i="18" s="1"/>
  <c r="G22" i="9"/>
  <c r="G57" i="10" s="1"/>
  <c r="D16" i="18" s="1"/>
  <c r="F22" i="9"/>
  <c r="F57" i="10" s="1"/>
  <c r="D14" i="18" s="1"/>
  <c r="E22" i="9"/>
  <c r="E57" i="10" s="1"/>
  <c r="D12" i="18" s="1"/>
  <c r="D22" i="9"/>
  <c r="D57" i="10" s="1"/>
  <c r="D10" i="18" s="1"/>
  <c r="C22" i="9"/>
  <c r="C57" i="10" s="1"/>
  <c r="D8" i="18" s="1"/>
  <c r="M21" i="9"/>
  <c r="L21" i="9"/>
  <c r="L11" i="17" s="1"/>
  <c r="K21" i="9"/>
  <c r="J21" i="9"/>
  <c r="J11" i="17" s="1"/>
  <c r="I21" i="9"/>
  <c r="H21" i="9"/>
  <c r="H11" i="17" s="1"/>
  <c r="G21" i="9"/>
  <c r="F21" i="9"/>
  <c r="F11" i="17" s="1"/>
  <c r="E21" i="9"/>
  <c r="D21" i="9"/>
  <c r="D11" i="17" s="1"/>
  <c r="C21" i="9"/>
  <c r="O20" i="9"/>
  <c r="P20" i="9" s="1"/>
  <c r="Q20" i="9" s="1"/>
  <c r="M20" i="9"/>
  <c r="N20" i="9" s="1"/>
  <c r="L20" i="9"/>
  <c r="K20" i="9"/>
  <c r="J20" i="9"/>
  <c r="I20" i="9"/>
  <c r="H20" i="9"/>
  <c r="G20" i="9"/>
  <c r="F20" i="9"/>
  <c r="E20" i="9"/>
  <c r="D20" i="9"/>
  <c r="C20" i="9"/>
  <c r="M19" i="9"/>
  <c r="L19" i="9"/>
  <c r="K19" i="9"/>
  <c r="J19" i="9"/>
  <c r="I19" i="9"/>
  <c r="H19" i="9"/>
  <c r="G19" i="9"/>
  <c r="F19" i="9"/>
  <c r="E19" i="9"/>
  <c r="D19" i="9"/>
  <c r="C19" i="9"/>
  <c r="M18" i="9"/>
  <c r="L18" i="9"/>
  <c r="K18" i="9"/>
  <c r="J18" i="9"/>
  <c r="I18" i="9"/>
  <c r="H18" i="9"/>
  <c r="G18" i="9"/>
  <c r="F18" i="9"/>
  <c r="E18" i="9"/>
  <c r="D18" i="9"/>
  <c r="C18" i="9"/>
  <c r="M17" i="9"/>
  <c r="L17" i="9"/>
  <c r="K17" i="9"/>
  <c r="J17" i="9"/>
  <c r="I17" i="9"/>
  <c r="H17" i="9"/>
  <c r="G17" i="9"/>
  <c r="F17" i="9"/>
  <c r="E17" i="9"/>
  <c r="D17" i="9"/>
  <c r="C17" i="9"/>
  <c r="O16" i="9"/>
  <c r="P16" i="9" s="1"/>
  <c r="Q16" i="9" s="1"/>
  <c r="M16" i="9"/>
  <c r="N16" i="9" s="1"/>
  <c r="L16" i="9"/>
  <c r="K16" i="9"/>
  <c r="J16" i="9"/>
  <c r="I16" i="9"/>
  <c r="H16" i="9"/>
  <c r="G16" i="9"/>
  <c r="F16" i="9"/>
  <c r="E16" i="9"/>
  <c r="D16" i="9"/>
  <c r="C16" i="9"/>
  <c r="O15" i="9"/>
  <c r="P15" i="9" s="1"/>
  <c r="Q15" i="9" s="1"/>
  <c r="N15" i="9"/>
  <c r="M15" i="9"/>
  <c r="L15" i="9"/>
  <c r="K15" i="9"/>
  <c r="J15" i="9"/>
  <c r="I15" i="9"/>
  <c r="H15" i="9"/>
  <c r="G15" i="9"/>
  <c r="F15" i="9"/>
  <c r="E15" i="9"/>
  <c r="D15" i="9"/>
  <c r="C15" i="9"/>
  <c r="M14" i="9"/>
  <c r="L14" i="9"/>
  <c r="K14" i="9"/>
  <c r="J14" i="9"/>
  <c r="I14" i="9"/>
  <c r="H14" i="9"/>
  <c r="G14" i="9"/>
  <c r="F14" i="9"/>
  <c r="E14" i="9"/>
  <c r="D14" i="9"/>
  <c r="C14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O12" i="9"/>
  <c r="P12" i="9" s="1"/>
  <c r="Q12" i="9" s="1"/>
  <c r="M12" i="9"/>
  <c r="N12" i="9" s="1"/>
  <c r="L12" i="9"/>
  <c r="K12" i="9"/>
  <c r="J12" i="9"/>
  <c r="I12" i="9"/>
  <c r="H12" i="9"/>
  <c r="G12" i="9"/>
  <c r="F12" i="9"/>
  <c r="E12" i="9"/>
  <c r="D12" i="9"/>
  <c r="C12" i="9"/>
  <c r="O11" i="9"/>
  <c r="P11" i="9" s="1"/>
  <c r="Q11" i="9" s="1"/>
  <c r="N11" i="9"/>
  <c r="M11" i="9"/>
  <c r="L11" i="9"/>
  <c r="K11" i="9"/>
  <c r="J11" i="9"/>
  <c r="I11" i="9"/>
  <c r="H11" i="9"/>
  <c r="G11" i="9"/>
  <c r="F11" i="9"/>
  <c r="E11" i="9"/>
  <c r="D11" i="9"/>
  <c r="C11" i="9"/>
  <c r="M10" i="9"/>
  <c r="C18" i="11" s="1"/>
  <c r="L10" i="9"/>
  <c r="K10" i="9"/>
  <c r="J10" i="9"/>
  <c r="I10" i="9"/>
  <c r="H10" i="9"/>
  <c r="G10" i="9"/>
  <c r="F10" i="9"/>
  <c r="E10" i="9"/>
  <c r="D10" i="9"/>
  <c r="C10" i="9"/>
  <c r="O9" i="9"/>
  <c r="P9" i="9" s="1"/>
  <c r="Q9" i="9" s="1"/>
  <c r="N9" i="9"/>
  <c r="M9" i="9"/>
  <c r="L9" i="9"/>
  <c r="K9" i="9"/>
  <c r="J9" i="9"/>
  <c r="I9" i="9"/>
  <c r="H9" i="9"/>
  <c r="G9" i="9"/>
  <c r="F9" i="9"/>
  <c r="E9" i="9"/>
  <c r="D9" i="9"/>
  <c r="C9" i="9"/>
  <c r="M8" i="9"/>
  <c r="C25" i="11" s="1"/>
  <c r="D22" i="11" s="1"/>
  <c r="L8" i="9"/>
  <c r="K8" i="9"/>
  <c r="J8" i="9"/>
  <c r="I8" i="9"/>
  <c r="H8" i="9"/>
  <c r="G8" i="9"/>
  <c r="F8" i="9"/>
  <c r="E8" i="9"/>
  <c r="D8" i="9"/>
  <c r="C8" i="9"/>
  <c r="M7" i="9"/>
  <c r="C17" i="11" s="1"/>
  <c r="L7" i="9"/>
  <c r="K7" i="9"/>
  <c r="J7" i="9"/>
  <c r="I7" i="9"/>
  <c r="H7" i="9"/>
  <c r="G7" i="9"/>
  <c r="F7" i="9"/>
  <c r="E7" i="9"/>
  <c r="D7" i="9"/>
  <c r="C7" i="9"/>
  <c r="I35" i="8"/>
  <c r="I20" i="17" s="1"/>
  <c r="I21" i="17" s="1"/>
  <c r="F35" i="8"/>
  <c r="F34" i="8"/>
  <c r="F14" i="17" s="1"/>
  <c r="F15" i="17" s="1"/>
  <c r="F28" i="2" s="1"/>
  <c r="C33" i="8"/>
  <c r="M32" i="8"/>
  <c r="M9" i="17" s="1"/>
  <c r="L32" i="8"/>
  <c r="L9" i="17" s="1"/>
  <c r="K32" i="8"/>
  <c r="K9" i="17" s="1"/>
  <c r="J32" i="8"/>
  <c r="J9" i="17" s="1"/>
  <c r="I32" i="8"/>
  <c r="I9" i="17" s="1"/>
  <c r="H32" i="8"/>
  <c r="H9" i="17" s="1"/>
  <c r="G32" i="8"/>
  <c r="G9" i="17" s="1"/>
  <c r="F32" i="8"/>
  <c r="F9" i="17" s="1"/>
  <c r="E32" i="8"/>
  <c r="E9" i="17" s="1"/>
  <c r="D32" i="8"/>
  <c r="D9" i="17" s="1"/>
  <c r="C32" i="8"/>
  <c r="C9" i="17" s="1"/>
  <c r="O31" i="8"/>
  <c r="N31" i="8"/>
  <c r="N8" i="17" s="1"/>
  <c r="M31" i="8"/>
  <c r="M8" i="17" s="1"/>
  <c r="M10" i="17" s="1"/>
  <c r="L31" i="8"/>
  <c r="L8" i="17" s="1"/>
  <c r="L10" i="17" s="1"/>
  <c r="K31" i="8"/>
  <c r="K8" i="17" s="1"/>
  <c r="K10" i="17" s="1"/>
  <c r="J31" i="8"/>
  <c r="I31" i="8"/>
  <c r="I8" i="17" s="1"/>
  <c r="I10" i="17" s="1"/>
  <c r="H31" i="8"/>
  <c r="H8" i="17" s="1"/>
  <c r="H10" i="17" s="1"/>
  <c r="G31" i="8"/>
  <c r="G8" i="17" s="1"/>
  <c r="G10" i="17" s="1"/>
  <c r="F31" i="8"/>
  <c r="F8" i="17" s="1"/>
  <c r="F10" i="17" s="1"/>
  <c r="E31" i="8"/>
  <c r="E8" i="17" s="1"/>
  <c r="E10" i="17" s="1"/>
  <c r="D31" i="8"/>
  <c r="C31" i="8"/>
  <c r="C8" i="17" s="1"/>
  <c r="C10" i="17" s="1"/>
  <c r="K30" i="8"/>
  <c r="M29" i="8"/>
  <c r="L29" i="8"/>
  <c r="L30" i="8" s="1"/>
  <c r="L15" i="2" s="1"/>
  <c r="K29" i="8"/>
  <c r="D63" i="18" s="1"/>
  <c r="J29" i="8"/>
  <c r="I29" i="8"/>
  <c r="I33" i="8" s="1"/>
  <c r="H29" i="8"/>
  <c r="G29" i="8"/>
  <c r="F29" i="8"/>
  <c r="F33" i="8" s="1"/>
  <c r="E29" i="8"/>
  <c r="D45" i="18" s="1"/>
  <c r="D29" i="8"/>
  <c r="D14" i="2" s="1"/>
  <c r="C29" i="8"/>
  <c r="C30" i="8" s="1"/>
  <c r="C15" i="2" s="1"/>
  <c r="Q28" i="8"/>
  <c r="P28" i="8"/>
  <c r="O28" i="8"/>
  <c r="N28" i="8"/>
  <c r="M28" i="8"/>
  <c r="L28" i="8"/>
  <c r="K28" i="8"/>
  <c r="J28" i="8"/>
  <c r="I28" i="8"/>
  <c r="H28" i="8"/>
  <c r="G28" i="8"/>
  <c r="F28" i="8"/>
  <c r="E28" i="8"/>
  <c r="D28" i="8"/>
  <c r="C28" i="8"/>
  <c r="M27" i="8"/>
  <c r="L27" i="8"/>
  <c r="K27" i="8"/>
  <c r="J27" i="8"/>
  <c r="I27" i="8"/>
  <c r="H27" i="8"/>
  <c r="G27" i="8"/>
  <c r="F27" i="8"/>
  <c r="E27" i="8"/>
  <c r="D27" i="8"/>
  <c r="C27" i="8"/>
  <c r="M26" i="8"/>
  <c r="L26" i="8"/>
  <c r="K26" i="8"/>
  <c r="G26" i="8"/>
  <c r="E26" i="8"/>
  <c r="M25" i="8"/>
  <c r="L25" i="8"/>
  <c r="K25" i="8"/>
  <c r="J25" i="8"/>
  <c r="I25" i="8"/>
  <c r="I26" i="8" s="1"/>
  <c r="H25" i="8"/>
  <c r="G25" i="8"/>
  <c r="F25" i="8"/>
  <c r="F26" i="8" s="1"/>
  <c r="E25" i="8"/>
  <c r="D25" i="8"/>
  <c r="C25" i="8"/>
  <c r="C26" i="8" s="1"/>
  <c r="L24" i="8"/>
  <c r="M23" i="8"/>
  <c r="L23" i="8"/>
  <c r="K23" i="8"/>
  <c r="J23" i="8"/>
  <c r="J24" i="8" s="1"/>
  <c r="I23" i="8"/>
  <c r="I24" i="8" s="1"/>
  <c r="H23" i="8"/>
  <c r="G23" i="8"/>
  <c r="F23" i="8"/>
  <c r="F24" i="8" s="1"/>
  <c r="E23" i="8"/>
  <c r="D23" i="8"/>
  <c r="D24" i="8" s="1"/>
  <c r="C23" i="8"/>
  <c r="C24" i="8" s="1"/>
  <c r="Q22" i="8"/>
  <c r="Q13" i="10" s="1"/>
  <c r="P22" i="8"/>
  <c r="P13" i="10" s="1"/>
  <c r="O22" i="8"/>
  <c r="O13" i="10" s="1"/>
  <c r="N22" i="8"/>
  <c r="N13" i="10" s="1"/>
  <c r="M22" i="8"/>
  <c r="L22" i="8"/>
  <c r="K22" i="8"/>
  <c r="J22" i="8"/>
  <c r="I22" i="8"/>
  <c r="H22" i="8"/>
  <c r="G22" i="8"/>
  <c r="F22" i="8"/>
  <c r="E22" i="8"/>
  <c r="D22" i="8"/>
  <c r="C22" i="8"/>
  <c r="N21" i="8"/>
  <c r="N36" i="10" s="1"/>
  <c r="M21" i="8"/>
  <c r="L21" i="8"/>
  <c r="K21" i="8"/>
  <c r="J21" i="8"/>
  <c r="I21" i="8"/>
  <c r="H21" i="8"/>
  <c r="G21" i="8"/>
  <c r="F21" i="8"/>
  <c r="E21" i="8"/>
  <c r="D21" i="8"/>
  <c r="C21" i="8"/>
  <c r="M20" i="8"/>
  <c r="L20" i="8"/>
  <c r="K20" i="8"/>
  <c r="J20" i="8"/>
  <c r="I20" i="8"/>
  <c r="H20" i="8"/>
  <c r="G20" i="8"/>
  <c r="F20" i="8"/>
  <c r="E20" i="8"/>
  <c r="D20" i="8"/>
  <c r="C20" i="8"/>
  <c r="L19" i="8"/>
  <c r="J19" i="8"/>
  <c r="I19" i="8"/>
  <c r="I13" i="2" s="1"/>
  <c r="D19" i="8"/>
  <c r="C19" i="8"/>
  <c r="M18" i="8"/>
  <c r="L18" i="8"/>
  <c r="D65" i="18" s="1"/>
  <c r="K18" i="8"/>
  <c r="J18" i="8"/>
  <c r="D59" i="18" s="1"/>
  <c r="I18" i="8"/>
  <c r="D56" i="18" s="1"/>
  <c r="H18" i="8"/>
  <c r="D53" i="18" s="1"/>
  <c r="G18" i="8"/>
  <c r="F18" i="8"/>
  <c r="D47" i="18" s="1"/>
  <c r="E18" i="8"/>
  <c r="D18" i="8"/>
  <c r="D41" i="18" s="1"/>
  <c r="C18" i="8"/>
  <c r="D38" i="18" s="1"/>
  <c r="M17" i="8"/>
  <c r="C9" i="11" s="1"/>
  <c r="L17" i="8"/>
  <c r="K17" i="8"/>
  <c r="J17" i="8"/>
  <c r="I17" i="8"/>
  <c r="H17" i="8"/>
  <c r="G17" i="8"/>
  <c r="F17" i="8"/>
  <c r="E17" i="8"/>
  <c r="D17" i="8"/>
  <c r="C17" i="8"/>
  <c r="K16" i="8"/>
  <c r="E16" i="8"/>
  <c r="M15" i="8"/>
  <c r="M16" i="17" s="1"/>
  <c r="L15" i="8"/>
  <c r="L16" i="17" s="1"/>
  <c r="K15" i="8"/>
  <c r="K16" i="17" s="1"/>
  <c r="J15" i="8"/>
  <c r="I15" i="8"/>
  <c r="I16" i="17" s="1"/>
  <c r="H15" i="8"/>
  <c r="G15" i="8"/>
  <c r="G16" i="17" s="1"/>
  <c r="F15" i="8"/>
  <c r="F16" i="17" s="1"/>
  <c r="E15" i="8"/>
  <c r="E16" i="17" s="1"/>
  <c r="D15" i="8"/>
  <c r="C15" i="8"/>
  <c r="C16" i="17" s="1"/>
  <c r="M14" i="8"/>
  <c r="L14" i="8"/>
  <c r="K14" i="8"/>
  <c r="J14" i="8"/>
  <c r="I14" i="8"/>
  <c r="H14" i="8"/>
  <c r="G14" i="8"/>
  <c r="F14" i="8"/>
  <c r="E14" i="8"/>
  <c r="D14" i="8"/>
  <c r="C14" i="8"/>
  <c r="M13" i="8"/>
  <c r="L13" i="8"/>
  <c r="K13" i="8"/>
  <c r="J13" i="8"/>
  <c r="I13" i="8"/>
  <c r="H13" i="8"/>
  <c r="G13" i="8"/>
  <c r="F13" i="8"/>
  <c r="E13" i="8"/>
  <c r="D13" i="8"/>
  <c r="C13" i="8"/>
  <c r="M12" i="8"/>
  <c r="L12" i="8"/>
  <c r="K12" i="8"/>
  <c r="J12" i="8"/>
  <c r="I12" i="8"/>
  <c r="H12" i="8"/>
  <c r="G12" i="8"/>
  <c r="F12" i="8"/>
  <c r="E12" i="8"/>
  <c r="D12" i="8"/>
  <c r="C12" i="8"/>
  <c r="J11" i="8"/>
  <c r="D11" i="8"/>
  <c r="M10" i="8"/>
  <c r="M11" i="8" s="1"/>
  <c r="M9" i="2" s="1"/>
  <c r="L10" i="8"/>
  <c r="L11" i="8" s="1"/>
  <c r="L9" i="2" s="1"/>
  <c r="K10" i="8"/>
  <c r="J10" i="8"/>
  <c r="I10" i="8"/>
  <c r="I11" i="8" s="1"/>
  <c r="I9" i="2" s="1"/>
  <c r="H10" i="8"/>
  <c r="G10" i="8"/>
  <c r="G11" i="8" s="1"/>
  <c r="G9" i="2" s="1"/>
  <c r="F10" i="8"/>
  <c r="F11" i="8" s="1"/>
  <c r="F9" i="2" s="1"/>
  <c r="E10" i="8"/>
  <c r="D10" i="8"/>
  <c r="C10" i="8"/>
  <c r="C11" i="8" s="1"/>
  <c r="C9" i="2" s="1"/>
  <c r="M9" i="8"/>
  <c r="L9" i="8"/>
  <c r="K9" i="8"/>
  <c r="J9" i="8"/>
  <c r="I9" i="8"/>
  <c r="H9" i="8"/>
  <c r="G9" i="8"/>
  <c r="F9" i="8"/>
  <c r="E9" i="8"/>
  <c r="D9" i="8"/>
  <c r="C9" i="8"/>
  <c r="L8" i="8"/>
  <c r="M7" i="8"/>
  <c r="M24" i="8" s="1"/>
  <c r="L7" i="8"/>
  <c r="K7" i="8"/>
  <c r="K24" i="8" s="1"/>
  <c r="J7" i="8"/>
  <c r="I7" i="8"/>
  <c r="H7" i="8"/>
  <c r="G7" i="8"/>
  <c r="G30" i="8" s="1"/>
  <c r="G15" i="2" s="1"/>
  <c r="F7" i="8"/>
  <c r="E7" i="8"/>
  <c r="E30" i="8" s="1"/>
  <c r="D7" i="8"/>
  <c r="C7" i="8"/>
  <c r="AJ30" i="7"/>
  <c r="R30" i="7"/>
  <c r="AU29" i="7"/>
  <c r="C72" i="18" s="1"/>
  <c r="E72" i="18" s="1"/>
  <c r="B72" i="18" s="1"/>
  <c r="AT29" i="7"/>
  <c r="AS29" i="7"/>
  <c r="AR29" i="7"/>
  <c r="AR30" i="7" s="1"/>
  <c r="AQ29" i="7"/>
  <c r="AP29" i="7"/>
  <c r="AO29" i="7"/>
  <c r="AO30" i="7" s="1"/>
  <c r="AN29" i="7"/>
  <c r="AM29" i="7"/>
  <c r="AL29" i="7"/>
  <c r="AK29" i="7"/>
  <c r="AJ29" i="7"/>
  <c r="AI29" i="7"/>
  <c r="C63" i="18" s="1"/>
  <c r="E63" i="18" s="1"/>
  <c r="B63" i="18" s="1"/>
  <c r="AH29" i="7"/>
  <c r="AG29" i="7"/>
  <c r="AF29" i="7"/>
  <c r="AE29" i="7"/>
  <c r="AD29" i="7"/>
  <c r="AC29" i="7"/>
  <c r="AC30" i="7" s="1"/>
  <c r="AB29" i="7"/>
  <c r="AA29" i="7"/>
  <c r="Z29" i="7"/>
  <c r="Z30" i="7" s="1"/>
  <c r="Y29" i="7"/>
  <c r="X29" i="7"/>
  <c r="W29" i="7"/>
  <c r="C54" i="18" s="1"/>
  <c r="V29" i="7"/>
  <c r="U29" i="7"/>
  <c r="T29" i="7"/>
  <c r="S29" i="7"/>
  <c r="R29" i="7"/>
  <c r="Q29" i="7"/>
  <c r="Q30" i="7" s="1"/>
  <c r="P29" i="7"/>
  <c r="O29" i="7"/>
  <c r="N29" i="7"/>
  <c r="M29" i="7"/>
  <c r="L29" i="7"/>
  <c r="K29" i="7"/>
  <c r="C45" i="18" s="1"/>
  <c r="E45" i="18" s="1"/>
  <c r="B45" i="18" s="1"/>
  <c r="J29" i="7"/>
  <c r="I29" i="7"/>
  <c r="H29" i="7"/>
  <c r="H30" i="7" s="1"/>
  <c r="G29" i="7"/>
  <c r="F29" i="7"/>
  <c r="E29" i="7"/>
  <c r="E30" i="7" s="1"/>
  <c r="D29" i="7"/>
  <c r="C29" i="7"/>
  <c r="AU28" i="7"/>
  <c r="AT28" i="7"/>
  <c r="AS28" i="7"/>
  <c r="AR28" i="7"/>
  <c r="AQ28" i="7"/>
  <c r="AP28" i="7"/>
  <c r="AO28" i="7"/>
  <c r="AN28" i="7"/>
  <c r="AM28" i="7"/>
  <c r="AL28" i="7"/>
  <c r="AK28" i="7"/>
  <c r="AJ28" i="7"/>
  <c r="AI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S28" i="7"/>
  <c r="R28" i="7"/>
  <c r="Q28" i="7"/>
  <c r="P28" i="7"/>
  <c r="O28" i="7"/>
  <c r="N28" i="7"/>
  <c r="M28" i="7"/>
  <c r="L28" i="7"/>
  <c r="K28" i="7"/>
  <c r="J28" i="7"/>
  <c r="I28" i="7"/>
  <c r="H28" i="7"/>
  <c r="G28" i="7"/>
  <c r="F28" i="7"/>
  <c r="E28" i="7"/>
  <c r="D28" i="7"/>
  <c r="C28" i="7"/>
  <c r="AU27" i="7"/>
  <c r="AT27" i="7"/>
  <c r="AS27" i="7"/>
  <c r="AR27" i="7"/>
  <c r="AQ27" i="7"/>
  <c r="AP27" i="7"/>
  <c r="AO27" i="7"/>
  <c r="AN27" i="7"/>
  <c r="AM27" i="7"/>
  <c r="AL27" i="7"/>
  <c r="AK27" i="7"/>
  <c r="AJ27" i="7"/>
  <c r="AI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V27" i="7"/>
  <c r="U27" i="7"/>
  <c r="T27" i="7"/>
  <c r="S27" i="7"/>
  <c r="R27" i="7"/>
  <c r="Q27" i="7"/>
  <c r="P27" i="7"/>
  <c r="O27" i="7"/>
  <c r="N27" i="7"/>
  <c r="M27" i="7"/>
  <c r="L27" i="7"/>
  <c r="K27" i="7"/>
  <c r="J27" i="7"/>
  <c r="I27" i="7"/>
  <c r="H27" i="7"/>
  <c r="G27" i="7"/>
  <c r="F27" i="7"/>
  <c r="E27" i="7"/>
  <c r="D27" i="7"/>
  <c r="C27" i="7"/>
  <c r="AT26" i="7"/>
  <c r="AP26" i="7"/>
  <c r="AN26" i="7"/>
  <c r="AJ26" i="7"/>
  <c r="AH26" i="7"/>
  <c r="AD26" i="7"/>
  <c r="AB26" i="7"/>
  <c r="X26" i="7"/>
  <c r="V26" i="7"/>
  <c r="R26" i="7"/>
  <c r="P26" i="7"/>
  <c r="L26" i="7"/>
  <c r="J26" i="7"/>
  <c r="F26" i="7"/>
  <c r="D26" i="7"/>
  <c r="AU25" i="7"/>
  <c r="AU26" i="7" s="1"/>
  <c r="AT25" i="7"/>
  <c r="AS25" i="7"/>
  <c r="AR25" i="7"/>
  <c r="AR26" i="7" s="1"/>
  <c r="AQ25" i="7"/>
  <c r="AQ26" i="7" s="1"/>
  <c r="AP25" i="7"/>
  <c r="AO25" i="7"/>
  <c r="AN25" i="7"/>
  <c r="AM25" i="7"/>
  <c r="AL25" i="7"/>
  <c r="AL26" i="7" s="1"/>
  <c r="AK25" i="7"/>
  <c r="AK26" i="7" s="1"/>
  <c r="AJ25" i="7"/>
  <c r="AI25" i="7"/>
  <c r="AI26" i="7" s="1"/>
  <c r="AH25" i="7"/>
  <c r="AG25" i="7"/>
  <c r="AF25" i="7"/>
  <c r="AF26" i="7" s="1"/>
  <c r="AE25" i="7"/>
  <c r="AE26" i="7" s="1"/>
  <c r="AD25" i="7"/>
  <c r="AC25" i="7"/>
  <c r="AC26" i="7" s="1"/>
  <c r="AB25" i="7"/>
  <c r="AA25" i="7"/>
  <c r="Z25" i="7"/>
  <c r="Z26" i="7" s="1"/>
  <c r="Y25" i="7"/>
  <c r="Y26" i="7" s="1"/>
  <c r="X25" i="7"/>
  <c r="W25" i="7"/>
  <c r="V25" i="7"/>
  <c r="U25" i="7"/>
  <c r="T25" i="7"/>
  <c r="T26" i="7" s="1"/>
  <c r="S25" i="7"/>
  <c r="S26" i="7" s="1"/>
  <c r="R25" i="7"/>
  <c r="Q25" i="7"/>
  <c r="Q26" i="7" s="1"/>
  <c r="P25" i="7"/>
  <c r="O25" i="7"/>
  <c r="N25" i="7"/>
  <c r="N26" i="7" s="1"/>
  <c r="M25" i="7"/>
  <c r="M26" i="7" s="1"/>
  <c r="L25" i="7"/>
  <c r="K25" i="7"/>
  <c r="K26" i="7" s="1"/>
  <c r="J25" i="7"/>
  <c r="I25" i="7"/>
  <c r="H25" i="7"/>
  <c r="H26" i="7" s="1"/>
  <c r="G25" i="7"/>
  <c r="G26" i="7" s="1"/>
  <c r="F25" i="7"/>
  <c r="E25" i="7"/>
  <c r="D25" i="7"/>
  <c r="C25" i="7"/>
  <c r="AJ24" i="7"/>
  <c r="AC24" i="7"/>
  <c r="R24" i="7"/>
  <c r="AU23" i="7"/>
  <c r="C71" i="18" s="1"/>
  <c r="E71" i="18" s="1"/>
  <c r="B71" i="18" s="1"/>
  <c r="AT23" i="7"/>
  <c r="AS23" i="7"/>
  <c r="AR23" i="7"/>
  <c r="AR24" i="7" s="1"/>
  <c r="AQ23" i="7"/>
  <c r="AP23" i="7"/>
  <c r="AO23" i="7"/>
  <c r="AO26" i="7" s="1"/>
  <c r="AN23" i="7"/>
  <c r="AM23" i="7"/>
  <c r="AL23" i="7"/>
  <c r="AK23" i="7"/>
  <c r="AJ23" i="7"/>
  <c r="AI23" i="7"/>
  <c r="AI24" i="7" s="1"/>
  <c r="AH23" i="7"/>
  <c r="AG23" i="7"/>
  <c r="AF23" i="7"/>
  <c r="AE23" i="7"/>
  <c r="AD23" i="7"/>
  <c r="AC23" i="7"/>
  <c r="AB23" i="7"/>
  <c r="AA23" i="7"/>
  <c r="Z23" i="7"/>
  <c r="Z24" i="7" s="1"/>
  <c r="Y23" i="7"/>
  <c r="X23" i="7"/>
  <c r="W23" i="7"/>
  <c r="W26" i="7" s="1"/>
  <c r="V23" i="7"/>
  <c r="U23" i="7"/>
  <c r="T23" i="7"/>
  <c r="S23" i="7"/>
  <c r="R23" i="7"/>
  <c r="Q23" i="7"/>
  <c r="Q24" i="7" s="1"/>
  <c r="P23" i="7"/>
  <c r="O23" i="7"/>
  <c r="N23" i="7"/>
  <c r="M23" i="7"/>
  <c r="L23" i="7"/>
  <c r="K23" i="7"/>
  <c r="K24" i="7" s="1"/>
  <c r="J23" i="7"/>
  <c r="I23" i="7"/>
  <c r="H23" i="7"/>
  <c r="H24" i="7" s="1"/>
  <c r="G23" i="7"/>
  <c r="F23" i="7"/>
  <c r="E23" i="7"/>
  <c r="E26" i="7" s="1"/>
  <c r="D23" i="7"/>
  <c r="C23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R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AS19" i="7"/>
  <c r="AG19" i="7"/>
  <c r="AA19" i="7"/>
  <c r="O19" i="7"/>
  <c r="K19" i="7"/>
  <c r="I19" i="7"/>
  <c r="AU18" i="7"/>
  <c r="AU19" i="7" s="1"/>
  <c r="AT18" i="7"/>
  <c r="AS18" i="7"/>
  <c r="AR18" i="7"/>
  <c r="AR19" i="7" s="1"/>
  <c r="AQ18" i="7"/>
  <c r="AP18" i="7"/>
  <c r="AO18" i="7"/>
  <c r="AO19" i="7" s="1"/>
  <c r="AN18" i="7"/>
  <c r="AM18" i="7"/>
  <c r="AL18" i="7"/>
  <c r="AK18" i="7"/>
  <c r="AJ18" i="7"/>
  <c r="AI18" i="7"/>
  <c r="C62" i="18" s="1"/>
  <c r="AH18" i="7"/>
  <c r="AG18" i="7"/>
  <c r="AF18" i="7"/>
  <c r="AE18" i="7"/>
  <c r="AD18" i="7"/>
  <c r="AC18" i="7"/>
  <c r="AC19" i="7" s="1"/>
  <c r="AB18" i="7"/>
  <c r="AA18" i="7"/>
  <c r="Z18" i="7"/>
  <c r="Z19" i="7" s="1"/>
  <c r="Y18" i="7"/>
  <c r="X18" i="7"/>
  <c r="W18" i="7"/>
  <c r="C53" i="18" s="1"/>
  <c r="E53" i="18" s="1"/>
  <c r="B53" i="18" s="1"/>
  <c r="V18" i="7"/>
  <c r="U18" i="7"/>
  <c r="U19" i="7" s="1"/>
  <c r="T18" i="7"/>
  <c r="S18" i="7"/>
  <c r="R18" i="7"/>
  <c r="Q18" i="7"/>
  <c r="Q19" i="7" s="1"/>
  <c r="P18" i="7"/>
  <c r="O18" i="7"/>
  <c r="N18" i="7"/>
  <c r="M18" i="7"/>
  <c r="L18" i="7"/>
  <c r="K18" i="7"/>
  <c r="C44" i="18" s="1"/>
  <c r="J18" i="7"/>
  <c r="I18" i="7"/>
  <c r="H18" i="7"/>
  <c r="H19" i="7" s="1"/>
  <c r="G18" i="7"/>
  <c r="F18" i="7"/>
  <c r="E18" i="7"/>
  <c r="E19" i="7" s="1"/>
  <c r="D18" i="7"/>
  <c r="C18" i="7"/>
  <c r="C19" i="7" s="1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S17" i="7"/>
  <c r="R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AU16" i="7"/>
  <c r="AG16" i="7"/>
  <c r="X16" i="7"/>
  <c r="S16" i="7"/>
  <c r="R16" i="7"/>
  <c r="M16" i="7"/>
  <c r="L16" i="7"/>
  <c r="G16" i="7"/>
  <c r="F16" i="7"/>
  <c r="AU15" i="7"/>
  <c r="AT15" i="7"/>
  <c r="AT16" i="7" s="1"/>
  <c r="AS15" i="7"/>
  <c r="AS16" i="7" s="1"/>
  <c r="AR15" i="7"/>
  <c r="AQ15" i="7"/>
  <c r="AP15" i="7"/>
  <c r="AP16" i="7" s="1"/>
  <c r="AO15" i="7"/>
  <c r="AO16" i="7" s="1"/>
  <c r="AN15" i="7"/>
  <c r="AN16" i="7" s="1"/>
  <c r="AM15" i="7"/>
  <c r="AM16" i="7" s="1"/>
  <c r="AL15" i="7"/>
  <c r="AL16" i="7" s="1"/>
  <c r="AK15" i="7"/>
  <c r="AJ15" i="7"/>
  <c r="AJ16" i="7" s="1"/>
  <c r="AI15" i="7"/>
  <c r="AH15" i="7"/>
  <c r="AH16" i="7" s="1"/>
  <c r="AG15" i="7"/>
  <c r="AF15" i="7"/>
  <c r="AE15" i="7"/>
  <c r="AD15" i="7"/>
  <c r="AD16" i="7" s="1"/>
  <c r="AC15" i="7"/>
  <c r="AB15" i="7"/>
  <c r="AB16" i="7" s="1"/>
  <c r="AA15" i="7"/>
  <c r="AA16" i="7" s="1"/>
  <c r="Z15" i="7"/>
  <c r="Y15" i="7"/>
  <c r="X15" i="7"/>
  <c r="W15" i="7"/>
  <c r="V15" i="7"/>
  <c r="V16" i="7" s="1"/>
  <c r="U15" i="7"/>
  <c r="U16" i="7" s="1"/>
  <c r="T15" i="7"/>
  <c r="T16" i="7" s="1"/>
  <c r="S15" i="7"/>
  <c r="R15" i="7"/>
  <c r="Q15" i="7"/>
  <c r="P15" i="7"/>
  <c r="P16" i="7" s="1"/>
  <c r="O15" i="7"/>
  <c r="O16" i="7" s="1"/>
  <c r="N15" i="7"/>
  <c r="N16" i="7" s="1"/>
  <c r="M15" i="7"/>
  <c r="L15" i="7"/>
  <c r="K15" i="7"/>
  <c r="J15" i="7"/>
  <c r="J16" i="7" s="1"/>
  <c r="I15" i="7"/>
  <c r="I16" i="7" s="1"/>
  <c r="H15" i="7"/>
  <c r="H16" i="7" s="1"/>
  <c r="G15" i="7"/>
  <c r="F15" i="7"/>
  <c r="E15" i="7"/>
  <c r="D15" i="7"/>
  <c r="D16" i="7" s="1"/>
  <c r="C15" i="7"/>
  <c r="C16" i="7" s="1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R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S13" i="7"/>
  <c r="R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R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AT11" i="7"/>
  <c r="AS11" i="7"/>
  <c r="AN11" i="7"/>
  <c r="AM11" i="7"/>
  <c r="AH11" i="7"/>
  <c r="AG11" i="7"/>
  <c r="AB11" i="7"/>
  <c r="AA11" i="7"/>
  <c r="V11" i="7"/>
  <c r="U11" i="7"/>
  <c r="P11" i="7"/>
  <c r="O11" i="7"/>
  <c r="J11" i="7"/>
  <c r="I11" i="7"/>
  <c r="D11" i="7"/>
  <c r="C11" i="7"/>
  <c r="AU10" i="7"/>
  <c r="AU11" i="7" s="1"/>
  <c r="AT10" i="7"/>
  <c r="AS10" i="7"/>
  <c r="AR10" i="7"/>
  <c r="AQ10" i="7"/>
  <c r="AQ11" i="7" s="1"/>
  <c r="AP10" i="7"/>
  <c r="AP11" i="7" s="1"/>
  <c r="AO10" i="7"/>
  <c r="AO11" i="7" s="1"/>
  <c r="AN10" i="7"/>
  <c r="AM10" i="7"/>
  <c r="AL10" i="7"/>
  <c r="AK10" i="7"/>
  <c r="AK11" i="7" s="1"/>
  <c r="AJ10" i="7"/>
  <c r="AJ11" i="7" s="1"/>
  <c r="AI10" i="7"/>
  <c r="AI11" i="7" s="1"/>
  <c r="AH10" i="7"/>
  <c r="AG10" i="7"/>
  <c r="AF10" i="7"/>
  <c r="AE10" i="7"/>
  <c r="AE11" i="7" s="1"/>
  <c r="AD10" i="7"/>
  <c r="AD11" i="7" s="1"/>
  <c r="AC10" i="7"/>
  <c r="AC11" i="7" s="1"/>
  <c r="AB10" i="7"/>
  <c r="AA10" i="7"/>
  <c r="Z10" i="7"/>
  <c r="Y10" i="7"/>
  <c r="Y11" i="7" s="1"/>
  <c r="X10" i="7"/>
  <c r="X11" i="7" s="1"/>
  <c r="W10" i="7"/>
  <c r="W11" i="7" s="1"/>
  <c r="V10" i="7"/>
  <c r="U10" i="7"/>
  <c r="T10" i="7"/>
  <c r="S10" i="7"/>
  <c r="S11" i="7" s="1"/>
  <c r="R10" i="7"/>
  <c r="R11" i="7" s="1"/>
  <c r="Q10" i="7"/>
  <c r="Q11" i="7" s="1"/>
  <c r="P10" i="7"/>
  <c r="O10" i="7"/>
  <c r="N10" i="7"/>
  <c r="M10" i="7"/>
  <c r="M11" i="7" s="1"/>
  <c r="L10" i="7"/>
  <c r="L11" i="7" s="1"/>
  <c r="K10" i="7"/>
  <c r="K11" i="7" s="1"/>
  <c r="J10" i="7"/>
  <c r="I10" i="7"/>
  <c r="H10" i="7"/>
  <c r="G10" i="7"/>
  <c r="G11" i="7" s="1"/>
  <c r="F10" i="7"/>
  <c r="F11" i="7" s="1"/>
  <c r="E10" i="7"/>
  <c r="E11" i="7" s="1"/>
  <c r="D10" i="7"/>
  <c r="C10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S9" i="7"/>
  <c r="R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AQ8" i="7"/>
  <c r="AK8" i="7"/>
  <c r="AE8" i="7"/>
  <c r="Y8" i="7"/>
  <c r="S8" i="7"/>
  <c r="M8" i="7"/>
  <c r="G8" i="7"/>
  <c r="AU7" i="7"/>
  <c r="AP7" i="7"/>
  <c r="AO7" i="7"/>
  <c r="AJ7" i="7"/>
  <c r="AI7" i="7"/>
  <c r="AD7" i="7"/>
  <c r="AC7" i="7"/>
  <c r="X7" i="7"/>
  <c r="W7" i="7"/>
  <c r="R7" i="7"/>
  <c r="Q7" i="7"/>
  <c r="L7" i="7"/>
  <c r="K7" i="7"/>
  <c r="F7" i="7"/>
  <c r="E7" i="7"/>
  <c r="AU6" i="7"/>
  <c r="C70" i="18" s="1"/>
  <c r="E70" i="18" s="1"/>
  <c r="B70" i="18" s="1"/>
  <c r="AT6" i="7"/>
  <c r="AT30" i="7" s="1"/>
  <c r="AS6" i="7"/>
  <c r="AR6" i="7"/>
  <c r="AR11" i="7" s="1"/>
  <c r="AQ6" i="7"/>
  <c r="AQ19" i="7" s="1"/>
  <c r="AP6" i="7"/>
  <c r="AP30" i="7" s="1"/>
  <c r="AO6" i="7"/>
  <c r="AO8" i="7" s="1"/>
  <c r="AN6" i="7"/>
  <c r="AN7" i="7" s="1"/>
  <c r="AM6" i="7"/>
  <c r="AL6" i="7"/>
  <c r="AP8" i="7" s="1"/>
  <c r="AK6" i="7"/>
  <c r="AK19" i="7" s="1"/>
  <c r="AJ6" i="7"/>
  <c r="AI6" i="7"/>
  <c r="AI16" i="7" s="1"/>
  <c r="AH6" i="7"/>
  <c r="AH7" i="7" s="1"/>
  <c r="AG6" i="7"/>
  <c r="AF6" i="7"/>
  <c r="AF16" i="7" s="1"/>
  <c r="AE6" i="7"/>
  <c r="AE19" i="7" s="1"/>
  <c r="AD6" i="7"/>
  <c r="AD30" i="7" s="1"/>
  <c r="AC6" i="7"/>
  <c r="AC8" i="7" s="1"/>
  <c r="AB6" i="7"/>
  <c r="AB30" i="7" s="1"/>
  <c r="AA6" i="7"/>
  <c r="Z6" i="7"/>
  <c r="AD8" i="7" s="1"/>
  <c r="Y6" i="7"/>
  <c r="Y19" i="7" s="1"/>
  <c r="X6" i="7"/>
  <c r="X30" i="7" s="1"/>
  <c r="W6" i="7"/>
  <c r="AA8" i="7" s="1"/>
  <c r="V6" i="7"/>
  <c r="V7" i="7" s="1"/>
  <c r="U6" i="7"/>
  <c r="T6" i="7"/>
  <c r="X8" i="7" s="1"/>
  <c r="S6" i="7"/>
  <c r="S7" i="7" s="1"/>
  <c r="R6" i="7"/>
  <c r="Q6" i="7"/>
  <c r="Q16" i="7" s="1"/>
  <c r="P6" i="7"/>
  <c r="P7" i="7" s="1"/>
  <c r="O6" i="7"/>
  <c r="N6" i="7"/>
  <c r="R8" i="7" s="1"/>
  <c r="M6" i="7"/>
  <c r="M19" i="7" s="1"/>
  <c r="L6" i="7"/>
  <c r="L30" i="7" s="1"/>
  <c r="K6" i="7"/>
  <c r="O8" i="7" s="1"/>
  <c r="J6" i="7"/>
  <c r="J30" i="7" s="1"/>
  <c r="I6" i="7"/>
  <c r="H6" i="7"/>
  <c r="L8" i="7" s="1"/>
  <c r="G6" i="7"/>
  <c r="G19" i="7" s="1"/>
  <c r="F6" i="7"/>
  <c r="F30" i="7" s="1"/>
  <c r="E6" i="7"/>
  <c r="E16" i="7" s="1"/>
  <c r="D6" i="7"/>
  <c r="D7" i="7" s="1"/>
  <c r="C6" i="7"/>
  <c r="M31" i="2"/>
  <c r="L31" i="2"/>
  <c r="K31" i="2"/>
  <c r="J31" i="2"/>
  <c r="I31" i="2"/>
  <c r="H31" i="2"/>
  <c r="G31" i="2"/>
  <c r="F31" i="2"/>
  <c r="E31" i="2"/>
  <c r="D31" i="2"/>
  <c r="C31" i="2"/>
  <c r="M30" i="2"/>
  <c r="L30" i="2"/>
  <c r="K30" i="2"/>
  <c r="J30" i="2"/>
  <c r="I30" i="2"/>
  <c r="H30" i="2"/>
  <c r="G30" i="2"/>
  <c r="F30" i="2"/>
  <c r="E30" i="2"/>
  <c r="D30" i="2"/>
  <c r="C30" i="2"/>
  <c r="Q27" i="2"/>
  <c r="P27" i="2"/>
  <c r="O27" i="2"/>
  <c r="N27" i="2"/>
  <c r="M27" i="2"/>
  <c r="L27" i="2"/>
  <c r="K27" i="2"/>
  <c r="J27" i="2"/>
  <c r="I27" i="2"/>
  <c r="H27" i="2"/>
  <c r="G27" i="2"/>
  <c r="F27" i="2"/>
  <c r="E27" i="2"/>
  <c r="D27" i="2"/>
  <c r="C27" i="2"/>
  <c r="M26" i="2"/>
  <c r="L26" i="2"/>
  <c r="K26" i="2"/>
  <c r="J26" i="2"/>
  <c r="I26" i="2"/>
  <c r="H26" i="2"/>
  <c r="G26" i="2"/>
  <c r="F26" i="2"/>
  <c r="E26" i="2"/>
  <c r="D26" i="2"/>
  <c r="C26" i="2"/>
  <c r="M25" i="2"/>
  <c r="L25" i="2"/>
  <c r="I25" i="2"/>
  <c r="H25" i="2"/>
  <c r="G25" i="2"/>
  <c r="F25" i="2"/>
  <c r="C25" i="2"/>
  <c r="M24" i="2"/>
  <c r="L24" i="2"/>
  <c r="K24" i="2"/>
  <c r="J24" i="2"/>
  <c r="I24" i="2"/>
  <c r="H24" i="2"/>
  <c r="G24" i="2"/>
  <c r="F24" i="2"/>
  <c r="E24" i="2"/>
  <c r="D24" i="2"/>
  <c r="C24" i="2"/>
  <c r="N23" i="2"/>
  <c r="M23" i="2"/>
  <c r="L23" i="2"/>
  <c r="K23" i="2"/>
  <c r="J23" i="2"/>
  <c r="I23" i="2"/>
  <c r="H23" i="2"/>
  <c r="G23" i="2"/>
  <c r="F23" i="2"/>
  <c r="E23" i="2"/>
  <c r="D23" i="2"/>
  <c r="C23" i="2"/>
  <c r="K22" i="2"/>
  <c r="E22" i="2"/>
  <c r="D22" i="2"/>
  <c r="M21" i="2"/>
  <c r="L21" i="2"/>
  <c r="K21" i="2"/>
  <c r="J21" i="2"/>
  <c r="I21" i="2"/>
  <c r="H21" i="2"/>
  <c r="G21" i="2"/>
  <c r="F21" i="2"/>
  <c r="E21" i="2"/>
  <c r="D21" i="2"/>
  <c r="C21" i="2"/>
  <c r="M19" i="2"/>
  <c r="L19" i="2"/>
  <c r="K19" i="2"/>
  <c r="J19" i="2"/>
  <c r="H19" i="2"/>
  <c r="G19" i="2"/>
  <c r="F19" i="2"/>
  <c r="E19" i="2"/>
  <c r="D19" i="2"/>
  <c r="L18" i="2"/>
  <c r="J18" i="2"/>
  <c r="I18" i="2"/>
  <c r="F18" i="2"/>
  <c r="E18" i="2"/>
  <c r="D18" i="2"/>
  <c r="C18" i="2"/>
  <c r="M17" i="2"/>
  <c r="L17" i="2"/>
  <c r="K17" i="2"/>
  <c r="J17" i="2"/>
  <c r="I17" i="2"/>
  <c r="H17" i="2"/>
  <c r="G17" i="2"/>
  <c r="F17" i="2"/>
  <c r="E17" i="2"/>
  <c r="D17" i="2"/>
  <c r="C17" i="2"/>
  <c r="K15" i="2"/>
  <c r="E15" i="2"/>
  <c r="M14" i="2"/>
  <c r="L14" i="2"/>
  <c r="K14" i="2"/>
  <c r="I14" i="2"/>
  <c r="H14" i="2"/>
  <c r="G14" i="2"/>
  <c r="F14" i="2"/>
  <c r="E14" i="2"/>
  <c r="C14" i="2"/>
  <c r="L13" i="2"/>
  <c r="J13" i="2"/>
  <c r="D13" i="2"/>
  <c r="C13" i="2"/>
  <c r="M12" i="2"/>
  <c r="L12" i="2"/>
  <c r="K12" i="2"/>
  <c r="J12" i="2"/>
  <c r="I12" i="2"/>
  <c r="H12" i="2"/>
  <c r="G12" i="2"/>
  <c r="F12" i="2"/>
  <c r="E12" i="2"/>
  <c r="D12" i="2"/>
  <c r="C12" i="2"/>
  <c r="K11" i="2"/>
  <c r="E11" i="2"/>
  <c r="M10" i="2"/>
  <c r="L10" i="2"/>
  <c r="K10" i="2"/>
  <c r="I10" i="2"/>
  <c r="H10" i="2"/>
  <c r="G10" i="2"/>
  <c r="F10" i="2"/>
  <c r="E10" i="2"/>
  <c r="C10" i="2"/>
  <c r="J9" i="2"/>
  <c r="D9" i="2"/>
  <c r="L8" i="2"/>
  <c r="C8" i="2"/>
  <c r="M7" i="2"/>
  <c r="L7" i="2"/>
  <c r="K7" i="2"/>
  <c r="J7" i="2"/>
  <c r="I7" i="2"/>
  <c r="G7" i="2"/>
  <c r="F7" i="2"/>
  <c r="E7" i="2"/>
  <c r="D7" i="2"/>
  <c r="C7" i="2"/>
  <c r="Z16" i="7" l="1"/>
  <c r="AL24" i="7"/>
  <c r="K30" i="7"/>
  <c r="AU30" i="7"/>
  <c r="D52" i="18"/>
  <c r="H31" i="15"/>
  <c r="H32" i="15"/>
  <c r="H47" i="13"/>
  <c r="H17" i="15"/>
  <c r="H27" i="13"/>
  <c r="H21" i="13"/>
  <c r="H13" i="13"/>
  <c r="H39" i="12"/>
  <c r="H22" i="12"/>
  <c r="H9" i="12"/>
  <c r="H8" i="8"/>
  <c r="H8" i="2" s="1"/>
  <c r="I8" i="8"/>
  <c r="I8" i="2" s="1"/>
  <c r="D16" i="17"/>
  <c r="D16" i="8"/>
  <c r="D11" i="2" s="1"/>
  <c r="J16" i="17"/>
  <c r="J16" i="8"/>
  <c r="J11" i="2" s="1"/>
  <c r="D60" i="18"/>
  <c r="J30" i="10"/>
  <c r="J33" i="8"/>
  <c r="J34" i="8"/>
  <c r="J30" i="8"/>
  <c r="J15" i="2" s="1"/>
  <c r="D8" i="17"/>
  <c r="D10" i="17" s="1"/>
  <c r="D35" i="8"/>
  <c r="J8" i="17"/>
  <c r="J10" i="17" s="1"/>
  <c r="J35" i="8"/>
  <c r="J12" i="17"/>
  <c r="J62" i="9"/>
  <c r="J20" i="2" s="1"/>
  <c r="C18" i="18"/>
  <c r="E18" i="18" s="1"/>
  <c r="B18" i="18" s="1"/>
  <c r="H58" i="10"/>
  <c r="C37" i="18"/>
  <c r="E37" i="18" s="1"/>
  <c r="B37" i="18" s="1"/>
  <c r="C46" i="18"/>
  <c r="C55" i="18"/>
  <c r="E55" i="18" s="1"/>
  <c r="B55" i="18" s="1"/>
  <c r="C64" i="18"/>
  <c r="G7" i="7"/>
  <c r="M7" i="7"/>
  <c r="Y7" i="7"/>
  <c r="AE7" i="7"/>
  <c r="AK7" i="7"/>
  <c r="AQ7" i="7"/>
  <c r="H8" i="7"/>
  <c r="N8" i="7"/>
  <c r="T8" i="7"/>
  <c r="Z8" i="7"/>
  <c r="AF8" i="7"/>
  <c r="AL8" i="7"/>
  <c r="AR8" i="7"/>
  <c r="F19" i="7"/>
  <c r="L19" i="7"/>
  <c r="R19" i="7"/>
  <c r="X19" i="7"/>
  <c r="AD19" i="7"/>
  <c r="AJ19" i="7"/>
  <c r="AP19" i="7"/>
  <c r="AM19" i="7"/>
  <c r="D24" i="7"/>
  <c r="L24" i="7"/>
  <c r="V24" i="7"/>
  <c r="AD24" i="7"/>
  <c r="AN24" i="7"/>
  <c r="C26" i="7"/>
  <c r="I26" i="7"/>
  <c r="O26" i="7"/>
  <c r="U26" i="7"/>
  <c r="AA26" i="7"/>
  <c r="AG26" i="7"/>
  <c r="AM26" i="7"/>
  <c r="AS26" i="7"/>
  <c r="D30" i="7"/>
  <c r="V30" i="7"/>
  <c r="AN30" i="7"/>
  <c r="D37" i="18"/>
  <c r="C31" i="15"/>
  <c r="C32" i="15"/>
  <c r="C17" i="15"/>
  <c r="C47" i="13"/>
  <c r="C25" i="13"/>
  <c r="C39" i="12"/>
  <c r="C15" i="13"/>
  <c r="C22" i="12"/>
  <c r="C9" i="13"/>
  <c r="C11" i="12"/>
  <c r="C17" i="12"/>
  <c r="D8" i="8"/>
  <c r="D8" i="2" s="1"/>
  <c r="D55" i="18"/>
  <c r="I31" i="15"/>
  <c r="I32" i="15"/>
  <c r="I47" i="13"/>
  <c r="I48" i="13" s="1"/>
  <c r="I17" i="15"/>
  <c r="I21" i="13"/>
  <c r="I39" i="12"/>
  <c r="I23" i="13"/>
  <c r="I15" i="13"/>
  <c r="I25" i="13"/>
  <c r="I11" i="12"/>
  <c r="I9" i="13"/>
  <c r="I27" i="13"/>
  <c r="I22" i="12"/>
  <c r="J8" i="8"/>
  <c r="J8" i="2" s="1"/>
  <c r="K8" i="8"/>
  <c r="K8" i="2" s="1"/>
  <c r="C16" i="8"/>
  <c r="C11" i="2" s="1"/>
  <c r="L16" i="8"/>
  <c r="L11" i="2" s="1"/>
  <c r="D26" i="8"/>
  <c r="J26" i="8"/>
  <c r="I34" i="8"/>
  <c r="L35" i="8"/>
  <c r="E12" i="17"/>
  <c r="E62" i="9"/>
  <c r="E20" i="2" s="1"/>
  <c r="K43" i="9"/>
  <c r="J14" i="10"/>
  <c r="E53" i="10"/>
  <c r="E54" i="10" s="1"/>
  <c r="I9" i="12"/>
  <c r="D10" i="2"/>
  <c r="J10" i="2"/>
  <c r="J14" i="2"/>
  <c r="H7" i="7"/>
  <c r="N7" i="7"/>
  <c r="T7" i="7"/>
  <c r="Z7" i="7"/>
  <c r="AF7" i="7"/>
  <c r="AL7" i="7"/>
  <c r="AR7" i="7"/>
  <c r="I8" i="7"/>
  <c r="U8" i="7"/>
  <c r="AG8" i="7"/>
  <c r="AM8" i="7"/>
  <c r="AS8" i="7"/>
  <c r="N19" i="7"/>
  <c r="W19" i="7"/>
  <c r="AF19" i="7"/>
  <c r="G24" i="7"/>
  <c r="M24" i="7"/>
  <c r="S24" i="7"/>
  <c r="Y24" i="7"/>
  <c r="AE24" i="7"/>
  <c r="AK24" i="7"/>
  <c r="AQ24" i="7"/>
  <c r="E24" i="7"/>
  <c r="N24" i="7"/>
  <c r="W24" i="7"/>
  <c r="AF24" i="7"/>
  <c r="AO24" i="7"/>
  <c r="C42" i="18"/>
  <c r="G30" i="7"/>
  <c r="M30" i="7"/>
  <c r="C51" i="18"/>
  <c r="E51" i="18" s="1"/>
  <c r="B51" i="18" s="1"/>
  <c r="S30" i="7"/>
  <c r="Y30" i="7"/>
  <c r="C60" i="18"/>
  <c r="E60" i="18" s="1"/>
  <c r="B60" i="18" s="1"/>
  <c r="AE30" i="7"/>
  <c r="AK30" i="7"/>
  <c r="C69" i="18"/>
  <c r="AQ30" i="7"/>
  <c r="N30" i="7"/>
  <c r="W30" i="7"/>
  <c r="AF30" i="7"/>
  <c r="M16" i="8"/>
  <c r="M11" i="2" s="1"/>
  <c r="D48" i="18"/>
  <c r="F30" i="10"/>
  <c r="D66" i="18"/>
  <c r="L30" i="10"/>
  <c r="M30" i="8"/>
  <c r="M15" i="2" s="1"/>
  <c r="F13" i="17"/>
  <c r="F17" i="17" s="1"/>
  <c r="F29" i="2" s="1"/>
  <c r="F19" i="17"/>
  <c r="L19" i="17"/>
  <c r="L13" i="17"/>
  <c r="L17" i="17" s="1"/>
  <c r="L29" i="2" s="1"/>
  <c r="L34" i="8"/>
  <c r="N12" i="10"/>
  <c r="E60" i="10"/>
  <c r="I17" i="12"/>
  <c r="K18" i="2"/>
  <c r="C43" i="18"/>
  <c r="C52" i="18"/>
  <c r="C61" i="18"/>
  <c r="I7" i="7"/>
  <c r="O7" i="7"/>
  <c r="U7" i="7"/>
  <c r="AA7" i="7"/>
  <c r="AG7" i="7"/>
  <c r="AM7" i="7"/>
  <c r="AS7" i="7"/>
  <c r="J8" i="7"/>
  <c r="P8" i="7"/>
  <c r="V8" i="7"/>
  <c r="AB8" i="7"/>
  <c r="AH8" i="7"/>
  <c r="AN8" i="7"/>
  <c r="AT8" i="7"/>
  <c r="Y16" i="7"/>
  <c r="AE16" i="7"/>
  <c r="AK16" i="7"/>
  <c r="AQ16" i="7"/>
  <c r="AC16" i="7"/>
  <c r="AR16" i="7"/>
  <c r="F24" i="7"/>
  <c r="P24" i="7"/>
  <c r="X24" i="7"/>
  <c r="AH24" i="7"/>
  <c r="AP24" i="7"/>
  <c r="P30" i="7"/>
  <c r="AH30" i="7"/>
  <c r="D43" i="18"/>
  <c r="E32" i="15"/>
  <c r="E17" i="15"/>
  <c r="E31" i="15"/>
  <c r="E47" i="13"/>
  <c r="E45" i="13"/>
  <c r="E43" i="13"/>
  <c r="E41" i="13"/>
  <c r="E39" i="13"/>
  <c r="E37" i="13"/>
  <c r="E35" i="13"/>
  <c r="E33" i="13"/>
  <c r="E11" i="13"/>
  <c r="E13" i="13"/>
  <c r="E22" i="12"/>
  <c r="E39" i="12"/>
  <c r="E15" i="12"/>
  <c r="E13" i="12"/>
  <c r="E9" i="12"/>
  <c r="D61" i="18"/>
  <c r="K32" i="15"/>
  <c r="K17" i="15"/>
  <c r="K31" i="15"/>
  <c r="K47" i="13"/>
  <c r="K43" i="13"/>
  <c r="K37" i="13"/>
  <c r="K39" i="12"/>
  <c r="K22" i="12"/>
  <c r="K41" i="13"/>
  <c r="K35" i="13"/>
  <c r="K45" i="13"/>
  <c r="K39" i="13"/>
  <c r="K33" i="13"/>
  <c r="K21" i="13"/>
  <c r="E8" i="8"/>
  <c r="E8" i="2" s="1"/>
  <c r="M8" i="8"/>
  <c r="M8" i="2" s="1"/>
  <c r="F16" i="8"/>
  <c r="F11" i="2" s="1"/>
  <c r="D44" i="18"/>
  <c r="E44" i="18" s="1"/>
  <c r="B44" i="18" s="1"/>
  <c r="E19" i="8"/>
  <c r="E13" i="2" s="1"/>
  <c r="D62" i="18"/>
  <c r="K19" i="8"/>
  <c r="K13" i="2" s="1"/>
  <c r="E24" i="8"/>
  <c r="F30" i="8"/>
  <c r="F15" i="2" s="1"/>
  <c r="L33" i="8"/>
  <c r="P35" i="9"/>
  <c r="G48" i="11"/>
  <c r="Q35" i="9" s="1"/>
  <c r="G60" i="9"/>
  <c r="G43" i="9"/>
  <c r="M60" i="9"/>
  <c r="M43" i="9"/>
  <c r="H51" i="10"/>
  <c r="H27" i="10"/>
  <c r="H30" i="10"/>
  <c r="H14" i="10"/>
  <c r="H59" i="10"/>
  <c r="K51" i="10"/>
  <c r="G15" i="12"/>
  <c r="E62" i="18"/>
  <c r="B62" i="18" s="1"/>
  <c r="T19" i="7"/>
  <c r="AL19" i="7"/>
  <c r="T24" i="7"/>
  <c r="AU24" i="7"/>
  <c r="T30" i="7"/>
  <c r="AL30" i="7"/>
  <c r="H11" i="8"/>
  <c r="H9" i="2" s="1"/>
  <c r="H7" i="2"/>
  <c r="F16" i="2"/>
  <c r="C19" i="2"/>
  <c r="I19" i="2"/>
  <c r="J7" i="7"/>
  <c r="AB7" i="7"/>
  <c r="AT7" i="7"/>
  <c r="K8" i="7"/>
  <c r="Q8" i="7"/>
  <c r="W8" i="7"/>
  <c r="AI8" i="7"/>
  <c r="AU8" i="7"/>
  <c r="H11" i="7"/>
  <c r="N11" i="7"/>
  <c r="T11" i="7"/>
  <c r="Z11" i="7"/>
  <c r="AF11" i="7"/>
  <c r="AL11" i="7"/>
  <c r="K16" i="7"/>
  <c r="W16" i="7"/>
  <c r="C38" i="18"/>
  <c r="E38" i="18" s="1"/>
  <c r="B38" i="18" s="1"/>
  <c r="C47" i="18"/>
  <c r="E47" i="18" s="1"/>
  <c r="B47" i="18" s="1"/>
  <c r="C56" i="18"/>
  <c r="E56" i="18" s="1"/>
  <c r="B56" i="18" s="1"/>
  <c r="AI19" i="7"/>
  <c r="C24" i="7"/>
  <c r="I24" i="7"/>
  <c r="O24" i="7"/>
  <c r="U24" i="7"/>
  <c r="AA24" i="7"/>
  <c r="AG24" i="7"/>
  <c r="AM24" i="7"/>
  <c r="AS24" i="7"/>
  <c r="C39" i="18"/>
  <c r="C30" i="7"/>
  <c r="I30" i="7"/>
  <c r="C48" i="18"/>
  <c r="O30" i="7"/>
  <c r="U30" i="7"/>
  <c r="C57" i="18"/>
  <c r="AA30" i="7"/>
  <c r="AG30" i="7"/>
  <c r="C66" i="18"/>
  <c r="E66" i="18" s="1"/>
  <c r="B66" i="18" s="1"/>
  <c r="AM30" i="7"/>
  <c r="AS30" i="7"/>
  <c r="AI30" i="7"/>
  <c r="F8" i="8"/>
  <c r="F8" i="2" s="1"/>
  <c r="E11" i="8"/>
  <c r="E9" i="2" s="1"/>
  <c r="K11" i="8"/>
  <c r="K9" i="2" s="1"/>
  <c r="H16" i="17"/>
  <c r="H16" i="8"/>
  <c r="H11" i="2" s="1"/>
  <c r="G16" i="8"/>
  <c r="G11" i="2" s="1"/>
  <c r="F19" i="8"/>
  <c r="F13" i="2" s="1"/>
  <c r="D54" i="18"/>
  <c r="E54" i="18" s="1"/>
  <c r="B54" i="18" s="1"/>
  <c r="H34" i="8"/>
  <c r="H30" i="8"/>
  <c r="H15" i="2" s="1"/>
  <c r="H33" i="8"/>
  <c r="H19" i="17"/>
  <c r="C35" i="8"/>
  <c r="I36" i="8"/>
  <c r="H12" i="17"/>
  <c r="H13" i="17" s="1"/>
  <c r="H17" i="17" s="1"/>
  <c r="H29" i="2" s="1"/>
  <c r="H62" i="9"/>
  <c r="H20" i="2" s="1"/>
  <c r="K14" i="10"/>
  <c r="H38" i="10"/>
  <c r="D42" i="18"/>
  <c r="D33" i="8"/>
  <c r="D30" i="10"/>
  <c r="D34" i="8"/>
  <c r="D30" i="8"/>
  <c r="D15" i="2" s="1"/>
  <c r="C40" i="18"/>
  <c r="C49" i="18"/>
  <c r="C58" i="18"/>
  <c r="E58" i="18" s="1"/>
  <c r="B58" i="18" s="1"/>
  <c r="C67" i="18"/>
  <c r="AJ8" i="7"/>
  <c r="D19" i="7"/>
  <c r="J19" i="7"/>
  <c r="P19" i="7"/>
  <c r="V19" i="7"/>
  <c r="AB19" i="7"/>
  <c r="AH19" i="7"/>
  <c r="AN19" i="7"/>
  <c r="AT19" i="7"/>
  <c r="S19" i="7"/>
  <c r="J24" i="7"/>
  <c r="AB24" i="7"/>
  <c r="AT24" i="7"/>
  <c r="D49" i="18"/>
  <c r="G17" i="15"/>
  <c r="G31" i="15"/>
  <c r="G32" i="15"/>
  <c r="G47" i="13"/>
  <c r="G11" i="13"/>
  <c r="G39" i="12"/>
  <c r="G15" i="13"/>
  <c r="G19" i="12"/>
  <c r="G22" i="12"/>
  <c r="G17" i="12"/>
  <c r="D67" i="18"/>
  <c r="M17" i="15"/>
  <c r="M31" i="15"/>
  <c r="M32" i="15"/>
  <c r="M47" i="13"/>
  <c r="M48" i="13" s="1"/>
  <c r="M39" i="12"/>
  <c r="M22" i="12"/>
  <c r="M23" i="13"/>
  <c r="C8" i="11"/>
  <c r="G8" i="8"/>
  <c r="G8" i="2" s="1"/>
  <c r="I16" i="8"/>
  <c r="I11" i="2" s="1"/>
  <c r="D50" i="18"/>
  <c r="G19" i="8"/>
  <c r="G13" i="2" s="1"/>
  <c r="D68" i="18"/>
  <c r="M19" i="8"/>
  <c r="M13" i="2" s="1"/>
  <c r="H19" i="8"/>
  <c r="H13" i="2" s="1"/>
  <c r="H24" i="8"/>
  <c r="G24" i="8"/>
  <c r="H26" i="8"/>
  <c r="D39" i="18"/>
  <c r="C61" i="10"/>
  <c r="D57" i="18"/>
  <c r="I61" i="10"/>
  <c r="I30" i="8"/>
  <c r="I15" i="2" s="1"/>
  <c r="C19" i="17"/>
  <c r="I19" i="17"/>
  <c r="O8" i="17"/>
  <c r="O10" i="17" s="1"/>
  <c r="P31" i="8"/>
  <c r="C34" i="8"/>
  <c r="F20" i="17"/>
  <c r="F21" i="17" s="1"/>
  <c r="F36" i="8"/>
  <c r="D11" i="18"/>
  <c r="E59" i="9"/>
  <c r="D23" i="18"/>
  <c r="K59" i="9"/>
  <c r="E9" i="18"/>
  <c r="B9" i="18" s="1"/>
  <c r="D28" i="11"/>
  <c r="N44" i="10" s="1"/>
  <c r="H61" i="10"/>
  <c r="H35" i="8"/>
  <c r="G9" i="12"/>
  <c r="C65" i="18"/>
  <c r="E65" i="18" s="1"/>
  <c r="B65" i="18" s="1"/>
  <c r="D46" i="18"/>
  <c r="F32" i="15"/>
  <c r="F17" i="15"/>
  <c r="F31" i="15"/>
  <c r="F47" i="13"/>
  <c r="F48" i="13" s="1"/>
  <c r="F45" i="13"/>
  <c r="F43" i="13"/>
  <c r="F41" i="13"/>
  <c r="F39" i="13"/>
  <c r="F37" i="13"/>
  <c r="F35" i="13"/>
  <c r="F33" i="13"/>
  <c r="F22" i="12"/>
  <c r="F9" i="13"/>
  <c r="F13" i="13"/>
  <c r="F39" i="12"/>
  <c r="F17" i="12"/>
  <c r="D64" i="18"/>
  <c r="L32" i="15"/>
  <c r="L17" i="15"/>
  <c r="L31" i="15"/>
  <c r="L47" i="13"/>
  <c r="L48" i="13" s="1"/>
  <c r="L45" i="13"/>
  <c r="L22" i="12"/>
  <c r="L43" i="13"/>
  <c r="L41" i="13"/>
  <c r="L39" i="13"/>
  <c r="L37" i="13"/>
  <c r="L35" i="13"/>
  <c r="L33" i="13"/>
  <c r="L21" i="13"/>
  <c r="L39" i="12"/>
  <c r="L32" i="12"/>
  <c r="L34" i="12"/>
  <c r="L36" i="12"/>
  <c r="L30" i="12"/>
  <c r="D51" i="18"/>
  <c r="G61" i="10"/>
  <c r="D69" i="18"/>
  <c r="M61" i="10"/>
  <c r="G19" i="17"/>
  <c r="G33" i="8"/>
  <c r="M33" i="8"/>
  <c r="G35" i="8"/>
  <c r="M35" i="8"/>
  <c r="G11" i="17"/>
  <c r="M11" i="17"/>
  <c r="D13" i="18"/>
  <c r="D25" i="18"/>
  <c r="E25" i="18" s="1"/>
  <c r="B25" i="18" s="1"/>
  <c r="L59" i="9"/>
  <c r="E43" i="9"/>
  <c r="E58" i="9"/>
  <c r="C11" i="18" s="1"/>
  <c r="E11" i="18" s="1"/>
  <c r="B11" i="18" s="1"/>
  <c r="H59" i="9"/>
  <c r="K60" i="9"/>
  <c r="K27" i="10"/>
  <c r="C60" i="10"/>
  <c r="I60" i="10"/>
  <c r="E58" i="10"/>
  <c r="D11" i="12"/>
  <c r="J11" i="12"/>
  <c r="H15" i="12"/>
  <c r="F19" i="12"/>
  <c r="E34" i="8"/>
  <c r="K34" i="8"/>
  <c r="C60" i="9"/>
  <c r="C43" i="9"/>
  <c r="I60" i="9"/>
  <c r="I43" i="9"/>
  <c r="F58" i="9"/>
  <c r="C13" i="18" s="1"/>
  <c r="D60" i="10"/>
  <c r="J60" i="10"/>
  <c r="G38" i="10"/>
  <c r="M38" i="10"/>
  <c r="D61" i="10"/>
  <c r="J61" i="10"/>
  <c r="C20" i="12"/>
  <c r="C9" i="12"/>
  <c r="F11" i="12"/>
  <c r="P21" i="12"/>
  <c r="G20" i="12"/>
  <c r="E17" i="12"/>
  <c r="I20" i="12"/>
  <c r="C11" i="17"/>
  <c r="I11" i="17"/>
  <c r="D33" i="9"/>
  <c r="J33" i="9"/>
  <c r="H43" i="9"/>
  <c r="E30" i="10"/>
  <c r="E12" i="18"/>
  <c r="B12" i="18" s="1"/>
  <c r="E24" i="18"/>
  <c r="B24" i="18" s="1"/>
  <c r="K58" i="10"/>
  <c r="D15" i="12"/>
  <c r="J15" i="12"/>
  <c r="H19" i="12"/>
  <c r="G34" i="8"/>
  <c r="M34" i="8"/>
  <c r="P13" i="9"/>
  <c r="C59" i="11"/>
  <c r="M57" i="10"/>
  <c r="D28" i="18" s="1"/>
  <c r="E28" i="18" s="1"/>
  <c r="B28" i="18" s="1"/>
  <c r="M33" i="9"/>
  <c r="O35" i="9"/>
  <c r="D62" i="9"/>
  <c r="D20" i="2" s="1"/>
  <c r="L62" i="9"/>
  <c r="L20" i="2" s="1"/>
  <c r="F60" i="10"/>
  <c r="L60" i="10"/>
  <c r="F61" i="10"/>
  <c r="L61" i="10"/>
  <c r="D49" i="10"/>
  <c r="J49" i="10"/>
  <c r="G11" i="12"/>
  <c r="C13" i="12"/>
  <c r="I13" i="12"/>
  <c r="F15" i="12"/>
  <c r="C19" i="12"/>
  <c r="I19" i="12"/>
  <c r="C41" i="18"/>
  <c r="E41" i="18" s="1"/>
  <c r="B41" i="18" s="1"/>
  <c r="C50" i="18"/>
  <c r="E50" i="18" s="1"/>
  <c r="B50" i="18" s="1"/>
  <c r="C59" i="18"/>
  <c r="E59" i="18" s="1"/>
  <c r="B59" i="18" s="1"/>
  <c r="C68" i="18"/>
  <c r="E68" i="18" s="1"/>
  <c r="B68" i="18" s="1"/>
  <c r="D40" i="18"/>
  <c r="D32" i="15"/>
  <c r="D17" i="15"/>
  <c r="D47" i="13"/>
  <c r="D48" i="13" s="1"/>
  <c r="D31" i="15"/>
  <c r="D39" i="12"/>
  <c r="D9" i="13"/>
  <c r="D13" i="12"/>
  <c r="D22" i="12"/>
  <c r="D11" i="13"/>
  <c r="D58" i="18"/>
  <c r="J32" i="15"/>
  <c r="J17" i="15"/>
  <c r="J47" i="13"/>
  <c r="J48" i="13" s="1"/>
  <c r="J31" i="15"/>
  <c r="J21" i="13"/>
  <c r="J39" i="12"/>
  <c r="J23" i="13"/>
  <c r="J9" i="13"/>
  <c r="J22" i="12"/>
  <c r="J11" i="13"/>
  <c r="E19" i="17"/>
  <c r="E13" i="17"/>
  <c r="E17" i="17" s="1"/>
  <c r="E29" i="2" s="1"/>
  <c r="K19" i="17"/>
  <c r="N32" i="8"/>
  <c r="E33" i="8"/>
  <c r="K33" i="8"/>
  <c r="E35" i="8"/>
  <c r="K35" i="8"/>
  <c r="E11" i="17"/>
  <c r="K11" i="17"/>
  <c r="D9" i="18"/>
  <c r="D59" i="9"/>
  <c r="D21" i="18"/>
  <c r="E21" i="18" s="1"/>
  <c r="B21" i="18" s="1"/>
  <c r="J59" i="9"/>
  <c r="F33" i="9"/>
  <c r="L33" i="9"/>
  <c r="K58" i="9"/>
  <c r="C23" i="18" s="1"/>
  <c r="E23" i="18" s="1"/>
  <c r="B23" i="18" s="1"/>
  <c r="G30" i="10"/>
  <c r="G14" i="10"/>
  <c r="G59" i="10"/>
  <c r="G51" i="10"/>
  <c r="M30" i="10"/>
  <c r="M14" i="10"/>
  <c r="M59" i="10"/>
  <c r="M51" i="10"/>
  <c r="C58" i="11"/>
  <c r="D53" i="11" s="1"/>
  <c r="F23" i="12"/>
  <c r="H11" i="12"/>
  <c r="D19" i="12"/>
  <c r="H17" i="12"/>
  <c r="D20" i="12"/>
  <c r="L28" i="12"/>
  <c r="L38" i="12" s="1"/>
  <c r="L40" i="12" s="1"/>
  <c r="M30" i="12"/>
  <c r="H15" i="13"/>
  <c r="M21" i="13"/>
  <c r="M28" i="13"/>
  <c r="C111" i="18" s="1"/>
  <c r="E111" i="18" s="1"/>
  <c r="B111" i="18" s="1"/>
  <c r="N20" i="13"/>
  <c r="C58" i="9"/>
  <c r="I58" i="9"/>
  <c r="C14" i="10"/>
  <c r="I14" i="10"/>
  <c r="C30" i="10"/>
  <c r="I30" i="10"/>
  <c r="F51" i="10"/>
  <c r="L51" i="10"/>
  <c r="L53" i="10"/>
  <c r="E8" i="18"/>
  <c r="B8" i="18" s="1"/>
  <c r="E20" i="18"/>
  <c r="B20" i="18" s="1"/>
  <c r="C58" i="10"/>
  <c r="I58" i="10"/>
  <c r="E11" i="12"/>
  <c r="H13" i="12"/>
  <c r="G13" i="12"/>
  <c r="N27" i="12"/>
  <c r="M37" i="12"/>
  <c r="M28" i="12"/>
  <c r="F38" i="12"/>
  <c r="N29" i="12"/>
  <c r="K34" i="12"/>
  <c r="M36" i="12"/>
  <c r="N35" i="12"/>
  <c r="E9" i="13"/>
  <c r="E16" i="13"/>
  <c r="C97" i="18" s="1"/>
  <c r="E97" i="18" s="1"/>
  <c r="B97" i="18" s="1"/>
  <c r="F16" i="13"/>
  <c r="F11" i="13"/>
  <c r="G13" i="13"/>
  <c r="H23" i="13"/>
  <c r="O22" i="13"/>
  <c r="D25" i="13"/>
  <c r="E10" i="18"/>
  <c r="B10" i="18" s="1"/>
  <c r="E22" i="18"/>
  <c r="B22" i="18" s="1"/>
  <c r="D58" i="10"/>
  <c r="J58" i="10"/>
  <c r="H20" i="12"/>
  <c r="O21" i="12"/>
  <c r="D17" i="12"/>
  <c r="J17" i="12"/>
  <c r="D15" i="13"/>
  <c r="J15" i="13"/>
  <c r="K32" i="12"/>
  <c r="N33" i="12"/>
  <c r="M34" i="12"/>
  <c r="G9" i="13"/>
  <c r="H11" i="13"/>
  <c r="C13" i="13"/>
  <c r="I13" i="13"/>
  <c r="J25" i="13"/>
  <c r="C51" i="10"/>
  <c r="I51" i="10"/>
  <c r="E14" i="18"/>
  <c r="B14" i="18" s="1"/>
  <c r="E26" i="18"/>
  <c r="B26" i="18" s="1"/>
  <c r="F58" i="10"/>
  <c r="L58" i="10"/>
  <c r="D9" i="12"/>
  <c r="J9" i="12"/>
  <c r="J21" i="12" s="1"/>
  <c r="K21" i="12"/>
  <c r="Q21" i="12"/>
  <c r="J20" i="12"/>
  <c r="K30" i="12"/>
  <c r="C11" i="13"/>
  <c r="I11" i="13"/>
  <c r="D13" i="13"/>
  <c r="J13" i="13"/>
  <c r="F15" i="13"/>
  <c r="K23" i="13"/>
  <c r="M18" i="17"/>
  <c r="M19" i="17" s="1"/>
  <c r="C49" i="11"/>
  <c r="G58" i="9"/>
  <c r="M58" i="9"/>
  <c r="D51" i="10"/>
  <c r="D53" i="10" s="1"/>
  <c r="J51" i="10"/>
  <c r="J53" i="10"/>
  <c r="E16" i="18"/>
  <c r="B16" i="18" s="1"/>
  <c r="G58" i="10"/>
  <c r="F13" i="12"/>
  <c r="C15" i="12"/>
  <c r="I15" i="12"/>
  <c r="E19" i="12"/>
  <c r="K28" i="12"/>
  <c r="K38" i="12" s="1"/>
  <c r="D38" i="12"/>
  <c r="J38" i="12"/>
  <c r="M32" i="12"/>
  <c r="N31" i="12"/>
  <c r="K36" i="12"/>
  <c r="K37" i="12"/>
  <c r="K40" i="12" s="1"/>
  <c r="F9" i="12"/>
  <c r="F21" i="12" s="1"/>
  <c r="H28" i="13"/>
  <c r="C101" i="18" s="1"/>
  <c r="E101" i="18" s="1"/>
  <c r="B101" i="18" s="1"/>
  <c r="E25" i="13"/>
  <c r="K25" i="13"/>
  <c r="J27" i="13"/>
  <c r="G35" i="13"/>
  <c r="M35" i="13"/>
  <c r="G37" i="13"/>
  <c r="M37" i="13"/>
  <c r="G39" i="13"/>
  <c r="M39" i="13"/>
  <c r="G41" i="13"/>
  <c r="M41" i="13"/>
  <c r="G43" i="13"/>
  <c r="M43" i="13"/>
  <c r="G45" i="13"/>
  <c r="M45" i="13"/>
  <c r="G50" i="13"/>
  <c r="M50" i="13"/>
  <c r="F25" i="13"/>
  <c r="L25" i="13"/>
  <c r="K27" i="13"/>
  <c r="H33" i="13"/>
  <c r="H35" i="13"/>
  <c r="H37" i="13"/>
  <c r="H39" i="13"/>
  <c r="H41" i="13"/>
  <c r="H43" i="13"/>
  <c r="H45" i="13"/>
  <c r="H46" i="13"/>
  <c r="C102" i="18" s="1"/>
  <c r="E102" i="18" s="1"/>
  <c r="B102" i="18" s="1"/>
  <c r="D17" i="14"/>
  <c r="D25" i="2" s="1"/>
  <c r="E19" i="14"/>
  <c r="H16" i="13"/>
  <c r="E15" i="13"/>
  <c r="G16" i="13"/>
  <c r="J28" i="13"/>
  <c r="C105" i="18" s="1"/>
  <c r="E105" i="18" s="1"/>
  <c r="B105" i="18" s="1"/>
  <c r="G25" i="13"/>
  <c r="G28" i="13"/>
  <c r="M25" i="13"/>
  <c r="N24" i="13"/>
  <c r="L27" i="13"/>
  <c r="C33" i="13"/>
  <c r="C46" i="13"/>
  <c r="C94" i="18" s="1"/>
  <c r="E94" i="18" s="1"/>
  <c r="B94" i="18" s="1"/>
  <c r="I33" i="13"/>
  <c r="I46" i="13"/>
  <c r="C104" i="18" s="1"/>
  <c r="E104" i="18" s="1"/>
  <c r="B104" i="18" s="1"/>
  <c r="P32" i="13"/>
  <c r="O46" i="13"/>
  <c r="C35" i="13"/>
  <c r="I35" i="13"/>
  <c r="P34" i="13"/>
  <c r="C37" i="13"/>
  <c r="I37" i="13"/>
  <c r="P36" i="13"/>
  <c r="C39" i="13"/>
  <c r="I39" i="13"/>
  <c r="P38" i="13"/>
  <c r="C41" i="13"/>
  <c r="I41" i="13"/>
  <c r="P40" i="13"/>
  <c r="C43" i="13"/>
  <c r="I43" i="13"/>
  <c r="P42" i="13"/>
  <c r="C45" i="13"/>
  <c r="I45" i="13"/>
  <c r="P44" i="13"/>
  <c r="N46" i="13"/>
  <c r="J17" i="14"/>
  <c r="J25" i="2" s="1"/>
  <c r="K19" i="14"/>
  <c r="L23" i="13"/>
  <c r="H25" i="13"/>
  <c r="M27" i="13"/>
  <c r="D33" i="13"/>
  <c r="J33" i="13"/>
  <c r="D35" i="13"/>
  <c r="J35" i="13"/>
  <c r="D37" i="13"/>
  <c r="J37" i="13"/>
  <c r="D39" i="13"/>
  <c r="J39" i="13"/>
  <c r="D41" i="13"/>
  <c r="J41" i="13"/>
  <c r="D43" i="13"/>
  <c r="J43" i="13"/>
  <c r="D45" i="13"/>
  <c r="J45" i="13"/>
  <c r="F22" i="14"/>
  <c r="F26" i="14"/>
  <c r="L22" i="14"/>
  <c r="L26" i="14"/>
  <c r="G25" i="14"/>
  <c r="G24" i="14"/>
  <c r="M25" i="14"/>
  <c r="N23" i="14" s="1"/>
  <c r="M24" i="14"/>
  <c r="C9" i="15"/>
  <c r="C10" i="15" s="1"/>
  <c r="C12" i="15" s="1"/>
  <c r="I9" i="15"/>
  <c r="I10" i="15" s="1"/>
  <c r="I12" i="15" s="1"/>
  <c r="I8" i="15"/>
  <c r="H9" i="13"/>
  <c r="F28" i="13"/>
  <c r="D18" i="14"/>
  <c r="D20" i="14"/>
  <c r="J18" i="14"/>
  <c r="J20" i="14"/>
  <c r="G22" i="14"/>
  <c r="M22" i="14"/>
  <c r="H24" i="14"/>
  <c r="E17" i="14"/>
  <c r="E25" i="2" s="1"/>
  <c r="K17" i="14"/>
  <c r="K25" i="2" s="1"/>
  <c r="D8" i="15"/>
  <c r="N26" i="15"/>
  <c r="N24" i="15"/>
  <c r="G33" i="13"/>
  <c r="M33" i="13"/>
  <c r="D46" i="13"/>
  <c r="C96" i="18" s="1"/>
  <c r="E96" i="18" s="1"/>
  <c r="B96" i="18" s="1"/>
  <c r="J46" i="13"/>
  <c r="C106" i="18" s="1"/>
  <c r="E106" i="18" s="1"/>
  <c r="B106" i="18" s="1"/>
  <c r="G19" i="14"/>
  <c r="M19" i="14"/>
  <c r="E20" i="14"/>
  <c r="K20" i="14"/>
  <c r="D25" i="14"/>
  <c r="J25" i="14"/>
  <c r="G26" i="14"/>
  <c r="M26" i="14"/>
  <c r="E8" i="15"/>
  <c r="J10" i="15"/>
  <c r="J12" i="15" s="1"/>
  <c r="I24" i="15"/>
  <c r="O23" i="15"/>
  <c r="N26" i="13"/>
  <c r="H19" i="14"/>
  <c r="F20" i="14"/>
  <c r="L20" i="14"/>
  <c r="H26" i="14"/>
  <c r="F10" i="15"/>
  <c r="F12" i="15" s="1"/>
  <c r="F8" i="15"/>
  <c r="L9" i="15"/>
  <c r="L10" i="15"/>
  <c r="L12" i="15" s="1"/>
  <c r="L8" i="15"/>
  <c r="G8" i="15"/>
  <c r="Q15" i="15"/>
  <c r="C92" i="18" s="1"/>
  <c r="E92" i="18" s="1"/>
  <c r="B92" i="18" s="1"/>
  <c r="H50" i="13"/>
  <c r="I19" i="14"/>
  <c r="I26" i="14"/>
  <c r="H8" i="15"/>
  <c r="M10" i="15"/>
  <c r="M12" i="15" s="1"/>
  <c r="M8" i="15"/>
  <c r="N7" i="15"/>
  <c r="F9" i="15"/>
  <c r="H10" i="15"/>
  <c r="H12" i="15" s="1"/>
  <c r="J8" i="15"/>
  <c r="G9" i="15"/>
  <c r="G10" i="15" s="1"/>
  <c r="G12" i="15" s="1"/>
  <c r="D24" i="15"/>
  <c r="J24" i="15"/>
  <c r="C87" i="18"/>
  <c r="E87" i="18" s="1"/>
  <c r="B87" i="18" s="1"/>
  <c r="N10" i="17"/>
  <c r="G13" i="15" l="1"/>
  <c r="G22" i="2"/>
  <c r="I13" i="15"/>
  <c r="I22" i="2"/>
  <c r="I13" i="17"/>
  <c r="I17" i="17" s="1"/>
  <c r="I29" i="2" s="1"/>
  <c r="C22" i="2"/>
  <c r="D13" i="15"/>
  <c r="O35" i="12"/>
  <c r="L13" i="15"/>
  <c r="L22" i="2"/>
  <c r="E36" i="15"/>
  <c r="E35" i="15"/>
  <c r="E51" i="13" s="1"/>
  <c r="E69" i="18"/>
  <c r="B69" i="18" s="1"/>
  <c r="I14" i="17"/>
  <c r="I15" i="17" s="1"/>
  <c r="I28" i="2" s="1"/>
  <c r="I16" i="2"/>
  <c r="M13" i="15"/>
  <c r="M22" i="2"/>
  <c r="N24" i="14"/>
  <c r="N25" i="14"/>
  <c r="N24" i="2"/>
  <c r="D21" i="12"/>
  <c r="C53" i="10"/>
  <c r="C54" i="10"/>
  <c r="N37" i="12"/>
  <c r="O27" i="12"/>
  <c r="N28" i="13"/>
  <c r="O20" i="13"/>
  <c r="G53" i="10"/>
  <c r="G54" i="10" s="1"/>
  <c r="K14" i="17"/>
  <c r="K15" i="17" s="1"/>
  <c r="K28" i="2" s="1"/>
  <c r="K16" i="2"/>
  <c r="G35" i="15"/>
  <c r="G51" i="13" s="1"/>
  <c r="G36" i="15"/>
  <c r="E49" i="18"/>
  <c r="B49" i="18" s="1"/>
  <c r="E57" i="18"/>
  <c r="B57" i="18" s="1"/>
  <c r="E39" i="18"/>
  <c r="B39" i="18" s="1"/>
  <c r="E61" i="18"/>
  <c r="B61" i="18" s="1"/>
  <c r="I35" i="15"/>
  <c r="I51" i="13" s="1"/>
  <c r="I36" i="15"/>
  <c r="E46" i="18"/>
  <c r="B46" i="18" s="1"/>
  <c r="D20" i="17"/>
  <c r="D21" i="17" s="1"/>
  <c r="D36" i="8"/>
  <c r="J13" i="15"/>
  <c r="J22" i="2"/>
  <c r="Q42" i="13"/>
  <c r="Q44" i="13"/>
  <c r="Q38" i="13"/>
  <c r="M58" i="10"/>
  <c r="J54" i="10"/>
  <c r="K13" i="15"/>
  <c r="D23" i="12"/>
  <c r="G60" i="10"/>
  <c r="G18" i="2"/>
  <c r="K20" i="17"/>
  <c r="K21" i="17" s="1"/>
  <c r="K36" i="8"/>
  <c r="Q13" i="9"/>
  <c r="E13" i="18"/>
  <c r="B13" i="18" s="1"/>
  <c r="E14" i="17"/>
  <c r="E15" i="17" s="1"/>
  <c r="E28" i="2" s="1"/>
  <c r="E16" i="2"/>
  <c r="M35" i="15"/>
  <c r="M51" i="13" s="1"/>
  <c r="N22" i="15"/>
  <c r="N30" i="15"/>
  <c r="N28" i="15"/>
  <c r="N26" i="2" s="1"/>
  <c r="M36" i="15"/>
  <c r="N17" i="15"/>
  <c r="E40" i="18"/>
  <c r="B40" i="18" s="1"/>
  <c r="K53" i="10"/>
  <c r="K54" i="10" s="1"/>
  <c r="E52" i="18"/>
  <c r="B52" i="18" s="1"/>
  <c r="C35" i="15"/>
  <c r="C51" i="13" s="1"/>
  <c r="C36" i="15"/>
  <c r="D13" i="17"/>
  <c r="D17" i="17" s="1"/>
  <c r="D29" i="2" s="1"/>
  <c r="D19" i="17"/>
  <c r="H21" i="12"/>
  <c r="J19" i="17"/>
  <c r="J13" i="17"/>
  <c r="J17" i="17" s="1"/>
  <c r="J29" i="2" s="1"/>
  <c r="Q32" i="13"/>
  <c r="P46" i="13"/>
  <c r="D54" i="10"/>
  <c r="J23" i="12"/>
  <c r="O33" i="12"/>
  <c r="O29" i="12"/>
  <c r="M53" i="10"/>
  <c r="M54" i="10" s="1"/>
  <c r="E20" i="17"/>
  <c r="E21" i="17" s="1"/>
  <c r="E36" i="8"/>
  <c r="D36" i="15"/>
  <c r="D35" i="15"/>
  <c r="D51" i="13" s="1"/>
  <c r="M20" i="17"/>
  <c r="M21" i="17" s="1"/>
  <c r="M36" i="8"/>
  <c r="H60" i="10"/>
  <c r="H18" i="2"/>
  <c r="M12" i="17"/>
  <c r="M13" i="17" s="1"/>
  <c r="M17" i="17" s="1"/>
  <c r="M29" i="2" s="1"/>
  <c r="M62" i="9"/>
  <c r="M20" i="2" s="1"/>
  <c r="C35" i="11"/>
  <c r="D33" i="11" s="1"/>
  <c r="D35" i="11" s="1"/>
  <c r="N20" i="8"/>
  <c r="E21" i="12"/>
  <c r="E23" i="12" s="1"/>
  <c r="E43" i="18"/>
  <c r="B43" i="18" s="1"/>
  <c r="L14" i="17"/>
  <c r="L15" i="17" s="1"/>
  <c r="L28" i="2" s="1"/>
  <c r="L16" i="2"/>
  <c r="E42" i="18"/>
  <c r="B42" i="18" s="1"/>
  <c r="H53" i="10"/>
  <c r="H54" i="10" s="1"/>
  <c r="H48" i="13"/>
  <c r="Q36" i="13"/>
  <c r="C7" i="18"/>
  <c r="E7" i="18" s="1"/>
  <c r="B7" i="18" s="1"/>
  <c r="C59" i="9"/>
  <c r="N9" i="17"/>
  <c r="O32" i="8"/>
  <c r="C12" i="17"/>
  <c r="C13" i="17" s="1"/>
  <c r="C17" i="17" s="1"/>
  <c r="C29" i="2" s="1"/>
  <c r="C62" i="9"/>
  <c r="C20" i="2" s="1"/>
  <c r="L36" i="15"/>
  <c r="L35" i="15"/>
  <c r="L51" i="13" s="1"/>
  <c r="F13" i="15"/>
  <c r="F22" i="2"/>
  <c r="O26" i="15"/>
  <c r="O24" i="15"/>
  <c r="P23" i="15"/>
  <c r="O21" i="14"/>
  <c r="Q40" i="13"/>
  <c r="O24" i="13"/>
  <c r="H23" i="12"/>
  <c r="F53" i="10"/>
  <c r="F54" i="10" s="1"/>
  <c r="M60" i="10"/>
  <c r="M18" i="2"/>
  <c r="M14" i="17"/>
  <c r="M15" i="17" s="1"/>
  <c r="M28" i="2" s="1"/>
  <c r="M16" i="2"/>
  <c r="I12" i="17"/>
  <c r="I62" i="9"/>
  <c r="I20" i="2" s="1"/>
  <c r="G20" i="17"/>
  <c r="G21" i="17" s="1"/>
  <c r="G36" i="8"/>
  <c r="G21" i="12"/>
  <c r="G23" i="12" s="1"/>
  <c r="C14" i="17"/>
  <c r="C15" i="17" s="1"/>
  <c r="C28" i="2" s="1"/>
  <c r="C16" i="2"/>
  <c r="D14" i="17"/>
  <c r="D15" i="17" s="1"/>
  <c r="D28" i="2" s="1"/>
  <c r="D16" i="2"/>
  <c r="H14" i="17"/>
  <c r="H15" i="17" s="1"/>
  <c r="H28" i="2" s="1"/>
  <c r="H16" i="2"/>
  <c r="E48" i="18"/>
  <c r="B48" i="18" s="1"/>
  <c r="K48" i="13"/>
  <c r="I21" i="12"/>
  <c r="I23" i="12" s="1"/>
  <c r="J14" i="17"/>
  <c r="J15" i="17" s="1"/>
  <c r="J28" i="2" s="1"/>
  <c r="J16" i="2"/>
  <c r="I53" i="10"/>
  <c r="I54" i="10"/>
  <c r="C21" i="12"/>
  <c r="C23" i="12" s="1"/>
  <c r="H13" i="15"/>
  <c r="H22" i="2"/>
  <c r="O26" i="13"/>
  <c r="Q34" i="13"/>
  <c r="C27" i="18"/>
  <c r="E27" i="18" s="1"/>
  <c r="B27" i="18" s="1"/>
  <c r="M59" i="9"/>
  <c r="N10" i="15"/>
  <c r="N12" i="15" s="1"/>
  <c r="N8" i="15"/>
  <c r="O7" i="15"/>
  <c r="N21" i="2"/>
  <c r="O31" i="12"/>
  <c r="C15" i="18"/>
  <c r="E15" i="18" s="1"/>
  <c r="B15" i="18" s="1"/>
  <c r="G59" i="9"/>
  <c r="P22" i="13"/>
  <c r="M38" i="12"/>
  <c r="M40" i="12" s="1"/>
  <c r="L54" i="10"/>
  <c r="C19" i="18"/>
  <c r="E19" i="18" s="1"/>
  <c r="B19" i="18" s="1"/>
  <c r="I59" i="9"/>
  <c r="J36" i="15"/>
  <c r="J35" i="15"/>
  <c r="J51" i="13" s="1"/>
  <c r="G14" i="17"/>
  <c r="G15" i="17" s="1"/>
  <c r="G28" i="2" s="1"/>
  <c r="G16" i="2"/>
  <c r="K12" i="17"/>
  <c r="K13" i="17" s="1"/>
  <c r="K17" i="17" s="1"/>
  <c r="K29" i="2" s="1"/>
  <c r="K62" i="9"/>
  <c r="K20" i="2" s="1"/>
  <c r="F59" i="9"/>
  <c r="F36" i="15"/>
  <c r="F35" i="15"/>
  <c r="F51" i="13" s="1"/>
  <c r="H20" i="17"/>
  <c r="H21" i="17" s="1"/>
  <c r="H36" i="8"/>
  <c r="P8" i="17"/>
  <c r="P10" i="17" s="1"/>
  <c r="Q31" i="8"/>
  <c r="Q8" i="17" s="1"/>
  <c r="Q10" i="17" s="1"/>
  <c r="G48" i="13"/>
  <c r="E67" i="18"/>
  <c r="B67" i="18" s="1"/>
  <c r="C20" i="17"/>
  <c r="C21" i="17" s="1"/>
  <c r="C36" i="8"/>
  <c r="G12" i="17"/>
  <c r="G13" i="17" s="1"/>
  <c r="G17" i="17" s="1"/>
  <c r="G29" i="2" s="1"/>
  <c r="G62" i="9"/>
  <c r="G20" i="2" s="1"/>
  <c r="K36" i="15"/>
  <c r="K35" i="15"/>
  <c r="K51" i="13" s="1"/>
  <c r="E48" i="13"/>
  <c r="L20" i="17"/>
  <c r="L21" i="17" s="1"/>
  <c r="L36" i="8"/>
  <c r="E64" i="18"/>
  <c r="B64" i="18" s="1"/>
  <c r="J20" i="17"/>
  <c r="J21" i="17" s="1"/>
  <c r="J36" i="8"/>
  <c r="H35" i="15"/>
  <c r="H51" i="13" s="1"/>
  <c r="H36" i="15"/>
  <c r="Q22" i="13" l="1"/>
  <c r="O22" i="14"/>
  <c r="O23" i="14"/>
  <c r="O23" i="2"/>
  <c r="D36" i="11"/>
  <c r="N47" i="9" s="1"/>
  <c r="E33" i="11"/>
  <c r="E35" i="11" s="1"/>
  <c r="N31" i="15"/>
  <c r="O37" i="12"/>
  <c r="P27" i="12"/>
  <c r="P35" i="12"/>
  <c r="N45" i="10"/>
  <c r="N11" i="10"/>
  <c r="O10" i="15"/>
  <c r="O12" i="15" s="1"/>
  <c r="P7" i="15"/>
  <c r="O8" i="15"/>
  <c r="O21" i="2"/>
  <c r="P24" i="13"/>
  <c r="O28" i="13"/>
  <c r="P20" i="13"/>
  <c r="P33" i="12"/>
  <c r="P26" i="15"/>
  <c r="P24" i="15"/>
  <c r="Q23" i="15"/>
  <c r="P21" i="14"/>
  <c r="N13" i="15"/>
  <c r="N20" i="15" s="1"/>
  <c r="N22" i="2"/>
  <c r="P26" i="13"/>
  <c r="P29" i="12"/>
  <c r="Q46" i="13"/>
  <c r="P31" i="12"/>
  <c r="O9" i="17"/>
  <c r="P32" i="8"/>
  <c r="Q31" i="12" l="1"/>
  <c r="Q24" i="13"/>
  <c r="D37" i="11"/>
  <c r="N38" i="9" s="1"/>
  <c r="Q26" i="15"/>
  <c r="Q24" i="15"/>
  <c r="Q21" i="14"/>
  <c r="Q26" i="13"/>
  <c r="P28" i="13"/>
  <c r="Q20" i="13"/>
  <c r="Q35" i="12"/>
  <c r="F33" i="11"/>
  <c r="F35" i="11" s="1"/>
  <c r="E36" i="11"/>
  <c r="O47" i="9" s="1"/>
  <c r="Q33" i="12"/>
  <c r="P9" i="17"/>
  <c r="Q32" i="8"/>
  <c r="Q9" i="17" s="1"/>
  <c r="P10" i="15"/>
  <c r="P12" i="15" s="1"/>
  <c r="P8" i="15"/>
  <c r="Q7" i="15"/>
  <c r="P21" i="2"/>
  <c r="P37" i="12"/>
  <c r="Q27" i="12"/>
  <c r="Q29" i="12"/>
  <c r="C73" i="18"/>
  <c r="O22" i="15"/>
  <c r="O20" i="15"/>
  <c r="O30" i="15"/>
  <c r="O28" i="15"/>
  <c r="O26" i="2" s="1"/>
  <c r="N36" i="15"/>
  <c r="N34" i="15"/>
  <c r="O17" i="15"/>
  <c r="N7" i="8"/>
  <c r="P22" i="14"/>
  <c r="P23" i="2"/>
  <c r="O13" i="15"/>
  <c r="O22" i="2"/>
  <c r="O24" i="14"/>
  <c r="O25" i="14"/>
  <c r="P23" i="14" s="1"/>
  <c r="O24" i="2"/>
  <c r="P24" i="14" l="1"/>
  <c r="P25" i="14"/>
  <c r="P24" i="2"/>
  <c r="N49" i="13"/>
  <c r="N50" i="13" s="1"/>
  <c r="N26" i="14"/>
  <c r="F37" i="11"/>
  <c r="P38" i="9" s="1"/>
  <c r="F36" i="11"/>
  <c r="P47" i="9" s="1"/>
  <c r="G33" i="11"/>
  <c r="G35" i="11" s="1"/>
  <c r="N60" i="9"/>
  <c r="Q10" i="15"/>
  <c r="Q12" i="15" s="1"/>
  <c r="Q8" i="15"/>
  <c r="Q21" i="2"/>
  <c r="E37" i="11"/>
  <c r="O38" i="9" s="1"/>
  <c r="Q37" i="12"/>
  <c r="P13" i="15"/>
  <c r="P22" i="2"/>
  <c r="Q23" i="14"/>
  <c r="Q22" i="14"/>
  <c r="Q23" i="2"/>
  <c r="D73" i="18"/>
  <c r="E73" i="18" s="1"/>
  <c r="B73" i="18" s="1"/>
  <c r="N32" i="15"/>
  <c r="N33" i="15" s="1"/>
  <c r="N47" i="13"/>
  <c r="N48" i="13" s="1"/>
  <c r="D45" i="11"/>
  <c r="N39" i="12"/>
  <c r="N22" i="12"/>
  <c r="D8" i="11"/>
  <c r="N9" i="10"/>
  <c r="N55" i="9"/>
  <c r="N52" i="9"/>
  <c r="N23" i="10" s="1"/>
  <c r="N40" i="9"/>
  <c r="N27" i="9"/>
  <c r="N19" i="10" s="1"/>
  <c r="N24" i="9"/>
  <c r="N16" i="10" s="1"/>
  <c r="N14" i="9"/>
  <c r="N14" i="8"/>
  <c r="N12" i="8"/>
  <c r="N10" i="8"/>
  <c r="N8" i="8"/>
  <c r="N54" i="9"/>
  <c r="N25" i="10" s="1"/>
  <c r="N51" i="9"/>
  <c r="N22" i="10" s="1"/>
  <c r="N44" i="9"/>
  <c r="N23" i="9"/>
  <c r="N15" i="10" s="1"/>
  <c r="N21" i="9"/>
  <c r="N19" i="9"/>
  <c r="N17" i="9"/>
  <c r="N53" i="9"/>
  <c r="N24" i="10" s="1"/>
  <c r="N50" i="9"/>
  <c r="N21" i="10" s="1"/>
  <c r="N43" i="9"/>
  <c r="N25" i="9"/>
  <c r="N18" i="10" s="1"/>
  <c r="N17" i="8"/>
  <c r="N7" i="2"/>
  <c r="N13" i="8"/>
  <c r="N37" i="13"/>
  <c r="N43" i="13"/>
  <c r="N23" i="13"/>
  <c r="N33" i="13"/>
  <c r="N39" i="13"/>
  <c r="N45" i="13"/>
  <c r="N35" i="13"/>
  <c r="N41" i="13"/>
  <c r="N34" i="12"/>
  <c r="N25" i="13"/>
  <c r="N32" i="12"/>
  <c r="N21" i="13"/>
  <c r="N36" i="12"/>
  <c r="N30" i="12"/>
  <c r="N27" i="13"/>
  <c r="N28" i="12"/>
  <c r="O31" i="15"/>
  <c r="Q28" i="13"/>
  <c r="C78" i="18" l="1"/>
  <c r="P22" i="15"/>
  <c r="P20" i="15"/>
  <c r="P30" i="15"/>
  <c r="P28" i="15"/>
  <c r="P26" i="2" s="1"/>
  <c r="O36" i="15"/>
  <c r="O34" i="15"/>
  <c r="P17" i="15"/>
  <c r="O7" i="8"/>
  <c r="N34" i="10"/>
  <c r="N35" i="10"/>
  <c r="N18" i="8"/>
  <c r="N11" i="8"/>
  <c r="N9" i="2" s="1"/>
  <c r="N26" i="10"/>
  <c r="O60" i="9"/>
  <c r="G36" i="11"/>
  <c r="Q47" i="9" s="1"/>
  <c r="Q25" i="14"/>
  <c r="Q24" i="14"/>
  <c r="Q24" i="2"/>
  <c r="P60" i="9"/>
  <c r="N20" i="10"/>
  <c r="Q13" i="15"/>
  <c r="Q22" i="2"/>
  <c r="D23" i="11"/>
  <c r="D10" i="11"/>
  <c r="N38" i="12"/>
  <c r="N40" i="12" s="1"/>
  <c r="D9" i="11"/>
  <c r="N8" i="10"/>
  <c r="N9" i="8"/>
  <c r="N17" i="10"/>
  <c r="N13" i="14"/>
  <c r="N7" i="14"/>
  <c r="N8" i="2"/>
  <c r="N12" i="14"/>
  <c r="N8" i="14"/>
  <c r="N9" i="14"/>
  <c r="N11" i="14"/>
  <c r="N10" i="14"/>
  <c r="D13" i="11" l="1"/>
  <c r="D16" i="11" s="1"/>
  <c r="C74" i="18" s="1"/>
  <c r="E74" i="18" s="1"/>
  <c r="B74" i="18" s="1"/>
  <c r="D15" i="11"/>
  <c r="D14" i="11"/>
  <c r="D24" i="11" s="1"/>
  <c r="D78" i="18"/>
  <c r="O32" i="15"/>
  <c r="O33" i="15" s="1"/>
  <c r="O47" i="13"/>
  <c r="O48" i="13" s="1"/>
  <c r="O39" i="12"/>
  <c r="O22" i="12"/>
  <c r="E45" i="11"/>
  <c r="O54" i="9"/>
  <c r="O25" i="10" s="1"/>
  <c r="O52" i="9"/>
  <c r="O23" i="10" s="1"/>
  <c r="O50" i="9"/>
  <c r="O21" i="10" s="1"/>
  <c r="O43" i="9"/>
  <c r="O27" i="9"/>
  <c r="O19" i="10" s="1"/>
  <c r="O25" i="9"/>
  <c r="O18" i="10" s="1"/>
  <c r="O51" i="9"/>
  <c r="O22" i="10" s="1"/>
  <c r="O44" i="9"/>
  <c r="E8" i="11"/>
  <c r="O23" i="9"/>
  <c r="O15" i="10" s="1"/>
  <c r="O21" i="9"/>
  <c r="O19" i="9"/>
  <c r="O17" i="9"/>
  <c r="O53" i="9"/>
  <c r="O24" i="10" s="1"/>
  <c r="O9" i="10"/>
  <c r="O17" i="8"/>
  <c r="O24" i="9"/>
  <c r="O16" i="10" s="1"/>
  <c r="O8" i="8"/>
  <c r="O8" i="2" s="1"/>
  <c r="O7" i="2"/>
  <c r="O14" i="8"/>
  <c r="O40" i="9"/>
  <c r="O13" i="8"/>
  <c r="O14" i="9"/>
  <c r="O20" i="10" s="1"/>
  <c r="O10" i="8"/>
  <c r="O55" i="9"/>
  <c r="O12" i="8"/>
  <c r="O35" i="13"/>
  <c r="O41" i="13"/>
  <c r="O33" i="13"/>
  <c r="O39" i="13"/>
  <c r="O45" i="13"/>
  <c r="O37" i="13"/>
  <c r="O43" i="13"/>
  <c r="O23" i="13"/>
  <c r="O30" i="12"/>
  <c r="O34" i="12"/>
  <c r="O28" i="12"/>
  <c r="O32" i="12"/>
  <c r="O36" i="12"/>
  <c r="O21" i="13"/>
  <c r="O27" i="13"/>
  <c r="O25" i="13"/>
  <c r="N31" i="10"/>
  <c r="N39" i="10" s="1"/>
  <c r="D55" i="11" s="1"/>
  <c r="D11" i="11"/>
  <c r="D18" i="11" s="1"/>
  <c r="N23" i="8"/>
  <c r="N15" i="8"/>
  <c r="N19" i="8"/>
  <c r="N13" i="2" s="1"/>
  <c r="N12" i="2"/>
  <c r="P31" i="15"/>
  <c r="N19" i="14"/>
  <c r="N17" i="14"/>
  <c r="N25" i="2" s="1"/>
  <c r="D27" i="11"/>
  <c r="D29" i="11" s="1"/>
  <c r="D25" i="11"/>
  <c r="G37" i="11"/>
  <c r="Q38" i="9" s="1"/>
  <c r="O49" i="13"/>
  <c r="O50" i="13" s="1"/>
  <c r="O26" i="14"/>
  <c r="O10" i="14"/>
  <c r="N20" i="14"/>
  <c r="N18" i="14"/>
  <c r="E78" i="18"/>
  <c r="B78" i="18" s="1"/>
  <c r="N16" i="17" l="1"/>
  <c r="N16" i="8"/>
  <c r="N11" i="2" s="1"/>
  <c r="N10" i="2"/>
  <c r="Q60" i="9"/>
  <c r="C83" i="18"/>
  <c r="Q30" i="15"/>
  <c r="Q28" i="15"/>
  <c r="Q26" i="2" s="1"/>
  <c r="P36" i="15"/>
  <c r="P34" i="15"/>
  <c r="Q17" i="15"/>
  <c r="Q31" i="15" s="1"/>
  <c r="Q20" i="15"/>
  <c r="Q22" i="15"/>
  <c r="P7" i="8"/>
  <c r="O12" i="14"/>
  <c r="O38" i="12"/>
  <c r="O40" i="12" s="1"/>
  <c r="E22" i="11"/>
  <c r="N8" i="9"/>
  <c r="O11" i="14"/>
  <c r="O17" i="10"/>
  <c r="O8" i="14"/>
  <c r="E26" i="11"/>
  <c r="N48" i="9"/>
  <c r="N56" i="9" s="1"/>
  <c r="N39" i="9"/>
  <c r="N10" i="9"/>
  <c r="O35" i="10"/>
  <c r="O34" i="10"/>
  <c r="E9" i="11"/>
  <c r="O8" i="10"/>
  <c r="O11" i="8"/>
  <c r="O9" i="2" s="1"/>
  <c r="O18" i="8"/>
  <c r="N24" i="8"/>
  <c r="N7" i="10"/>
  <c r="N27" i="10" s="1"/>
  <c r="N25" i="8"/>
  <c r="N27" i="8" s="1"/>
  <c r="N29" i="8" s="1"/>
  <c r="O13" i="14"/>
  <c r="O7" i="14"/>
  <c r="D12" i="11"/>
  <c r="D17" i="11" s="1"/>
  <c r="O9" i="8"/>
  <c r="O26" i="10"/>
  <c r="E23" i="11"/>
  <c r="E27" i="11" s="1"/>
  <c r="E10" i="11"/>
  <c r="O9" i="14"/>
  <c r="D42" i="11" l="1"/>
  <c r="N34" i="8"/>
  <c r="N30" i="8"/>
  <c r="N15" i="2" s="1"/>
  <c r="N33" i="8"/>
  <c r="N35" i="8" s="1"/>
  <c r="N46" i="10"/>
  <c r="D43" i="11"/>
  <c r="N14" i="2"/>
  <c r="O19" i="14"/>
  <c r="O17" i="14"/>
  <c r="O25" i="2" s="1"/>
  <c r="E11" i="11"/>
  <c r="E18" i="11" s="1"/>
  <c r="O31" i="10"/>
  <c r="O20" i="14"/>
  <c r="O18" i="14"/>
  <c r="C88" i="18"/>
  <c r="Q36" i="15"/>
  <c r="Q34" i="15"/>
  <c r="Q7" i="8"/>
  <c r="E14" i="11"/>
  <c r="E24" i="11" s="1"/>
  <c r="E15" i="11"/>
  <c r="E13" i="11"/>
  <c r="E16" i="11"/>
  <c r="C79" i="18" s="1"/>
  <c r="E79" i="18" s="1"/>
  <c r="B79" i="18" s="1"/>
  <c r="P49" i="13"/>
  <c r="P50" i="13" s="1"/>
  <c r="P26" i="14"/>
  <c r="N29" i="10"/>
  <c r="N61" i="9"/>
  <c r="N45" i="9"/>
  <c r="N57" i="9" s="1"/>
  <c r="D83" i="18"/>
  <c r="E83" i="18" s="1"/>
  <c r="B83" i="18" s="1"/>
  <c r="P32" i="15"/>
  <c r="P33" i="15" s="1"/>
  <c r="P47" i="13"/>
  <c r="P48" i="13" s="1"/>
  <c r="P39" i="12"/>
  <c r="F45" i="11"/>
  <c r="P9" i="10"/>
  <c r="P55" i="9"/>
  <c r="P53" i="9"/>
  <c r="P24" i="10" s="1"/>
  <c r="P51" i="9"/>
  <c r="P22" i="10" s="1"/>
  <c r="P44" i="9"/>
  <c r="P40" i="9"/>
  <c r="P24" i="9"/>
  <c r="P16" i="10" s="1"/>
  <c r="F8" i="11"/>
  <c r="P22" i="12"/>
  <c r="P54" i="9"/>
  <c r="P25" i="10" s="1"/>
  <c r="P23" i="9"/>
  <c r="P15" i="10" s="1"/>
  <c r="P21" i="9"/>
  <c r="P19" i="9"/>
  <c r="P17" i="9"/>
  <c r="P50" i="9"/>
  <c r="P21" i="10" s="1"/>
  <c r="P43" i="9"/>
  <c r="P25" i="9"/>
  <c r="P18" i="10" s="1"/>
  <c r="P14" i="9"/>
  <c r="P14" i="8"/>
  <c r="P12" i="8"/>
  <c r="P10" i="8"/>
  <c r="P8" i="8"/>
  <c r="P7" i="2"/>
  <c r="P27" i="9"/>
  <c r="P19" i="10" s="1"/>
  <c r="P13" i="8"/>
  <c r="P52" i="9"/>
  <c r="P23" i="10" s="1"/>
  <c r="P9" i="8"/>
  <c r="P17" i="8"/>
  <c r="P33" i="13"/>
  <c r="P41" i="13"/>
  <c r="P39" i="13"/>
  <c r="P37" i="13"/>
  <c r="P35" i="13"/>
  <c r="P43" i="13"/>
  <c r="P45" i="13"/>
  <c r="P23" i="13"/>
  <c r="P28" i="12"/>
  <c r="P32" i="12"/>
  <c r="P34" i="12"/>
  <c r="P27" i="13"/>
  <c r="P36" i="12"/>
  <c r="P25" i="13"/>
  <c r="P30" i="12"/>
  <c r="P21" i="13"/>
  <c r="N7" i="9"/>
  <c r="N18" i="9" s="1"/>
  <c r="N26" i="8"/>
  <c r="N28" i="10"/>
  <c r="O15" i="8"/>
  <c r="O19" i="8"/>
  <c r="O13" i="2" s="1"/>
  <c r="O12" i="2"/>
  <c r="E28" i="11"/>
  <c r="O44" i="10" s="1"/>
  <c r="E25" i="11"/>
  <c r="O16" i="17" l="1"/>
  <c r="O16" i="8"/>
  <c r="O11" i="2" s="1"/>
  <c r="O10" i="2"/>
  <c r="F23" i="11"/>
  <c r="F27" i="11" s="1"/>
  <c r="F10" i="11"/>
  <c r="N12" i="17"/>
  <c r="O20" i="8"/>
  <c r="F9" i="11"/>
  <c r="P8" i="10"/>
  <c r="P8" i="2"/>
  <c r="P10" i="14"/>
  <c r="D54" i="11"/>
  <c r="N59" i="10"/>
  <c r="N30" i="10"/>
  <c r="N17" i="2"/>
  <c r="D88" i="18"/>
  <c r="Q32" i="15"/>
  <c r="Q33" i="15" s="1"/>
  <c r="Q39" i="12"/>
  <c r="G8" i="11"/>
  <c r="G45" i="11"/>
  <c r="Q47" i="13"/>
  <c r="Q48" i="13" s="1"/>
  <c r="Q22" i="12"/>
  <c r="Q54" i="9"/>
  <c r="Q25" i="10" s="1"/>
  <c r="Q51" i="9"/>
  <c r="Q22" i="10" s="1"/>
  <c r="Q44" i="9"/>
  <c r="Q23" i="9"/>
  <c r="Q15" i="10" s="1"/>
  <c r="Q21" i="9"/>
  <c r="Q19" i="9"/>
  <c r="Q17" i="9"/>
  <c r="Q17" i="8"/>
  <c r="Q13" i="8"/>
  <c r="Q9" i="8"/>
  <c r="Q53" i="9"/>
  <c r="Q24" i="10" s="1"/>
  <c r="Q50" i="9"/>
  <c r="Q21" i="10" s="1"/>
  <c r="Q25" i="9"/>
  <c r="Q18" i="10" s="1"/>
  <c r="Q14" i="9"/>
  <c r="Q20" i="10" s="1"/>
  <c r="Q9" i="10"/>
  <c r="Q55" i="9"/>
  <c r="Q52" i="9"/>
  <c r="Q23" i="10" s="1"/>
  <c r="Q40" i="9"/>
  <c r="Q43" i="9" s="1"/>
  <c r="Q27" i="9"/>
  <c r="Q19" i="10" s="1"/>
  <c r="Q24" i="9"/>
  <c r="Q16" i="10" s="1"/>
  <c r="Q8" i="8"/>
  <c r="Q8" i="2" s="1"/>
  <c r="Q14" i="8"/>
  <c r="Q10" i="8"/>
  <c r="Q12" i="8"/>
  <c r="Q7" i="2"/>
  <c r="Q43" i="13"/>
  <c r="Q37" i="13"/>
  <c r="Q39" i="13"/>
  <c r="Q45" i="13"/>
  <c r="Q33" i="13"/>
  <c r="Q41" i="13"/>
  <c r="Q35" i="13"/>
  <c r="Q23" i="13"/>
  <c r="Q27" i="13"/>
  <c r="Q32" i="12"/>
  <c r="Q36" i="12"/>
  <c r="Q21" i="13"/>
  <c r="Q30" i="12"/>
  <c r="Q25" i="13"/>
  <c r="Q28" i="12"/>
  <c r="Q38" i="12" s="1"/>
  <c r="Q40" i="12" s="1"/>
  <c r="Q34" i="12"/>
  <c r="P8" i="14"/>
  <c r="Q8" i="14" s="1"/>
  <c r="O10" i="9"/>
  <c r="N61" i="10"/>
  <c r="N50" i="10"/>
  <c r="D56" i="11" s="1"/>
  <c r="P18" i="8"/>
  <c r="P11" i="8"/>
  <c r="P9" i="2" s="1"/>
  <c r="P12" i="14"/>
  <c r="Q12" i="14" s="1"/>
  <c r="N20" i="17"/>
  <c r="N21" i="17" s="1"/>
  <c r="N36" i="8"/>
  <c r="F22" i="11"/>
  <c r="O8" i="9"/>
  <c r="Q49" i="13"/>
  <c r="Q50" i="13" s="1"/>
  <c r="Q26" i="14"/>
  <c r="P7" i="14"/>
  <c r="P9" i="14"/>
  <c r="Q9" i="14" s="1"/>
  <c r="P38" i="12"/>
  <c r="P40" i="12" s="1"/>
  <c r="P13" i="14"/>
  <c r="N14" i="17"/>
  <c r="N16" i="2"/>
  <c r="P17" i="10"/>
  <c r="P11" i="14"/>
  <c r="Q11" i="14" s="1"/>
  <c r="E29" i="11"/>
  <c r="P20" i="10"/>
  <c r="P35" i="10"/>
  <c r="P34" i="10"/>
  <c r="P26" i="10"/>
  <c r="E88" i="18"/>
  <c r="B88" i="18" s="1"/>
  <c r="E12" i="11"/>
  <c r="E17" i="11" s="1"/>
  <c r="D47" i="11"/>
  <c r="Q35" i="10" l="1"/>
  <c r="Q34" i="10"/>
  <c r="F11" i="11"/>
  <c r="F18" i="11" s="1"/>
  <c r="P31" i="10"/>
  <c r="F12" i="11"/>
  <c r="F17" i="11" s="1"/>
  <c r="G23" i="11"/>
  <c r="G27" i="11" s="1"/>
  <c r="G10" i="11"/>
  <c r="N51" i="10"/>
  <c r="N54" i="10" s="1"/>
  <c r="N56" i="10" s="1"/>
  <c r="F14" i="11"/>
  <c r="F24" i="11" s="1"/>
  <c r="F25" i="11" s="1"/>
  <c r="F16" i="11"/>
  <c r="C84" i="18" s="1"/>
  <c r="E84" i="18" s="1"/>
  <c r="B84" i="18" s="1"/>
  <c r="F13" i="11"/>
  <c r="F15" i="11"/>
  <c r="P20" i="14"/>
  <c r="Q13" i="14"/>
  <c r="P18" i="14"/>
  <c r="G9" i="11"/>
  <c r="Q8" i="10"/>
  <c r="N60" i="10"/>
  <c r="N18" i="2"/>
  <c r="N23" i="17"/>
  <c r="N15" i="17"/>
  <c r="N28" i="2" s="1"/>
  <c r="P19" i="8"/>
  <c r="P13" i="2" s="1"/>
  <c r="P12" i="2"/>
  <c r="P15" i="8"/>
  <c r="D58" i="11"/>
  <c r="O45" i="10"/>
  <c r="O11" i="10"/>
  <c r="F26" i="11"/>
  <c r="O48" i="9"/>
  <c r="O56" i="9" s="1"/>
  <c r="O39" i="9"/>
  <c r="D49" i="11"/>
  <c r="N36" i="9" s="1"/>
  <c r="E41" i="11"/>
  <c r="N34" i="9"/>
  <c r="N33" i="9" s="1"/>
  <c r="Q26" i="10"/>
  <c r="O7" i="9"/>
  <c r="O18" i="9" s="1"/>
  <c r="P19" i="14"/>
  <c r="Q7" i="14"/>
  <c r="P17" i="14"/>
  <c r="P25" i="2" s="1"/>
  <c r="Q11" i="8"/>
  <c r="Q9" i="2" s="1"/>
  <c r="Q18" i="8"/>
  <c r="Q17" i="10"/>
  <c r="Q10" i="14"/>
  <c r="P7" i="9" l="1"/>
  <c r="G22" i="11"/>
  <c r="G25" i="11" s="1"/>
  <c r="Q8" i="9" s="1"/>
  <c r="P8" i="9"/>
  <c r="G15" i="11"/>
  <c r="G16" i="11" s="1"/>
  <c r="C89" i="18" s="1"/>
  <c r="E89" i="18" s="1"/>
  <c r="B89" i="18" s="1"/>
  <c r="G13" i="11"/>
  <c r="G14" i="11"/>
  <c r="G24" i="11" s="1"/>
  <c r="Q19" i="8"/>
  <c r="Q13" i="2" s="1"/>
  <c r="Q15" i="8"/>
  <c r="Q12" i="2"/>
  <c r="C75" i="18"/>
  <c r="E53" i="11"/>
  <c r="N22" i="9"/>
  <c r="Q19" i="14"/>
  <c r="Q17" i="14"/>
  <c r="Q25" i="2" s="1"/>
  <c r="N18" i="17"/>
  <c r="N19" i="17" s="1"/>
  <c r="N58" i="9"/>
  <c r="C29" i="18" s="1"/>
  <c r="P10" i="9"/>
  <c r="O61" i="9"/>
  <c r="O45" i="9"/>
  <c r="O57" i="9" s="1"/>
  <c r="N24" i="17"/>
  <c r="N31" i="2" s="1"/>
  <c r="N30" i="2"/>
  <c r="Q20" i="14"/>
  <c r="Q18" i="14"/>
  <c r="C30" i="18"/>
  <c r="O55" i="10"/>
  <c r="P16" i="17"/>
  <c r="P16" i="8"/>
  <c r="P11" i="2" s="1"/>
  <c r="P10" i="2"/>
  <c r="Q31" i="10"/>
  <c r="G11" i="11"/>
  <c r="G18" i="11" s="1"/>
  <c r="Q10" i="9" s="1"/>
  <c r="F28" i="11"/>
  <c r="P44" i="10" s="1"/>
  <c r="G12" i="11" l="1"/>
  <c r="G17" i="11" s="1"/>
  <c r="Q7" i="9" s="1"/>
  <c r="Q18" i="9" s="1"/>
  <c r="D75" i="18"/>
  <c r="C76" i="18"/>
  <c r="E76" i="18" s="1"/>
  <c r="B76" i="18" s="1"/>
  <c r="D59" i="11"/>
  <c r="D60" i="11" s="1"/>
  <c r="N57" i="10"/>
  <c r="N19" i="2"/>
  <c r="O21" i="8"/>
  <c r="N11" i="17"/>
  <c r="N13" i="17" s="1"/>
  <c r="N17" i="17" s="1"/>
  <c r="N29" i="2" s="1"/>
  <c r="N28" i="9"/>
  <c r="N29" i="9" s="1"/>
  <c r="N62" i="9"/>
  <c r="N20" i="2" s="1"/>
  <c r="O12" i="17"/>
  <c r="P20" i="8"/>
  <c r="P18" i="9"/>
  <c r="E75" i="18"/>
  <c r="B75" i="18" s="1"/>
  <c r="F29" i="11"/>
  <c r="Q16" i="17"/>
  <c r="Q16" i="8"/>
  <c r="Q11" i="2" s="1"/>
  <c r="Q10" i="2"/>
  <c r="P48" i="9" l="1"/>
  <c r="P56" i="9" s="1"/>
  <c r="P39" i="9"/>
  <c r="G26" i="11"/>
  <c r="D30" i="18"/>
  <c r="E30" i="18" s="1"/>
  <c r="B30" i="18" s="1"/>
  <c r="N58" i="10"/>
  <c r="P45" i="10"/>
  <c r="P11" i="10"/>
  <c r="D29" i="18"/>
  <c r="E29" i="18" s="1"/>
  <c r="B29" i="18" s="1"/>
  <c r="N59" i="9"/>
  <c r="O36" i="10"/>
  <c r="O39" i="10" s="1"/>
  <c r="E55" i="11" s="1"/>
  <c r="O12" i="10"/>
  <c r="O23" i="8"/>
  <c r="G28" i="11" l="1"/>
  <c r="Q44" i="10" s="1"/>
  <c r="O7" i="10"/>
  <c r="O27" i="10" s="1"/>
  <c r="O24" i="8"/>
  <c r="O27" i="8"/>
  <c r="O29" i="8" s="1"/>
  <c r="O25" i="8"/>
  <c r="P61" i="9"/>
  <c r="P45" i="9"/>
  <c r="P57" i="9" s="1"/>
  <c r="E42" i="11" l="1"/>
  <c r="E43" i="11"/>
  <c r="O46" i="10"/>
  <c r="O33" i="8"/>
  <c r="O35" i="8" s="1"/>
  <c r="O34" i="8"/>
  <c r="O30" i="8"/>
  <c r="O15" i="2" s="1"/>
  <c r="O14" i="2"/>
  <c r="O29" i="10"/>
  <c r="P12" i="17"/>
  <c r="Q20" i="8"/>
  <c r="O28" i="10"/>
  <c r="O26" i="8"/>
  <c r="G29" i="11"/>
  <c r="O14" i="17" l="1"/>
  <c r="O16" i="2"/>
  <c r="O20" i="17"/>
  <c r="O21" i="17" s="1"/>
  <c r="O36" i="8"/>
  <c r="O61" i="10"/>
  <c r="O50" i="10"/>
  <c r="E56" i="11" s="1"/>
  <c r="O59" i="10"/>
  <c r="E54" i="11"/>
  <c r="O30" i="10"/>
  <c r="O17" i="2"/>
  <c r="Q45" i="10"/>
  <c r="Q11" i="10"/>
  <c r="Q48" i="9"/>
  <c r="Q56" i="9" s="1"/>
  <c r="Q39" i="9"/>
  <c r="E47" i="11"/>
  <c r="E49" i="11" l="1"/>
  <c r="O36" i="9" s="1"/>
  <c r="F41" i="11"/>
  <c r="O34" i="9"/>
  <c r="O33" i="9" s="1"/>
  <c r="Q61" i="9"/>
  <c r="Q45" i="9"/>
  <c r="Q57" i="9" s="1"/>
  <c r="E58" i="11"/>
  <c r="O51" i="10"/>
  <c r="O54" i="10" s="1"/>
  <c r="O56" i="10" s="1"/>
  <c r="O60" i="10"/>
  <c r="O18" i="2"/>
  <c r="O23" i="17"/>
  <c r="O15" i="17"/>
  <c r="O28" i="2" s="1"/>
  <c r="C80" i="18" l="1"/>
  <c r="O22" i="9"/>
  <c r="F53" i="11"/>
  <c r="O24" i="17"/>
  <c r="O31" i="2" s="1"/>
  <c r="O30" i="2"/>
  <c r="Q12" i="17"/>
  <c r="C32" i="18"/>
  <c r="P55" i="10"/>
  <c r="O18" i="17"/>
  <c r="O19" i="17" s="1"/>
  <c r="O58" i="9"/>
  <c r="C31" i="18" s="1"/>
  <c r="C81" i="18" l="1"/>
  <c r="E81" i="18" s="1"/>
  <c r="B81" i="18" s="1"/>
  <c r="D80" i="18"/>
  <c r="E80" i="18" s="1"/>
  <c r="B80" i="18" s="1"/>
  <c r="E59" i="11"/>
  <c r="E60" i="11" s="1"/>
  <c r="O57" i="10"/>
  <c r="O19" i="2"/>
  <c r="P21" i="8"/>
  <c r="O28" i="9"/>
  <c r="O29" i="9" s="1"/>
  <c r="O11" i="17"/>
  <c r="O13" i="17" s="1"/>
  <c r="O17" i="17" s="1"/>
  <c r="O29" i="2" s="1"/>
  <c r="O62" i="9"/>
  <c r="O20" i="2" s="1"/>
  <c r="D31" i="18" l="1"/>
  <c r="E31" i="18" s="1"/>
  <c r="B31" i="18" s="1"/>
  <c r="O59" i="9"/>
  <c r="P36" i="10"/>
  <c r="P39" i="10" s="1"/>
  <c r="F55" i="11" s="1"/>
  <c r="P12" i="10"/>
  <c r="P23" i="8"/>
  <c r="D32" i="18"/>
  <c r="E32" i="18" s="1"/>
  <c r="B32" i="18" s="1"/>
  <c r="O58" i="10"/>
  <c r="P7" i="10" l="1"/>
  <c r="P27" i="10" s="1"/>
  <c r="P24" i="8"/>
  <c r="P25" i="8"/>
  <c r="P28" i="10" l="1"/>
  <c r="P29" i="10" s="1"/>
  <c r="P26" i="8"/>
  <c r="P27" i="8"/>
  <c r="P29" i="8" s="1"/>
  <c r="P59" i="10" l="1"/>
  <c r="P30" i="10"/>
  <c r="F54" i="11"/>
  <c r="P17" i="2"/>
  <c r="F43" i="11"/>
  <c r="F42" i="11"/>
  <c r="P46" i="10"/>
  <c r="P33" i="8"/>
  <c r="P35" i="8" s="1"/>
  <c r="P34" i="8"/>
  <c r="P30" i="8"/>
  <c r="P15" i="2" s="1"/>
  <c r="P14" i="2"/>
  <c r="P14" i="17" l="1"/>
  <c r="P16" i="2"/>
  <c r="P20" i="17"/>
  <c r="P21" i="17" s="1"/>
  <c r="P36" i="8"/>
  <c r="P61" i="10"/>
  <c r="P50" i="10"/>
  <c r="F47" i="11"/>
  <c r="P60" i="10"/>
  <c r="P18" i="2"/>
  <c r="F49" i="11" l="1"/>
  <c r="P36" i="9" s="1"/>
  <c r="G41" i="11"/>
  <c r="P34" i="9"/>
  <c r="P33" i="9" s="1"/>
  <c r="P23" i="17"/>
  <c r="P15" i="17"/>
  <c r="P28" i="2" s="1"/>
  <c r="F56" i="11"/>
  <c r="F58" i="11" s="1"/>
  <c r="P51" i="10"/>
  <c r="P54" i="10" s="1"/>
  <c r="P56" i="10" s="1"/>
  <c r="P24" i="17" l="1"/>
  <c r="P31" i="2" s="1"/>
  <c r="P30" i="2"/>
  <c r="C85" i="18"/>
  <c r="G53" i="11"/>
  <c r="P22" i="9"/>
  <c r="C34" i="18"/>
  <c r="Q55" i="10"/>
  <c r="P18" i="17"/>
  <c r="P19" i="17" s="1"/>
  <c r="P58" i="9"/>
  <c r="C33" i="18" s="1"/>
  <c r="D85" i="18" l="1"/>
  <c r="E85" i="18" s="1"/>
  <c r="B85" i="18" s="1"/>
  <c r="C86" i="18"/>
  <c r="E86" i="18" s="1"/>
  <c r="B86" i="18" s="1"/>
  <c r="F59" i="11"/>
  <c r="F60" i="11" s="1"/>
  <c r="P57" i="10"/>
  <c r="P19" i="2"/>
  <c r="P11" i="17"/>
  <c r="P13" i="17" s="1"/>
  <c r="P17" i="17" s="1"/>
  <c r="P29" i="2" s="1"/>
  <c r="Q21" i="8"/>
  <c r="P28" i="9"/>
  <c r="P29" i="9" s="1"/>
  <c r="P62" i="9"/>
  <c r="P20" i="2" s="1"/>
  <c r="D33" i="18" l="1"/>
  <c r="E33" i="18" s="1"/>
  <c r="B33" i="18" s="1"/>
  <c r="P59" i="9"/>
  <c r="Q36" i="10"/>
  <c r="Q39" i="10" s="1"/>
  <c r="G55" i="11" s="1"/>
  <c r="Q12" i="10"/>
  <c r="Q23" i="8"/>
  <c r="D34" i="18"/>
  <c r="E34" i="18" s="1"/>
  <c r="B34" i="18" s="1"/>
  <c r="P58" i="10"/>
  <c r="Q25" i="8" l="1"/>
  <c r="Q7" i="10"/>
  <c r="Q27" i="10" s="1"/>
  <c r="Q24" i="8"/>
  <c r="Q26" i="8" l="1"/>
  <c r="Q28" i="10"/>
  <c r="Q29" i="10" s="1"/>
  <c r="Q27" i="8"/>
  <c r="Q29" i="8" s="1"/>
  <c r="G54" i="11" l="1"/>
  <c r="Q59" i="10"/>
  <c r="Q30" i="10"/>
  <c r="Q17" i="2"/>
  <c r="G42" i="11"/>
  <c r="G47" i="11" s="1"/>
  <c r="G43" i="11"/>
  <c r="Q33" i="8"/>
  <c r="Q35" i="8" s="1"/>
  <c r="Q34" i="8"/>
  <c r="Q46" i="10"/>
  <c r="Q30" i="8"/>
  <c r="Q15" i="2" s="1"/>
  <c r="Q14" i="2"/>
  <c r="G49" i="11" l="1"/>
  <c r="Q36" i="9" s="1"/>
  <c r="Q34" i="9"/>
  <c r="Q33" i="9" s="1"/>
  <c r="Q61" i="10"/>
  <c r="Q50" i="10"/>
  <c r="Q14" i="17"/>
  <c r="Q16" i="2"/>
  <c r="Q20" i="17"/>
  <c r="Q21" i="17" s="1"/>
  <c r="Q36" i="8"/>
  <c r="Q60" i="10"/>
  <c r="Q18" i="2"/>
  <c r="G56" i="11" l="1"/>
  <c r="G58" i="11" s="1"/>
  <c r="Q51" i="10"/>
  <c r="Q54" i="10" s="1"/>
  <c r="Q56" i="10" s="1"/>
  <c r="Q23" i="17"/>
  <c r="Q15" i="17"/>
  <c r="Q28" i="2" s="1"/>
  <c r="Q18" i="17"/>
  <c r="Q19" i="17" s="1"/>
  <c r="Q58" i="9"/>
  <c r="C35" i="18" s="1"/>
  <c r="Q24" i="17" l="1"/>
  <c r="Q31" i="2" s="1"/>
  <c r="Q30" i="2"/>
  <c r="C36" i="18"/>
  <c r="C90" i="18"/>
  <c r="Q22" i="9"/>
  <c r="C91" i="18" l="1"/>
  <c r="E91" i="18" s="1"/>
  <c r="B91" i="18" s="1"/>
  <c r="D90" i="18"/>
  <c r="E90" i="18" s="1"/>
  <c r="B90" i="18" s="1"/>
  <c r="G59" i="11"/>
  <c r="G60" i="11" s="1"/>
  <c r="Q57" i="10"/>
  <c r="Q19" i="2"/>
  <c r="Q11" i="17"/>
  <c r="Q13" i="17" s="1"/>
  <c r="Q17" i="17" s="1"/>
  <c r="Q29" i="2" s="1"/>
  <c r="Q28" i="9"/>
  <c r="Q29" i="9" s="1"/>
  <c r="Q62" i="9"/>
  <c r="Q20" i="2" s="1"/>
  <c r="D36" i="18" l="1"/>
  <c r="E36" i="18" s="1"/>
  <c r="B36" i="18" s="1"/>
  <c r="Q58" i="10"/>
  <c r="D35" i="18"/>
  <c r="E35" i="18" s="1"/>
  <c r="B35" i="18" s="1"/>
  <c r="Q59" i="9"/>
  <c r="B6" i="18"/>
  <c r="B15" i="1" s="1"/>
</calcChain>
</file>

<file path=xl/sharedStrings.xml><?xml version="1.0" encoding="utf-8"?>
<sst xmlns="http://schemas.openxmlformats.org/spreadsheetml/2006/main" count="10251" uniqueCount="3565">
  <si>
    <t>Wipro Integrated Financial Model</t>
  </si>
  <si>
    <t>Fresh official-source build | Quarterly P&amp;L FY16–Q1FY27 | Annual three statements FY16–FY30E | INR crore unless stated</t>
  </si>
  <si>
    <t>Cash-anchored three statements, client mining, bookings, AI revenue bridge and valuation</t>
  </si>
  <si>
    <t>Model scope</t>
  </si>
  <si>
    <t>Quarterly P&amp;L only; annual P&amp;L, detailed balance sheet and cash flow</t>
  </si>
  <si>
    <t>Historical period</t>
  </si>
  <si>
    <t>FY16–FY26 plus Q1 FY27 actual</t>
  </si>
  <si>
    <t>Forecast period</t>
  </si>
  <si>
    <t>FY27E–FY30E</t>
  </si>
  <si>
    <t>Source policy</t>
  </si>
  <si>
    <t>Official Wipro annual reports, quarterly IFRS statements and company data sheets; SEC company facts used for standardized history</t>
  </si>
  <si>
    <t>Cash policy</t>
  </si>
  <si>
    <t>Historical closing cash is anchored to the reported balance sheet; forecast cash is the output of CFO + CFI + CFF</t>
  </si>
  <si>
    <t>Forecast revenue</t>
  </si>
  <si>
    <t>Retained core + billable capacity + bookings realization − T&amp;M AI deflation + explicit AI uplift + acquisitions</t>
  </si>
  <si>
    <t>AI disclosure policy</t>
  </si>
  <si>
    <t>No historical AI revenue is invented; forecast AI uplift is an editable scenario assumption</t>
  </si>
  <si>
    <t>Circularity policy</t>
  </si>
  <si>
    <t>One-way flow: assumptions / drivers → P&amp;L → non-cash BS schedules → cash flow → cash → balance sheet</t>
  </si>
  <si>
    <t>Formatting</t>
  </si>
  <si>
    <t>Aptos Narrow 10; hardcoded actuals medium blue; formulas black; forecast columns pale green</t>
  </si>
  <si>
    <t>Model status</t>
  </si>
  <si>
    <t>Wipro Financial Summary</t>
  </si>
  <si>
    <t>Integrated performance, operating drivers, cash generation and valuation</t>
  </si>
  <si>
    <t>Metric</t>
  </si>
  <si>
    <t>Units</t>
  </si>
  <si>
    <t>FY16A</t>
  </si>
  <si>
    <t>FY17A</t>
  </si>
  <si>
    <t>FY18A</t>
  </si>
  <si>
    <t>FY19A</t>
  </si>
  <si>
    <t>FY20A</t>
  </si>
  <si>
    <t>FY21A</t>
  </si>
  <si>
    <t>FY22A</t>
  </si>
  <si>
    <t>FY23A</t>
  </si>
  <si>
    <t>FY24A</t>
  </si>
  <si>
    <t>FY25A</t>
  </si>
  <si>
    <t>FY26A</t>
  </si>
  <si>
    <t>FY27E</t>
  </si>
  <si>
    <t>FY28E</t>
  </si>
  <si>
    <t>FY29E</t>
  </si>
  <si>
    <t>FY30E</t>
  </si>
  <si>
    <t>Revenue</t>
  </si>
  <si>
    <t>₹ cr</t>
  </si>
  <si>
    <t>Revenue growth</t>
  </si>
  <si>
    <t>%</t>
  </si>
  <si>
    <t>Gross margin</t>
  </si>
  <si>
    <t>EBITDA</t>
  </si>
  <si>
    <t>EBITDA margin</t>
  </si>
  <si>
    <t>EBIT</t>
  </si>
  <si>
    <t>EBIT margin</t>
  </si>
  <si>
    <t>Net income</t>
  </si>
  <si>
    <t>Net margin</t>
  </si>
  <si>
    <t>Diluted EPS</t>
  </si>
  <si>
    <t>₹ / share</t>
  </si>
  <si>
    <t>CFO</t>
  </si>
  <si>
    <t>Free cash flow</t>
  </si>
  <si>
    <t>Closing cash</t>
  </si>
  <si>
    <t>Net cash + investments / debt &amp; lease</t>
  </si>
  <si>
    <t>Headcount</t>
  </si>
  <si>
    <t>#</t>
  </si>
  <si>
    <t>Billable FTE</t>
  </si>
  <si>
    <t>Total bookings</t>
  </si>
  <si>
    <t>$m</t>
  </si>
  <si>
    <t>Large-deal TCV</t>
  </si>
  <si>
    <t>Revenue per active client</t>
  </si>
  <si>
    <t>AI revenue uplift</t>
  </si>
  <si>
    <t>Reference share price</t>
  </si>
  <si>
    <t>P/E</t>
  </si>
  <si>
    <t>x</t>
  </si>
  <si>
    <t>EV / EBITDA</t>
  </si>
  <si>
    <t>Implied target price</t>
  </si>
  <si>
    <t>Upside / (downside)</t>
  </si>
  <si>
    <t>Sources &amp; Data Conventions</t>
  </si>
  <si>
    <t>Primary-source register; unavailable disclosures stay blank and derived values are explicitly identified</t>
  </si>
  <si>
    <t>ID</t>
  </si>
  <si>
    <t>Data / Period</t>
  </si>
  <si>
    <t>Primary source</t>
  </si>
  <si>
    <t>Use</t>
  </si>
  <si>
    <t>Status</t>
  </si>
  <si>
    <t>Notes</t>
  </si>
  <si>
    <t>S1</t>
  </si>
  <si>
    <t>Annual reports FY16–FY26</t>
  </si>
  <si>
    <t>₹ mn</t>
  </si>
  <si>
    <t>https://www.wipro.com/investors/annual-reports/</t>
  </si>
  <si>
    <t>Audited P&amp;L, balance sheet and cash flow</t>
  </si>
  <si>
    <t>Loaded</t>
  </si>
  <si>
    <t>FY26 annual report manually controlled because SEC filing uses extension tags</t>
  </si>
  <si>
    <t>S2</t>
  </si>
  <si>
    <t>Quarterly IFRS financials FY16–Q1FY27</t>
  </si>
  <si>
    <t>https://www.wipro.com/investors/quarterly-results/</t>
  </si>
  <si>
    <t>Quarterly consolidated P&amp;L</t>
  </si>
  <si>
    <t>Q4 is annual less Q1–Q3 where needed, ensuring audited annual roll-up</t>
  </si>
  <si>
    <t>S3</t>
  </si>
  <si>
    <t>Quarterly data sheets FY16–Q1FY27</t>
  </si>
  <si>
    <t>$m / % / #</t>
  </si>
  <si>
    <t>USD revenue, margin, vertical/geography/currency mix, clients, headcount, utilization and bookings</t>
  </si>
  <si>
    <t>Definitions and classifications change over time and are kept separate</t>
  </si>
  <si>
    <t>S4</t>
  </si>
  <si>
    <t>SEC company facts</t>
  </si>
  <si>
    <t>INR / shares</t>
  </si>
  <si>
    <t>https://data.sec.gov/api/xbrl/companyfacts/CIK0001123799.json</t>
  </si>
  <si>
    <t>Standardized FY16–FY25 IFRS history and shares</t>
  </si>
  <si>
    <t>Latest-filed comparative selected for each fiscal period</t>
  </si>
  <si>
    <t>S5</t>
  </si>
  <si>
    <t>WIPRO.NS daily prices</t>
  </si>
  <si>
    <t>https://query1.finance.yahoo.com/v8/finance/chart/WIPRO.NS</t>
  </si>
  <si>
    <t>Market-data tab and historical FY-end valuation</t>
  </si>
  <si>
    <t>No external valuation opinion is imported</t>
  </si>
  <si>
    <t>S6</t>
  </si>
  <si>
    <t>Q1 FY27 Wipro results</t>
  </si>
  <si>
    <t>₹ mn / $m</t>
  </si>
  <si>
    <t>Q1 FY27 actual P&amp;L and operating metrics</t>
  </si>
  <si>
    <t>Revenue ₹244,786m; IT services revenue $2,614.5m; bookings $3,370m</t>
  </si>
  <si>
    <t>S7</t>
  </si>
  <si>
    <t>Historical AI revenue</t>
  </si>
  <si>
    <t>n/a</t>
  </si>
  <si>
    <t>Forecast policy</t>
  </si>
  <si>
    <t>Not disclosed</t>
  </si>
  <si>
    <t>No historical AI revenue is hardcoded; model uses a scenario-driven incremental uplift</t>
  </si>
  <si>
    <t>S8</t>
  </si>
  <si>
    <t>Derived interim D&amp;A</t>
  </si>
  <si>
    <t>Audited annual D&amp;A less reported quarters</t>
  </si>
  <si>
    <t>Quarterly EBITDA bridge</t>
  </si>
  <si>
    <t>Derived</t>
  </si>
  <si>
    <t>Only used where the interim D&amp;A table was image-only; allocation is revenue-weighted and annual total is exact</t>
  </si>
  <si>
    <t>S9</t>
  </si>
  <si>
    <t>Cash-flow residual lines</t>
  </si>
  <si>
    <t>Audited CFS totals</t>
  </si>
  <si>
    <t>Historical detailed CFS bridge</t>
  </si>
  <si>
    <t>Calculated</t>
  </si>
  <si>
    <t>Other CFO / CFI / CFF is a formula residual, never an invented hardcode</t>
  </si>
  <si>
    <t>Forecast Assumptions</t>
  </si>
  <si>
    <t>Blue text on yellow = editable; every forecast output is formula-linked</t>
  </si>
  <si>
    <t>Driver</t>
  </si>
  <si>
    <t>Logic / interpretation</t>
  </si>
  <si>
    <t>Total headcount growth</t>
  </si>
  <si>
    <t>Closing headcount growth</t>
  </si>
  <si>
    <t>Service employee share</t>
  </si>
  <si>
    <t>Headcount less sales / support</t>
  </si>
  <si>
    <t>Utilization / billable rate</t>
  </si>
  <si>
    <t>Billable FTE conversion</t>
  </si>
  <si>
    <t>Pricing / productivity uplift</t>
  </si>
  <si>
    <t>Revenue per billable FTE improvement</t>
  </si>
  <si>
    <t>Capacity uplift realization</t>
  </si>
  <si>
    <t>Recognized share of billable capacity / productivity uplift</t>
  </si>
  <si>
    <t>Core revenue retention</t>
  </si>
  <si>
    <t>Prior-year revenue retained before incremental drivers</t>
  </si>
  <si>
    <t>FPP mix</t>
  </si>
  <si>
    <t>Fixed-price / managed-services mix</t>
  </si>
  <si>
    <t>AI deflation on T&amp;M revenue</t>
  </si>
  <si>
    <t>Explicit T&amp;M productivity / pricing drag</t>
  </si>
  <si>
    <t>Total bookings growth</t>
  </si>
  <si>
    <t>Bookings scenario</t>
  </si>
  <si>
    <t>Bookings current-year realization</t>
  </si>
  <si>
    <t>Incremental recognized revenue from bookings</t>
  </si>
  <si>
    <t>AI uplift / prior-year revenue</t>
  </si>
  <si>
    <t>Incremental AI-led recognized revenue; not historical disclosure</t>
  </si>
  <si>
    <t>Acquisition revenue / prior-year revenue</t>
  </si>
  <si>
    <t>Separate acquisition contribution</t>
  </si>
  <si>
    <t>Average INR / USD</t>
  </si>
  <si>
    <t>₹ / $</t>
  </si>
  <si>
    <t>Forecast translation rate</t>
  </si>
  <si>
    <t>Consolidated gross margin</t>
  </si>
  <si>
    <t>S&amp;M / revenue</t>
  </si>
  <si>
    <t>Selling and marketing</t>
  </si>
  <si>
    <t>G&amp;A / revenue</t>
  </si>
  <si>
    <t>General and administrative</t>
  </si>
  <si>
    <t>Other operating income / revenue</t>
  </si>
  <si>
    <t>FX / other operating income</t>
  </si>
  <si>
    <t>D&amp;A / revenue</t>
  </si>
  <si>
    <t>Total D&amp;A</t>
  </si>
  <si>
    <t>Finance income yield on prior liquidity</t>
  </si>
  <si>
    <t>Uses prior-year cash + investments only</t>
  </si>
  <si>
    <t>Finance cost rate on prior debt + lease</t>
  </si>
  <si>
    <t>Uses independent prior-year financing balances</t>
  </si>
  <si>
    <t>Effective tax rate</t>
  </si>
  <si>
    <t>P&amp;L tax rate</t>
  </si>
  <si>
    <t>Billed receivable days</t>
  </si>
  <si>
    <t>days</t>
  </si>
  <si>
    <t>Closing receivables</t>
  </si>
  <si>
    <t>Unbilled + contract asset days</t>
  </si>
  <si>
    <t>Combined closing balance</t>
  </si>
  <si>
    <t>Inventory / revenue</t>
  </si>
  <si>
    <t>Closing balance</t>
  </si>
  <si>
    <t>Other current financial assets / revenue</t>
  </si>
  <si>
    <t>Other current assets / revenue</t>
  </si>
  <si>
    <t>Current investments / revenue</t>
  </si>
  <si>
    <t>Explicit liquidity allocation; not a plug</t>
  </si>
  <si>
    <t>Other non-current operating assets / revenue</t>
  </si>
  <si>
    <t>Trade payables / revenue</t>
  </si>
  <si>
    <t>Other current operating liabilities / revenue</t>
  </si>
  <si>
    <t>Contract, tax, provisions and other current liabilities</t>
  </si>
  <si>
    <t>Other non-current operating liabilities / revenue</t>
  </si>
  <si>
    <t>Excludes debt and lease liabilities</t>
  </si>
  <si>
    <t>Capex / revenue</t>
  </si>
  <si>
    <t>PPE + intangible additions</t>
  </si>
  <si>
    <t>Intangible share of capex</t>
  </si>
  <si>
    <t>Capex allocation</t>
  </si>
  <si>
    <t>ROU additions / revenue</t>
  </si>
  <si>
    <t>Non-cash lease additions</t>
  </si>
  <si>
    <t>PPE D&amp;A allocation</t>
  </si>
  <si>
    <t>D&amp;A schedule</t>
  </si>
  <si>
    <t>ROU D&amp;A allocation</t>
  </si>
  <si>
    <t>Intangible D&amp;A allocation</t>
  </si>
  <si>
    <t>Lease principal / opening lease</t>
  </si>
  <si>
    <t>Cash lease principal</t>
  </si>
  <si>
    <t>Net borrowing change</t>
  </si>
  <si>
    <t>Independent debt schedule</t>
  </si>
  <si>
    <t>Current debt share</t>
  </si>
  <si>
    <t>Wipro debt historically short-term weighted</t>
  </si>
  <si>
    <t>Dividend payout</t>
  </si>
  <si>
    <t>Dividend paid / attributable profit</t>
  </si>
  <si>
    <t>Buyback</t>
  </si>
  <si>
    <t>FY27 reflects approved ₹150bn buyback; editable</t>
  </si>
  <si>
    <t>Share-based compensation / revenue</t>
  </si>
  <si>
    <t>Equity / CFO non-cash line</t>
  </si>
  <si>
    <t>OCI / other reserve movement</t>
  </si>
  <si>
    <t>Editable reserve movement</t>
  </si>
  <si>
    <t>Target P/E</t>
  </si>
  <si>
    <t>Implied target valuation</t>
  </si>
  <si>
    <t>Reference market price</t>
  </si>
  <si>
    <t>Editable current / reference price; FY27–FY30 carried unless changed</t>
  </si>
  <si>
    <t>Other current liability allocation: trade payables</t>
  </si>
  <si>
    <t>Split of total current operating liabilities</t>
  </si>
  <si>
    <t>Other current liability allocation: contract liabilities</t>
  </si>
  <si>
    <t>Split</t>
  </si>
  <si>
    <t>Other current liability allocation: current tax</t>
  </si>
  <si>
    <t>Other current liability allocation: provisions</t>
  </si>
  <si>
    <t>Split; residual goes to other liabilities</t>
  </si>
  <si>
    <t>Other NC liability allocation: provisions</t>
  </si>
  <si>
    <t>Split; remaining other NC liabilities</t>
  </si>
  <si>
    <t>FX effect on cash</t>
  </si>
  <si>
    <t>Forecast cash translation adjustment</t>
  </si>
  <si>
    <t>Raw Reported Financials — Source Layer</t>
  </si>
  <si>
    <t>Hardcoded official reported inputs only; calculations live downstream</t>
  </si>
  <si>
    <t>Annual reported P&amp;L</t>
  </si>
  <si>
    <t>Cost of revenue</t>
  </si>
  <si>
    <t>Gross profit</t>
  </si>
  <si>
    <t>Selling &amp; marketing</t>
  </si>
  <si>
    <t>General &amp; administrative</t>
  </si>
  <si>
    <t>Other operating income / FX</t>
  </si>
  <si>
    <t>D&amp;A</t>
  </si>
  <si>
    <t>Finance expense</t>
  </si>
  <si>
    <t>Finance &amp; other income</t>
  </si>
  <si>
    <t>Share of associate / JV</t>
  </si>
  <si>
    <t>PBT</t>
  </si>
  <si>
    <t>Tax</t>
  </si>
  <si>
    <t>Profit incl. NCI</t>
  </si>
  <si>
    <t>NCI</t>
  </si>
  <si>
    <t>Net income attributable</t>
  </si>
  <si>
    <t>Basic EPS</t>
  </si>
  <si>
    <t>Basic weighted shares</t>
  </si>
  <si>
    <t>m</t>
  </si>
  <si>
    <t>Diluted weighted shares</t>
  </si>
  <si>
    <t>Quarterly reported P&amp;L — Q4 derived as annual less Q1–Q3 where required</t>
  </si>
  <si>
    <t>Q1 FY16A</t>
  </si>
  <si>
    <t>Q2 FY16A</t>
  </si>
  <si>
    <t>Q3 FY16A</t>
  </si>
  <si>
    <t>Q4 FY16A</t>
  </si>
  <si>
    <t>Q1 FY17A</t>
  </si>
  <si>
    <t>Q2 FY17A</t>
  </si>
  <si>
    <t>Q3 FY17A</t>
  </si>
  <si>
    <t>Q4 FY17A</t>
  </si>
  <si>
    <t>Q1 FY18A</t>
  </si>
  <si>
    <t>Q2 FY18A</t>
  </si>
  <si>
    <t>Q3 FY18A</t>
  </si>
  <si>
    <t>Q4 FY18A</t>
  </si>
  <si>
    <t>Q1 FY19A</t>
  </si>
  <si>
    <t>Q2 FY19A</t>
  </si>
  <si>
    <t>Q3 FY19A</t>
  </si>
  <si>
    <t>Q4 FY19A</t>
  </si>
  <si>
    <t>Q1 FY20A</t>
  </si>
  <si>
    <t>Q2 FY20A</t>
  </si>
  <si>
    <t>Q3 FY20A</t>
  </si>
  <si>
    <t>Q4 FY20A</t>
  </si>
  <si>
    <t>Q1 FY21A</t>
  </si>
  <si>
    <t>Q2 FY21A</t>
  </si>
  <si>
    <t>Q3 FY21A</t>
  </si>
  <si>
    <t>Q4 FY21A</t>
  </si>
  <si>
    <t>Q1 FY22A</t>
  </si>
  <si>
    <t>Q2 FY22A</t>
  </si>
  <si>
    <t>Q3 FY22A</t>
  </si>
  <si>
    <t>Q4 FY22A</t>
  </si>
  <si>
    <t>Q1 FY23A</t>
  </si>
  <si>
    <t>Q2 FY23A</t>
  </si>
  <si>
    <t>Q3 FY23A</t>
  </si>
  <si>
    <t>Q4 FY23A</t>
  </si>
  <si>
    <t>Q1 FY24A</t>
  </si>
  <si>
    <t>Q2 FY24A</t>
  </si>
  <si>
    <t>Q3 FY24A</t>
  </si>
  <si>
    <t>Q4 FY24A</t>
  </si>
  <si>
    <t>Q1 FY25A</t>
  </si>
  <si>
    <t>Q2 FY25A</t>
  </si>
  <si>
    <t>Q3 FY25A</t>
  </si>
  <si>
    <t>Q4 FY25A</t>
  </si>
  <si>
    <t>Q1 FY26A</t>
  </si>
  <si>
    <t>Q2 FY26A</t>
  </si>
  <si>
    <t>Q3 FY26A</t>
  </si>
  <si>
    <t>Q4 FY26A</t>
  </si>
  <si>
    <t>Q1 FY27A</t>
  </si>
  <si>
    <t>Annual reported balance sheet</t>
  </si>
  <si>
    <t>PPE</t>
  </si>
  <si>
    <t>ROU assets</t>
  </si>
  <si>
    <t>Goodwill</t>
  </si>
  <si>
    <t>Intangibles</t>
  </si>
  <si>
    <t>Non-current investments</t>
  </si>
  <si>
    <t>Equity-method investments</t>
  </si>
  <si>
    <t>Non-current receivables</t>
  </si>
  <si>
    <t>Non-current unbilled</t>
  </si>
  <si>
    <t>Other non-current financial assets</t>
  </si>
  <si>
    <t>Deferred tax assets</t>
  </si>
  <si>
    <t>Non-current tax assets</t>
  </si>
  <si>
    <t>Other non-current assets</t>
  </si>
  <si>
    <t>Total non-current assets</t>
  </si>
  <si>
    <t>Inventories</t>
  </si>
  <si>
    <t>Current derivative assets</t>
  </si>
  <si>
    <t>Current investments</t>
  </si>
  <si>
    <t>Cash &amp; equivalents</t>
  </si>
  <si>
    <t>Billed receivables</t>
  </si>
  <si>
    <t>Unbilled receivables</t>
  </si>
  <si>
    <t>Other current financial assets</t>
  </si>
  <si>
    <t>Contract assets</t>
  </si>
  <si>
    <t>Current tax assets</t>
  </si>
  <si>
    <t>Other current assets</t>
  </si>
  <si>
    <t>Total current assets</t>
  </si>
  <si>
    <t>Total assets</t>
  </si>
  <si>
    <t>Share capital</t>
  </si>
  <si>
    <t>Share premium</t>
  </si>
  <si>
    <t>Retained earnings</t>
  </si>
  <si>
    <t>Equity attributable</t>
  </si>
  <si>
    <t>Total equity</t>
  </si>
  <si>
    <t>Long-term borrowings</t>
  </si>
  <si>
    <t>Non-current lease liabilities</t>
  </si>
  <si>
    <t>Other non-current financial liabilities</t>
  </si>
  <si>
    <t>Deferred tax liabilities</t>
  </si>
  <si>
    <t>Non-current tax liabilities</t>
  </si>
  <si>
    <t>Other non-current liabilities</t>
  </si>
  <si>
    <t>Non-current provisions</t>
  </si>
  <si>
    <t>Total non-current liabilities</t>
  </si>
  <si>
    <t>Short-term borrowings</t>
  </si>
  <si>
    <t>Current lease liabilities</t>
  </si>
  <si>
    <t>Derivative liabilities</t>
  </si>
  <si>
    <t>Trade payables</t>
  </si>
  <si>
    <t>Other current financial liabilities</t>
  </si>
  <si>
    <t>Contract liabilities</t>
  </si>
  <si>
    <t>Current tax liabilities</t>
  </si>
  <si>
    <t>Other current liabilities</t>
  </si>
  <si>
    <t>Current provisions</t>
  </si>
  <si>
    <t>Total current liabilities</t>
  </si>
  <si>
    <t>Total liabilities</t>
  </si>
  <si>
    <t>Annual reported cash flow</t>
  </si>
  <si>
    <t>Profit before tax</t>
  </si>
  <si>
    <t>Share-based payments</t>
  </si>
  <si>
    <t>Gain on PPE disposal</t>
  </si>
  <si>
    <t>Finance income / cost adjustment</t>
  </si>
  <si>
    <t>Tax expense adjustment</t>
  </si>
  <si>
    <t>Change in receivables</t>
  </si>
  <si>
    <t>Change in unbilled / contract assets</t>
  </si>
  <si>
    <t>Change in inventory</t>
  </si>
  <si>
    <t>Change in other assets</t>
  </si>
  <si>
    <t>Change in payables / liabilities</t>
  </si>
  <si>
    <t>Cash generated pre-tax</t>
  </si>
  <si>
    <t>Tax paid</t>
  </si>
  <si>
    <t>Capex</t>
  </si>
  <si>
    <t>PPE sale proceeds</t>
  </si>
  <si>
    <t>Purchase of investments</t>
  </si>
  <si>
    <t>Sale / maturity of investments</t>
  </si>
  <si>
    <t>Acquisitions</t>
  </si>
  <si>
    <t>Interest received</t>
  </si>
  <si>
    <t>Dividends received</t>
  </si>
  <si>
    <t>CFI</t>
  </si>
  <si>
    <t>Equity issuance</t>
  </si>
  <si>
    <t>Borrowing proceeds</t>
  </si>
  <si>
    <t>Borrowing repayments</t>
  </si>
  <si>
    <t>Lease principal</t>
  </si>
  <si>
    <t>Finance costs paid</t>
  </si>
  <si>
    <t>Dividends paid</t>
  </si>
  <si>
    <t>CFF</t>
  </si>
  <si>
    <t>FX effect</t>
  </si>
  <si>
    <t>Opening cash</t>
  </si>
  <si>
    <t>Closing cash per CFS</t>
  </si>
  <si>
    <t>Raw Reported Operating Metrics</t>
  </si>
  <si>
    <t>Quarter-end operating metrics from official Wipro data sheets; classifications remain separate</t>
  </si>
  <si>
    <t>IT services revenue</t>
  </si>
  <si>
    <t>Closing headcount</t>
  </si>
  <si>
    <t>Sales &amp; support staff</t>
  </si>
  <si>
    <t>Net utilization excl. trainees</t>
  </si>
  <si>
    <t>Voluntary attrition TTM</t>
  </si>
  <si>
    <t>Active clients</t>
  </si>
  <si>
    <t>$100m+ clients</t>
  </si>
  <si>
    <t>$50m+ clients</t>
  </si>
  <si>
    <t>$20m+ clients</t>
  </si>
  <si>
    <t>$10m+ clients</t>
  </si>
  <si>
    <t>$5m+ clients</t>
  </si>
  <si>
    <t>$1m+ clients</t>
  </si>
  <si>
    <t>Top client</t>
  </si>
  <si>
    <t>Top 5</t>
  </si>
  <si>
    <t>Top 10</t>
  </si>
  <si>
    <t>USD mix</t>
  </si>
  <si>
    <t>GBP mix</t>
  </si>
  <si>
    <t>EUR mix</t>
  </si>
  <si>
    <t>INR mix</t>
  </si>
  <si>
    <t>AUD mix</t>
  </si>
  <si>
    <t>CAD mix</t>
  </si>
  <si>
    <t>Other currency mix</t>
  </si>
  <si>
    <t>Legacy vertical and geography mix</t>
  </si>
  <si>
    <t>BFSI / finance solutions</t>
  </si>
  <si>
    <t>Communications / media</t>
  </si>
  <si>
    <t>Manufacturing / energy &amp; resources</t>
  </si>
  <si>
    <t>Health</t>
  </si>
  <si>
    <t>Consumer / retail</t>
  </si>
  <si>
    <t>Energy legacy</t>
  </si>
  <si>
    <t>Technology &amp; communications</t>
  </si>
  <si>
    <t>Americas</t>
  </si>
  <si>
    <t>Europe</t>
  </si>
  <si>
    <t>India &amp; Middle East</t>
  </si>
  <si>
    <t>APAC / other emerging</t>
  </si>
  <si>
    <t>Americas 1</t>
  </si>
  <si>
    <t>Americas 2</t>
  </si>
  <si>
    <t>APMEA</t>
  </si>
  <si>
    <t>Quarterly Profit &amp; Loss</t>
  </si>
  <si>
    <t>FY16–FY26 actual plus Q1 FY27 actual; all lines link to the raw source layer</t>
  </si>
  <si>
    <t>QoQ growth</t>
  </si>
  <si>
    <t>YoY growth</t>
  </si>
  <si>
    <t>PBT margin</t>
  </si>
  <si>
    <t>Annual Profit &amp; Loss</t>
  </si>
  <si>
    <t>Historical values link to official reported data; FY27E–FY30E are calculated</t>
  </si>
  <si>
    <t>Dividend per share</t>
  </si>
  <si>
    <t>Annual Balance Sheet</t>
  </si>
  <si>
    <t>Reported history; forecast lines are explicit schedules with cash linked only from the cash-flow statement</t>
  </si>
  <si>
    <t>Non-current receivables &amp; unbilled</t>
  </si>
  <si>
    <t>Derivative assets</t>
  </si>
  <si>
    <t>Unbilled + contract assets</t>
  </si>
  <si>
    <t>Other equity / retained earnings &amp; reserves</t>
  </si>
  <si>
    <t>Total equity &amp; liabilities</t>
  </si>
  <si>
    <t>Balance sheet check</t>
  </si>
  <si>
    <t>Total borrowings</t>
  </si>
  <si>
    <t>Total lease liabilities</t>
  </si>
  <si>
    <t>Net cash + investments / (debt + lease)</t>
  </si>
  <si>
    <t>Annual Cash Flow Statement</t>
  </si>
  <si>
    <t>Historical totals are reported controls; forecast cash is fully derived and closes the balance sheet</t>
  </si>
  <si>
    <t>Share-based compensation</t>
  </si>
  <si>
    <t>Gain / (loss) on PPE disposal</t>
  </si>
  <si>
    <t>Finance cost add-back</t>
  </si>
  <si>
    <t>Finance income deduction</t>
  </si>
  <si>
    <t>Associate / JV adjustment</t>
  </si>
  <si>
    <t>Other non-cash / CFO residual</t>
  </si>
  <si>
    <t>Change in billed receivables</t>
  </si>
  <si>
    <t>Change in inventories</t>
  </si>
  <si>
    <t>Change in other current financial assets</t>
  </si>
  <si>
    <t>Change in other current assets</t>
  </si>
  <si>
    <t>Change in other non-current operating assets</t>
  </si>
  <si>
    <t>Change in trade payables</t>
  </si>
  <si>
    <t>Change in other current financial liabilities</t>
  </si>
  <si>
    <t>Change in contract liabilities</t>
  </si>
  <si>
    <t>Change in tax assets / liabilities</t>
  </si>
  <si>
    <t>Change in other current liabilities</t>
  </si>
  <si>
    <t>Change in provisions / other NC liabilities</t>
  </si>
  <si>
    <t>Taxes paid</t>
  </si>
  <si>
    <t>Cash flow from operations</t>
  </si>
  <si>
    <t>CFO / net income</t>
  </si>
  <si>
    <t>Other investing / residual</t>
  </si>
  <si>
    <t>Cash flow from investing</t>
  </si>
  <si>
    <t>Net borrowing change / reclassification</t>
  </si>
  <si>
    <t>Lease principal paid</t>
  </si>
  <si>
    <t>NCI / other financing</t>
  </si>
  <si>
    <t>Other financing / residual</t>
  </si>
  <si>
    <t>Cash flow from financing</t>
  </si>
  <si>
    <t>Net cash flow before FX</t>
  </si>
  <si>
    <t>Accounting-basis / cash reconciliation</t>
  </si>
  <si>
    <t>Net change in cash</t>
  </si>
  <si>
    <t>Closing cash per balance sheet</t>
  </si>
  <si>
    <t>Cash check</t>
  </si>
  <si>
    <t>FCF margin</t>
  </si>
  <si>
    <t>Balance Sheet Forecast Schedules — No Circular References</t>
  </si>
  <si>
    <t>P&amp;L / assumptions → non-cash schedules → CFO / CFI / CFF → closing cash → balance sheet</t>
  </si>
  <si>
    <t>Capital asset schedules</t>
  </si>
  <si>
    <t>Total capex</t>
  </si>
  <si>
    <t>Intangible capex</t>
  </si>
  <si>
    <t>Tangible capex</t>
  </si>
  <si>
    <t>PPE D&amp;A</t>
  </si>
  <si>
    <t>ROU D&amp;A</t>
  </si>
  <si>
    <t>Intangible D&amp;A</t>
  </si>
  <si>
    <t>D&amp;A allocation check</t>
  </si>
  <si>
    <t>Closing PPE</t>
  </si>
  <si>
    <t>Closing intangibles</t>
  </si>
  <si>
    <t>ROU and lease schedule</t>
  </si>
  <si>
    <t>Opening ROU assets</t>
  </si>
  <si>
    <t>ROU additions</t>
  </si>
  <si>
    <t>Closing ROU assets</t>
  </si>
  <si>
    <t>Opening lease liabilities</t>
  </si>
  <si>
    <t>ROU / lease additions</t>
  </si>
  <si>
    <t>Closing lease liabilities</t>
  </si>
  <si>
    <t>Borrowing schedule</t>
  </si>
  <si>
    <t>Opening borrowings</t>
  </si>
  <si>
    <t>Closing borrowings</t>
  </si>
  <si>
    <t>Current borrowings</t>
  </si>
  <si>
    <t>Equity roll-forward</t>
  </si>
  <si>
    <t>Opening equity attributable</t>
  </si>
  <si>
    <t>OCI / other reserves</t>
  </si>
  <si>
    <t>Closing equity attributable</t>
  </si>
  <si>
    <t>Cash roll-forward</t>
  </si>
  <si>
    <t>Balance-sheet cash</t>
  </si>
  <si>
    <t>Revenue by Vertical</t>
  </si>
  <si>
    <t>Legacy and current Wipro sector classifications are kept in separate sections; revenue = reported mix × annual revenue</t>
  </si>
  <si>
    <t>Legacy classification — FY16 to FY23</t>
  </si>
  <si>
    <t>Finance solutions / BFSI mix</t>
  </si>
  <si>
    <t>Finance solutions / BFSI revenue</t>
  </si>
  <si>
    <t>Media &amp; telecom / communications mix</t>
  </si>
  <si>
    <t>Media &amp; telecom / communications revenue</t>
  </si>
  <si>
    <t>Manufacturing &amp; hi-tech mix</t>
  </si>
  <si>
    <t>Manufacturing &amp; hi-tech revenue</t>
  </si>
  <si>
    <t>Healthcare &amp; life sciences mix</t>
  </si>
  <si>
    <t>Healthcare &amp; life sciences revenue</t>
  </si>
  <si>
    <t>Retail / consumer / transportation mix</t>
  </si>
  <si>
    <t>Retail / consumer / transportation revenue</t>
  </si>
  <si>
    <t>Energy / utilities mix</t>
  </si>
  <si>
    <t>Energy / utilities revenue</t>
  </si>
  <si>
    <t>Mix check</t>
  </si>
  <si>
    <t>Calculated revenue</t>
  </si>
  <si>
    <t>Annual P&amp;L revenue</t>
  </si>
  <si>
    <t>Revenue check</t>
  </si>
  <si>
    <t>Current five-sector classification — FY24 onward</t>
  </si>
  <si>
    <t>BFSI mix</t>
  </si>
  <si>
    <t>BFSI revenue</t>
  </si>
  <si>
    <t>Consumer mix</t>
  </si>
  <si>
    <t>Consumer revenue</t>
  </si>
  <si>
    <t>Energy, Manufacturing &amp; Resources mix</t>
  </si>
  <si>
    <t>Energy, Manufacturing &amp; Resources revenue</t>
  </si>
  <si>
    <t>Technology &amp; Communications mix</t>
  </si>
  <si>
    <t>Technology &amp; Communications revenue</t>
  </si>
  <si>
    <t>Health mix</t>
  </si>
  <si>
    <t>Health revenue</t>
  </si>
  <si>
    <t>Geography and Currency Mix</t>
  </si>
  <si>
    <t>Legacy and current geographies remain separate; currency revenue is calculated from reported mix</t>
  </si>
  <si>
    <t>Legacy geography — FY16 to FY23</t>
  </si>
  <si>
    <t>Americas mix</t>
  </si>
  <si>
    <t>Americas revenue</t>
  </si>
  <si>
    <t>Europe mix</t>
  </si>
  <si>
    <t>Europe revenue</t>
  </si>
  <si>
    <t>India &amp; Middle East mix</t>
  </si>
  <si>
    <t>India &amp; Middle East revenue</t>
  </si>
  <si>
    <t>APAC / other emerging mix</t>
  </si>
  <si>
    <t>APAC / other emerging revenue</t>
  </si>
  <si>
    <t>Current strategic market units — disclosed years onward</t>
  </si>
  <si>
    <t>Americas 1 mix</t>
  </si>
  <si>
    <t>Americas 1 revenue</t>
  </si>
  <si>
    <t>Americas 2 mix</t>
  </si>
  <si>
    <t>Americas 2 revenue</t>
  </si>
  <si>
    <t>APMEA mix</t>
  </si>
  <si>
    <t>APMEA revenue</t>
  </si>
  <si>
    <t>Revenue currency mix and absolute revenue</t>
  </si>
  <si>
    <t>USD revenue</t>
  </si>
  <si>
    <t>GBP revenue</t>
  </si>
  <si>
    <t>EUR revenue</t>
  </si>
  <si>
    <t>INR revenue</t>
  </si>
  <si>
    <t>AUD revenue</t>
  </si>
  <si>
    <t>CAD revenue</t>
  </si>
  <si>
    <t>Other mix</t>
  </si>
  <si>
    <t>Other revenue</t>
  </si>
  <si>
    <t>Revenue in INR</t>
  </si>
  <si>
    <t>Revenue growth in INR</t>
  </si>
  <si>
    <t>Revenue in USD</t>
  </si>
  <si>
    <t>Revenue growth in USD</t>
  </si>
  <si>
    <t>Client Metrics and Deal Bookings</t>
  </si>
  <si>
    <t>Client bands, concentration, active clients, revenue per client and both total / large-deal TCV</t>
  </si>
  <si>
    <t>Top client contribution</t>
  </si>
  <si>
    <t>Top 5 client contribution</t>
  </si>
  <si>
    <t>Top 10 client contribution</t>
  </si>
  <si>
    <t>Revenue per $1m+ client proxy</t>
  </si>
  <si>
    <t>Incremental active clients</t>
  </si>
  <si>
    <t>Incremental $1m+ clients</t>
  </si>
  <si>
    <t>Large-deal TCV growth</t>
  </si>
  <si>
    <t>Large-deal / total bookings</t>
  </si>
  <si>
    <t>Bookings / USD revenue</t>
  </si>
  <si>
    <t>Revenue Drivers</t>
  </si>
  <si>
    <t>Capacity, bookings, T&amp;M AI deflation and AI uplift are separately carved out</t>
  </si>
  <si>
    <t>Headcount growth</t>
  </si>
  <si>
    <t>Service employees</t>
  </si>
  <si>
    <t>Billable FTE growth</t>
  </si>
  <si>
    <t>T&amp;M mix</t>
  </si>
  <si>
    <t>Retained core revenue</t>
  </si>
  <si>
    <t>Billable capacity + productivity uplift</t>
  </si>
  <si>
    <t>T&amp;M AI deflation rate</t>
  </si>
  <si>
    <t>T&amp;M AI deflation drag</t>
  </si>
  <si>
    <t>Bookings growth</t>
  </si>
  <si>
    <t>Bookings realization</t>
  </si>
  <si>
    <t>Bookings revenue uplift</t>
  </si>
  <si>
    <t>AI uplift rate</t>
  </si>
  <si>
    <t>Acquisition revenue rate</t>
  </si>
  <si>
    <t>Acquisition contribution</t>
  </si>
  <si>
    <t>INR / USD</t>
  </si>
  <si>
    <t>Revenue per billable FTE</t>
  </si>
  <si>
    <t>LTM attrition</t>
  </si>
  <si>
    <t>WIPRO Prices</t>
  </si>
  <si>
    <t>Daily WIPRO.NS close / adjusted close; this is the model market-data tab</t>
  </si>
  <si>
    <t>Date</t>
  </si>
  <si>
    <t>Close</t>
  </si>
  <si>
    <t>Adjusted close</t>
  </si>
  <si>
    <t>Volume</t>
  </si>
  <si>
    <t>Fiscal year</t>
  </si>
  <si>
    <t>Source</t>
  </si>
  <si>
    <t>2015-04-01</t>
  </si>
  <si>
    <t>FY16</t>
  </si>
  <si>
    <t>WIPRO.NS</t>
  </si>
  <si>
    <t>2015-04-06</t>
  </si>
  <si>
    <t>2015-04-07</t>
  </si>
  <si>
    <t>2015-04-08</t>
  </si>
  <si>
    <t>2015-04-09</t>
  </si>
  <si>
    <t>2015-04-10</t>
  </si>
  <si>
    <t>2015-04-13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</si>
  <si>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</si>
  <si>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</si>
  <si>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</si>
  <si>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</si>
  <si>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</si>
  <si>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</si>
  <si>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</si>
  <si>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</si>
  <si>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</si>
  <si>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</si>
  <si>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</si>
  <si>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</si>
  <si>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</si>
  <si>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</si>
  <si>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</si>
  <si>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</si>
  <si>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</si>
  <si>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</si>
  <si>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</si>
  <si>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</si>
  <si>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</si>
  <si>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</si>
  <si>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</si>
  <si>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</si>
  <si>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</si>
  <si>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</si>
  <si>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</si>
  <si>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</si>
  <si>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</si>
  <si>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</si>
  <si>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</si>
  <si>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</si>
  <si>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</si>
  <si>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</si>
  <si>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</si>
  <si>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</si>
  <si>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</si>
  <si>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</si>
  <si>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</si>
  <si>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</si>
  <si>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</si>
  <si>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</si>
  <si>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</si>
  <si>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</si>
  <si>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</si>
  <si>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</si>
  <si>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</si>
  <si>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</si>
  <si>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</si>
  <si>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</si>
  <si>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</si>
  <si>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</si>
  <si>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</si>
  <si>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</si>
  <si>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</si>
  <si>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</si>
  <si>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</si>
  <si>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</si>
  <si>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</si>
  <si>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</si>
  <si>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</si>
  <si>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</si>
  <si>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</si>
  <si>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</si>
  <si>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</si>
  <si>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</si>
  <si>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</si>
  <si>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</si>
  <si>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</si>
  <si>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</si>
  <si>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</si>
  <si>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</si>
  <si>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</si>
  <si>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</si>
  <si>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</si>
  <si>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</si>
  <si>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</si>
  <si>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</si>
  <si>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</si>
  <si>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</si>
  <si>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</si>
  <si>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</si>
  <si>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</si>
  <si>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</si>
  <si>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</si>
  <si>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</si>
  <si>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</si>
  <si>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</si>
  <si>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</si>
  <si>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</si>
  <si>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</si>
  <si>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</si>
  <si>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</si>
  <si>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</si>
  <si>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</si>
  <si>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</si>
  <si>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</si>
  <si>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</si>
  <si>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</si>
  <si>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</si>
  <si>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</si>
  <si>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</si>
  <si>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</si>
  <si>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</si>
  <si>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</si>
  <si>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</si>
  <si>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</si>
  <si>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</si>
  <si>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</si>
  <si>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</si>
  <si>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2015-09-18</t>
  </si>
  <si>
    <t>2015-09-21</t>
  </si>
  <si>
    <t>2015-09-22</t>
  </si>
  <si>
    <t>2015-09-23</t>
  </si>
  <si>
    <t>2015-09-24</t>
  </si>
  <si>
    <t>2015-09-28</t>
  </si>
  <si>
    <t>2015-09-29</t>
  </si>
  <si>
    <t>2015-09-30</t>
  </si>
  <si>
    <t>2015-10-01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</si>
  <si>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</si>
  <si>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</si>
  <si>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</si>
  <si>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</si>
  <si>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</si>
  <si>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</si>
  <si>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</si>
  <si>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</si>
  <si>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</si>
  <si>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</si>
  <si>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</si>
  <si>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</si>
  <si>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</si>
  <si>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</si>
  <si>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</si>
  <si>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</si>
  <si>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</si>
  <si>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</si>
  <si>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</si>
  <si>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</si>
  <si>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</si>
  <si>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</si>
  <si>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</si>
  <si>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</si>
  <si>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</si>
  <si>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</si>
  <si>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</si>
  <si>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</si>
  <si>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</si>
  <si>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</si>
  <si>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</si>
  <si>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</si>
  <si>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</si>
  <si>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</si>
  <si>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</si>
  <si>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</si>
  <si>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</si>
  <si>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</si>
  <si>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</si>
  <si>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</si>
  <si>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</si>
  <si>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</si>
  <si>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</si>
  <si>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</si>
  <si>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</si>
  <si>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</si>
  <si>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</si>
  <si>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</si>
  <si>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</si>
  <si>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</si>
  <si>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</si>
  <si>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</si>
  <si>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</si>
  <si>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</si>
  <si>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</si>
  <si>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</si>
  <si>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</si>
  <si>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</si>
  <si>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</si>
  <si>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</si>
  <si>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</si>
  <si>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</si>
  <si>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</si>
  <si>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</si>
  <si>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</si>
  <si>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</si>
  <si>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</si>
  <si>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</si>
  <si>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</si>
  <si>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</si>
  <si>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</si>
  <si>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</si>
  <si>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</si>
  <si>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</si>
  <si>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</si>
  <si>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</si>
  <si>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</si>
  <si>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</si>
  <si>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</si>
  <si>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</si>
  <si>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</si>
  <si>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</si>
  <si>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</si>
  <si>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</si>
  <si>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</si>
  <si>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</si>
  <si>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</si>
  <si>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</si>
  <si>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</si>
  <si>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</si>
  <si>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</si>
  <si>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</si>
  <si>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</si>
  <si>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</si>
  <si>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</si>
  <si>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</si>
  <si>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</si>
  <si>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</si>
  <si>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</si>
  <si>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</si>
  <si>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</si>
  <si>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</si>
  <si>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</si>
  <si>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</si>
  <si>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</si>
  <si>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</si>
  <si>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</si>
  <si>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</si>
  <si>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</si>
  <si>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</si>
  <si>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</si>
  <si>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</si>
  <si>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</si>
  <si>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</si>
  <si>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</si>
  <si>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</si>
  <si>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2016-03-28</t>
  </si>
  <si>
    <t>2016-03-29</t>
  </si>
  <si>
    <t>2016-03-30</t>
  </si>
  <si>
    <t>2016-03-31</t>
  </si>
  <si>
    <t>2016-04-01</t>
  </si>
  <si>
    <t>FY17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</si>
  <si>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</si>
  <si>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</si>
  <si>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</si>
  <si>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</si>
  <si>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</si>
  <si>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</si>
  <si>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</si>
  <si>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</si>
  <si>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2016-04-18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</si>
  <si>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</si>
  <si>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</si>
  <si>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</si>
  <si>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</si>
  <si>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</si>
  <si>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</si>
  <si>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</si>
  <si>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</si>
  <si>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</si>
  <si>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</si>
  <si>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</si>
  <si>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</si>
  <si>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</si>
  <si>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</si>
  <si>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</si>
  <si>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</si>
  <si>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</si>
  <si>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</si>
  <si>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</si>
  <si>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</si>
  <si>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</si>
  <si>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</si>
  <si>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</si>
  <si>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</si>
  <si>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</si>
  <si>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</si>
  <si>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</si>
  <si>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</si>
  <si>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</si>
  <si>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</si>
  <si>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</si>
  <si>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</si>
  <si>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</si>
  <si>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</si>
  <si>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</si>
  <si>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</si>
  <si>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</si>
  <si>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</si>
  <si>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</si>
  <si>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</si>
  <si>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</si>
  <si>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</si>
  <si>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</si>
  <si>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</si>
  <si>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</si>
  <si>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</si>
  <si>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</si>
  <si>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</si>
  <si>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</si>
  <si>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</si>
  <si>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</si>
  <si>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</si>
  <si>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</si>
  <si>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</si>
  <si>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</si>
  <si>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</si>
  <si>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</si>
  <si>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</si>
  <si>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</si>
  <si>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</si>
  <si>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</si>
  <si>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</si>
  <si>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</si>
  <si>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</si>
  <si>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</si>
  <si>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</si>
  <si>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</si>
  <si>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</si>
  <si>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</si>
  <si>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</si>
  <si>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</si>
  <si>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</si>
  <si>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</si>
  <si>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</si>
  <si>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</si>
  <si>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</si>
  <si>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</si>
  <si>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</si>
  <si>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</si>
  <si>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</si>
  <si>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</si>
  <si>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</si>
  <si>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</si>
  <si>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</si>
  <si>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</si>
  <si>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</si>
  <si>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</si>
  <si>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</si>
  <si>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</si>
  <si>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</si>
  <si>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</si>
  <si>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</si>
  <si>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</si>
  <si>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</si>
  <si>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</si>
  <si>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</si>
  <si>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</si>
  <si>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</si>
  <si>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</si>
  <si>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</si>
  <si>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</si>
  <si>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</si>
  <si>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</si>
  <si>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</si>
  <si>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</si>
  <si>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</si>
  <si>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</si>
  <si>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</si>
  <si>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</si>
  <si>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</si>
  <si>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</si>
  <si>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</si>
  <si>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</si>
  <si>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</si>
  <si>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</si>
  <si>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</si>
  <si>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</si>
  <si>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</si>
  <si>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</si>
  <si>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</si>
  <si>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</si>
  <si>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</si>
  <si>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</si>
  <si>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</si>
  <si>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</si>
  <si>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</si>
  <si>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</si>
  <si>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</si>
  <si>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</si>
  <si>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</si>
  <si>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</si>
  <si>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</si>
  <si>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</si>
  <si>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</si>
  <si>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</si>
  <si>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</si>
  <si>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</si>
  <si>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</si>
  <si>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</si>
  <si>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</si>
  <si>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</si>
  <si>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</si>
  <si>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</si>
  <si>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</si>
  <si>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</si>
  <si>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</si>
  <si>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</si>
  <si>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</si>
  <si>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</si>
  <si>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</si>
  <si>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</si>
  <si>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</si>
  <si>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</si>
  <si>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</si>
  <si>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</si>
  <si>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</si>
  <si>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</si>
  <si>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</si>
  <si>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</si>
  <si>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</si>
  <si>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</si>
  <si>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</si>
  <si>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</si>
  <si>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</si>
  <si>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</si>
  <si>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</si>
  <si>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</si>
  <si>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</si>
  <si>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</si>
  <si>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</si>
  <si>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</si>
  <si>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</si>
  <si>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</si>
  <si>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</si>
  <si>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</si>
  <si>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</si>
  <si>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</si>
  <si>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</si>
  <si>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</si>
  <si>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</si>
  <si>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</si>
  <si>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</si>
  <si>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</si>
  <si>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</si>
  <si>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</si>
  <si>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</si>
  <si>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</si>
  <si>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</si>
  <si>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</si>
  <si>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</si>
  <si>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</si>
  <si>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</si>
  <si>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</si>
  <si>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</si>
  <si>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</si>
  <si>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</si>
  <si>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</si>
  <si>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</si>
  <si>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</si>
  <si>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</si>
  <si>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</si>
  <si>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</si>
  <si>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</si>
  <si>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</si>
  <si>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</si>
  <si>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</si>
  <si>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</si>
  <si>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</si>
  <si>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</si>
  <si>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</si>
  <si>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</si>
  <si>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</si>
  <si>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</si>
  <si>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</si>
  <si>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</si>
  <si>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</si>
  <si>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</si>
  <si>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</si>
  <si>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</si>
  <si>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</si>
  <si>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</si>
  <si>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</si>
  <si>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</si>
  <si>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</si>
  <si>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</si>
  <si>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</si>
  <si>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</si>
  <si>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</si>
  <si>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</si>
  <si>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</si>
  <si>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</si>
  <si>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</si>
  <si>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</si>
  <si>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</si>
  <si>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</si>
  <si>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</si>
  <si>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</si>
  <si>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</si>
  <si>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FY18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</si>
  <si>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</si>
  <si>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</si>
  <si>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</si>
  <si>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</si>
  <si>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</si>
  <si>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</si>
  <si>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</si>
  <si>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</si>
  <si>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</si>
  <si>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</si>
  <si>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</si>
  <si>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</si>
  <si>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</si>
  <si>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</si>
  <si>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</si>
  <si>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</si>
  <si>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</si>
  <si>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</si>
  <si>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</si>
  <si>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</si>
  <si>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</si>
  <si>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</si>
  <si>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</si>
  <si>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</si>
  <si>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</si>
  <si>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</si>
  <si>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</si>
  <si>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</si>
  <si>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</si>
  <si>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</si>
  <si>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</si>
  <si>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</si>
  <si>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</si>
  <si>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</si>
  <si>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</si>
  <si>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</si>
  <si>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</si>
  <si>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</si>
  <si>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</si>
  <si>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</si>
  <si>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</si>
  <si>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</si>
  <si>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</si>
  <si>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</si>
  <si>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</si>
  <si>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</si>
  <si>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</si>
  <si>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</si>
  <si>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</si>
  <si>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</si>
  <si>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</si>
  <si>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</si>
  <si>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</si>
  <si>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</si>
  <si>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</si>
  <si>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</si>
  <si>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</si>
  <si>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</si>
  <si>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</si>
  <si>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</si>
  <si>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</si>
  <si>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</si>
  <si>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</si>
  <si>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</si>
  <si>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</si>
  <si>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</si>
  <si>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</si>
  <si>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</si>
  <si>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</si>
  <si>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</si>
  <si>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</si>
  <si>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</si>
  <si>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</si>
  <si>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</si>
  <si>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</si>
  <si>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</si>
  <si>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</si>
  <si>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</si>
  <si>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</si>
  <si>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</si>
  <si>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</si>
  <si>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</si>
  <si>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</si>
  <si>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</si>
  <si>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</si>
  <si>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</si>
  <si>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</si>
  <si>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</si>
  <si>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</si>
  <si>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</si>
  <si>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</si>
  <si>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</si>
  <si>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</si>
  <si>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</si>
  <si>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</si>
  <si>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</si>
  <si>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</si>
  <si>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</si>
  <si>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</si>
  <si>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</si>
  <si>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</si>
  <si>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</si>
  <si>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</si>
  <si>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</si>
  <si>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</si>
  <si>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</si>
  <si>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</si>
  <si>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</si>
  <si>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</si>
  <si>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</si>
  <si>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</si>
  <si>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</si>
  <si>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</si>
  <si>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</si>
  <si>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</si>
  <si>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</si>
  <si>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</si>
  <si>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</si>
  <si>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</si>
  <si>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</si>
  <si>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</si>
  <si>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</si>
  <si>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</si>
  <si>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</si>
  <si>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</si>
  <si>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</si>
  <si>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</si>
  <si>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</si>
  <si>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</si>
  <si>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</si>
  <si>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</si>
  <si>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</si>
  <si>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</si>
  <si>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</si>
  <si>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</si>
  <si>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2017-10-19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</si>
  <si>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</si>
  <si>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</si>
  <si>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</si>
  <si>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</si>
  <si>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</si>
  <si>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</si>
  <si>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</si>
  <si>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</si>
  <si>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</si>
  <si>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</si>
  <si>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</si>
  <si>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</si>
  <si>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</si>
  <si>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</si>
  <si>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</si>
  <si>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</si>
  <si>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</si>
  <si>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</si>
  <si>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</si>
  <si>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</si>
  <si>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</si>
  <si>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</si>
  <si>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</si>
  <si>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</si>
  <si>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</si>
  <si>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</si>
  <si>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</si>
  <si>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</si>
  <si>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</si>
  <si>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</si>
  <si>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</si>
  <si>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</si>
  <si>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</si>
  <si>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</si>
  <si>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</si>
  <si>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</si>
  <si>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</si>
  <si>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</si>
  <si>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</si>
  <si>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</si>
  <si>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</si>
  <si>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</si>
  <si>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</si>
  <si>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</si>
  <si>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</si>
  <si>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</si>
  <si>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</si>
  <si>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</si>
  <si>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</si>
  <si>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</si>
  <si>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</si>
  <si>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</si>
  <si>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</si>
  <si>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</si>
  <si>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</si>
  <si>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</si>
  <si>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</si>
  <si>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</si>
  <si>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</si>
  <si>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</si>
  <si>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</si>
  <si>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</si>
  <si>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</si>
  <si>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</si>
  <si>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</si>
  <si>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</si>
  <si>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</si>
  <si>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</si>
  <si>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</si>
  <si>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</si>
  <si>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</si>
  <si>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</si>
  <si>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</si>
  <si>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</si>
  <si>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</si>
  <si>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</si>
  <si>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</si>
  <si>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</si>
  <si>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</si>
  <si>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</si>
  <si>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</si>
  <si>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</si>
  <si>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</si>
  <si>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</si>
  <si>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</si>
  <si>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</si>
  <si>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</si>
  <si>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</si>
  <si>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</si>
  <si>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</si>
  <si>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</si>
  <si>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</si>
  <si>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</si>
  <si>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</si>
  <si>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</si>
  <si>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</si>
  <si>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</si>
  <si>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</si>
  <si>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</si>
  <si>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</si>
  <si>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</si>
  <si>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</si>
  <si>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</si>
  <si>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</si>
  <si>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</si>
  <si>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</si>
  <si>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</si>
  <si>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</si>
  <si>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</si>
  <si>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2018-04-02</t>
  </si>
  <si>
    <t>FY19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</si>
  <si>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</si>
  <si>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</si>
  <si>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</si>
  <si>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</si>
  <si>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</si>
  <si>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</si>
  <si>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</si>
  <si>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</si>
  <si>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</si>
  <si>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</si>
  <si>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</si>
  <si>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</si>
  <si>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</si>
  <si>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</si>
  <si>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</si>
  <si>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</si>
  <si>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</si>
  <si>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</si>
  <si>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</si>
  <si>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</si>
  <si>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</si>
  <si>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</si>
  <si>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</si>
  <si>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</si>
  <si>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</si>
  <si>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</si>
  <si>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</si>
  <si>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</si>
  <si>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</si>
  <si>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</si>
  <si>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</si>
  <si>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</si>
  <si>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</si>
  <si>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</si>
  <si>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</si>
  <si>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</si>
  <si>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</si>
  <si>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</si>
  <si>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</si>
  <si>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</si>
  <si>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</si>
  <si>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</si>
  <si>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</si>
  <si>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</si>
  <si>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</si>
  <si>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</si>
  <si>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</si>
  <si>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</si>
  <si>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</si>
  <si>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</si>
  <si>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</si>
  <si>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</si>
  <si>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</si>
  <si>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</si>
  <si>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</si>
  <si>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</si>
  <si>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</si>
  <si>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</si>
  <si>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</si>
  <si>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</si>
  <si>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</si>
  <si>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</si>
  <si>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</si>
  <si>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</si>
  <si>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</si>
  <si>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</si>
  <si>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</si>
  <si>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</si>
  <si>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</si>
  <si>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</si>
  <si>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</si>
  <si>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</si>
  <si>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</si>
  <si>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</si>
  <si>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</si>
  <si>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</si>
  <si>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</si>
  <si>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</si>
  <si>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</si>
  <si>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</si>
  <si>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</si>
  <si>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</si>
  <si>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</si>
  <si>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</si>
  <si>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</si>
  <si>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</si>
  <si>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</si>
  <si>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</si>
  <si>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</si>
  <si>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</si>
  <si>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</si>
  <si>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</si>
  <si>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</si>
  <si>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</si>
  <si>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</si>
  <si>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</si>
  <si>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</si>
  <si>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</si>
  <si>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</si>
  <si>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</si>
  <si>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</si>
  <si>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</si>
  <si>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</si>
  <si>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</si>
  <si>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</si>
  <si>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</si>
  <si>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</si>
  <si>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</si>
  <si>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</si>
  <si>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</si>
  <si>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</si>
  <si>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</si>
  <si>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</si>
  <si>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</si>
  <si>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2018-09-14</t>
  </si>
  <si>
    <t>2018-09-17</t>
  </si>
  <si>
    <t>2018-09-18</t>
  </si>
  <si>
    <t>2018-09-19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</si>
  <si>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</si>
  <si>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</si>
  <si>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</si>
  <si>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</si>
  <si>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</si>
  <si>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</si>
  <si>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</si>
  <si>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</si>
  <si>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</si>
  <si>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</si>
  <si>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</si>
  <si>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</si>
  <si>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</si>
  <si>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</si>
  <si>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</si>
  <si>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</si>
  <si>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</si>
  <si>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</si>
  <si>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</si>
  <si>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</si>
  <si>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</si>
  <si>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</si>
  <si>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</si>
  <si>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</si>
  <si>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</si>
  <si>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</si>
  <si>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</si>
  <si>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</si>
  <si>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</si>
  <si>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</si>
  <si>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</si>
  <si>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2018-11-07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</si>
  <si>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</si>
  <si>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</si>
  <si>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</si>
  <si>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</si>
  <si>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</si>
  <si>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</si>
  <si>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</si>
  <si>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</si>
  <si>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</si>
  <si>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</si>
  <si>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</si>
  <si>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</si>
  <si>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</si>
  <si>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</si>
  <si>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</si>
  <si>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</si>
  <si>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</si>
  <si>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</si>
  <si>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</si>
  <si>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</si>
  <si>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</si>
  <si>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</si>
  <si>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</si>
  <si>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</si>
  <si>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</si>
  <si>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</si>
  <si>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</si>
  <si>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</si>
  <si>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</si>
  <si>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</si>
  <si>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</si>
  <si>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</si>
  <si>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</si>
  <si>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</si>
  <si>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</si>
  <si>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</si>
  <si>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</si>
  <si>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</si>
  <si>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</si>
  <si>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</si>
  <si>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</si>
  <si>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</si>
  <si>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</si>
  <si>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</si>
  <si>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</si>
  <si>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</si>
  <si>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</si>
  <si>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</si>
  <si>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</si>
  <si>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</si>
  <si>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</si>
  <si>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</si>
  <si>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</si>
  <si>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</si>
  <si>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</si>
  <si>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</si>
  <si>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</si>
  <si>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</si>
  <si>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</si>
  <si>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</si>
  <si>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</si>
  <si>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</si>
  <si>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</si>
  <si>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</si>
  <si>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</si>
  <si>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</si>
  <si>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</si>
  <si>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</si>
  <si>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</si>
  <si>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</si>
  <si>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</si>
  <si>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</si>
  <si>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</si>
  <si>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</si>
  <si>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</si>
  <si>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</si>
  <si>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</si>
  <si>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</si>
  <si>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</si>
  <si>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</si>
  <si>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</si>
  <si>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</si>
  <si>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</si>
  <si>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</si>
  <si>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</si>
  <si>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</si>
  <si>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</si>
  <si>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</si>
  <si>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</si>
  <si>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</si>
  <si>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</si>
  <si>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</si>
  <si>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</si>
  <si>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</si>
  <si>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</si>
  <si>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2019-04-01</t>
  </si>
  <si>
    <t>FY20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</si>
  <si>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</si>
  <si>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</si>
  <si>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</si>
  <si>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</si>
  <si>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</si>
  <si>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</si>
  <si>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</si>
  <si>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</si>
  <si>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</si>
  <si>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</si>
  <si>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</si>
  <si>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2019-04-18</t>
  </si>
  <si>
    <t>2019-04-22</t>
  </si>
  <si>
    <t>2019-04-23</t>
  </si>
  <si>
    <t>2019-04-24</t>
  </si>
  <si>
    <t>2019-04-25</t>
  </si>
  <si>
    <t>2019-04-26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</si>
  <si>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</si>
  <si>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</si>
  <si>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</si>
  <si>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</si>
  <si>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</si>
  <si>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</si>
  <si>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</si>
  <si>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</si>
  <si>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</si>
  <si>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</si>
  <si>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</si>
  <si>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</si>
  <si>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</si>
  <si>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</si>
  <si>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</si>
  <si>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</si>
  <si>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</si>
  <si>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</si>
  <si>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</si>
  <si>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</si>
  <si>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</si>
  <si>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</si>
  <si>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</si>
  <si>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</si>
  <si>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</si>
  <si>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</si>
  <si>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</si>
  <si>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</si>
  <si>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</si>
  <si>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</si>
  <si>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</si>
  <si>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</si>
  <si>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</si>
  <si>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</si>
  <si>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</si>
  <si>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</si>
  <si>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</si>
  <si>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</si>
  <si>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</si>
  <si>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</si>
  <si>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</si>
  <si>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</si>
  <si>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</si>
  <si>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</si>
  <si>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</si>
  <si>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</si>
  <si>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</si>
  <si>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</si>
  <si>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</si>
  <si>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</si>
  <si>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</si>
  <si>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</si>
  <si>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</si>
  <si>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</si>
  <si>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</si>
  <si>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</si>
  <si>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</si>
  <si>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</si>
  <si>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</si>
  <si>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</si>
  <si>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</si>
  <si>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</si>
  <si>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</si>
  <si>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</si>
  <si>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</si>
  <si>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</si>
  <si>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</si>
  <si>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</si>
  <si>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</si>
  <si>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</si>
  <si>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</si>
  <si>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</si>
  <si>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</si>
  <si>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</si>
  <si>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</si>
  <si>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</si>
  <si>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</si>
  <si>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</si>
  <si>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</si>
  <si>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</si>
  <si>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</si>
  <si>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</si>
  <si>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</si>
  <si>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</si>
  <si>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</si>
  <si>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</si>
  <si>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</si>
  <si>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</si>
  <si>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</si>
  <si>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</si>
  <si>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</si>
  <si>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</si>
  <si>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</si>
  <si>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</si>
  <si>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</si>
  <si>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</si>
  <si>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</si>
  <si>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</si>
  <si>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</si>
  <si>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</si>
  <si>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</si>
  <si>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</si>
  <si>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</si>
  <si>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</si>
  <si>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</si>
  <si>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2019-10-03</t>
  </si>
  <si>
    <t>2019-10-04</t>
  </si>
  <si>
    <t>2019-10-07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</si>
  <si>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</si>
  <si>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</si>
  <si>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</si>
  <si>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</si>
  <si>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</si>
  <si>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</si>
  <si>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</si>
  <si>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</si>
  <si>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2019-10-22</t>
  </si>
  <si>
    <t>2019-10-23</t>
  </si>
  <si>
    <t>2019-10-24</t>
  </si>
  <si>
    <t>2019-10-25</t>
  </si>
  <si>
    <t>2019-10-27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</si>
  <si>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</si>
  <si>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</si>
  <si>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</si>
  <si>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</si>
  <si>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</si>
  <si>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</si>
  <si>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</si>
  <si>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</si>
  <si>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</si>
  <si>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</si>
  <si>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</si>
  <si>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</si>
  <si>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</si>
  <si>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</si>
  <si>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</si>
  <si>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</si>
  <si>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</si>
  <si>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</si>
  <si>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</si>
  <si>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</si>
  <si>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</si>
  <si>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</si>
  <si>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</si>
  <si>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</si>
  <si>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</si>
  <si>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</si>
  <si>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</si>
  <si>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</si>
  <si>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</si>
  <si>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</si>
  <si>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</si>
  <si>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</si>
  <si>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</si>
  <si>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</si>
  <si>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</si>
  <si>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</si>
  <si>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</si>
  <si>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</si>
  <si>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</si>
  <si>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</si>
  <si>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</si>
  <si>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</si>
  <si>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</si>
  <si>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</si>
  <si>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</si>
  <si>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</si>
  <si>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</si>
  <si>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</si>
  <si>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</si>
  <si>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</si>
  <si>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</si>
  <si>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</si>
  <si>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</si>
  <si>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</si>
  <si>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</si>
  <si>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</si>
  <si>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</si>
  <si>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</si>
  <si>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</si>
  <si>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</si>
  <si>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</si>
  <si>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</si>
  <si>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</si>
  <si>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</si>
  <si>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</si>
  <si>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</si>
  <si>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</si>
  <si>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</si>
  <si>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</si>
  <si>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</si>
  <si>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</si>
  <si>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</si>
  <si>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</si>
  <si>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</si>
  <si>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</si>
  <si>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</si>
  <si>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</si>
  <si>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</si>
  <si>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</si>
  <si>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</si>
  <si>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</si>
  <si>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</si>
  <si>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</si>
  <si>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</si>
  <si>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</si>
  <si>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</si>
  <si>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</si>
  <si>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</si>
  <si>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</si>
  <si>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</si>
  <si>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</si>
  <si>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</si>
  <si>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</si>
  <si>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</si>
  <si>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</si>
  <si>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</si>
  <si>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</si>
  <si>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</si>
  <si>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</si>
  <si>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</si>
  <si>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</si>
  <si>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</si>
  <si>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</si>
  <si>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</si>
  <si>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</si>
  <si>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</si>
  <si>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</si>
  <si>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</si>
  <si>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FY21</t>
  </si>
  <si>
    <t>2020-04-03</t>
  </si>
  <si>
    <t>2020-04-07</t>
  </si>
  <si>
    <t>2020-04-08</t>
  </si>
  <si>
    <t>2020-04-09</t>
  </si>
  <si>
    <t>2020-04-13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</si>
  <si>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</si>
  <si>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</si>
  <si>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</si>
  <si>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</si>
  <si>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</si>
  <si>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</si>
  <si>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</si>
  <si>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</si>
  <si>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</si>
  <si>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</si>
  <si>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</si>
  <si>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</si>
  <si>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</si>
  <si>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</si>
  <si>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</si>
  <si>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</si>
  <si>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</si>
  <si>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</si>
  <si>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</si>
  <si>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</si>
  <si>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</si>
  <si>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</si>
  <si>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</si>
  <si>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</si>
  <si>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</si>
  <si>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</si>
  <si>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</si>
  <si>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</si>
  <si>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</si>
  <si>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</si>
  <si>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</si>
  <si>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</si>
  <si>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</si>
  <si>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</si>
  <si>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</si>
  <si>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</si>
  <si>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</si>
  <si>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</si>
  <si>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</si>
  <si>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</si>
  <si>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</si>
  <si>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</si>
  <si>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</si>
  <si>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</si>
  <si>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</si>
  <si>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</si>
  <si>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</si>
  <si>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</si>
  <si>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</si>
  <si>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</si>
  <si>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</si>
  <si>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</si>
  <si>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</si>
  <si>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</si>
  <si>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</si>
  <si>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</si>
  <si>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</si>
  <si>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</si>
  <si>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</si>
  <si>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</si>
  <si>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</si>
  <si>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</si>
  <si>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</si>
  <si>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</si>
  <si>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</si>
  <si>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</si>
  <si>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</si>
  <si>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</si>
  <si>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</si>
  <si>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</si>
  <si>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</si>
  <si>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</si>
  <si>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</si>
  <si>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</si>
  <si>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</si>
  <si>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</si>
  <si>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</si>
  <si>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</si>
  <si>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</si>
  <si>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</si>
  <si>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</si>
  <si>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</si>
  <si>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</si>
  <si>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</si>
  <si>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</si>
  <si>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</si>
  <si>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</si>
  <si>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</si>
  <si>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</si>
  <si>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</si>
  <si>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</si>
  <si>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</si>
  <si>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</si>
  <si>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</si>
  <si>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</si>
  <si>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</si>
  <si>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</si>
  <si>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</si>
  <si>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</si>
  <si>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</si>
  <si>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</si>
  <si>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</si>
  <si>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</si>
  <si>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</si>
  <si>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</si>
  <si>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</si>
  <si>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</si>
  <si>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</si>
  <si>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</si>
  <si>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</si>
  <si>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</si>
  <si>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</si>
  <si>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</si>
  <si>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</si>
  <si>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</si>
  <si>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</si>
  <si>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</si>
  <si>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</si>
  <si>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</si>
  <si>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</si>
  <si>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</si>
  <si>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</si>
  <si>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</si>
  <si>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</si>
  <si>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</si>
  <si>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</si>
  <si>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</si>
  <si>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</si>
  <si>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</si>
  <si>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</si>
  <si>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</si>
  <si>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</si>
  <si>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</si>
  <si>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</si>
  <si>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</si>
  <si>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</si>
  <si>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</si>
  <si>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</si>
  <si>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</si>
  <si>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</si>
  <si>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</si>
  <si>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</si>
  <si>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</si>
  <si>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</si>
  <si>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</si>
  <si>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</si>
  <si>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</si>
  <si>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</si>
  <si>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</si>
  <si>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</si>
  <si>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2020-11-14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</si>
  <si>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</si>
  <si>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</si>
  <si>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</si>
  <si>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</si>
  <si>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</si>
  <si>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</si>
  <si>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</si>
  <si>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</si>
  <si>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</si>
  <si>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</si>
  <si>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</si>
  <si>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</si>
  <si>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</si>
  <si>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</si>
  <si>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</si>
  <si>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</si>
  <si>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</si>
  <si>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</si>
  <si>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</si>
  <si>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</si>
  <si>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</si>
  <si>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</si>
  <si>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</si>
  <si>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</si>
  <si>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</si>
  <si>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</si>
  <si>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</si>
  <si>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</si>
  <si>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</si>
  <si>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</si>
  <si>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</si>
  <si>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</si>
  <si>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</si>
  <si>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</si>
  <si>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</si>
  <si>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</si>
  <si>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</si>
  <si>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</si>
  <si>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</si>
  <si>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</si>
  <si>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</si>
  <si>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</si>
  <si>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</si>
  <si>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</si>
  <si>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</si>
  <si>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</si>
  <si>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</si>
  <si>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</si>
  <si>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</si>
  <si>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</si>
  <si>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</si>
  <si>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</si>
  <si>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</si>
  <si>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</si>
  <si>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</si>
  <si>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</si>
  <si>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</si>
  <si>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</si>
  <si>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</si>
  <si>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</si>
  <si>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</si>
  <si>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</si>
  <si>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</si>
  <si>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</si>
  <si>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</si>
  <si>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</si>
  <si>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</si>
  <si>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</si>
  <si>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</si>
  <si>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</si>
  <si>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</si>
  <si>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</si>
  <si>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</si>
  <si>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</si>
  <si>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</si>
  <si>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</si>
  <si>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</si>
  <si>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</si>
  <si>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</si>
  <si>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</si>
  <si>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</si>
  <si>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</si>
  <si>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</si>
  <si>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</si>
  <si>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</si>
  <si>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</si>
  <si>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</si>
  <si>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</si>
  <si>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</si>
  <si>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</si>
  <si>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2021-03-30</t>
  </si>
  <si>
    <t>2021-03-31</t>
  </si>
  <si>
    <t>2021-04-01</t>
  </si>
  <si>
    <t>FY22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</si>
  <si>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</si>
  <si>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</si>
  <si>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</si>
  <si>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</si>
  <si>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</si>
  <si>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</si>
  <si>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</si>
  <si>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2021-04-15</t>
  </si>
  <si>
    <t>2021-04-16</t>
  </si>
  <si>
    <t>2021-04-19</t>
  </si>
  <si>
    <t>2021-04-20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</si>
  <si>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</si>
  <si>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</si>
  <si>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</si>
  <si>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</si>
  <si>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</si>
  <si>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</si>
  <si>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</si>
  <si>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</si>
  <si>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</si>
  <si>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</si>
  <si>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</si>
  <si>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</si>
  <si>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</si>
  <si>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</si>
  <si>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</si>
  <si>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</si>
  <si>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</si>
  <si>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</si>
  <si>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</si>
  <si>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</si>
  <si>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</si>
  <si>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</si>
  <si>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</si>
  <si>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</si>
  <si>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</si>
  <si>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</si>
  <si>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</si>
  <si>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</si>
  <si>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</si>
  <si>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</si>
  <si>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</si>
  <si>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</si>
  <si>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</si>
  <si>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</si>
  <si>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</si>
  <si>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</si>
  <si>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</si>
  <si>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</si>
  <si>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</si>
  <si>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</si>
  <si>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</si>
  <si>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</si>
  <si>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</si>
  <si>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</si>
  <si>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</si>
  <si>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</si>
  <si>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</si>
  <si>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</si>
  <si>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</si>
  <si>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</si>
  <si>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</si>
  <si>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</si>
  <si>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</si>
  <si>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</si>
  <si>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</si>
  <si>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</si>
  <si>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</si>
  <si>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</si>
  <si>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</si>
  <si>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</si>
  <si>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</si>
  <si>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</si>
  <si>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</si>
  <si>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</si>
  <si>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</si>
  <si>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</si>
  <si>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</si>
  <si>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</si>
  <si>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</si>
  <si>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</si>
  <si>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</si>
  <si>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</si>
  <si>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</si>
  <si>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</si>
  <si>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</si>
  <si>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</si>
  <si>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</si>
  <si>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</si>
  <si>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</si>
  <si>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</si>
  <si>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</si>
  <si>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</si>
  <si>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</si>
  <si>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</si>
  <si>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</si>
  <si>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</si>
  <si>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</si>
  <si>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</si>
  <si>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</si>
  <si>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</si>
  <si>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</si>
  <si>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</si>
  <si>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</si>
  <si>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</si>
  <si>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</si>
  <si>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</si>
  <si>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</si>
  <si>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</si>
  <si>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</si>
  <si>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</si>
  <si>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</si>
  <si>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</si>
  <si>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</si>
  <si>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</si>
  <si>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</si>
  <si>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</si>
  <si>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</si>
  <si>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</si>
  <si>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</si>
  <si>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</si>
  <si>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</si>
  <si>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</si>
  <si>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</si>
  <si>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</si>
  <si>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</si>
  <si>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</si>
  <si>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</si>
  <si>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</si>
  <si>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</si>
  <si>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</si>
  <si>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</si>
  <si>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</si>
  <si>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</si>
  <si>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</si>
  <si>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</si>
  <si>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</si>
  <si>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</si>
  <si>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</si>
  <si>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</si>
  <si>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</si>
  <si>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</si>
  <si>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</si>
  <si>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</si>
  <si>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</si>
  <si>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</si>
  <si>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</si>
  <si>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</si>
  <si>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</si>
  <si>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</si>
  <si>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</si>
  <si>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</si>
  <si>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</si>
  <si>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</si>
  <si>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</si>
  <si>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</si>
  <si>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</si>
  <si>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</si>
  <si>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</si>
  <si>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</si>
  <si>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</si>
  <si>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</si>
  <si>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</si>
  <si>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</si>
  <si>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</si>
  <si>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</si>
  <si>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</si>
  <si>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</si>
  <si>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</si>
  <si>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</si>
  <si>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</si>
  <si>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</si>
  <si>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</si>
  <si>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</si>
  <si>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</si>
  <si>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</si>
  <si>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</si>
  <si>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</si>
  <si>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</si>
  <si>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</si>
  <si>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</si>
  <si>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</si>
  <si>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</si>
  <si>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</si>
  <si>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</si>
  <si>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</si>
  <si>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2022-01-03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</si>
  <si>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</si>
  <si>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</si>
  <si>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</si>
  <si>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</si>
  <si>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</si>
  <si>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</si>
  <si>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</si>
  <si>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</si>
  <si>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</si>
  <si>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</si>
  <si>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</si>
  <si>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</si>
  <si>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</si>
  <si>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</si>
  <si>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</si>
  <si>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</si>
  <si>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2022-01-27</t>
  </si>
  <si>
    <t>2022-01-28</t>
  </si>
  <si>
    <t>2022-01-31</t>
  </si>
  <si>
    <t>2022-02-01</t>
  </si>
  <si>
    <t>2022-02-02</t>
  </si>
  <si>
    <t>2022-02-03</t>
  </si>
  <si>
    <t>2022-02-04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</si>
  <si>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</si>
  <si>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</si>
  <si>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</si>
  <si>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</si>
  <si>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</si>
  <si>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</si>
  <si>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</si>
  <si>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</si>
  <si>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</si>
  <si>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</si>
  <si>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</si>
  <si>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</si>
  <si>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</si>
  <si>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</si>
  <si>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</si>
  <si>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</si>
  <si>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</si>
  <si>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</si>
  <si>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</si>
  <si>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</si>
  <si>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</si>
  <si>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</si>
  <si>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</si>
  <si>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</si>
  <si>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</si>
  <si>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</si>
  <si>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</si>
  <si>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</si>
  <si>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</si>
  <si>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</si>
  <si>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</si>
  <si>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</si>
  <si>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</si>
  <si>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</si>
  <si>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</si>
  <si>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</si>
  <si>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</si>
  <si>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</si>
  <si>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FY23</t>
  </si>
  <si>
    <t>2022-04-04</t>
  </si>
  <si>
    <t>2022-04-05</t>
  </si>
  <si>
    <t>2022-04-06</t>
  </si>
  <si>
    <t>2022-04-07</t>
  </si>
  <si>
    <t>2022-04-08</t>
  </si>
  <si>
    <t>2022-04-11</t>
  </si>
  <si>
    <t>2022-04-12</t>
  </si>
  <si>
    <t>2022-04-13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</si>
  <si>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</si>
  <si>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</si>
  <si>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</si>
  <si>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</si>
  <si>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</si>
  <si>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</si>
  <si>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</si>
  <si>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</si>
  <si>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</si>
  <si>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</si>
  <si>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2022-05-02</t>
  </si>
  <si>
    <t>2022-05-04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</si>
  <si>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</si>
  <si>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</si>
  <si>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</si>
  <si>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</si>
  <si>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</si>
  <si>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</si>
  <si>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</si>
  <si>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</si>
  <si>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</si>
  <si>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</si>
  <si>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</si>
  <si>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</si>
  <si>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</si>
  <si>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</si>
  <si>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</si>
  <si>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</si>
  <si>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</si>
  <si>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</si>
  <si>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</si>
  <si>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</si>
  <si>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</si>
  <si>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2022-06-03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</si>
  <si>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</si>
  <si>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</si>
  <si>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</si>
  <si>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</si>
  <si>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</si>
  <si>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</si>
  <si>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</si>
  <si>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</si>
  <si>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</si>
  <si>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</si>
  <si>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</si>
  <si>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</si>
  <si>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</si>
  <si>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</si>
  <si>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</si>
  <si>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</si>
  <si>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</si>
  <si>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</si>
  <si>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</si>
  <si>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</si>
  <si>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</si>
  <si>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</si>
  <si>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</si>
  <si>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</si>
  <si>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</si>
  <si>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</si>
  <si>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</si>
  <si>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</si>
  <si>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</si>
  <si>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</si>
  <si>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</si>
  <si>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</si>
  <si>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</si>
  <si>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</si>
  <si>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</si>
  <si>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</si>
  <si>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</si>
  <si>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</si>
  <si>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</si>
  <si>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</si>
  <si>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</si>
  <si>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</si>
  <si>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</si>
  <si>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</si>
  <si>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</si>
  <si>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</si>
  <si>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2022-08-10</t>
  </si>
  <si>
    <t>2022-08-11</t>
  </si>
  <si>
    <t>2022-08-12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</si>
  <si>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</si>
  <si>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</si>
  <si>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</si>
  <si>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</si>
  <si>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</si>
  <si>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</si>
  <si>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</si>
  <si>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</si>
  <si>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</si>
  <si>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</si>
  <si>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</si>
  <si>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</si>
  <si>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</si>
  <si>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</si>
  <si>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</si>
  <si>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</si>
  <si>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</si>
  <si>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</si>
  <si>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2022-09-12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</si>
  <si>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</si>
  <si>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</si>
  <si>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</si>
  <si>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</si>
  <si>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</si>
  <si>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</si>
  <si>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</si>
  <si>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</si>
  <si>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</si>
  <si>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</si>
  <si>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</si>
  <si>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</si>
  <si>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</si>
  <si>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</si>
  <si>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2022-10-03</t>
  </si>
  <si>
    <t>2022-10-04</t>
  </si>
  <si>
    <t>2022-10-06</t>
  </si>
  <si>
    <t>2022-10-07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</si>
  <si>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</si>
  <si>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</si>
  <si>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</si>
  <si>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</si>
  <si>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</si>
  <si>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</si>
  <si>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</si>
  <si>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</si>
  <si>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</si>
  <si>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</si>
  <si>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</si>
  <si>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</si>
  <si>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</si>
  <si>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</si>
  <si>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</si>
  <si>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</si>
  <si>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</si>
  <si>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</si>
  <si>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</si>
  <si>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</si>
  <si>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</si>
  <si>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</si>
  <si>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</si>
  <si>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</si>
  <si>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</si>
  <si>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</si>
  <si>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</si>
  <si>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</si>
  <si>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</si>
  <si>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</si>
  <si>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</si>
  <si>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</si>
  <si>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</si>
  <si>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</si>
  <si>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</si>
  <si>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</si>
  <si>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</si>
  <si>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</si>
  <si>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</si>
  <si>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</si>
  <si>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</si>
  <si>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</si>
  <si>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</si>
  <si>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</si>
  <si>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</si>
  <si>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</si>
  <si>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</si>
  <si>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</si>
  <si>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</si>
  <si>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</si>
  <si>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</si>
  <si>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</si>
  <si>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</si>
  <si>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</si>
  <si>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</si>
  <si>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</si>
  <si>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</si>
  <si>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</si>
  <si>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2023-01-02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</si>
  <si>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</si>
  <si>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</si>
  <si>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</si>
  <si>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</si>
  <si>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</si>
  <si>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</si>
  <si>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</si>
  <si>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</si>
  <si>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</si>
  <si>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</si>
  <si>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</si>
  <si>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</si>
  <si>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</si>
  <si>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</si>
  <si>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2023-01-23</t>
  </si>
  <si>
    <t>2023-01-24</t>
  </si>
  <si>
    <t>2023-01-25</t>
  </si>
  <si>
    <t>2023-01-27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</si>
  <si>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</si>
  <si>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</si>
  <si>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</si>
  <si>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</si>
  <si>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</si>
  <si>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</si>
  <si>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</si>
  <si>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</si>
  <si>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</si>
  <si>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</si>
  <si>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</si>
  <si>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</si>
  <si>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</si>
  <si>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</si>
  <si>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</si>
  <si>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</si>
  <si>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</si>
  <si>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</si>
  <si>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</si>
  <si>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</si>
  <si>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</si>
  <si>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</si>
  <si>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</si>
  <si>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</si>
  <si>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</si>
  <si>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</si>
  <si>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</si>
  <si>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</si>
  <si>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</si>
  <si>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</si>
  <si>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</si>
  <si>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</si>
  <si>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</si>
  <si>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</si>
  <si>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</si>
  <si>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</si>
  <si>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</si>
  <si>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</si>
  <si>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</si>
  <si>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</si>
  <si>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</si>
  <si>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</si>
  <si>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2023-03-31</t>
  </si>
  <si>
    <t>2023-04-03</t>
  </si>
  <si>
    <t>FY24</t>
  </si>
  <si>
    <t>2023-04-05</t>
  </si>
  <si>
    <t>2023-04-06</t>
  </si>
  <si>
    <t>2023-04-10</t>
  </si>
  <si>
    <t>2023-04-11</t>
  </si>
  <si>
    <t>2023-04-12</t>
  </si>
  <si>
    <t>2023-04-13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</si>
  <si>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</si>
  <si>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</si>
  <si>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</si>
  <si>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</si>
  <si>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</si>
  <si>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</si>
  <si>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</si>
  <si>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</si>
  <si>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</si>
  <si>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</si>
  <si>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2023-05-02</t>
  </si>
  <si>
    <t>2023-05-03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</si>
  <si>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</si>
  <si>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</si>
  <si>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</si>
  <si>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</si>
  <si>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</si>
  <si>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</si>
  <si>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</si>
  <si>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</si>
  <si>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</si>
  <si>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</si>
  <si>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</si>
  <si>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</si>
  <si>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</si>
  <si>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</si>
  <si>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</si>
  <si>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</si>
  <si>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</si>
  <si>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</si>
  <si>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</si>
  <si>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</si>
  <si>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</si>
  <si>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</si>
  <si>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</si>
  <si>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</si>
  <si>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</si>
  <si>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</si>
  <si>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</si>
  <si>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</si>
  <si>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</si>
  <si>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</si>
  <si>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</si>
  <si>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</si>
  <si>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</si>
  <si>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</si>
  <si>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</si>
  <si>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2023-06-22</t>
  </si>
  <si>
    <t>2023-06-23</t>
  </si>
  <si>
    <t>2023-06-26</t>
  </si>
  <si>
    <t>2023-06-27</t>
  </si>
  <si>
    <t>2023-06-28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</si>
  <si>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</si>
  <si>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</si>
  <si>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</si>
  <si>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</si>
  <si>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</si>
  <si>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</si>
  <si>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</si>
  <si>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</si>
  <si>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</si>
  <si>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</si>
  <si>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</si>
  <si>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</si>
  <si>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</si>
  <si>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</si>
  <si>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</si>
  <si>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</si>
  <si>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</si>
  <si>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</si>
  <si>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</si>
  <si>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</si>
  <si>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</si>
  <si>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</si>
  <si>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</si>
  <si>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</si>
  <si>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</si>
  <si>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</si>
  <si>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</si>
  <si>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</si>
  <si>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</si>
  <si>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</si>
  <si>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</si>
  <si>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</si>
  <si>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</si>
  <si>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</si>
  <si>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</si>
  <si>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</si>
  <si>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</si>
  <si>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</si>
  <si>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</si>
  <si>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</si>
  <si>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</si>
  <si>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</si>
  <si>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</si>
  <si>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</si>
  <si>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</si>
  <si>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</si>
  <si>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</si>
  <si>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</si>
  <si>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</si>
  <si>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</si>
  <si>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</si>
  <si>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</si>
  <si>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</si>
  <si>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</si>
  <si>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</si>
  <si>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</si>
  <si>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</si>
  <si>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</si>
  <si>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</si>
  <si>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</si>
  <si>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</si>
  <si>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</si>
  <si>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</si>
  <si>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2023-09-29</t>
  </si>
  <si>
    <t>2023-10-03</t>
  </si>
  <si>
    <t>2023-10-04</t>
  </si>
  <si>
    <t>2023-10-05</t>
  </si>
  <si>
    <t>2023-10-06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</si>
  <si>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</si>
  <si>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</si>
  <si>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</si>
  <si>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</si>
  <si>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</si>
  <si>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</si>
  <si>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</si>
  <si>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</si>
  <si>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</si>
  <si>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</si>
  <si>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</si>
  <si>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</si>
  <si>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</si>
  <si>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</si>
  <si>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</si>
  <si>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</si>
  <si>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</si>
  <si>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</si>
  <si>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</si>
  <si>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</si>
  <si>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</si>
  <si>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</si>
  <si>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</si>
  <si>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</si>
  <si>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</si>
  <si>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</si>
  <si>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</si>
  <si>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</si>
  <si>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</si>
  <si>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</si>
  <si>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</si>
  <si>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</si>
  <si>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</si>
  <si>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</si>
  <si>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</si>
  <si>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</si>
  <si>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</si>
  <si>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</si>
  <si>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</si>
  <si>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</si>
  <si>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</si>
  <si>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</si>
  <si>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</si>
  <si>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</si>
  <si>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</si>
  <si>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</si>
  <si>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</si>
  <si>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</si>
  <si>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</si>
  <si>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</si>
  <si>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</si>
  <si>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</si>
  <si>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2023-12-26</t>
  </si>
  <si>
    <t>2023-12-27</t>
  </si>
  <si>
    <t>2023-12-28</t>
  </si>
  <si>
    <t>2023-12-29</t>
  </si>
  <si>
    <t>2024-01-01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</si>
  <si>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</si>
  <si>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</si>
  <si>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</si>
  <si>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</si>
  <si>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</si>
  <si>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</si>
  <si>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</si>
  <si>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</si>
  <si>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</si>
  <si>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</si>
  <si>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</si>
  <si>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</si>
  <si>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</si>
  <si>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</si>
  <si>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2024-01-23</t>
  </si>
  <si>
    <t>2024-01-24</t>
  </si>
  <si>
    <t>2024-01-25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</si>
  <si>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</si>
  <si>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</si>
  <si>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</si>
  <si>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</si>
  <si>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</si>
  <si>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</si>
  <si>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</si>
  <si>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</si>
  <si>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</si>
  <si>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2024-02-09</t>
  </si>
  <si>
    <t>2024-02-12</t>
  </si>
  <si>
    <t>2024-02-13</t>
  </si>
  <si>
    <t>2024-02-14</t>
  </si>
  <si>
    <t>2024-02-15</t>
  </si>
  <si>
    <t>2024-02-16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</si>
  <si>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</si>
  <si>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</si>
  <si>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</si>
  <si>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</si>
  <si>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</si>
  <si>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</si>
  <si>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</si>
  <si>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</si>
  <si>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</si>
  <si>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</si>
  <si>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</si>
  <si>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</si>
  <si>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</si>
  <si>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</si>
  <si>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</si>
  <si>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</si>
  <si>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</si>
  <si>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</si>
  <si>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</si>
  <si>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</si>
  <si>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</si>
  <si>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</si>
  <si>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</si>
  <si>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</si>
  <si>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2024-03-26</t>
  </si>
  <si>
    <t>2024-03-27</t>
  </si>
  <si>
    <t>2024-03-28</t>
  </si>
  <si>
    <t>2024-04-01</t>
  </si>
  <si>
    <t>FY25</t>
  </si>
  <si>
    <t>2024-04-02</t>
  </si>
  <si>
    <t>2024-04-03</t>
  </si>
  <si>
    <t>2024-04-04</t>
  </si>
  <si>
    <t>2024-04-05</t>
  </si>
  <si>
    <t>2024-04-08</t>
  </si>
  <si>
    <t>2024-04-09</t>
  </si>
  <si>
    <t>2024-04-10</t>
  </si>
  <si>
    <t>2024-04-12</t>
  </si>
  <si>
    <t>2024-04-15</t>
  </si>
  <si>
    <t>2024-04-16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</si>
  <si>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</si>
  <si>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</si>
  <si>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</si>
  <si>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</si>
  <si>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</si>
  <si>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</si>
  <si>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</si>
  <si>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</si>
  <si>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</si>
  <si>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</si>
  <si>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</si>
  <si>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</si>
  <si>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</si>
  <si>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</si>
  <si>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</si>
  <si>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</si>
  <si>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</si>
  <si>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</si>
  <si>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</si>
  <si>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</si>
  <si>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</si>
  <si>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</si>
  <si>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</si>
  <si>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</si>
  <si>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</si>
  <si>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</si>
  <si>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</si>
  <si>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</si>
  <si>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</si>
  <si>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</si>
  <si>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</si>
  <si>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</si>
  <si>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</si>
  <si>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</si>
  <si>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</si>
  <si>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</si>
  <si>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</si>
  <si>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</si>
  <si>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</si>
  <si>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</si>
  <si>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</si>
  <si>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</si>
  <si>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</si>
  <si>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</si>
  <si>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</si>
  <si>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</si>
  <si>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</si>
  <si>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</si>
  <si>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</si>
  <si>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</si>
  <si>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</si>
  <si>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</si>
  <si>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</si>
  <si>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</si>
  <si>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</si>
  <si>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</si>
  <si>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</si>
  <si>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</si>
  <si>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</si>
  <si>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</si>
  <si>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</si>
  <si>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</si>
  <si>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</si>
  <si>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</si>
  <si>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</si>
  <si>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</si>
  <si>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</si>
  <si>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</si>
  <si>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</si>
  <si>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</si>
  <si>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</si>
  <si>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</si>
  <si>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</si>
  <si>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</si>
  <si>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</si>
  <si>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</si>
  <si>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</si>
  <si>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</si>
  <si>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</si>
  <si>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</si>
  <si>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</si>
  <si>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</si>
  <si>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</si>
  <si>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</si>
  <si>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</si>
  <si>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</si>
  <si>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</si>
  <si>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</si>
  <si>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</si>
  <si>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</si>
  <si>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</si>
  <si>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</si>
  <si>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</si>
  <si>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</si>
  <si>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</si>
  <si>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</si>
  <si>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</si>
  <si>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</si>
  <si>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</si>
  <si>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</si>
  <si>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</si>
  <si>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</si>
  <si>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2024-09-16</t>
  </si>
  <si>
    <t>2024-09-17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</si>
  <si>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</si>
  <si>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</si>
  <si>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</si>
  <si>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</si>
  <si>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</si>
  <si>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</si>
  <si>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</si>
  <si>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</si>
  <si>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</si>
  <si>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2024-10-01</t>
  </si>
  <si>
    <t>2024-10-03</t>
  </si>
  <si>
    <t>2024-10-04</t>
  </si>
  <si>
    <t>2024-10-07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</si>
  <si>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</si>
  <si>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</si>
  <si>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</si>
  <si>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</si>
  <si>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</si>
  <si>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</si>
  <si>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</si>
  <si>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</si>
  <si>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</si>
  <si>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</si>
  <si>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</si>
  <si>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</si>
  <si>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</si>
  <si>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</si>
  <si>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</si>
  <si>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</si>
  <si>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</si>
  <si>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</si>
  <si>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</si>
  <si>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</si>
  <si>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</si>
  <si>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</si>
  <si>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</si>
  <si>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</si>
  <si>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</si>
  <si>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</si>
  <si>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</si>
  <si>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</si>
  <si>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2024-11-18</t>
  </si>
  <si>
    <t>2024-11-19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</si>
  <si>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</si>
  <si>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</si>
  <si>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</si>
  <si>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</si>
  <si>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</si>
  <si>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</si>
  <si>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</si>
  <si>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</si>
  <si>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</si>
  <si>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</si>
  <si>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</si>
  <si>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</si>
  <si>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</si>
  <si>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</si>
  <si>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</si>
  <si>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</si>
  <si>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</si>
  <si>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</si>
  <si>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</si>
  <si>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</si>
  <si>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</si>
  <si>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</si>
  <si>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</si>
  <si>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</si>
  <si>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2024-12-26</t>
  </si>
  <si>
    <t>2024-12-27</t>
  </si>
  <si>
    <t>2024-12-30</t>
  </si>
  <si>
    <t>2024-12-31</t>
  </si>
  <si>
    <t>2025-01-01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</si>
  <si>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</si>
  <si>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</si>
  <si>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</si>
  <si>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</si>
  <si>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</si>
  <si>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</si>
  <si>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</si>
  <si>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</si>
  <si>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</si>
  <si>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</si>
  <si>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</si>
  <si>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</si>
  <si>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</si>
  <si>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</si>
  <si>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</si>
  <si>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</si>
  <si>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</si>
  <si>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</si>
  <si>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</si>
  <si>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</si>
  <si>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</si>
  <si>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</si>
  <si>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</si>
  <si>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</si>
  <si>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</si>
  <si>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</si>
  <si>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</si>
  <si>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</si>
  <si>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</si>
  <si>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</si>
  <si>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</si>
  <si>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</si>
  <si>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</si>
  <si>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</si>
  <si>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</si>
  <si>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</si>
  <si>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</si>
  <si>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</si>
  <si>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</si>
  <si>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</si>
  <si>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</si>
  <si>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</si>
  <si>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</si>
  <si>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</si>
  <si>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</si>
  <si>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</si>
  <si>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</si>
  <si>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</si>
  <si>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</si>
  <si>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</si>
  <si>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</si>
  <si>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</si>
  <si>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</si>
  <si>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</si>
  <si>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</si>
  <si>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</si>
  <si>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</si>
  <si>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</si>
  <si>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</si>
  <si>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</si>
  <si>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</si>
  <si>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2025-04-01</t>
  </si>
  <si>
    <t>FY26</t>
  </si>
  <si>
    <t>2025-04-02</t>
  </si>
  <si>
    <t>2025-04-03</t>
  </si>
  <si>
    <t>2025-04-04</t>
  </si>
  <si>
    <t>2025-04-07</t>
  </si>
  <si>
    <t>2025-04-08</t>
  </si>
  <si>
    <t>2025-04-09</t>
  </si>
  <si>
    <t>2025-04-11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</si>
  <si>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</si>
  <si>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</si>
  <si>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</si>
  <si>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</si>
  <si>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</si>
  <si>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</si>
  <si>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</si>
  <si>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</si>
  <si>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</si>
  <si>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</si>
  <si>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</si>
  <si>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2025-05-02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</si>
  <si>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</si>
  <si>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</si>
  <si>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</si>
  <si>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</si>
  <si>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</si>
  <si>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</si>
  <si>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</si>
  <si>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</si>
  <si>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</si>
  <si>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</si>
  <si>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</si>
  <si>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</si>
  <si>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</si>
  <si>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</si>
  <si>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</si>
  <si>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</si>
  <si>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</si>
  <si>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</si>
  <si>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</si>
  <si>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</si>
  <si>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2025-06-02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</si>
  <si>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</si>
  <si>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</si>
  <si>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</si>
  <si>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</si>
  <si>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</si>
  <si>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</si>
  <si>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</si>
  <si>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</si>
  <si>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</si>
  <si>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</si>
  <si>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</si>
  <si>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</si>
  <si>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</si>
  <si>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</si>
  <si>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</si>
  <si>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</si>
  <si>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</si>
  <si>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</si>
  <si>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</si>
  <si>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</si>
  <si>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</si>
  <si>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</si>
  <si>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</si>
  <si>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</si>
  <si>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</si>
  <si>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</si>
  <si>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</si>
  <si>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</si>
  <si>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</si>
  <si>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</si>
  <si>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</si>
  <si>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</si>
  <si>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</si>
  <si>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</si>
  <si>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</si>
  <si>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</si>
  <si>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</si>
  <si>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</si>
  <si>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</si>
  <si>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</si>
  <si>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</si>
  <si>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</si>
  <si>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</si>
  <si>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</si>
  <si>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</si>
  <si>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</si>
  <si>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</si>
  <si>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</si>
  <si>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</si>
  <si>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</si>
  <si>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</si>
  <si>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</si>
  <si>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</si>
  <si>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</si>
  <si>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</si>
  <si>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</si>
  <si>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</si>
  <si>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</si>
  <si>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</si>
  <si>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</si>
  <si>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</si>
  <si>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</si>
  <si>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</si>
  <si>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</si>
  <si>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</si>
  <si>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</si>
  <si>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</si>
  <si>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</si>
  <si>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</si>
  <si>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</si>
  <si>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</si>
  <si>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</si>
  <si>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</si>
  <si>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</si>
  <si>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</si>
  <si>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</si>
  <si>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</si>
  <si>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</si>
  <si>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</si>
  <si>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</si>
  <si>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</si>
  <si>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</si>
  <si>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</si>
  <si>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</si>
  <si>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</si>
  <si>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</si>
  <si>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</si>
  <si>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</si>
  <si>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</si>
  <si>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</si>
  <si>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</si>
  <si>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</si>
  <si>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</si>
  <si>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</si>
  <si>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</si>
  <si>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</si>
  <si>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</si>
  <si>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</si>
  <si>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</si>
  <si>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</si>
  <si>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</si>
  <si>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</si>
  <si>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</si>
  <si>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</si>
  <si>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</si>
  <si>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</si>
  <si>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</si>
  <si>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</si>
  <si>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</si>
  <si>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</si>
  <si>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</si>
  <si>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</si>
  <si>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</si>
  <si>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</si>
  <si>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</si>
  <si>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</si>
  <si>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</si>
  <si>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</si>
  <si>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</si>
  <si>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</si>
  <si>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</si>
  <si>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</si>
  <si>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</si>
  <si>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</si>
  <si>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</si>
  <si>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</si>
  <si>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</si>
  <si>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</si>
  <si>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</si>
  <si>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</si>
  <si>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</si>
  <si>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</si>
  <si>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</si>
  <si>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</si>
  <si>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</si>
  <si>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</si>
  <si>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</si>
  <si>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</si>
  <si>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</si>
  <si>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</si>
  <si>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</si>
  <si>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</si>
  <si>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</si>
  <si>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</si>
  <si>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</si>
  <si>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</si>
  <si>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</si>
  <si>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</si>
  <si>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</si>
  <si>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</si>
  <si>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</si>
  <si>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</si>
  <si>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</si>
  <si>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</si>
  <si>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</si>
  <si>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</si>
  <si>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</si>
  <si>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</si>
  <si>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</si>
  <si>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</si>
  <si>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</si>
  <si>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</si>
  <si>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</si>
  <si>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</si>
  <si>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</si>
  <si>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</si>
  <si>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</si>
  <si>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</si>
  <si>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</si>
  <si>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</si>
  <si>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</si>
  <si>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</si>
  <si>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</si>
  <si>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</si>
  <si>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</si>
  <si>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</si>
  <si>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</si>
  <si>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2026-02-16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</si>
  <si>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</si>
  <si>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</si>
  <si>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</si>
  <si>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</si>
  <si>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</si>
  <si>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</si>
  <si>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</si>
  <si>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</si>
  <si>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</si>
  <si>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</si>
  <si>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</si>
  <si>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</si>
  <si>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</si>
  <si>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</si>
  <si>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</si>
  <si>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</si>
  <si>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</si>
  <si>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</si>
  <si>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</si>
  <si>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</si>
  <si>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</si>
  <si>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</si>
  <si>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</si>
  <si>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</si>
  <si>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</si>
  <si>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</si>
  <si>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2026-03-27</t>
  </si>
  <si>
    <t>2026-03-30</t>
  </si>
  <si>
    <t>2026-04-01</t>
  </si>
  <si>
    <t>FY27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</si>
  <si>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</si>
  <si>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</si>
  <si>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</si>
  <si>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</si>
  <si>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</si>
  <si>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</si>
  <si>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</si>
  <si>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</si>
  <si>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</si>
  <si>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</si>
  <si>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</si>
  <si>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</si>
  <si>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</si>
  <si>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</si>
  <si>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</si>
  <si>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</si>
  <si>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</si>
  <si>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</si>
  <si>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</si>
  <si>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</si>
  <si>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</si>
  <si>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</si>
  <si>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</si>
  <si>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</si>
  <si>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</si>
  <si>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</si>
  <si>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</si>
  <si>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</si>
  <si>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</si>
  <si>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</si>
  <si>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</si>
  <si>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</si>
  <si>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</si>
  <si>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</si>
  <si>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</si>
  <si>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2026-05-25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</si>
  <si>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</si>
  <si>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</si>
  <si>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</si>
  <si>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</si>
  <si>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</si>
  <si>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</si>
  <si>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</si>
  <si>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</si>
  <si>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</si>
  <si>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</si>
  <si>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</si>
  <si>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</si>
  <si>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</si>
  <si>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</si>
  <si>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</si>
  <si>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</si>
  <si>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</si>
  <si>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</si>
  <si>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2026-06-19</t>
  </si>
  <si>
    <t>2026-06-22</t>
  </si>
  <si>
    <t>2026-06-23</t>
  </si>
  <si>
    <t>2026-06-24</t>
  </si>
  <si>
    <t>2026-06-25</t>
  </si>
  <si>
    <t>2026-06-26</t>
  </si>
  <si>
    <t>2026-06-29</t>
  </si>
  <si>
    <t>2026-06-30</t>
  </si>
  <si>
    <t>2026-07-01</t>
  </si>
  <si>
    <t>2026-07-02</t>
  </si>
  <si>
    <t>2026-07-03</t>
  </si>
  <si>
    <t>2026-07-06</t>
  </si>
  <si>
    <t>2026-07-07</t>
  </si>
  <si>
    <t>2026-07-08</t>
  </si>
  <si>
    <t>2026-07-09</t>
  </si>
  <si>
    <t>2026-07-10</t>
  </si>
  <si>
    <t>2026-07-13</t>
  </si>
  <si>
    <t>2026-07-14</t>
  </si>
  <si>
    <t>2026-07-15</t>
  </si>
  <si>
    <t>2026-07-16</t>
  </si>
  <si>
    <t>2026-07-17</t>
  </si>
  <si>
    <t>2026-07-20</t>
  </si>
  <si>
    <t>2026-07-21</t>
  </si>
  <si>
    <t>2026-07-22</t>
  </si>
  <si>
    <t>2026-07-23</t>
  </si>
  <si>
    <t>2026-07-24</t>
  </si>
  <si>
    <t>2026-07-27</t>
  </si>
  <si>
    <t>2026-07-28</t>
  </si>
  <si>
    <t>2026-07-29</t>
  </si>
  <si>
    <t>2026-07-30</t>
  </si>
  <si>
    <t>2026-07-31</t>
  </si>
  <si>
    <t>2026-08-03</t>
  </si>
  <si>
    <t>2026-08-04</t>
  </si>
  <si>
    <t>2026-08-05</t>
  </si>
  <si>
    <t>2026-08-06</t>
  </si>
  <si>
    <t>2026-08-07</t>
  </si>
  <si>
    <t>2026-08-10</t>
  </si>
  <si>
    <t>2026-08-11</t>
  </si>
  <si>
    <t>2026-08-12</t>
  </si>
  <si>
    <t>2026-08-13</t>
  </si>
  <si>
    <t>2026-08-14</t>
  </si>
  <si>
    <t>2026-08-17</t>
  </si>
  <si>
    <t>2026-08-18</t>
  </si>
  <si>
    <t>2026-08-19</t>
  </si>
  <si>
    <t>2026-08-20</t>
  </si>
  <si>
    <t>2026-08-21</t>
  </si>
  <si>
    <t>2026-08-24</t>
  </si>
  <si>
    <t>2026-08-25</t>
  </si>
  <si>
    <t>2026-08-26</t>
  </si>
  <si>
    <t>2026-08-27</t>
  </si>
  <si>
    <t>2026-08-28</t>
  </si>
  <si>
    <t>Valuation</t>
  </si>
  <si>
    <t>Historical FY-end prices; forecast reference price is editable and implied target = diluted EPS × target P/E</t>
  </si>
  <si>
    <t>Reference / FY-end share price</t>
  </si>
  <si>
    <t>Basic shares</t>
  </si>
  <si>
    <t>Diluted shares</t>
  </si>
  <si>
    <t>Market capitalization</t>
  </si>
  <si>
    <t>Cash + current investments</t>
  </si>
  <si>
    <t>Borrowings + lease liabilities</t>
  </si>
  <si>
    <t>Enterprise value</t>
  </si>
  <si>
    <t>Book value</t>
  </si>
  <si>
    <t>P / book</t>
  </si>
  <si>
    <t>Dividend yield</t>
  </si>
  <si>
    <t>Upside / (downside) to reference price</t>
  </si>
  <si>
    <t>Model Checks</t>
  </si>
  <si>
    <t>Accounting, cash, quarterly roll-up, operating mix, formula and circularity controls</t>
  </si>
  <si>
    <t>Check</t>
  </si>
  <si>
    <t>Control</t>
  </si>
  <si>
    <t>Difference</t>
  </si>
  <si>
    <t>Tolerance</t>
  </si>
  <si>
    <t>OVERALL MODEL STATUS</t>
  </si>
  <si>
    <t>FY16A balance sheet</t>
  </si>
  <si>
    <t>FY16A cash tie</t>
  </si>
  <si>
    <t>FY17A balance sheet</t>
  </si>
  <si>
    <t>FY17A cash tie</t>
  </si>
  <si>
    <t>FY18A balance sheet</t>
  </si>
  <si>
    <t>FY18A cash tie</t>
  </si>
  <si>
    <t>FY19A balance sheet</t>
  </si>
  <si>
    <t>FY19A cash tie</t>
  </si>
  <si>
    <t>FY20A balance sheet</t>
  </si>
  <si>
    <t>FY20A cash tie</t>
  </si>
  <si>
    <t>FY21A balance sheet</t>
  </si>
  <si>
    <t>FY21A cash tie</t>
  </si>
  <si>
    <t>FY22A balance sheet</t>
  </si>
  <si>
    <t>FY22A cash tie</t>
  </si>
  <si>
    <t>FY23A balance sheet</t>
  </si>
  <si>
    <t>FY23A cash tie</t>
  </si>
  <si>
    <t>FY24A balance sheet</t>
  </si>
  <si>
    <t>FY24A cash tie</t>
  </si>
  <si>
    <t>FY25A balance sheet</t>
  </si>
  <si>
    <t>FY25A cash tie</t>
  </si>
  <si>
    <t>FY26A balance sheet</t>
  </si>
  <si>
    <t>FY26A cash tie</t>
  </si>
  <si>
    <t>FY27E balance sheet</t>
  </si>
  <si>
    <t>FY27E cash tie</t>
  </si>
  <si>
    <t>FY28E balance sheet</t>
  </si>
  <si>
    <t>FY28E cash tie</t>
  </si>
  <si>
    <t>FY29E balance sheet</t>
  </si>
  <si>
    <t>FY29E cash tie</t>
  </si>
  <si>
    <t>FY30E balance sheet</t>
  </si>
  <si>
    <t>FY30E cash tie</t>
  </si>
  <si>
    <t>FY16 quarterly revenue roll-up</t>
  </si>
  <si>
    <t>FY16 quarterly EBIT roll-up</t>
  </si>
  <si>
    <t>FY16 quarterly net-income roll-up</t>
  </si>
  <si>
    <t>FY17 quarterly revenue roll-up</t>
  </si>
  <si>
    <t>FY17 quarterly EBIT roll-up</t>
  </si>
  <si>
    <t>FY17 quarterly net-income roll-up</t>
  </si>
  <si>
    <t>FY18 quarterly revenue roll-up</t>
  </si>
  <si>
    <t>FY18 quarterly EBIT roll-up</t>
  </si>
  <si>
    <t>FY18 quarterly net-income roll-up</t>
  </si>
  <si>
    <t>FY19 quarterly revenue roll-up</t>
  </si>
  <si>
    <t>FY19 quarterly EBIT roll-up</t>
  </si>
  <si>
    <t>FY19 quarterly net-income roll-up</t>
  </si>
  <si>
    <t>FY20 quarterly revenue roll-up</t>
  </si>
  <si>
    <t>FY20 quarterly EBIT roll-up</t>
  </si>
  <si>
    <t>FY20 quarterly net-income roll-up</t>
  </si>
  <si>
    <t>FY21 quarterly revenue roll-up</t>
  </si>
  <si>
    <t>FY21 quarterly EBIT roll-up</t>
  </si>
  <si>
    <t>FY21 quarterly net-income roll-up</t>
  </si>
  <si>
    <t>FY22 quarterly revenue roll-up</t>
  </si>
  <si>
    <t>FY22 quarterly EBIT roll-up</t>
  </si>
  <si>
    <t>FY22 quarterly net-income roll-up</t>
  </si>
  <si>
    <t>FY23 quarterly revenue roll-up</t>
  </si>
  <si>
    <t>FY23 quarterly EBIT roll-up</t>
  </si>
  <si>
    <t>FY23 quarterly net-income roll-up</t>
  </si>
  <si>
    <t>FY24 quarterly revenue roll-up</t>
  </si>
  <si>
    <t>FY24 quarterly EBIT roll-up</t>
  </si>
  <si>
    <t>FY24 quarterly net-income roll-up</t>
  </si>
  <si>
    <t>FY25 quarterly revenue roll-up</t>
  </si>
  <si>
    <t>FY25 quarterly EBIT roll-up</t>
  </si>
  <si>
    <t>FY25 quarterly net-income roll-up</t>
  </si>
  <si>
    <t>FY26 quarterly revenue roll-up</t>
  </si>
  <si>
    <t>FY26 quarterly EBIT roll-up</t>
  </si>
  <si>
    <t>FY26 quarterly net-income roll-up</t>
  </si>
  <si>
    <t>Q1 FY27 revenue spot check</t>
  </si>
  <si>
    <t>Q1 FY27 PBT spot check</t>
  </si>
  <si>
    <t>Q1 FY27 attributable NI spot check</t>
  </si>
  <si>
    <t>FY27E revenue-driver tie</t>
  </si>
  <si>
    <t>FY27E D&amp;A allocation</t>
  </si>
  <si>
    <t>FY27E cash schedule</t>
  </si>
  <si>
    <t>FY27E non-negative cash</t>
  </si>
  <si>
    <t>FY27E FPP + T&amp;M mix</t>
  </si>
  <si>
    <t>FY28E revenue-driver tie</t>
  </si>
  <si>
    <t>FY28E D&amp;A allocation</t>
  </si>
  <si>
    <t>FY28E cash schedule</t>
  </si>
  <si>
    <t>FY28E non-negative cash</t>
  </si>
  <si>
    <t>FY28E FPP + T&amp;M mix</t>
  </si>
  <si>
    <t>FY29E revenue-driver tie</t>
  </si>
  <si>
    <t>FY29E D&amp;A allocation</t>
  </si>
  <si>
    <t>FY29E cash schedule</t>
  </si>
  <si>
    <t>FY29E non-negative cash</t>
  </si>
  <si>
    <t>FY29E FPP + T&amp;M mix</t>
  </si>
  <si>
    <t>FY30E revenue-driver tie</t>
  </si>
  <si>
    <t>FY30E D&amp;A allocation</t>
  </si>
  <si>
    <t>FY30E cash schedule</t>
  </si>
  <si>
    <t>FY30E non-negative cash</t>
  </si>
  <si>
    <t>FY30E FPP + T&amp;M mix</t>
  </si>
  <si>
    <t>FY16 legacy geography mix</t>
  </si>
  <si>
    <t>FY16 currency mix</t>
  </si>
  <si>
    <t>FY17 legacy geography mix</t>
  </si>
  <si>
    <t>FY17 currency mix</t>
  </si>
  <si>
    <t>FY18 legacy geography mix</t>
  </si>
  <si>
    <t>FY18 currency mix</t>
  </si>
  <si>
    <t>FY19 currency mix</t>
  </si>
  <si>
    <t>FY20 currency mix</t>
  </si>
  <si>
    <t>FY21 current geography mix</t>
  </si>
  <si>
    <t>FY21 currency mix</t>
  </si>
  <si>
    <t>FY22 current geography mix</t>
  </si>
  <si>
    <t>FY22 currency mix</t>
  </si>
  <si>
    <t>FY23 current geography mix</t>
  </si>
  <si>
    <t>FY23 currency mix</t>
  </si>
  <si>
    <t>FY24 current geography mix</t>
  </si>
  <si>
    <t>FY24 currency mix</t>
  </si>
  <si>
    <t>FY25 current geography mix</t>
  </si>
  <si>
    <t>FY25 currency mix</t>
  </si>
  <si>
    <t>FY26 current geography mix</t>
  </si>
  <si>
    <t>FY26 currency mix</t>
  </si>
  <si>
    <t>Static circular-reference count</t>
  </si>
  <si>
    <t>INDIRECT / OFFSET formula count</t>
  </si>
  <si>
    <t>Formula error token 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</si>
</sst>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%;[Red]\(0.0%\);\-"/>
    <numFmt numFmtId="165" formatCode="#,##0.0;[Red]\(#,##0.0\);\-"/>
    <numFmt numFmtId="166" formatCode="0.0\x;[Red]\(0.0\x\);\-"/>
    <numFmt numFmtId="167" formatCode="0.00;[Red]\(0.00\);\-"/>
    <numFmt numFmtId="168" formatCode="#,##0;[Red]\(#,##0\);\-"/>
    <numFmt numFmtId="169" formatCode="\$#,##0.0;[Red]\(\$#,##0.0\);\-"/>
  </numFmts>
  <fonts count="9">
    <font>
      <sz val="11"/>
      <name val="Carlito"/>
    </font>
    <font>
      <sz val="10"/>
      <color rgb="FF000000"/>
      <name val="Aptos Narrow"/>
      <family val="2"/>
    </font>
    <font>
      <b/>
      <sz val="16"/>
      <color rgb="FFFFFFFF"/>
      <name val="Aptos Narrow"/>
      <family val="2"/>
    </font>
    <font>
      <i/>
      <sz val="10"/>
      <color rgb="FF666666"/>
      <name val="Aptos Narrow"/>
      <family val="2"/>
    </font>
    <font>
      <b/>
      <sz val="13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0"/>
      <color rgb="FFFFFFFF"/>
      <name val="Aptos Narrow"/>
      <family val="2"/>
    </font>
    <font>
      <sz val="10"/>
      <color rgb="FF4472C4"/>
      <name val="Aptos Narrow"/>
      <family val="2"/>
    </font>
    <font>
      <sz val="11"/>
      <color rgb="FF4472C4"/>
      <name val="Carlito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E7E6E6"/>
      </patternFill>
    </fill>
  </fills>
  <borders count="2">
    <border>
      <left/>
      <right/>
      <top/>
      <bottom/>
      <diagonal/>
    </border>
    <border>
      <left/>
      <right/>
      <top style="thin">
        <color rgb="FF7F7F7F"/>
      </top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wrapText="1"/>
    </xf>
    <xf numFmtId="0" fontId="6" fillId="4" borderId="0" xfId="0" applyFont="1" applyFill="1" applyAlignment="1">
      <alignment horizontal="center"/>
    </xf>
    <xf numFmtId="164" fontId="7" fillId="5" borderId="0" xfId="0" applyNumberFormat="1" applyFont="1" applyFill="1"/>
    <xf numFmtId="165" fontId="7" fillId="5" borderId="0" xfId="0" applyNumberFormat="1" applyFont="1" applyFill="1"/>
    <xf numFmtId="166" fontId="7" fillId="5" borderId="0" xfId="0" applyNumberFormat="1" applyFont="1" applyFill="1"/>
    <xf numFmtId="167" fontId="7" fillId="5" borderId="0" xfId="0" applyNumberFormat="1" applyFont="1" applyFill="1"/>
    <xf numFmtId="0" fontId="6" fillId="2" borderId="0" xfId="0" applyFont="1" applyFill="1"/>
    <xf numFmtId="0" fontId="7" fillId="0" borderId="0" xfId="0" applyFont="1"/>
    <xf numFmtId="168" fontId="7" fillId="0" borderId="0" xfId="0" applyNumberFormat="1" applyFont="1"/>
    <xf numFmtId="167" fontId="7" fillId="0" borderId="0" xfId="0" applyNumberFormat="1" applyFont="1"/>
    <xf numFmtId="165" fontId="7" fillId="0" borderId="0" xfId="0" applyNumberFormat="1" applyFont="1"/>
    <xf numFmtId="0" fontId="6" fillId="6" borderId="0" xfId="0" applyFont="1" applyFill="1" applyAlignment="1">
      <alignment horizontal="center"/>
    </xf>
    <xf numFmtId="169" fontId="7" fillId="0" borderId="0" xfId="0" applyNumberFormat="1" applyFont="1"/>
    <xf numFmtId="164" fontId="7" fillId="0" borderId="0" xfId="0" applyNumberFormat="1" applyFont="1"/>
    <xf numFmtId="168" fontId="1" fillId="0" borderId="0" xfId="0" applyNumberFormat="1" applyFont="1"/>
    <xf numFmtId="164" fontId="1" fillId="0" borderId="0" xfId="0" applyNumberFormat="1" applyFont="1"/>
    <xf numFmtId="0" fontId="1" fillId="0" borderId="1" xfId="0" applyFont="1" applyBorder="1"/>
    <xf numFmtId="168" fontId="1" fillId="0" borderId="1" xfId="0" applyNumberFormat="1" applyFont="1" applyBorder="1"/>
    <xf numFmtId="0" fontId="5" fillId="0" borderId="1" xfId="0" applyFont="1" applyBorder="1"/>
    <xf numFmtId="165" fontId="1" fillId="0" borderId="0" xfId="0" applyNumberFormat="1" applyFont="1"/>
    <xf numFmtId="169" fontId="1" fillId="0" borderId="0" xfId="0" applyNumberFormat="1" applyFont="1"/>
    <xf numFmtId="0" fontId="1" fillId="6" borderId="0" xfId="0" applyFont="1" applyFill="1"/>
    <xf numFmtId="165" fontId="1" fillId="6" borderId="0" xfId="0" applyNumberFormat="1" applyFont="1" applyFill="1"/>
    <xf numFmtId="164" fontId="1" fillId="6" borderId="0" xfId="0" applyNumberFormat="1" applyFont="1" applyFill="1"/>
    <xf numFmtId="168" fontId="1" fillId="6" borderId="1" xfId="0" applyNumberFormat="1" applyFont="1" applyFill="1" applyBorder="1"/>
    <xf numFmtId="169" fontId="1" fillId="6" borderId="0" xfId="0" applyNumberFormat="1" applyFont="1" applyFill="1"/>
    <xf numFmtId="168" fontId="1" fillId="6" borderId="0" xfId="0" applyNumberFormat="1" applyFont="1" applyFill="1"/>
    <xf numFmtId="167" fontId="1" fillId="0" borderId="0" xfId="0" applyNumberFormat="1" applyFont="1"/>
    <xf numFmtId="167" fontId="1" fillId="6" borderId="0" xfId="0" applyNumberFormat="1" applyFont="1" applyFill="1"/>
    <xf numFmtId="168" fontId="7" fillId="0" borderId="1" xfId="0" applyNumberFormat="1" applyFont="1" applyBorder="1"/>
    <xf numFmtId="166" fontId="1" fillId="0" borderId="0" xfId="0" applyNumberFormat="1" applyFont="1"/>
    <xf numFmtId="166" fontId="1" fillId="6" borderId="0" xfId="0" applyNumberFormat="1" applyFont="1" applyFill="1"/>
    <xf numFmtId="0" fontId="8" fillId="0" borderId="0" xfId="0" applyFont="1"/>
    <xf numFmtId="4" fontId="7" fillId="0" borderId="0" xfId="0" applyNumberFormat="1" applyFont="1"/>
    <xf numFmtId="4" fontId="8" fillId="0" borderId="0" xfId="0" applyNumberFormat="1" applyFont="1"/>
    <xf numFmtId="169" fontId="1" fillId="0" borderId="1" xfId="0" applyNumberFormat="1" applyFont="1" applyBorder="1"/>
    <xf numFmtId="167" fontId="1" fillId="0" borderId="1" xfId="0" applyNumberFormat="1" applyFont="1" applyBorder="1"/>
    <xf numFmtId="169" fontId="1" fillId="6" borderId="1" xfId="0" applyNumberFormat="1" applyFont="1" applyFill="1" applyBorder="1"/>
    <xf numFmtId="167" fontId="1" fillId="6" borderId="1" xfId="0" applyNumberFormat="1" applyFont="1" applyFill="1" applyBorder="1"/>
    <xf numFmtId="0" fontId="5" fillId="2" borderId="0" xfId="0" applyFont="1" applyFill="1"/>
    <xf numFmtId="0" fontId="5" fillId="7" borderId="0" xfId="0" applyFont="1" applyFill="1"/>
    <xf numFmtId="0" fontId="2" fillId="2" borderId="0" xfId="0" applyFont="1" applyFill="1"/>
    <xf numFmtId="0" fontId="3" fillId="0" borderId="0" xfId="0" applyFont="1" applyAlignment="1">
      <alignment wrapText="1"/>
    </xf>
    <xf numFmtId="0" fontId="4" fillId="3" borderId="0" xfId="0" applyFont="1" applyFill="1"/>
    <xf numFmtId="0" fontId="6" fillId="2" borderId="0" xfId="0" applyFont="1" applyFill="1"/>
    <xf numFmtId="0" fontId="6" fillId="6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300"/>
  <sheetViews>
    <sheetView showGridLines="0" workbookViewId="0">
      <selection sqref="A1:H1"/>
    </sheetView>
  </sheetViews>
  <sheetFormatPr defaultRowHeight="13.8"/>
  <cols>
    <col min="1" max="1" width="28" customWidth="1"/>
    <col min="2" max="2" width="72" customWidth="1"/>
  </cols>
  <sheetData>
    <row r="1" spans="1:47" ht="25.95" customHeight="1">
      <c r="A1" s="44" t="s">
        <v>0</v>
      </c>
      <c r="B1" s="44"/>
      <c r="C1" s="44"/>
      <c r="D1" s="44"/>
      <c r="E1" s="44"/>
      <c r="F1" s="44"/>
      <c r="G1" s="44"/>
      <c r="H1" s="44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45" t="s">
        <v>1</v>
      </c>
      <c r="B2" s="45"/>
      <c r="C2" s="45"/>
      <c r="D2" s="45"/>
      <c r="E2" s="45"/>
      <c r="F2" s="45"/>
      <c r="G2" s="45"/>
      <c r="H2" s="45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7.399999999999999">
      <c r="A4" s="46" t="s">
        <v>2</v>
      </c>
      <c r="B4" s="46"/>
      <c r="C4" s="46"/>
      <c r="D4" s="46"/>
      <c r="E4" s="46"/>
      <c r="F4" s="46"/>
      <c r="G4" s="46"/>
      <c r="H4" s="46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4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2" t="s">
        <v>3</v>
      </c>
      <c r="B6" s="3" t="s">
        <v>4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2" t="s">
        <v>5</v>
      </c>
      <c r="B7" s="3" t="s">
        <v>6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2" t="s">
        <v>7</v>
      </c>
      <c r="B8" s="3" t="s">
        <v>8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27.6">
      <c r="A9" s="2" t="s">
        <v>9</v>
      </c>
      <c r="B9" s="3" t="s">
        <v>10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27.6">
      <c r="A10" s="2" t="s">
        <v>11</v>
      </c>
      <c r="B10" s="3" t="s">
        <v>12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27.6">
      <c r="A11" s="2" t="s">
        <v>13</v>
      </c>
      <c r="B11" s="3" t="s">
        <v>14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2" t="s">
        <v>15</v>
      </c>
      <c r="B12" s="3" t="s">
        <v>16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27.6">
      <c r="A13" s="2" t="s">
        <v>17</v>
      </c>
      <c r="B13" s="3" t="s">
        <v>18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2" t="s">
        <v>19</v>
      </c>
      <c r="B14" s="3" t="s">
        <v>20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2" t="s">
        <v>21</v>
      </c>
      <c r="B15" s="3" t="str">
        <f>Checks!B6</f>
        <v>OK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</sheetData>
  <mergeCells count="3">
    <mergeCell ref="A1:H1"/>
    <mergeCell ref="A2:H2"/>
    <mergeCell ref="A4:H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300"/>
  <sheetViews>
    <sheetView showGridLines="0" workbookViewId="0">
      <selection sqref="A1:Q1"/>
    </sheetView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44" t="s">
        <v>22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45" t="s">
        <v>23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4" t="s">
        <v>35</v>
      </c>
      <c r="M5" s="4" t="s">
        <v>36</v>
      </c>
      <c r="N5" s="14" t="s">
        <v>37</v>
      </c>
      <c r="O5" s="14" t="s">
        <v>38</v>
      </c>
      <c r="P5" s="14" t="s">
        <v>39</v>
      </c>
      <c r="Q5" s="14" t="s">
        <v>40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4"/>
      <c r="O6" s="24"/>
      <c r="P6" s="24"/>
      <c r="Q6" s="2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21" t="s">
        <v>41</v>
      </c>
      <c r="B7" s="19" t="s">
        <v>42</v>
      </c>
      <c r="C7" s="20">
        <f>'Annual P&amp;L'!C7</f>
        <v>51244</v>
      </c>
      <c r="D7" s="20">
        <f>'Annual P&amp;L'!D7</f>
        <v>55040.2</v>
      </c>
      <c r="E7" s="20">
        <f>'Annual P&amp;L'!E7</f>
        <v>54487.1</v>
      </c>
      <c r="F7" s="20">
        <f>'Annual P&amp;L'!F7</f>
        <v>58584.5</v>
      </c>
      <c r="G7" s="20">
        <f>'Annual P&amp;L'!G7</f>
        <v>61023.199999999997</v>
      </c>
      <c r="H7" s="20">
        <f>'Annual P&amp;L'!H7</f>
        <v>61943</v>
      </c>
      <c r="I7" s="20">
        <f>'Annual P&amp;L'!I7</f>
        <v>79093.399999999994</v>
      </c>
      <c r="J7" s="20">
        <f>'Annual P&amp;L'!J7</f>
        <v>90487.6</v>
      </c>
      <c r="K7" s="20">
        <f>'Annual P&amp;L'!K7</f>
        <v>89760.3</v>
      </c>
      <c r="L7" s="20">
        <f>'Annual P&amp;L'!L7</f>
        <v>89088.4</v>
      </c>
      <c r="M7" s="20">
        <f>'Annual P&amp;L'!M7</f>
        <v>92624</v>
      </c>
      <c r="N7" s="27">
        <f>'Annual P&amp;L'!N7</f>
        <v>95426.74118316597</v>
      </c>
      <c r="O7" s="27">
        <f>'Annual P&amp;L'!O7</f>
        <v>101167.43631504844</v>
      </c>
      <c r="P7" s="27">
        <f>'Annual P&amp;L'!P7</f>
        <v>109097.12384098076</v>
      </c>
      <c r="Q7" s="27">
        <f>'Annual P&amp;L'!Q7</f>
        <v>118382.91707735034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43</v>
      </c>
      <c r="B8" s="1" t="s">
        <v>44</v>
      </c>
      <c r="C8" s="18">
        <f>'Annual P&amp;L'!C8</f>
        <v>0</v>
      </c>
      <c r="D8" s="18">
        <f>'Annual P&amp;L'!D8</f>
        <v>7.4080868004058997E-2</v>
      </c>
      <c r="E8" s="18">
        <f>'Annual P&amp;L'!E8</f>
        <v>-1.0049018717228519E-2</v>
      </c>
      <c r="F8" s="18">
        <f>'Annual P&amp;L'!F8</f>
        <v>7.5199450879198881E-2</v>
      </c>
      <c r="G8" s="18">
        <f>'Annual P&amp;L'!G8</f>
        <v>4.1627051523867253E-2</v>
      </c>
      <c r="H8" s="18">
        <f>'Annual P&amp;L'!H8</f>
        <v>1.507295585941093E-2</v>
      </c>
      <c r="I8" s="18">
        <f>'Annual P&amp;L'!I8</f>
        <v>0.27687390019856961</v>
      </c>
      <c r="J8" s="18">
        <f>'Annual P&amp;L'!J8</f>
        <v>0.14406006063717092</v>
      </c>
      <c r="K8" s="18">
        <f>'Annual P&amp;L'!K8</f>
        <v>-8.0375653680725412E-3</v>
      </c>
      <c r="L8" s="18">
        <f>'Annual P&amp;L'!L8</f>
        <v>-7.4854919156911448E-3</v>
      </c>
      <c r="M8" s="18">
        <f>'Annual P&amp;L'!M8</f>
        <v>3.9686423821732264E-2</v>
      </c>
      <c r="N8" s="26">
        <f>'Annual P&amp;L'!N8</f>
        <v>3.0259340809789759E-2</v>
      </c>
      <c r="O8" s="26">
        <f>'Annual P&amp;L'!O8</f>
        <v>6.0158138701011943E-2</v>
      </c>
      <c r="P8" s="26">
        <f>'Annual P&amp;L'!P8</f>
        <v>7.8381817457924274E-2</v>
      </c>
      <c r="Q8" s="26">
        <f>'Annual P&amp;L'!Q8</f>
        <v>8.5114922460325371E-2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45</v>
      </c>
      <c r="B9" s="1" t="s">
        <v>44</v>
      </c>
      <c r="C9" s="18">
        <f>'Annual P&amp;L'!C11</f>
        <v>0.30387167278120364</v>
      </c>
      <c r="D9" s="18">
        <f>'Annual P&amp;L'!D11</f>
        <v>0.28862177099647168</v>
      </c>
      <c r="E9" s="18">
        <f>'Annual P&amp;L'!E11</f>
        <v>0.29235543825969817</v>
      </c>
      <c r="F9" s="18">
        <f>'Annual P&amp;L'!F11</f>
        <v>0.29497904735894309</v>
      </c>
      <c r="G9" s="18">
        <f>'Annual P&amp;L'!G11</f>
        <v>0.28537834790702554</v>
      </c>
      <c r="H9" s="18">
        <f>'Annual P&amp;L'!H11</f>
        <v>0.31678317162552672</v>
      </c>
      <c r="I9" s="18">
        <f>'Annual P&amp;L'!I11</f>
        <v>0.29719546763699628</v>
      </c>
      <c r="J9" s="18">
        <f>'Annual P&amp;L'!J11</f>
        <v>0.28670226638788077</v>
      </c>
      <c r="K9" s="18">
        <f>'Annual P&amp;L'!K11</f>
        <v>0.29646291289133392</v>
      </c>
      <c r="L9" s="18">
        <f>'Annual P&amp;L'!L11</f>
        <v>0.30652924510935209</v>
      </c>
      <c r="M9" s="18">
        <f>'Annual P&amp;L'!M11</f>
        <v>0.29155294524097425</v>
      </c>
      <c r="N9" s="26">
        <f>'Annual P&amp;L'!N11</f>
        <v>0.29199999999999998</v>
      </c>
      <c r="O9" s="26">
        <f>'Annual P&amp;L'!O11</f>
        <v>0.29499999999999998</v>
      </c>
      <c r="P9" s="26">
        <f>'Annual P&amp;L'!P11</f>
        <v>0.29799999999999999</v>
      </c>
      <c r="Q9" s="26">
        <f>'Annual P&amp;L'!Q11</f>
        <v>0.3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21" t="s">
        <v>46</v>
      </c>
      <c r="B10" s="19" t="s">
        <v>42</v>
      </c>
      <c r="C10" s="20">
        <f>'Annual P&amp;L'!C15</f>
        <v>11182.5</v>
      </c>
      <c r="D10" s="20">
        <f>'Annual P&amp;L'!D15</f>
        <v>11698.599999999999</v>
      </c>
      <c r="E10" s="20">
        <f>'Annual P&amp;L'!E15</f>
        <v>10541.8</v>
      </c>
      <c r="F10" s="20">
        <f>'Annual P&amp;L'!F15</f>
        <v>11938.4</v>
      </c>
      <c r="G10" s="20">
        <f>'Annual P&amp;L'!G15</f>
        <v>12659.2</v>
      </c>
      <c r="H10" s="20">
        <f>'Annual P&amp;L'!H15</f>
        <v>15070.9</v>
      </c>
      <c r="I10" s="20">
        <f>'Annual P&amp;L'!I15</f>
        <v>17119.7</v>
      </c>
      <c r="J10" s="20">
        <f>'Annual P&amp;L'!J15</f>
        <v>17300.8</v>
      </c>
      <c r="K10" s="20">
        <f>'Annual P&amp;L'!K15</f>
        <v>17017</v>
      </c>
      <c r="L10" s="20">
        <f>'Annual P&amp;L'!L15</f>
        <v>18085</v>
      </c>
      <c r="M10" s="20">
        <f>'Annual P&amp;L'!M15</f>
        <v>18035.8</v>
      </c>
      <c r="N10" s="27">
        <f>'Annual P&amp;L'!N15</f>
        <v>18608.214530717363</v>
      </c>
      <c r="O10" s="27">
        <f>'Annual P&amp;L'!O15</f>
        <v>20132.319826694638</v>
      </c>
      <c r="P10" s="27">
        <f>'Annual P&amp;L'!P15</f>
        <v>22146.716139719094</v>
      </c>
      <c r="Q10" s="27">
        <f>'Annual P&amp;L'!Q15</f>
        <v>24386.880917934166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47</v>
      </c>
      <c r="B11" s="1" t="s">
        <v>44</v>
      </c>
      <c r="C11" s="18">
        <f>'Annual P&amp;L'!C16</f>
        <v>0.21822066973694482</v>
      </c>
      <c r="D11" s="18">
        <f>'Annual P&amp;L'!D16</f>
        <v>0.21254646603755073</v>
      </c>
      <c r="E11" s="18">
        <f>'Annual P&amp;L'!E16</f>
        <v>0.19347331753754557</v>
      </c>
      <c r="F11" s="18">
        <f>'Annual P&amp;L'!F16</f>
        <v>0.20378086353899069</v>
      </c>
      <c r="G11" s="18">
        <f>'Annual P&amp;L'!G16</f>
        <v>0.20744897022771669</v>
      </c>
      <c r="H11" s="18">
        <f>'Annual P&amp;L'!H16</f>
        <v>0.24330271378525417</v>
      </c>
      <c r="I11" s="18">
        <f>'Annual P&amp;L'!I16</f>
        <v>0.21644916010691159</v>
      </c>
      <c r="J11" s="18">
        <f>'Annual P&amp;L'!J16</f>
        <v>0.19119525769276671</v>
      </c>
      <c r="K11" s="18">
        <f>'Annual P&amp;L'!K16</f>
        <v>0.18958269970131561</v>
      </c>
      <c r="L11" s="18">
        <f>'Annual P&amp;L'!L16</f>
        <v>0.2030006151193646</v>
      </c>
      <c r="M11" s="18">
        <f>'Annual P&amp;L'!M16</f>
        <v>0.19472059077560891</v>
      </c>
      <c r="N11" s="26">
        <f>'Annual P&amp;L'!N16</f>
        <v>0.19499999999999998</v>
      </c>
      <c r="O11" s="26">
        <f>'Annual P&amp;L'!O16</f>
        <v>0.19899999999999998</v>
      </c>
      <c r="P11" s="26">
        <f>'Annual P&amp;L'!P16</f>
        <v>0.20300000000000001</v>
      </c>
      <c r="Q11" s="26">
        <f>'Annual P&amp;L'!Q16</f>
        <v>0.20599999999999996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21" t="s">
        <v>48</v>
      </c>
      <c r="B12" s="19" t="s">
        <v>42</v>
      </c>
      <c r="C12" s="20">
        <f>'Annual P&amp;L'!C18</f>
        <v>9686</v>
      </c>
      <c r="D12" s="20">
        <f>'Annual P&amp;L'!D18</f>
        <v>9387.9</v>
      </c>
      <c r="E12" s="20">
        <f>'Annual P&amp;L'!E18</f>
        <v>8429.4</v>
      </c>
      <c r="F12" s="20">
        <f>'Annual P&amp;L'!F18</f>
        <v>9991</v>
      </c>
      <c r="G12" s="20">
        <f>'Annual P&amp;L'!G18</f>
        <v>10573</v>
      </c>
      <c r="H12" s="20">
        <f>'Annual P&amp;L'!H18</f>
        <v>12305.3</v>
      </c>
      <c r="I12" s="20">
        <f>'Annual P&amp;L'!I18</f>
        <v>14028.6</v>
      </c>
      <c r="J12" s="20">
        <f>'Annual P&amp;L'!J18</f>
        <v>13960.6</v>
      </c>
      <c r="K12" s="20">
        <f>'Annual P&amp;L'!K18</f>
        <v>13609.9</v>
      </c>
      <c r="L12" s="20">
        <f>'Annual P&amp;L'!L18</f>
        <v>15127.1</v>
      </c>
      <c r="M12" s="20">
        <f>'Annual P&amp;L'!M18</f>
        <v>15125.1</v>
      </c>
      <c r="N12" s="27">
        <f>'Annual P&amp;L'!N18</f>
        <v>15649.985554039216</v>
      </c>
      <c r="O12" s="27">
        <f>'Annual P&amp;L'!O18</f>
        <v>17097.296737243185</v>
      </c>
      <c r="P12" s="27">
        <f>'Annual P&amp;L'!P18</f>
        <v>18982.89954833065</v>
      </c>
      <c r="Q12" s="27">
        <f>'Annual P&amp;L'!Q18</f>
        <v>21072.159239768356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49</v>
      </c>
      <c r="B13" s="1" t="s">
        <v>44</v>
      </c>
      <c r="C13" s="18">
        <f>'Annual P&amp;L'!C19</f>
        <v>0.18901725080009366</v>
      </c>
      <c r="D13" s="18">
        <f>'Annual P&amp;L'!D19</f>
        <v>0.17056442382113438</v>
      </c>
      <c r="E13" s="18">
        <f>'Annual P&amp;L'!E19</f>
        <v>0.1547045080395176</v>
      </c>
      <c r="F13" s="18">
        <f>'Annual P&amp;L'!F19</f>
        <v>0.17053998924630234</v>
      </c>
      <c r="G13" s="18">
        <f>'Annual P&amp;L'!G19</f>
        <v>0.17326197249570655</v>
      </c>
      <c r="H13" s="18">
        <f>'Annual P&amp;L'!H19</f>
        <v>0.19865521527856253</v>
      </c>
      <c r="I13" s="18">
        <f>'Annual P&amp;L'!I19</f>
        <v>0.17736751739083162</v>
      </c>
      <c r="J13" s="18">
        <f>'Annual P&amp;L'!J19</f>
        <v>0.15428191265985616</v>
      </c>
      <c r="K13" s="18">
        <f>'Annual P&amp;L'!K19</f>
        <v>0.15162493886495476</v>
      </c>
      <c r="L13" s="18">
        <f>'Annual P&amp;L'!L19</f>
        <v>0.16979876167941058</v>
      </c>
      <c r="M13" s="18">
        <f>'Annual P&amp;L'!M19</f>
        <v>0.16329569010191744</v>
      </c>
      <c r="N13" s="26">
        <f>'Annual P&amp;L'!N19</f>
        <v>0.16399999999999998</v>
      </c>
      <c r="O13" s="26">
        <f>'Annual P&amp;L'!O19</f>
        <v>0.16899999999999998</v>
      </c>
      <c r="P13" s="26">
        <f>'Annual P&amp;L'!P19</f>
        <v>0.17399999999999999</v>
      </c>
      <c r="Q13" s="26">
        <f>'Annual P&amp;L'!Q19</f>
        <v>0.17799999999999996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21" t="s">
        <v>50</v>
      </c>
      <c r="B14" s="19" t="s">
        <v>42</v>
      </c>
      <c r="C14" s="20">
        <f>'Annual P&amp;L'!C29</f>
        <v>8907.5</v>
      </c>
      <c r="D14" s="20">
        <f>'Annual P&amp;L'!D29</f>
        <v>8489.5</v>
      </c>
      <c r="E14" s="20">
        <f>'Annual P&amp;L'!E29</f>
        <v>8008.1</v>
      </c>
      <c r="F14" s="20">
        <f>'Annual P&amp;L'!F29</f>
        <v>9003.1</v>
      </c>
      <c r="G14" s="20">
        <f>'Annual P&amp;L'!G29</f>
        <v>9721.7999999999993</v>
      </c>
      <c r="H14" s="20">
        <f>'Annual P&amp;L'!H29</f>
        <v>10794.6</v>
      </c>
      <c r="I14" s="20">
        <f>'Annual P&amp;L'!I29</f>
        <v>12219.1</v>
      </c>
      <c r="J14" s="20">
        <f>'Annual P&amp;L'!J29</f>
        <v>11350</v>
      </c>
      <c r="K14" s="20">
        <f>'Annual P&amp;L'!K29</f>
        <v>11045.2</v>
      </c>
      <c r="L14" s="20">
        <f>'Annual P&amp;L'!L29</f>
        <v>13135.4</v>
      </c>
      <c r="M14" s="20">
        <f>'Annual P&amp;L'!M29</f>
        <v>13197.4</v>
      </c>
      <c r="N14" s="27">
        <f>'Annual P&amp;L'!N29</f>
        <v>13419.581101069805</v>
      </c>
      <c r="O14" s="27">
        <f>'Annual P&amp;L'!O29</f>
        <v>14137.556558308728</v>
      </c>
      <c r="P14" s="27">
        <f>'Annual P&amp;L'!P29</f>
        <v>15647.085429908519</v>
      </c>
      <c r="Q14" s="27">
        <f>'Annual P&amp;L'!Q29</f>
        <v>17320.91702918613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51</v>
      </c>
      <c r="B15" s="1" t="s">
        <v>44</v>
      </c>
      <c r="C15" s="18">
        <f>'Annual P&amp;L'!C30</f>
        <v>0.17382522831941299</v>
      </c>
      <c r="D15" s="18">
        <f>'Annual P&amp;L'!D30</f>
        <v>0.15424180871435789</v>
      </c>
      <c r="E15" s="18">
        <f>'Annual P&amp;L'!E30</f>
        <v>0.14697240264209327</v>
      </c>
      <c r="F15" s="18">
        <f>'Annual P&amp;L'!F30</f>
        <v>0.15367716716879037</v>
      </c>
      <c r="G15" s="18">
        <f>'Annual P&amp;L'!G30</f>
        <v>0.15931317924985908</v>
      </c>
      <c r="H15" s="18">
        <f>'Annual P&amp;L'!H30</f>
        <v>0.1742666645141501</v>
      </c>
      <c r="I15" s="18">
        <f>'Annual P&amp;L'!I30</f>
        <v>0.1544895022846407</v>
      </c>
      <c r="J15" s="18">
        <f>'Annual P&amp;L'!J30</f>
        <v>0.12543155084232535</v>
      </c>
      <c r="K15" s="18">
        <f>'Annual P&amp;L'!K30</f>
        <v>0.12305217339959872</v>
      </c>
      <c r="L15" s="18">
        <f>'Annual P&amp;L'!L30</f>
        <v>0.14744231572236116</v>
      </c>
      <c r="M15" s="18">
        <f>'Annual P&amp;L'!M30</f>
        <v>0.14248358956641907</v>
      </c>
      <c r="N15" s="26">
        <f>'Annual P&amp;L'!N30</f>
        <v>0.14062704997241512</v>
      </c>
      <c r="O15" s="26">
        <f>'Annual P&amp;L'!O30</f>
        <v>0.13974414172444335</v>
      </c>
      <c r="P15" s="26">
        <f>'Annual P&amp;L'!P30</f>
        <v>0.14342344581618491</v>
      </c>
      <c r="Q15" s="26">
        <f>'Annual P&amp;L'!Q30</f>
        <v>0.14631263916117895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52</v>
      </c>
      <c r="B16" s="1" t="s">
        <v>53</v>
      </c>
      <c r="C16" s="30">
        <f>'Annual P&amp;L'!C34</f>
        <v>18.092246247288106</v>
      </c>
      <c r="D16" s="30">
        <f>'Annual P&amp;L'!D34</f>
        <v>13.070563070035851</v>
      </c>
      <c r="E16" s="30">
        <f>'Annual P&amp;L'!E34</f>
        <v>12.622148192741378</v>
      </c>
      <c r="F16" s="30">
        <f>'Annual P&amp;L'!F34</f>
        <v>14.949593131382827</v>
      </c>
      <c r="G16" s="30">
        <f>'Annual P&amp;L'!G34</f>
        <v>16.624647501593198</v>
      </c>
      <c r="H16" s="30">
        <f>'Annual P&amp;L'!H34</f>
        <v>19.066146947373745</v>
      </c>
      <c r="I16" s="30">
        <f>'Annual P&amp;L'!I34</f>
        <v>22.289153636920624</v>
      </c>
      <c r="J16" s="30">
        <f>'Annual P&amp;L'!J34</f>
        <v>10.338876159697961</v>
      </c>
      <c r="K16" s="30">
        <f>'Annual P&amp;L'!K34</f>
        <v>10.408781466397462</v>
      </c>
      <c r="L16" s="30">
        <f>'Annual P&amp;L'!L34</f>
        <v>12.523096482012734</v>
      </c>
      <c r="M16" s="30">
        <f>'Annual P&amp;L'!M34</f>
        <v>12.564856314379684</v>
      </c>
      <c r="N16" s="31">
        <f>'Annual P&amp;L'!N34</f>
        <v>13.875488003906639</v>
      </c>
      <c r="O16" s="31">
        <f>'Annual P&amp;L'!O34</f>
        <v>14.617855427225379</v>
      </c>
      <c r="P16" s="31">
        <f>'Annual P&amp;L'!P34</f>
        <v>16.178667913970131</v>
      </c>
      <c r="Q16" s="31">
        <f>'Annual P&amp;L'!Q34</f>
        <v>17.909365027495145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21" t="s">
        <v>54</v>
      </c>
      <c r="B17" s="19" t="s">
        <v>42</v>
      </c>
      <c r="C17" s="20">
        <f>'Annual Cash Flow'!C29</f>
        <v>7887.3</v>
      </c>
      <c r="D17" s="20">
        <f>'Annual Cash Flow'!D29</f>
        <v>9277.2999999999993</v>
      </c>
      <c r="E17" s="20">
        <f>'Annual Cash Flow'!E29</f>
        <v>8423.2999999999993</v>
      </c>
      <c r="F17" s="20">
        <f>'Annual Cash Flow'!F29</f>
        <v>11631.6</v>
      </c>
      <c r="G17" s="20">
        <f>'Annual Cash Flow'!G29</f>
        <v>10064.299999999999</v>
      </c>
      <c r="H17" s="20">
        <f>'Annual Cash Flow'!H29</f>
        <v>14755</v>
      </c>
      <c r="I17" s="20">
        <f>'Annual Cash Flow'!I29</f>
        <v>11079.7</v>
      </c>
      <c r="J17" s="20">
        <f>'Annual Cash Flow'!J29</f>
        <v>13060.1</v>
      </c>
      <c r="K17" s="20">
        <f>'Annual Cash Flow'!K29</f>
        <v>17621.599999999999</v>
      </c>
      <c r="L17" s="20">
        <f>'Annual Cash Flow'!L29</f>
        <v>16942.599999999999</v>
      </c>
      <c r="M17" s="20">
        <f>'Annual Cash Flow'!M29</f>
        <v>14931.6</v>
      </c>
      <c r="N17" s="27">
        <f>'Annual Cash Flow'!N29</f>
        <v>19280.157932417846</v>
      </c>
      <c r="O17" s="27">
        <f>'Annual Cash Flow'!O29</f>
        <v>16381.232352282152</v>
      </c>
      <c r="P17" s="27">
        <f>'Annual Cash Flow'!P29</f>
        <v>18113.219922274857</v>
      </c>
      <c r="Q17" s="27">
        <f>'Annual Cash Flow'!Q29</f>
        <v>19814.582234648806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21" t="s">
        <v>55</v>
      </c>
      <c r="B18" s="19" t="s">
        <v>42</v>
      </c>
      <c r="C18" s="20">
        <f>'Annual Cash Flow'!C59</f>
        <v>6492.2000000000007</v>
      </c>
      <c r="D18" s="20">
        <f>'Annual Cash Flow'!D59</f>
        <v>7191.9999999999991</v>
      </c>
      <c r="E18" s="20">
        <f>'Annual Cash Flow'!E59</f>
        <v>6236.2999999999993</v>
      </c>
      <c r="F18" s="20">
        <f>'Annual Cash Flow'!F59</f>
        <v>9353.5</v>
      </c>
      <c r="G18" s="20">
        <f>'Annual Cash Flow'!G59</f>
        <v>7714.5999999999995</v>
      </c>
      <c r="H18" s="20">
        <f>'Annual Cash Flow'!H59</f>
        <v>12797.3</v>
      </c>
      <c r="I18" s="20">
        <f>'Annual Cash Flow'!I59</f>
        <v>9064.4000000000015</v>
      </c>
      <c r="J18" s="20">
        <f>'Annual Cash Flow'!J59</f>
        <v>11576.7</v>
      </c>
      <c r="K18" s="20">
        <f>'Annual Cash Flow'!K59</f>
        <v>16570.599999999999</v>
      </c>
      <c r="L18" s="20">
        <f>'Annual Cash Flow'!L59</f>
        <v>15468.899999999998</v>
      </c>
      <c r="M18" s="20">
        <f>'Annual Cash Flow'!M59</f>
        <v>13371.300000000001</v>
      </c>
      <c r="N18" s="27">
        <f>'Annual Cash Flow'!N59</f>
        <v>17562.47659112086</v>
      </c>
      <c r="O18" s="27">
        <f>'Annual Cash Flow'!O59</f>
        <v>14560.218498611281</v>
      </c>
      <c r="P18" s="27">
        <f>'Annual Cash Flow'!P59</f>
        <v>16149.471693137204</v>
      </c>
      <c r="Q18" s="27">
        <f>'Annual Cash Flow'!Q59</f>
        <v>17683.6897272565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56</v>
      </c>
      <c r="B19" s="1" t="s">
        <v>42</v>
      </c>
      <c r="C19" s="17">
        <f>'Annual Balance Sheet'!C22</f>
        <v>9904.9</v>
      </c>
      <c r="D19" s="17">
        <f>'Annual Balance Sheet'!D22</f>
        <v>5271</v>
      </c>
      <c r="E19" s="17">
        <f>'Annual Balance Sheet'!E22</f>
        <v>4492.5</v>
      </c>
      <c r="F19" s="17">
        <f>'Annual Balance Sheet'!F22</f>
        <v>15852.9</v>
      </c>
      <c r="G19" s="17">
        <f>'Annual Balance Sheet'!G22</f>
        <v>14449.9</v>
      </c>
      <c r="H19" s="17">
        <f>'Annual Balance Sheet'!H22</f>
        <v>16979.3</v>
      </c>
      <c r="I19" s="17">
        <f>'Annual Balance Sheet'!I22</f>
        <v>10383.6</v>
      </c>
      <c r="J19" s="17">
        <f>'Annual Balance Sheet'!J22</f>
        <v>9188</v>
      </c>
      <c r="K19" s="17">
        <f>'Annual Balance Sheet'!K22</f>
        <v>9695.2999999999993</v>
      </c>
      <c r="L19" s="17">
        <f>'Annual Balance Sheet'!L22</f>
        <v>12197.4</v>
      </c>
      <c r="M19" s="17">
        <f>'Annual Balance Sheet'!M22</f>
        <v>10555.5</v>
      </c>
      <c r="N19" s="29">
        <f>'Annual Balance Sheet'!N22</f>
        <v>5964.9826447254745</v>
      </c>
      <c r="O19" s="29">
        <f>'Annual Balance Sheet'!O22</f>
        <v>10405.149431872267</v>
      </c>
      <c r="P19" s="29">
        <f>'Annual Balance Sheet'!P22</f>
        <v>15047.599567574838</v>
      </c>
      <c r="Q19" s="29">
        <f>'Annual Balance Sheet'!Q22</f>
        <v>19893.038441714161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21" t="s">
        <v>57</v>
      </c>
      <c r="B20" s="19" t="s">
        <v>42</v>
      </c>
      <c r="C20" s="20">
        <f>'Annual Balance Sheet'!C62</f>
        <v>11167.9</v>
      </c>
      <c r="D20" s="20">
        <f>'Annual Balance Sheet'!D62</f>
        <v>20232.8</v>
      </c>
      <c r="E20" s="20">
        <f>'Annual Balance Sheet'!E62</f>
        <v>15576</v>
      </c>
      <c r="F20" s="20">
        <f>'Annual Balance Sheet'!F62</f>
        <v>27977.8</v>
      </c>
      <c r="G20" s="20">
        <f>'Annual Balance Sheet'!G62</f>
        <v>23689.4</v>
      </c>
      <c r="H20" s="20">
        <f>'Annual Balance Sheet'!H62</f>
        <v>24098.600000000002</v>
      </c>
      <c r="I20" s="20">
        <f>'Annual Balance Sheet'!I62</f>
        <v>16956.2</v>
      </c>
      <c r="J20" s="20">
        <f>'Annual Balance Sheet'!J62</f>
        <v>22644.6</v>
      </c>
      <c r="K20" s="20">
        <f>'Annual Balance Sheet'!K62</f>
        <v>24347.499999999996</v>
      </c>
      <c r="L20" s="20">
        <f>'Annual Balance Sheet'!L62</f>
        <v>34141.300000000003</v>
      </c>
      <c r="M20" s="20">
        <f>'Annual Balance Sheet'!M62</f>
        <v>36837.800000000003</v>
      </c>
      <c r="N20" s="27">
        <f>'Annual Balance Sheet'!N62</f>
        <v>30197.827871120513</v>
      </c>
      <c r="O20" s="27">
        <f>'Annual Balance Sheet'!O62</f>
        <v>34869.747777763543</v>
      </c>
      <c r="P20" s="27">
        <f>'Annual Balance Sheet'!P62</f>
        <v>40362.46493805357</v>
      </c>
      <c r="Q20" s="27">
        <f>'Annual Balance Sheet'!Q62</f>
        <v>46219.438801743912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58</v>
      </c>
      <c r="B21" s="1" t="s">
        <v>59</v>
      </c>
      <c r="C21" s="22">
        <f>'Revenue Drivers'!C7</f>
        <v>172912</v>
      </c>
      <c r="D21" s="22">
        <f>'Revenue Drivers'!D7</f>
        <v>181482</v>
      </c>
      <c r="E21" s="22">
        <f>'Revenue Drivers'!E7</f>
        <v>163827</v>
      </c>
      <c r="F21" s="22">
        <f>'Revenue Drivers'!F7</f>
        <v>171425</v>
      </c>
      <c r="G21" s="22">
        <f>'Revenue Drivers'!G7</f>
        <v>182886</v>
      </c>
      <c r="H21" s="22">
        <f>'Revenue Drivers'!H7</f>
        <v>197712</v>
      </c>
      <c r="I21" s="22">
        <f>'Revenue Drivers'!I7</f>
        <v>243128</v>
      </c>
      <c r="J21" s="22">
        <f>'Revenue Drivers'!J7</f>
        <v>256921</v>
      </c>
      <c r="K21" s="22">
        <f>'Revenue Drivers'!K7</f>
        <v>234054</v>
      </c>
      <c r="L21" s="22">
        <f>'Revenue Drivers'!L7</f>
        <v>233346</v>
      </c>
      <c r="M21" s="22">
        <f>'Revenue Drivers'!M7</f>
        <v>242156</v>
      </c>
      <c r="N21" s="25">
        <f>'Revenue Drivers'!N7</f>
        <v>245788.33999999997</v>
      </c>
      <c r="O21" s="25">
        <f>'Revenue Drivers'!O7</f>
        <v>251933.04849999995</v>
      </c>
      <c r="P21" s="25">
        <f>'Revenue Drivers'!P7</f>
        <v>259491.03995499996</v>
      </c>
      <c r="Q21" s="25">
        <f>'Revenue Drivers'!Q7</f>
        <v>268573.22635342495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60</v>
      </c>
      <c r="B22" s="1" t="s">
        <v>59</v>
      </c>
      <c r="C22" s="22">
        <f>'Revenue Drivers'!C12</f>
        <v>127657.82800000001</v>
      </c>
      <c r="D22" s="22">
        <f>'Revenue Drivers'!D12</f>
        <v>137454.16800000001</v>
      </c>
      <c r="E22" s="22">
        <f>'Revenue Drivers'!E12</f>
        <v>122835.075</v>
      </c>
      <c r="F22" s="22">
        <f>'Revenue Drivers'!F12</f>
        <v>133191.12</v>
      </c>
      <c r="G22" s="22">
        <f>'Revenue Drivers'!G12</f>
        <v>138245.894</v>
      </c>
      <c r="H22" s="22">
        <f>'Revenue Drivers'!H12</f>
        <v>156633.49600000001</v>
      </c>
      <c r="I22" s="22">
        <f>'Revenue Drivers'!I12</f>
        <v>195679.31599999999</v>
      </c>
      <c r="J22" s="22">
        <f>'Revenue Drivers'!J12</f>
        <v>194827.22</v>
      </c>
      <c r="K22" s="22">
        <f>'Revenue Drivers'!K12</f>
        <v>185248.144</v>
      </c>
      <c r="L22" s="22">
        <f>'Revenue Drivers'!L12</f>
        <v>186707.296</v>
      </c>
      <c r="M22" s="22">
        <f>'Revenue Drivers'!M12</f>
        <v>192306.79</v>
      </c>
      <c r="N22" s="25">
        <f>'Revenue Drivers'!N12</f>
        <v>194191.22272549997</v>
      </c>
      <c r="O22" s="25">
        <f>'Revenue Drivers'!O12</f>
        <v>200437.93338659997</v>
      </c>
      <c r="P22" s="25">
        <f>'Revenue Drivers'!P12</f>
        <v>207887.35429434889</v>
      </c>
      <c r="Q22" s="25">
        <f>'Revenue Drivers'!Q12</f>
        <v>216148.80686214179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21" t="s">
        <v>61</v>
      </c>
      <c r="B23" s="19" t="s">
        <v>62</v>
      </c>
      <c r="C23" s="38">
        <f>'Client Data'!C21</f>
        <v>0</v>
      </c>
      <c r="D23" s="38">
        <f>'Client Data'!D21</f>
        <v>0</v>
      </c>
      <c r="E23" s="38">
        <f>'Client Data'!E21</f>
        <v>0</v>
      </c>
      <c r="F23" s="38">
        <f>'Client Data'!F21</f>
        <v>0</v>
      </c>
      <c r="G23" s="38">
        <f>'Client Data'!G21</f>
        <v>0</v>
      </c>
      <c r="H23" s="38">
        <f>'Client Data'!H21</f>
        <v>0</v>
      </c>
      <c r="I23" s="38">
        <f>'Client Data'!I21</f>
        <v>0</v>
      </c>
      <c r="J23" s="38">
        <f>'Client Data'!J21</f>
        <v>0</v>
      </c>
      <c r="K23" s="38">
        <f>'Client Data'!K21</f>
        <v>14907</v>
      </c>
      <c r="L23" s="38">
        <f>'Client Data'!L21</f>
        <v>14315</v>
      </c>
      <c r="M23" s="38">
        <f>'Client Data'!M21</f>
        <v>16449</v>
      </c>
      <c r="N23" s="40">
        <f>'Client Data'!N21</f>
        <v>17435.940000000002</v>
      </c>
      <c r="O23" s="40">
        <f>'Client Data'!O21</f>
        <v>18656.455800000003</v>
      </c>
      <c r="P23" s="40">
        <f>'Client Data'!P21</f>
        <v>20148.972264000004</v>
      </c>
      <c r="Q23" s="40">
        <f>'Client Data'!Q21</f>
        <v>21760.890045120006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63</v>
      </c>
      <c r="B24" s="1" t="s">
        <v>62</v>
      </c>
      <c r="C24" s="23">
        <f>'Client Data'!C23</f>
        <v>0</v>
      </c>
      <c r="D24" s="23">
        <f>'Client Data'!D23</f>
        <v>0</v>
      </c>
      <c r="E24" s="23">
        <f>'Client Data'!E23</f>
        <v>0</v>
      </c>
      <c r="F24" s="23">
        <f>'Client Data'!F23</f>
        <v>0</v>
      </c>
      <c r="G24" s="23">
        <f>'Client Data'!G23</f>
        <v>0</v>
      </c>
      <c r="H24" s="23">
        <f>'Client Data'!H23</f>
        <v>0</v>
      </c>
      <c r="I24" s="23">
        <f>'Client Data'!I23</f>
        <v>0</v>
      </c>
      <c r="J24" s="23">
        <f>'Client Data'!J23</f>
        <v>0</v>
      </c>
      <c r="K24" s="23">
        <f>'Client Data'!K23</f>
        <v>0</v>
      </c>
      <c r="L24" s="23">
        <f>'Client Data'!L23</f>
        <v>5368</v>
      </c>
      <c r="M24" s="23">
        <f>'Client Data'!M23</f>
        <v>7829</v>
      </c>
      <c r="N24" s="28">
        <f>'Client Data'!N23</f>
        <v>8298.7400000000016</v>
      </c>
      <c r="O24" s="28">
        <f>'Client Data'!O23</f>
        <v>8879.6518000000015</v>
      </c>
      <c r="P24" s="28">
        <f>'Client Data'!P23</f>
        <v>9590.0239440000023</v>
      </c>
      <c r="Q24" s="28">
        <f>'Client Data'!Q23</f>
        <v>10357.225859520004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64</v>
      </c>
      <c r="B25" s="1" t="s">
        <v>62</v>
      </c>
      <c r="C25" s="23">
        <f>'Client Data'!C17</f>
        <v>6.0067865903515942</v>
      </c>
      <c r="D25" s="23">
        <f>'Client Data'!D17</f>
        <v>5.8235071806500374</v>
      </c>
      <c r="E25" s="23">
        <f>'Client Data'!E17</f>
        <v>6.4584935897435898</v>
      </c>
      <c r="F25" s="23">
        <f>'Client Data'!F17</f>
        <v>7.2827802690582963</v>
      </c>
      <c r="G25" s="23">
        <f>'Client Data'!G17</f>
        <v>7.6873370577281195</v>
      </c>
      <c r="H25" s="23">
        <f>'Client Data'!H17</f>
        <v>7.2647321428571425</v>
      </c>
      <c r="I25" s="23">
        <f>'Client Data'!I17</f>
        <v>7.5645726807888964</v>
      </c>
      <c r="J25" s="23">
        <f>'Client Data'!J17</f>
        <v>7.744413601665511</v>
      </c>
      <c r="K25" s="23">
        <f>'Client Data'!K17</f>
        <v>7.8813274981765131</v>
      </c>
      <c r="L25" s="23">
        <f>'Client Data'!L17</f>
        <v>8.1992979719188774</v>
      </c>
      <c r="M25" s="23">
        <f>'Client Data'!M17</f>
        <v>8.4980535279805363</v>
      </c>
      <c r="N25" s="28">
        <f>'Client Data'!N17</f>
        <v>7.9935283282933467</v>
      </c>
      <c r="O25" s="28">
        <f>'Client Data'!O17</f>
        <v>7.9117413243957495</v>
      </c>
      <c r="P25" s="28">
        <f>'Client Data'!P17</f>
        <v>7.826641689693866</v>
      </c>
      <c r="Q25" s="28">
        <f>'Client Data'!Q17</f>
        <v>7.7439241376674826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21" t="s">
        <v>65</v>
      </c>
      <c r="B26" s="19" t="s">
        <v>42</v>
      </c>
      <c r="C26" s="20">
        <f>'Revenue Drivers'!C28</f>
        <v>0</v>
      </c>
      <c r="D26" s="20">
        <f>'Revenue Drivers'!D28</f>
        <v>0</v>
      </c>
      <c r="E26" s="20">
        <f>'Revenue Drivers'!E28</f>
        <v>0</v>
      </c>
      <c r="F26" s="20">
        <f>'Revenue Drivers'!F28</f>
        <v>0</v>
      </c>
      <c r="G26" s="20">
        <f>'Revenue Drivers'!G28</f>
        <v>0</v>
      </c>
      <c r="H26" s="20">
        <f>'Revenue Drivers'!H28</f>
        <v>0</v>
      </c>
      <c r="I26" s="20">
        <f>'Revenue Drivers'!I28</f>
        <v>0</v>
      </c>
      <c r="J26" s="20">
        <f>'Revenue Drivers'!J28</f>
        <v>0</v>
      </c>
      <c r="K26" s="20">
        <f>'Revenue Drivers'!K28</f>
        <v>0</v>
      </c>
      <c r="L26" s="20">
        <f>'Revenue Drivers'!L28</f>
        <v>0</v>
      </c>
      <c r="M26" s="20">
        <f>'Revenue Drivers'!M28</f>
        <v>0</v>
      </c>
      <c r="N26" s="27">
        <f>'Revenue Drivers'!N28</f>
        <v>555.74400000000003</v>
      </c>
      <c r="O26" s="27">
        <f>'Revenue Drivers'!O28</f>
        <v>954.26741183165973</v>
      </c>
      <c r="P26" s="27">
        <f>'Revenue Drivers'!P28</f>
        <v>1315.1766720956298</v>
      </c>
      <c r="Q26" s="27">
        <f>'Revenue Drivers'!Q28</f>
        <v>1636.4568576147112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21" t="s">
        <v>66</v>
      </c>
      <c r="B27" s="19" t="s">
        <v>53</v>
      </c>
      <c r="C27" s="39">
        <f>Valuation!C7</f>
        <v>105.79689788818359</v>
      </c>
      <c r="D27" s="39">
        <f>Valuation!D7</f>
        <v>96.693771362304688</v>
      </c>
      <c r="E27" s="39">
        <f>Valuation!E7</f>
        <v>105.4312744140625</v>
      </c>
      <c r="F27" s="39">
        <f>Valuation!F7</f>
        <v>127.375</v>
      </c>
      <c r="G27" s="39">
        <f>Valuation!G7</f>
        <v>98.349998474121094</v>
      </c>
      <c r="H27" s="39">
        <f>Valuation!H7</f>
        <v>207.07499694824219</v>
      </c>
      <c r="I27" s="39">
        <f>Valuation!I7</f>
        <v>295.95001220703125</v>
      </c>
      <c r="J27" s="39">
        <f>Valuation!J7</f>
        <v>182.625</v>
      </c>
      <c r="K27" s="39">
        <f>Valuation!K7</f>
        <v>240.05000305175781</v>
      </c>
      <c r="L27" s="39">
        <f>Valuation!L7</f>
        <v>262.25</v>
      </c>
      <c r="M27" s="39">
        <f>Valuation!M7</f>
        <v>187.63999938964844</v>
      </c>
      <c r="N27" s="41">
        <f>Valuation!N7</f>
        <v>180.28999328613281</v>
      </c>
      <c r="O27" s="41">
        <f>Valuation!O7</f>
        <v>180.28999328613281</v>
      </c>
      <c r="P27" s="41">
        <f>Valuation!P7</f>
        <v>180.28999328613281</v>
      </c>
      <c r="Q27" s="41">
        <f>Valuation!Q7</f>
        <v>180.28999328613281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67</v>
      </c>
      <c r="B28" s="1" t="s">
        <v>68</v>
      </c>
      <c r="C28" s="33">
        <f>Valuation!C15</f>
        <v>5.8476375151063271</v>
      </c>
      <c r="D28" s="33">
        <f>Valuation!D15</f>
        <v>7.3978275338400907</v>
      </c>
      <c r="E28" s="33">
        <f>Valuation!E15</f>
        <v>8.3528788288742231</v>
      </c>
      <c r="F28" s="33">
        <f>Valuation!F15</f>
        <v>8.5202987720521257</v>
      </c>
      <c r="G28" s="33">
        <f>Valuation!G15</f>
        <v>5.9159148165214246</v>
      </c>
      <c r="H28" s="33">
        <f>Valuation!H15</f>
        <v>10.860872808743647</v>
      </c>
      <c r="I28" s="33">
        <f>Valuation!I15</f>
        <v>13.277759085334138</v>
      </c>
      <c r="J28" s="33">
        <f>Valuation!J15</f>
        <v>17.663912129240089</v>
      </c>
      <c r="K28" s="33">
        <f>Valuation!K15</f>
        <v>23.062257943132749</v>
      </c>
      <c r="L28" s="33">
        <f>Valuation!L15</f>
        <v>20.941306359547482</v>
      </c>
      <c r="M28" s="33">
        <f>Valuation!M15</f>
        <v>14.93371628730098</v>
      </c>
      <c r="N28" s="34">
        <f>Valuation!N15</f>
        <v>12.993416392661089</v>
      </c>
      <c r="O28" s="34">
        <f>Valuation!O15</f>
        <v>12.333546065201011</v>
      </c>
      <c r="P28" s="34">
        <f>Valuation!P15</f>
        <v>11.143685885934655</v>
      </c>
      <c r="Q28" s="34">
        <f>Valuation!Q15</f>
        <v>10.066799856351395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69</v>
      </c>
      <c r="B29" s="1" t="s">
        <v>68</v>
      </c>
      <c r="C29" s="33">
        <f>Valuation!C17</f>
        <v>3.6934560965447365</v>
      </c>
      <c r="D29" s="33">
        <f>Valuation!D17</f>
        <v>3.6232652413674407</v>
      </c>
      <c r="E29" s="33">
        <f>Valuation!E17</f>
        <v>4.8566421823484474</v>
      </c>
      <c r="F29" s="33">
        <f>Valuation!F17</f>
        <v>4.0659688451792109</v>
      </c>
      <c r="G29" s="33">
        <f>Valuation!G17</f>
        <v>2.6606682039091125</v>
      </c>
      <c r="H29" s="33">
        <f>Valuation!H17</f>
        <v>6.1631071528321701</v>
      </c>
      <c r="I29" s="33">
        <f>Valuation!I17</f>
        <v>8.4599009333122002</v>
      </c>
      <c r="J29" s="33">
        <f>Valuation!J17</f>
        <v>10.255009397185388</v>
      </c>
      <c r="K29" s="33">
        <f>Valuation!K17</f>
        <v>13.489045820254061</v>
      </c>
      <c r="L29" s="33">
        <f>Valuation!L17</f>
        <v>13.275462936201272</v>
      </c>
      <c r="M29" s="33">
        <f>Valuation!M17</f>
        <v>9.0122874473505235</v>
      </c>
      <c r="N29" s="34">
        <f>Valuation!N17</f>
        <v>7.8719931602783779</v>
      </c>
      <c r="O29" s="34">
        <f>Valuation!O17</f>
        <v>7.043987917185782</v>
      </c>
      <c r="P29" s="34">
        <f>Valuation!P17</f>
        <v>6.1552737473067118</v>
      </c>
      <c r="Q29" s="34">
        <f>Valuation!Q17</f>
        <v>5.3496848169801936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21" t="s">
        <v>70</v>
      </c>
      <c r="B30" s="19" t="s">
        <v>53</v>
      </c>
      <c r="C30" s="39">
        <f>Valuation!C23</f>
        <v>0</v>
      </c>
      <c r="D30" s="39">
        <f>Valuation!D23</f>
        <v>0</v>
      </c>
      <c r="E30" s="39">
        <f>Valuation!E23</f>
        <v>0</v>
      </c>
      <c r="F30" s="39">
        <f>Valuation!F23</f>
        <v>0</v>
      </c>
      <c r="G30" s="39">
        <f>Valuation!G23</f>
        <v>0</v>
      </c>
      <c r="H30" s="39">
        <f>Valuation!H23</f>
        <v>0</v>
      </c>
      <c r="I30" s="39">
        <f>Valuation!I23</f>
        <v>0</v>
      </c>
      <c r="J30" s="39">
        <f>Valuation!J23</f>
        <v>0</v>
      </c>
      <c r="K30" s="39">
        <f>Valuation!K23</f>
        <v>0</v>
      </c>
      <c r="L30" s="39">
        <f>Valuation!L23</f>
        <v>0</v>
      </c>
      <c r="M30" s="39">
        <f>Valuation!M23</f>
        <v>0</v>
      </c>
      <c r="N30" s="41">
        <f>Valuation!N23</f>
        <v>263.63427207422615</v>
      </c>
      <c r="O30" s="41">
        <f>Valuation!O23</f>
        <v>285.04818083089492</v>
      </c>
      <c r="P30" s="41">
        <f>Valuation!P23</f>
        <v>323.57335827940261</v>
      </c>
      <c r="Q30" s="41">
        <f>Valuation!Q23</f>
        <v>367.14198306365046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71</v>
      </c>
      <c r="B31" s="1" t="s">
        <v>44</v>
      </c>
      <c r="C31" s="18">
        <f>Valuation!C24</f>
        <v>0</v>
      </c>
      <c r="D31" s="18">
        <f>Valuation!D24</f>
        <v>0</v>
      </c>
      <c r="E31" s="18">
        <f>Valuation!E24</f>
        <v>0</v>
      </c>
      <c r="F31" s="18">
        <f>Valuation!F24</f>
        <v>0</v>
      </c>
      <c r="G31" s="18">
        <f>Valuation!G24</f>
        <v>0</v>
      </c>
      <c r="H31" s="18">
        <f>Valuation!H24</f>
        <v>0</v>
      </c>
      <c r="I31" s="18">
        <f>Valuation!I24</f>
        <v>0</v>
      </c>
      <c r="J31" s="18">
        <f>Valuation!J24</f>
        <v>0</v>
      </c>
      <c r="K31" s="18">
        <f>Valuation!K24</f>
        <v>0</v>
      </c>
      <c r="L31" s="18">
        <f>Valuation!L24</f>
        <v>0</v>
      </c>
      <c r="M31" s="18">
        <f>Valuation!M24</f>
        <v>0</v>
      </c>
      <c r="N31" s="26">
        <f>Valuation!N24</f>
        <v>0.46227900544552214</v>
      </c>
      <c r="O31" s="26">
        <f>Valuation!O24</f>
        <v>0.58105381022730174</v>
      </c>
      <c r="P31" s="26">
        <f>Valuation!P24</f>
        <v>0.79473831232479486</v>
      </c>
      <c r="Q31" s="26">
        <f>Valuation!Q24</f>
        <v>1.0363968979740905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4"/>
      <c r="O32" s="24"/>
      <c r="P32" s="24"/>
      <c r="Q32" s="24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4"/>
      <c r="O33" s="24"/>
      <c r="P33" s="24"/>
      <c r="Q33" s="24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4"/>
      <c r="O34" s="24"/>
      <c r="P34" s="24"/>
      <c r="Q34" s="24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4"/>
      <c r="O35" s="24"/>
      <c r="P35" s="24"/>
      <c r="Q35" s="24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4"/>
      <c r="O36" s="24"/>
      <c r="P36" s="24"/>
      <c r="Q36" s="24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4"/>
      <c r="O37" s="24"/>
      <c r="P37" s="24"/>
      <c r="Q37" s="24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4"/>
      <c r="O38" s="24"/>
      <c r="P38" s="24"/>
      <c r="Q38" s="24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4"/>
      <c r="O39" s="24"/>
      <c r="P39" s="24"/>
      <c r="Q39" s="24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4"/>
      <c r="O40" s="24"/>
      <c r="P40" s="24"/>
      <c r="Q40" s="24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4"/>
      <c r="O41" s="24"/>
      <c r="P41" s="24"/>
      <c r="Q41" s="24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4"/>
      <c r="O42" s="24"/>
      <c r="P42" s="24"/>
      <c r="Q42" s="24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4"/>
      <c r="O43" s="24"/>
      <c r="P43" s="24"/>
      <c r="Q43" s="24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4"/>
      <c r="O44" s="24"/>
      <c r="P44" s="24"/>
      <c r="Q44" s="24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4"/>
      <c r="O45" s="24"/>
      <c r="P45" s="24"/>
      <c r="Q45" s="24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4"/>
      <c r="O46" s="24"/>
      <c r="P46" s="24"/>
      <c r="Q46" s="24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4"/>
      <c r="O47" s="24"/>
      <c r="P47" s="24"/>
      <c r="Q47" s="24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4"/>
      <c r="O48" s="24"/>
      <c r="P48" s="24"/>
      <c r="Q48" s="24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4"/>
      <c r="O49" s="24"/>
      <c r="P49" s="24"/>
      <c r="Q49" s="24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4"/>
      <c r="O50" s="24"/>
      <c r="P50" s="24"/>
      <c r="Q50" s="24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4"/>
      <c r="O51" s="24"/>
      <c r="P51" s="24"/>
      <c r="Q51" s="24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4"/>
      <c r="O52" s="24"/>
      <c r="P52" s="24"/>
      <c r="Q52" s="24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4"/>
      <c r="O53" s="24"/>
      <c r="P53" s="24"/>
      <c r="Q53" s="24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4"/>
      <c r="O54" s="24"/>
      <c r="P54" s="24"/>
      <c r="Q54" s="24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4"/>
      <c r="O55" s="24"/>
      <c r="P55" s="24"/>
      <c r="Q55" s="2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4"/>
      <c r="O56" s="24"/>
      <c r="P56" s="24"/>
      <c r="Q56" s="24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4"/>
      <c r="O57" s="24"/>
      <c r="P57" s="24"/>
      <c r="Q57" s="24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4"/>
      <c r="O58" s="24"/>
      <c r="P58" s="24"/>
      <c r="Q58" s="24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4"/>
      <c r="O59" s="24"/>
      <c r="P59" s="24"/>
      <c r="Q59" s="24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4"/>
      <c r="O60" s="24"/>
      <c r="P60" s="24"/>
      <c r="Q60" s="24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4"/>
      <c r="O61" s="24"/>
      <c r="P61" s="24"/>
      <c r="Q61" s="24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4"/>
      <c r="O62" s="24"/>
      <c r="P62" s="24"/>
      <c r="Q62" s="24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4"/>
      <c r="O63" s="24"/>
      <c r="P63" s="24"/>
      <c r="Q63" s="24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4"/>
      <c r="O64" s="24"/>
      <c r="P64" s="24"/>
      <c r="Q64" s="24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4"/>
      <c r="O65" s="24"/>
      <c r="P65" s="24"/>
      <c r="Q65" s="24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4"/>
      <c r="O66" s="24"/>
      <c r="P66" s="24"/>
      <c r="Q66" s="2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4"/>
      <c r="O67" s="24"/>
      <c r="P67" s="24"/>
      <c r="Q67" s="2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4"/>
      <c r="O68" s="24"/>
      <c r="P68" s="24"/>
      <c r="Q68" s="24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4"/>
      <c r="O69" s="24"/>
      <c r="P69" s="24"/>
      <c r="Q69" s="24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4"/>
      <c r="O70" s="24"/>
      <c r="P70" s="24"/>
      <c r="Q70" s="24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4"/>
      <c r="O71" s="24"/>
      <c r="P71" s="24"/>
      <c r="Q71" s="24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4"/>
      <c r="O72" s="24"/>
      <c r="P72" s="24"/>
      <c r="Q72" s="24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4"/>
      <c r="O73" s="24"/>
      <c r="P73" s="24"/>
      <c r="Q73" s="24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4"/>
      <c r="O74" s="24"/>
      <c r="P74" s="24"/>
      <c r="Q74" s="24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4"/>
      <c r="O75" s="24"/>
      <c r="P75" s="24"/>
      <c r="Q75" s="24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4"/>
      <c r="O76" s="24"/>
      <c r="P76" s="24"/>
      <c r="Q76" s="24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4"/>
      <c r="O77" s="24"/>
      <c r="P77" s="24"/>
      <c r="Q77" s="24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4"/>
      <c r="O78" s="24"/>
      <c r="P78" s="24"/>
      <c r="Q78" s="24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4"/>
      <c r="O79" s="24"/>
      <c r="P79" s="24"/>
      <c r="Q79" s="24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4"/>
      <c r="O80" s="24"/>
      <c r="P80" s="24"/>
      <c r="Q80" s="24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4"/>
      <c r="O81" s="24"/>
      <c r="P81" s="24"/>
      <c r="Q81" s="24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4"/>
      <c r="O82" s="24"/>
      <c r="P82" s="24"/>
      <c r="Q82" s="24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4"/>
      <c r="O83" s="24"/>
      <c r="P83" s="24"/>
      <c r="Q83" s="24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4"/>
      <c r="O88" s="24"/>
      <c r="P88" s="24"/>
      <c r="Q88" s="24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4"/>
      <c r="O89" s="24"/>
      <c r="P89" s="24"/>
      <c r="Q89" s="24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4"/>
      <c r="O90" s="24"/>
      <c r="P90" s="24"/>
      <c r="Q90" s="24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4"/>
      <c r="O91" s="24"/>
      <c r="P91" s="24"/>
      <c r="Q91" s="24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4"/>
      <c r="O92" s="24"/>
      <c r="P92" s="24"/>
      <c r="Q92" s="24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4"/>
      <c r="O93" s="24"/>
      <c r="P93" s="24"/>
      <c r="Q93" s="24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4"/>
      <c r="O94" s="24"/>
      <c r="P94" s="24"/>
      <c r="Q94" s="24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4"/>
      <c r="O95" s="24"/>
      <c r="P95" s="24"/>
      <c r="Q95" s="24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4"/>
      <c r="O96" s="24"/>
      <c r="P96" s="24"/>
      <c r="Q96" s="24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4"/>
      <c r="O97" s="24"/>
      <c r="P97" s="24"/>
      <c r="Q97" s="24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4"/>
      <c r="O98" s="24"/>
      <c r="P98" s="24"/>
      <c r="Q98" s="24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4"/>
      <c r="O99" s="24"/>
      <c r="P99" s="24"/>
      <c r="Q99" s="24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4"/>
      <c r="O100" s="24"/>
      <c r="P100" s="24"/>
      <c r="Q100" s="24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4"/>
      <c r="O101" s="24"/>
      <c r="P101" s="24"/>
      <c r="Q101" s="24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4"/>
      <c r="O102" s="24"/>
      <c r="P102" s="24"/>
      <c r="Q102" s="24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4"/>
      <c r="O103" s="24"/>
      <c r="P103" s="24"/>
      <c r="Q103" s="24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4"/>
      <c r="O104" s="24"/>
      <c r="P104" s="24"/>
      <c r="Q104" s="24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4"/>
      <c r="O105" s="24"/>
      <c r="P105" s="24"/>
      <c r="Q105" s="24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4"/>
      <c r="O106" s="24"/>
      <c r="P106" s="24"/>
      <c r="Q106" s="24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4"/>
      <c r="O107" s="24"/>
      <c r="P107" s="24"/>
      <c r="Q107" s="24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4"/>
      <c r="O108" s="24"/>
      <c r="P108" s="24"/>
      <c r="Q108" s="24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4"/>
      <c r="O109" s="24"/>
      <c r="P109" s="24"/>
      <c r="Q109" s="24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4"/>
      <c r="O110" s="24"/>
      <c r="P110" s="24"/>
      <c r="Q110" s="24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4"/>
      <c r="O111" s="24"/>
      <c r="P111" s="24"/>
      <c r="Q111" s="24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4"/>
      <c r="O112" s="24"/>
      <c r="P112" s="24"/>
      <c r="Q112" s="24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4"/>
      <c r="O113" s="24"/>
      <c r="P113" s="24"/>
      <c r="Q113" s="24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4"/>
      <c r="O114" s="24"/>
      <c r="P114" s="24"/>
      <c r="Q114" s="24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4"/>
      <c r="O115" s="24"/>
      <c r="P115" s="24"/>
      <c r="Q115" s="24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4"/>
      <c r="O116" s="24"/>
      <c r="P116" s="24"/>
      <c r="Q116" s="24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4"/>
      <c r="O117" s="24"/>
      <c r="P117" s="24"/>
      <c r="Q117" s="24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4"/>
      <c r="O118" s="24"/>
      <c r="P118" s="24"/>
      <c r="Q118" s="24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4"/>
      <c r="O119" s="24"/>
      <c r="P119" s="24"/>
      <c r="Q119" s="24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4"/>
      <c r="O120" s="24"/>
      <c r="P120" s="24"/>
      <c r="Q120" s="24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4"/>
      <c r="O121" s="24"/>
      <c r="P121" s="24"/>
      <c r="Q121" s="24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4"/>
      <c r="O122" s="24"/>
      <c r="P122" s="24"/>
      <c r="Q122" s="24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4"/>
      <c r="O123" s="24"/>
      <c r="P123" s="24"/>
      <c r="Q123" s="24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4"/>
      <c r="O124" s="24"/>
      <c r="P124" s="24"/>
      <c r="Q124" s="24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4"/>
      <c r="O125" s="24"/>
      <c r="P125" s="24"/>
      <c r="Q125" s="24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4"/>
      <c r="O126" s="24"/>
      <c r="P126" s="24"/>
      <c r="Q126" s="24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4"/>
      <c r="O127" s="24"/>
      <c r="P127" s="24"/>
      <c r="Q127" s="24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4"/>
      <c r="O128" s="24"/>
      <c r="P128" s="24"/>
      <c r="Q128" s="24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4"/>
      <c r="O129" s="24"/>
      <c r="P129" s="24"/>
      <c r="Q129" s="24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4"/>
      <c r="O130" s="24"/>
      <c r="P130" s="24"/>
      <c r="Q130" s="24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4"/>
      <c r="O131" s="24"/>
      <c r="P131" s="24"/>
      <c r="Q131" s="24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4"/>
      <c r="O132" s="24"/>
      <c r="P132" s="24"/>
      <c r="Q132" s="24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4"/>
      <c r="O133" s="24"/>
      <c r="P133" s="24"/>
      <c r="Q133" s="24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4"/>
      <c r="O134" s="24"/>
      <c r="P134" s="24"/>
      <c r="Q134" s="24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4"/>
      <c r="O135" s="24"/>
      <c r="P135" s="24"/>
      <c r="Q135" s="24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4"/>
      <c r="O136" s="24"/>
      <c r="P136" s="24"/>
      <c r="Q136" s="24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4"/>
      <c r="O137" s="24"/>
      <c r="P137" s="24"/>
      <c r="Q137" s="24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4"/>
      <c r="O138" s="24"/>
      <c r="P138" s="24"/>
      <c r="Q138" s="24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4"/>
      <c r="O139" s="24"/>
      <c r="P139" s="24"/>
      <c r="Q139" s="24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4"/>
      <c r="O140" s="24"/>
      <c r="P140" s="24"/>
      <c r="Q140" s="24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4"/>
      <c r="O141" s="24"/>
      <c r="P141" s="24"/>
      <c r="Q141" s="24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4"/>
      <c r="O142" s="24"/>
      <c r="P142" s="24"/>
      <c r="Q142" s="24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4"/>
      <c r="O143" s="24"/>
      <c r="P143" s="24"/>
      <c r="Q143" s="24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4"/>
      <c r="O144" s="24"/>
      <c r="P144" s="24"/>
      <c r="Q144" s="24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4"/>
      <c r="O145" s="24"/>
      <c r="P145" s="24"/>
      <c r="Q145" s="24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4"/>
      <c r="O146" s="24"/>
      <c r="P146" s="24"/>
      <c r="Q146" s="24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4"/>
      <c r="O147" s="24"/>
      <c r="P147" s="24"/>
      <c r="Q147" s="24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4"/>
      <c r="O148" s="24"/>
      <c r="P148" s="24"/>
      <c r="Q148" s="24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4"/>
      <c r="O149" s="24"/>
      <c r="P149" s="24"/>
      <c r="Q149" s="24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4"/>
      <c r="O150" s="24"/>
      <c r="P150" s="24"/>
      <c r="Q150" s="24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4"/>
      <c r="O151" s="24"/>
      <c r="P151" s="24"/>
      <c r="Q151" s="24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4"/>
      <c r="O152" s="24"/>
      <c r="P152" s="24"/>
      <c r="Q152" s="24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4"/>
      <c r="O153" s="24"/>
      <c r="P153" s="24"/>
      <c r="Q153" s="24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4"/>
      <c r="O154" s="24"/>
      <c r="P154" s="24"/>
      <c r="Q154" s="24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4"/>
      <c r="O155" s="24"/>
      <c r="P155" s="24"/>
      <c r="Q155" s="24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4"/>
      <c r="O156" s="24"/>
      <c r="P156" s="24"/>
      <c r="Q156" s="24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4"/>
      <c r="O157" s="24"/>
      <c r="P157" s="24"/>
      <c r="Q157" s="24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4"/>
      <c r="O158" s="24"/>
      <c r="P158" s="24"/>
      <c r="Q158" s="24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4"/>
      <c r="O159" s="24"/>
      <c r="P159" s="24"/>
      <c r="Q159" s="24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4"/>
      <c r="O160" s="24"/>
      <c r="P160" s="24"/>
      <c r="Q160" s="24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4"/>
      <c r="O161" s="24"/>
      <c r="P161" s="24"/>
      <c r="Q161" s="24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4"/>
      <c r="O162" s="24"/>
      <c r="P162" s="24"/>
      <c r="Q162" s="24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4"/>
      <c r="O163" s="24"/>
      <c r="P163" s="24"/>
      <c r="Q163" s="24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4"/>
      <c r="O164" s="24"/>
      <c r="P164" s="24"/>
      <c r="Q164" s="24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4"/>
      <c r="O165" s="24"/>
      <c r="P165" s="24"/>
      <c r="Q165" s="24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4"/>
      <c r="O166" s="24"/>
      <c r="P166" s="24"/>
      <c r="Q166" s="24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4"/>
      <c r="O167" s="24"/>
      <c r="P167" s="24"/>
      <c r="Q167" s="24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4"/>
      <c r="O168" s="24"/>
      <c r="P168" s="24"/>
      <c r="Q168" s="24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4"/>
      <c r="O169" s="24"/>
      <c r="P169" s="24"/>
      <c r="Q169" s="24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4"/>
      <c r="O170" s="24"/>
      <c r="P170" s="24"/>
      <c r="Q170" s="24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4"/>
      <c r="O171" s="24"/>
      <c r="P171" s="24"/>
      <c r="Q171" s="24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4"/>
      <c r="O172" s="24"/>
      <c r="P172" s="24"/>
      <c r="Q172" s="24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4"/>
      <c r="O173" s="24"/>
      <c r="P173" s="24"/>
      <c r="Q173" s="24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4"/>
      <c r="O174" s="24"/>
      <c r="P174" s="24"/>
      <c r="Q174" s="24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4"/>
      <c r="O175" s="24"/>
      <c r="P175" s="24"/>
      <c r="Q175" s="24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4"/>
      <c r="O176" s="24"/>
      <c r="P176" s="24"/>
      <c r="Q176" s="24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4"/>
      <c r="O177" s="24"/>
      <c r="P177" s="24"/>
      <c r="Q177" s="24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4"/>
      <c r="O178" s="24"/>
      <c r="P178" s="24"/>
      <c r="Q178" s="24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4"/>
      <c r="O179" s="24"/>
      <c r="P179" s="24"/>
      <c r="Q179" s="24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4"/>
      <c r="O180" s="24"/>
      <c r="P180" s="24"/>
      <c r="Q180" s="24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4"/>
      <c r="O181" s="24"/>
      <c r="P181" s="24"/>
      <c r="Q181" s="24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4"/>
      <c r="O182" s="24"/>
      <c r="P182" s="24"/>
      <c r="Q182" s="24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4"/>
      <c r="O183" s="24"/>
      <c r="P183" s="24"/>
      <c r="Q183" s="24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4"/>
      <c r="O184" s="24"/>
      <c r="P184" s="24"/>
      <c r="Q184" s="24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4"/>
      <c r="O185" s="24"/>
      <c r="P185" s="24"/>
      <c r="Q185" s="24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4"/>
      <c r="O186" s="24"/>
      <c r="P186" s="24"/>
      <c r="Q186" s="24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4"/>
      <c r="O187" s="24"/>
      <c r="P187" s="24"/>
      <c r="Q187" s="24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4"/>
      <c r="O188" s="24"/>
      <c r="P188" s="24"/>
      <c r="Q188" s="24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4"/>
      <c r="O189" s="24"/>
      <c r="P189" s="24"/>
      <c r="Q189" s="24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4"/>
      <c r="O190" s="24"/>
      <c r="P190" s="24"/>
      <c r="Q190" s="24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4"/>
      <c r="O191" s="24"/>
      <c r="P191" s="24"/>
      <c r="Q191" s="24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4"/>
      <c r="O192" s="24"/>
      <c r="P192" s="24"/>
      <c r="Q192" s="24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4"/>
      <c r="O193" s="24"/>
      <c r="P193" s="24"/>
      <c r="Q193" s="24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4"/>
      <c r="O194" s="24"/>
      <c r="P194" s="24"/>
      <c r="Q194" s="24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4"/>
      <c r="O195" s="24"/>
      <c r="P195" s="24"/>
      <c r="Q195" s="24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4"/>
      <c r="O196" s="24"/>
      <c r="P196" s="24"/>
      <c r="Q196" s="24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4"/>
      <c r="O197" s="24"/>
      <c r="P197" s="24"/>
      <c r="Q197" s="24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4"/>
      <c r="O198" s="24"/>
      <c r="P198" s="24"/>
      <c r="Q198" s="24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4"/>
      <c r="O199" s="24"/>
      <c r="P199" s="24"/>
      <c r="Q199" s="24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4"/>
      <c r="O200" s="24"/>
      <c r="P200" s="24"/>
      <c r="Q200" s="24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4"/>
      <c r="O201" s="24"/>
      <c r="P201" s="24"/>
      <c r="Q201" s="24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4"/>
      <c r="O202" s="24"/>
      <c r="P202" s="24"/>
      <c r="Q202" s="24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4"/>
      <c r="O203" s="24"/>
      <c r="P203" s="24"/>
      <c r="Q203" s="24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4"/>
      <c r="O204" s="24"/>
      <c r="P204" s="24"/>
      <c r="Q204" s="24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4"/>
      <c r="O205" s="24"/>
      <c r="P205" s="24"/>
      <c r="Q205" s="24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4"/>
      <c r="O206" s="24"/>
      <c r="P206" s="24"/>
      <c r="Q206" s="24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4"/>
      <c r="O207" s="24"/>
      <c r="P207" s="24"/>
      <c r="Q207" s="24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4"/>
      <c r="O208" s="24"/>
      <c r="P208" s="24"/>
      <c r="Q208" s="24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4"/>
      <c r="O209" s="24"/>
      <c r="P209" s="24"/>
      <c r="Q209" s="24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4"/>
      <c r="O210" s="24"/>
      <c r="P210" s="24"/>
      <c r="Q210" s="24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4"/>
      <c r="O211" s="24"/>
      <c r="P211" s="24"/>
      <c r="Q211" s="24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4"/>
      <c r="O212" s="24"/>
      <c r="P212" s="24"/>
      <c r="Q212" s="24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4"/>
      <c r="O213" s="24"/>
      <c r="P213" s="24"/>
      <c r="Q213" s="24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4"/>
      <c r="O214" s="24"/>
      <c r="P214" s="24"/>
      <c r="Q214" s="24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4"/>
      <c r="O215" s="24"/>
      <c r="P215" s="24"/>
      <c r="Q215" s="24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4"/>
      <c r="O216" s="24"/>
      <c r="P216" s="24"/>
      <c r="Q216" s="24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4"/>
      <c r="O217" s="24"/>
      <c r="P217" s="24"/>
      <c r="Q217" s="24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4"/>
      <c r="O218" s="24"/>
      <c r="P218" s="24"/>
      <c r="Q218" s="24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4"/>
      <c r="O219" s="24"/>
      <c r="P219" s="24"/>
      <c r="Q219" s="24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4"/>
      <c r="O220" s="24"/>
      <c r="P220" s="24"/>
      <c r="Q220" s="24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U300"/>
  <sheetViews>
    <sheetView showGridLines="0" workbookViewId="0">
      <selection sqref="A1:G1"/>
    </sheetView>
  </sheetViews>
  <sheetFormatPr defaultRowHeight="13.8"/>
  <cols>
    <col min="1" max="1" width="8" customWidth="1"/>
    <col min="2" max="2" width="28" customWidth="1"/>
    <col min="3" max="3" width="13" customWidth="1"/>
    <col min="4" max="4" width="64" customWidth="1"/>
    <col min="5" max="5" width="36" customWidth="1"/>
    <col min="6" max="6" width="14" customWidth="1"/>
    <col min="7" max="7" width="52" customWidth="1"/>
  </cols>
  <sheetData>
    <row r="1" spans="1:47" ht="25.95" customHeight="1">
      <c r="A1" s="44" t="s">
        <v>72</v>
      </c>
      <c r="B1" s="44"/>
      <c r="C1" s="44"/>
      <c r="D1" s="44"/>
      <c r="E1" s="44"/>
      <c r="F1" s="44"/>
      <c r="G1" s="4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45" t="s">
        <v>73</v>
      </c>
      <c r="B2" s="45"/>
      <c r="C2" s="45"/>
      <c r="D2" s="45"/>
      <c r="E2" s="45"/>
      <c r="F2" s="45"/>
      <c r="G2" s="4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74</v>
      </c>
      <c r="B5" s="4" t="s">
        <v>75</v>
      </c>
      <c r="C5" s="4" t="s">
        <v>25</v>
      </c>
      <c r="D5" s="4" t="s">
        <v>76</v>
      </c>
      <c r="E5" s="4" t="s">
        <v>77</v>
      </c>
      <c r="F5" s="4" t="s">
        <v>78</v>
      </c>
      <c r="G5" s="4" t="s">
        <v>79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37.950000000000003" customHeight="1">
      <c r="A6" s="3" t="s">
        <v>80</v>
      </c>
      <c r="B6" s="3" t="s">
        <v>81</v>
      </c>
      <c r="C6" s="3" t="s">
        <v>82</v>
      </c>
      <c r="D6" s="3" t="s">
        <v>83</v>
      </c>
      <c r="E6" s="3" t="s">
        <v>84</v>
      </c>
      <c r="F6" s="3" t="s">
        <v>85</v>
      </c>
      <c r="G6" s="3" t="s">
        <v>86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37.950000000000003" customHeight="1">
      <c r="A7" s="3" t="s">
        <v>87</v>
      </c>
      <c r="B7" s="3" t="s">
        <v>88</v>
      </c>
      <c r="C7" s="3" t="s">
        <v>82</v>
      </c>
      <c r="D7" s="3" t="s">
        <v>89</v>
      </c>
      <c r="E7" s="3" t="s">
        <v>90</v>
      </c>
      <c r="F7" s="3" t="s">
        <v>85</v>
      </c>
      <c r="G7" s="3" t="s">
        <v>91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37.950000000000003" customHeight="1">
      <c r="A8" s="3" t="s">
        <v>92</v>
      </c>
      <c r="B8" s="3" t="s">
        <v>93</v>
      </c>
      <c r="C8" s="3" t="s">
        <v>94</v>
      </c>
      <c r="D8" s="3" t="s">
        <v>89</v>
      </c>
      <c r="E8" s="3" t="s">
        <v>95</v>
      </c>
      <c r="F8" s="3" t="s">
        <v>85</v>
      </c>
      <c r="G8" s="3" t="s">
        <v>96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37.950000000000003" customHeight="1">
      <c r="A9" s="3" t="s">
        <v>97</v>
      </c>
      <c r="B9" s="3" t="s">
        <v>98</v>
      </c>
      <c r="C9" s="3" t="s">
        <v>99</v>
      </c>
      <c r="D9" s="3" t="s">
        <v>100</v>
      </c>
      <c r="E9" s="3" t="s">
        <v>101</v>
      </c>
      <c r="F9" s="3" t="s">
        <v>85</v>
      </c>
      <c r="G9" s="3" t="s">
        <v>102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37.950000000000003" customHeight="1">
      <c r="A10" s="3" t="s">
        <v>103</v>
      </c>
      <c r="B10" s="3" t="s">
        <v>104</v>
      </c>
      <c r="C10" s="3" t="s">
        <v>53</v>
      </c>
      <c r="D10" s="3" t="s">
        <v>105</v>
      </c>
      <c r="E10" s="3" t="s">
        <v>106</v>
      </c>
      <c r="F10" s="3" t="s">
        <v>85</v>
      </c>
      <c r="G10" s="3" t="s">
        <v>107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37.950000000000003" customHeight="1">
      <c r="A11" s="3" t="s">
        <v>108</v>
      </c>
      <c r="B11" s="3" t="s">
        <v>109</v>
      </c>
      <c r="C11" s="3" t="s">
        <v>110</v>
      </c>
      <c r="D11" s="3" t="s">
        <v>89</v>
      </c>
      <c r="E11" s="3" t="s">
        <v>111</v>
      </c>
      <c r="F11" s="3" t="s">
        <v>85</v>
      </c>
      <c r="G11" s="3" t="s">
        <v>112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37.950000000000003" customHeight="1">
      <c r="A12" s="3" t="s">
        <v>113</v>
      </c>
      <c r="B12" s="3" t="s">
        <v>114</v>
      </c>
      <c r="C12" s="3" t="s">
        <v>115</v>
      </c>
      <c r="D12" s="3" t="s">
        <v>115</v>
      </c>
      <c r="E12" s="3" t="s">
        <v>116</v>
      </c>
      <c r="F12" s="3" t="s">
        <v>117</v>
      </c>
      <c r="G12" s="3" t="s">
        <v>118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37.950000000000003" customHeight="1">
      <c r="A13" s="3" t="s">
        <v>119</v>
      </c>
      <c r="B13" s="3" t="s">
        <v>120</v>
      </c>
      <c r="C13" s="3" t="s">
        <v>42</v>
      </c>
      <c r="D13" s="3" t="s">
        <v>121</v>
      </c>
      <c r="E13" s="3" t="s">
        <v>122</v>
      </c>
      <c r="F13" s="3" t="s">
        <v>123</v>
      </c>
      <c r="G13" s="3" t="s">
        <v>124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37.950000000000003" customHeight="1">
      <c r="A14" s="3" t="s">
        <v>125</v>
      </c>
      <c r="B14" s="3" t="s">
        <v>126</v>
      </c>
      <c r="C14" s="3" t="s">
        <v>42</v>
      </c>
      <c r="D14" s="3" t="s">
        <v>127</v>
      </c>
      <c r="E14" s="3" t="s">
        <v>128</v>
      </c>
      <c r="F14" s="3" t="s">
        <v>129</v>
      </c>
      <c r="G14" s="3" t="s">
        <v>130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</sheetData>
  <mergeCells count="2">
    <mergeCell ref="A1:G1"/>
    <mergeCell ref="A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300"/>
  <sheetViews>
    <sheetView showGridLines="0" workbookViewId="0">
      <selection sqref="A1:G1"/>
    </sheetView>
  </sheetViews>
  <sheetFormatPr defaultRowHeight="13.8"/>
  <cols>
    <col min="1" max="1" width="51" customWidth="1"/>
    <col min="2" max="2" width="12" customWidth="1"/>
    <col min="3" max="6" width="13" customWidth="1"/>
    <col min="7" max="7" width="48" customWidth="1"/>
  </cols>
  <sheetData>
    <row r="1" spans="1:47" ht="25.95" customHeight="1">
      <c r="A1" s="44" t="s">
        <v>131</v>
      </c>
      <c r="B1" s="44"/>
      <c r="C1" s="44"/>
      <c r="D1" s="44"/>
      <c r="E1" s="44"/>
      <c r="F1" s="44"/>
      <c r="G1" s="4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45" t="s">
        <v>132</v>
      </c>
      <c r="B2" s="45"/>
      <c r="C2" s="45"/>
      <c r="D2" s="45"/>
      <c r="E2" s="45"/>
      <c r="F2" s="45"/>
      <c r="G2" s="4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133</v>
      </c>
      <c r="B5" s="4" t="s">
        <v>25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134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 t="s">
        <v>135</v>
      </c>
      <c r="B6" s="1" t="s">
        <v>44</v>
      </c>
      <c r="C6" s="5">
        <v>1.4999999999999999E-2</v>
      </c>
      <c r="D6" s="5">
        <v>2.5000000000000001E-2</v>
      </c>
      <c r="E6" s="5">
        <v>0.03</v>
      </c>
      <c r="F6" s="5">
        <v>3.5000000000000003E-2</v>
      </c>
      <c r="G6" s="3" t="s">
        <v>136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137</v>
      </c>
      <c r="B7" s="1" t="s">
        <v>44</v>
      </c>
      <c r="C7" s="5">
        <v>0.93500000000000005</v>
      </c>
      <c r="D7" s="5">
        <v>0.93600000000000005</v>
      </c>
      <c r="E7" s="5">
        <v>0.93700000000000006</v>
      </c>
      <c r="F7" s="5">
        <v>0.93799999999999994</v>
      </c>
      <c r="G7" s="3" t="s">
        <v>138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139</v>
      </c>
      <c r="B8" s="1" t="s">
        <v>44</v>
      </c>
      <c r="C8" s="5">
        <v>0.84499999999999997</v>
      </c>
      <c r="D8" s="5">
        <v>0.85</v>
      </c>
      <c r="E8" s="5">
        <v>0.85499999999999998</v>
      </c>
      <c r="F8" s="5">
        <v>0.85799999999999998</v>
      </c>
      <c r="G8" s="3" t="s">
        <v>140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141</v>
      </c>
      <c r="B9" s="1" t="s">
        <v>44</v>
      </c>
      <c r="C9" s="5">
        <v>0.02</v>
      </c>
      <c r="D9" s="5">
        <v>2.5000000000000001E-2</v>
      </c>
      <c r="E9" s="5">
        <v>0.03</v>
      </c>
      <c r="F9" s="5">
        <v>0.03</v>
      </c>
      <c r="G9" s="3" t="s">
        <v>142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143</v>
      </c>
      <c r="B10" s="1" t="s">
        <v>44</v>
      </c>
      <c r="C10" s="5">
        <v>0.65</v>
      </c>
      <c r="D10" s="5">
        <v>0.7</v>
      </c>
      <c r="E10" s="5">
        <v>0.75</v>
      </c>
      <c r="F10" s="5">
        <v>0.75</v>
      </c>
      <c r="G10" s="3" t="s">
        <v>144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145</v>
      </c>
      <c r="B11" s="1" t="s">
        <v>44</v>
      </c>
      <c r="C11" s="5">
        <v>0.97</v>
      </c>
      <c r="D11" s="5">
        <v>0.97199999999999998</v>
      </c>
      <c r="E11" s="5">
        <v>0.97399999999999998</v>
      </c>
      <c r="F11" s="5">
        <v>0.97499999999999998</v>
      </c>
      <c r="G11" s="3" t="s">
        <v>146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147</v>
      </c>
      <c r="B12" s="1" t="s">
        <v>44</v>
      </c>
      <c r="C12" s="5">
        <v>0.55000000000000004</v>
      </c>
      <c r="D12" s="5">
        <v>0.56000000000000005</v>
      </c>
      <c r="E12" s="5">
        <v>0.56999999999999995</v>
      </c>
      <c r="F12" s="5">
        <v>0.57999999999999996</v>
      </c>
      <c r="G12" s="3" t="s">
        <v>148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149</v>
      </c>
      <c r="B13" s="1" t="s">
        <v>44</v>
      </c>
      <c r="C13" s="5">
        <v>0.01</v>
      </c>
      <c r="D13" s="5">
        <v>1.2999999999999999E-2</v>
      </c>
      <c r="E13" s="5">
        <v>1.6E-2</v>
      </c>
      <c r="F13" s="5">
        <v>1.7999999999999999E-2</v>
      </c>
      <c r="G13" s="3" t="s">
        <v>150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151</v>
      </c>
      <c r="B14" s="1" t="s">
        <v>44</v>
      </c>
      <c r="C14" s="5">
        <v>0.06</v>
      </c>
      <c r="D14" s="5">
        <v>7.0000000000000007E-2</v>
      </c>
      <c r="E14" s="5">
        <v>0.08</v>
      </c>
      <c r="F14" s="5">
        <v>0.08</v>
      </c>
      <c r="G14" s="3" t="s">
        <v>152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153</v>
      </c>
      <c r="B15" s="1" t="s">
        <v>44</v>
      </c>
      <c r="C15" s="5">
        <v>0.02</v>
      </c>
      <c r="D15" s="5">
        <v>2.1999999999999999E-2</v>
      </c>
      <c r="E15" s="5">
        <v>2.4E-2</v>
      </c>
      <c r="F15" s="5">
        <v>2.5000000000000001E-2</v>
      </c>
      <c r="G15" s="3" t="s">
        <v>154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155</v>
      </c>
      <c r="B16" s="1" t="s">
        <v>44</v>
      </c>
      <c r="C16" s="5">
        <v>6.0000000000000001E-3</v>
      </c>
      <c r="D16" s="5">
        <v>0.01</v>
      </c>
      <c r="E16" s="5">
        <v>1.2999999999999999E-2</v>
      </c>
      <c r="F16" s="5">
        <v>1.4999999999999999E-2</v>
      </c>
      <c r="G16" s="3" t="s">
        <v>156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157</v>
      </c>
      <c r="B17" s="1" t="s">
        <v>44</v>
      </c>
      <c r="C17" s="5">
        <v>4.0000000000000001E-3</v>
      </c>
      <c r="D17" s="5">
        <v>3.0000000000000001E-3</v>
      </c>
      <c r="E17" s="5">
        <v>2E-3</v>
      </c>
      <c r="F17" s="5">
        <v>2E-3</v>
      </c>
      <c r="G17" s="3" t="s">
        <v>158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159</v>
      </c>
      <c r="B18" s="1" t="s">
        <v>160</v>
      </c>
      <c r="C18" s="6">
        <v>94</v>
      </c>
      <c r="D18" s="6">
        <v>95</v>
      </c>
      <c r="E18" s="6">
        <v>96</v>
      </c>
      <c r="F18" s="6">
        <v>97</v>
      </c>
      <c r="G18" s="3" t="s">
        <v>161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45</v>
      </c>
      <c r="B19" s="1" t="s">
        <v>44</v>
      </c>
      <c r="C19" s="5">
        <v>0.29199999999999998</v>
      </c>
      <c r="D19" s="5">
        <v>0.29499999999999998</v>
      </c>
      <c r="E19" s="5">
        <v>0.29799999999999999</v>
      </c>
      <c r="F19" s="5">
        <v>0.3</v>
      </c>
      <c r="G19" s="3" t="s">
        <v>162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163</v>
      </c>
      <c r="B20" s="1" t="s">
        <v>44</v>
      </c>
      <c r="C20" s="5">
        <v>6.4000000000000001E-2</v>
      </c>
      <c r="D20" s="5">
        <v>6.3E-2</v>
      </c>
      <c r="E20" s="5">
        <v>6.2E-2</v>
      </c>
      <c r="F20" s="5">
        <v>6.0999999999999999E-2</v>
      </c>
      <c r="G20" s="3" t="s">
        <v>164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165</v>
      </c>
      <c r="B21" s="1" t="s">
        <v>44</v>
      </c>
      <c r="C21" s="5">
        <v>6.6000000000000003E-2</v>
      </c>
      <c r="D21" s="5">
        <v>6.5000000000000002E-2</v>
      </c>
      <c r="E21" s="5">
        <v>6.4000000000000001E-2</v>
      </c>
      <c r="F21" s="5">
        <v>6.3E-2</v>
      </c>
      <c r="G21" s="3" t="s">
        <v>166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167</v>
      </c>
      <c r="B22" s="1" t="s">
        <v>44</v>
      </c>
      <c r="C22" s="5">
        <v>2E-3</v>
      </c>
      <c r="D22" s="5">
        <v>2E-3</v>
      </c>
      <c r="E22" s="5">
        <v>2E-3</v>
      </c>
      <c r="F22" s="5">
        <v>2E-3</v>
      </c>
      <c r="G22" s="3" t="s">
        <v>168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169</v>
      </c>
      <c r="B23" s="1" t="s">
        <v>44</v>
      </c>
      <c r="C23" s="5">
        <v>3.1E-2</v>
      </c>
      <c r="D23" s="5">
        <v>0.03</v>
      </c>
      <c r="E23" s="5">
        <v>2.9000000000000001E-2</v>
      </c>
      <c r="F23" s="5">
        <v>2.8000000000000001E-2</v>
      </c>
      <c r="G23" s="3" t="s">
        <v>170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171</v>
      </c>
      <c r="B24" s="1" t="s">
        <v>44</v>
      </c>
      <c r="C24" s="5">
        <v>0.06</v>
      </c>
      <c r="D24" s="5">
        <v>5.8000000000000003E-2</v>
      </c>
      <c r="E24" s="5">
        <v>5.5E-2</v>
      </c>
      <c r="F24" s="5">
        <v>5.1999999999999998E-2</v>
      </c>
      <c r="G24" s="3" t="s">
        <v>172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173</v>
      </c>
      <c r="B25" s="1" t="s">
        <v>44</v>
      </c>
      <c r="C25" s="5">
        <v>7.0000000000000007E-2</v>
      </c>
      <c r="D25" s="5">
        <v>7.0000000000000007E-2</v>
      </c>
      <c r="E25" s="5">
        <v>7.0000000000000007E-2</v>
      </c>
      <c r="F25" s="5">
        <v>7.0000000000000007E-2</v>
      </c>
      <c r="G25" s="3" t="s">
        <v>174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175</v>
      </c>
      <c r="B26" s="1" t="s">
        <v>44</v>
      </c>
      <c r="C26" s="5">
        <v>0.24</v>
      </c>
      <c r="D26" s="5">
        <v>0.24</v>
      </c>
      <c r="E26" s="5">
        <v>0.24</v>
      </c>
      <c r="F26" s="5">
        <v>0.24</v>
      </c>
      <c r="G26" s="3" t="s">
        <v>176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177</v>
      </c>
      <c r="B27" s="1" t="s">
        <v>178</v>
      </c>
      <c r="C27" s="6">
        <v>55</v>
      </c>
      <c r="D27" s="6">
        <v>54</v>
      </c>
      <c r="E27" s="6">
        <v>53</v>
      </c>
      <c r="F27" s="6">
        <v>52</v>
      </c>
      <c r="G27" s="3" t="s">
        <v>179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180</v>
      </c>
      <c r="B28" s="1" t="s">
        <v>178</v>
      </c>
      <c r="C28" s="6">
        <v>36</v>
      </c>
      <c r="D28" s="6">
        <v>35</v>
      </c>
      <c r="E28" s="6">
        <v>34</v>
      </c>
      <c r="F28" s="6">
        <v>33</v>
      </c>
      <c r="G28" s="3" t="s">
        <v>181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182</v>
      </c>
      <c r="B29" s="1" t="s">
        <v>44</v>
      </c>
      <c r="C29" s="5">
        <v>5.9999999999999995E-4</v>
      </c>
      <c r="D29" s="5">
        <v>5.9999999999999995E-4</v>
      </c>
      <c r="E29" s="5">
        <v>5.9999999999999995E-4</v>
      </c>
      <c r="F29" s="5">
        <v>5.9999999999999995E-4</v>
      </c>
      <c r="G29" s="3" t="s">
        <v>183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184</v>
      </c>
      <c r="B30" s="1" t="s">
        <v>44</v>
      </c>
      <c r="C30" s="5">
        <v>1.0999999999999999E-2</v>
      </c>
      <c r="D30" s="5">
        <v>1.0999999999999999E-2</v>
      </c>
      <c r="E30" s="5">
        <v>0.01</v>
      </c>
      <c r="F30" s="5">
        <v>0.01</v>
      </c>
      <c r="G30" s="3" t="s">
        <v>183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185</v>
      </c>
      <c r="B31" s="1" t="s">
        <v>44</v>
      </c>
      <c r="C31" s="5">
        <v>3.5999999999999997E-2</v>
      </c>
      <c r="D31" s="5">
        <v>3.5000000000000003E-2</v>
      </c>
      <c r="E31" s="5">
        <v>3.4000000000000002E-2</v>
      </c>
      <c r="F31" s="5">
        <v>3.3000000000000002E-2</v>
      </c>
      <c r="G31" s="3" t="s">
        <v>183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186</v>
      </c>
      <c r="B32" s="1" t="s">
        <v>44</v>
      </c>
      <c r="C32" s="5">
        <v>0.44</v>
      </c>
      <c r="D32" s="5">
        <v>0.42</v>
      </c>
      <c r="E32" s="5">
        <v>0.4</v>
      </c>
      <c r="F32" s="5">
        <v>0.38</v>
      </c>
      <c r="G32" s="3" t="s">
        <v>187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188</v>
      </c>
      <c r="B33" s="1" t="s">
        <v>44</v>
      </c>
      <c r="C33" s="5">
        <v>2.5000000000000001E-2</v>
      </c>
      <c r="D33" s="5">
        <v>2.4E-2</v>
      </c>
      <c r="E33" s="5">
        <v>2.3E-2</v>
      </c>
      <c r="F33" s="5">
        <v>2.1999999999999999E-2</v>
      </c>
      <c r="G33" s="3" t="s">
        <v>183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189</v>
      </c>
      <c r="B34" s="1" t="s">
        <v>44</v>
      </c>
      <c r="C34" s="5">
        <v>0.10199999999999999</v>
      </c>
      <c r="D34" s="5">
        <v>0.10100000000000001</v>
      </c>
      <c r="E34" s="5">
        <v>0.1</v>
      </c>
      <c r="F34" s="5">
        <v>9.9000000000000005E-2</v>
      </c>
      <c r="G34" s="3" t="s">
        <v>183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190</v>
      </c>
      <c r="B35" s="1" t="s">
        <v>44</v>
      </c>
      <c r="C35" s="5">
        <v>0.15</v>
      </c>
      <c r="D35" s="5">
        <v>0.14699999999999999</v>
      </c>
      <c r="E35" s="5">
        <v>0.14399999999999999</v>
      </c>
      <c r="F35" s="5">
        <v>0.14099999999999999</v>
      </c>
      <c r="G35" s="3" t="s">
        <v>191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192</v>
      </c>
      <c r="B36" s="1" t="s">
        <v>44</v>
      </c>
      <c r="C36" s="5">
        <v>0.08</v>
      </c>
      <c r="D36" s="5">
        <v>7.8E-2</v>
      </c>
      <c r="E36" s="5">
        <v>7.5999999999999998E-2</v>
      </c>
      <c r="F36" s="5">
        <v>7.3999999999999996E-2</v>
      </c>
      <c r="G36" s="3" t="s">
        <v>193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194</v>
      </c>
      <c r="B37" s="1" t="s">
        <v>44</v>
      </c>
      <c r="C37" s="5">
        <v>1.7999999999999999E-2</v>
      </c>
      <c r="D37" s="5">
        <v>1.7999999999999999E-2</v>
      </c>
      <c r="E37" s="5">
        <v>1.7999999999999999E-2</v>
      </c>
      <c r="F37" s="5">
        <v>1.7999999999999999E-2</v>
      </c>
      <c r="G37" s="3" t="s">
        <v>195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 t="s">
        <v>196</v>
      </c>
      <c r="B38" s="1" t="s">
        <v>44</v>
      </c>
      <c r="C38" s="5">
        <v>0.2</v>
      </c>
      <c r="D38" s="5">
        <v>0.2</v>
      </c>
      <c r="E38" s="5">
        <v>0.2</v>
      </c>
      <c r="F38" s="5">
        <v>0.2</v>
      </c>
      <c r="G38" s="3" t="s">
        <v>197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198</v>
      </c>
      <c r="B39" s="1" t="s">
        <v>44</v>
      </c>
      <c r="C39" s="5">
        <v>1.2E-2</v>
      </c>
      <c r="D39" s="5">
        <v>1.2E-2</v>
      </c>
      <c r="E39" s="5">
        <v>1.2E-2</v>
      </c>
      <c r="F39" s="5">
        <v>1.2E-2</v>
      </c>
      <c r="G39" s="3" t="s">
        <v>199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200</v>
      </c>
      <c r="B40" s="1" t="s">
        <v>44</v>
      </c>
      <c r="C40" s="5">
        <v>0.45</v>
      </c>
      <c r="D40" s="5">
        <v>0.45</v>
      </c>
      <c r="E40" s="5">
        <v>0.45</v>
      </c>
      <c r="F40" s="5">
        <v>0.45</v>
      </c>
      <c r="G40" s="3" t="s">
        <v>201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 t="s">
        <v>202</v>
      </c>
      <c r="B41" s="1" t="s">
        <v>44</v>
      </c>
      <c r="C41" s="5">
        <v>0.3</v>
      </c>
      <c r="D41" s="5">
        <v>0.3</v>
      </c>
      <c r="E41" s="5">
        <v>0.3</v>
      </c>
      <c r="F41" s="5">
        <v>0.3</v>
      </c>
      <c r="G41" s="3" t="s">
        <v>201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203</v>
      </c>
      <c r="B42" s="1" t="s">
        <v>44</v>
      </c>
      <c r="C42" s="5">
        <v>0.25</v>
      </c>
      <c r="D42" s="5">
        <v>0.25</v>
      </c>
      <c r="E42" s="5">
        <v>0.25</v>
      </c>
      <c r="F42" s="5">
        <v>0.25</v>
      </c>
      <c r="G42" s="3" t="s">
        <v>201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204</v>
      </c>
      <c r="B43" s="1" t="s">
        <v>44</v>
      </c>
      <c r="C43" s="5">
        <v>0.25</v>
      </c>
      <c r="D43" s="5">
        <v>0.25</v>
      </c>
      <c r="E43" s="5">
        <v>0.25</v>
      </c>
      <c r="F43" s="5">
        <v>0.25</v>
      </c>
      <c r="G43" s="3" t="s">
        <v>205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 t="s">
        <v>206</v>
      </c>
      <c r="B44" s="1" t="s">
        <v>42</v>
      </c>
      <c r="C44" s="6">
        <v>0</v>
      </c>
      <c r="D44" s="6">
        <v>0</v>
      </c>
      <c r="E44" s="6">
        <v>0</v>
      </c>
      <c r="F44" s="6">
        <v>0</v>
      </c>
      <c r="G44" s="3" t="s">
        <v>207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208</v>
      </c>
      <c r="B45" s="1" t="s">
        <v>44</v>
      </c>
      <c r="C45" s="5">
        <v>0.98</v>
      </c>
      <c r="D45" s="5">
        <v>0.98</v>
      </c>
      <c r="E45" s="5">
        <v>0.98</v>
      </c>
      <c r="F45" s="5">
        <v>0.98</v>
      </c>
      <c r="G45" s="3" t="s">
        <v>209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 t="s">
        <v>210</v>
      </c>
      <c r="B46" s="1" t="s">
        <v>44</v>
      </c>
      <c r="C46" s="5">
        <v>0.75</v>
      </c>
      <c r="D46" s="5">
        <v>0.72</v>
      </c>
      <c r="E46" s="5">
        <v>0.7</v>
      </c>
      <c r="F46" s="5">
        <v>0.7</v>
      </c>
      <c r="G46" s="3" t="s">
        <v>211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 t="s">
        <v>212</v>
      </c>
      <c r="B47" s="1" t="s">
        <v>42</v>
      </c>
      <c r="C47" s="6">
        <v>15000</v>
      </c>
      <c r="D47" s="6">
        <v>0</v>
      </c>
      <c r="E47" s="6">
        <v>0</v>
      </c>
      <c r="F47" s="6">
        <v>0</v>
      </c>
      <c r="G47" s="3" t="s">
        <v>213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 t="s">
        <v>214</v>
      </c>
      <c r="B48" s="1" t="s">
        <v>44</v>
      </c>
      <c r="C48" s="5">
        <v>5.0000000000000001E-3</v>
      </c>
      <c r="D48" s="5">
        <v>5.0000000000000001E-3</v>
      </c>
      <c r="E48" s="5">
        <v>5.0000000000000001E-3</v>
      </c>
      <c r="F48" s="5">
        <v>5.0000000000000001E-3</v>
      </c>
      <c r="G48" s="3" t="s">
        <v>215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 t="s">
        <v>216</v>
      </c>
      <c r="B49" s="1" t="s">
        <v>42</v>
      </c>
      <c r="C49" s="6">
        <v>0</v>
      </c>
      <c r="D49" s="6">
        <v>0</v>
      </c>
      <c r="E49" s="6">
        <v>0</v>
      </c>
      <c r="F49" s="6">
        <v>0</v>
      </c>
      <c r="G49" s="3" t="s">
        <v>217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 t="s">
        <v>218</v>
      </c>
      <c r="B50" s="1" t="s">
        <v>68</v>
      </c>
      <c r="C50" s="7">
        <v>19</v>
      </c>
      <c r="D50" s="7">
        <v>19.5</v>
      </c>
      <c r="E50" s="7">
        <v>20</v>
      </c>
      <c r="F50" s="7">
        <v>20.5</v>
      </c>
      <c r="G50" s="3" t="s">
        <v>219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27.6">
      <c r="A51" s="1" t="s">
        <v>220</v>
      </c>
      <c r="B51" s="1" t="s">
        <v>53</v>
      </c>
      <c r="C51" s="8">
        <v>180.28999328613281</v>
      </c>
      <c r="D51" s="8">
        <v>180.28999328613281</v>
      </c>
      <c r="E51" s="8">
        <v>180.28999328613281</v>
      </c>
      <c r="F51" s="8">
        <v>180.28999328613281</v>
      </c>
      <c r="G51" s="3" t="s">
        <v>221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 t="s">
        <v>222</v>
      </c>
      <c r="B52" s="1" t="s">
        <v>44</v>
      </c>
      <c r="C52" s="5">
        <v>0.4</v>
      </c>
      <c r="D52" s="5">
        <v>0.4</v>
      </c>
      <c r="E52" s="5">
        <v>0.4</v>
      </c>
      <c r="F52" s="5">
        <v>0.4</v>
      </c>
      <c r="G52" s="3" t="s">
        <v>223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 t="s">
        <v>224</v>
      </c>
      <c r="B53" s="1" t="s">
        <v>44</v>
      </c>
      <c r="C53" s="5">
        <v>0.12</v>
      </c>
      <c r="D53" s="5">
        <v>0.12</v>
      </c>
      <c r="E53" s="5">
        <v>0.12</v>
      </c>
      <c r="F53" s="5">
        <v>0.12</v>
      </c>
      <c r="G53" s="3" t="s">
        <v>225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 t="s">
        <v>226</v>
      </c>
      <c r="B54" s="1" t="s">
        <v>44</v>
      </c>
      <c r="C54" s="5">
        <v>0.23</v>
      </c>
      <c r="D54" s="5">
        <v>0.23</v>
      </c>
      <c r="E54" s="5">
        <v>0.23</v>
      </c>
      <c r="F54" s="5">
        <v>0.23</v>
      </c>
      <c r="G54" s="3" t="s">
        <v>225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 t="s">
        <v>227</v>
      </c>
      <c r="B55" s="1" t="s">
        <v>44</v>
      </c>
      <c r="C55" s="5">
        <v>0.01</v>
      </c>
      <c r="D55" s="5">
        <v>0.01</v>
      </c>
      <c r="E55" s="5">
        <v>0.01</v>
      </c>
      <c r="F55" s="5">
        <v>0.01</v>
      </c>
      <c r="G55" s="3" t="s">
        <v>228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 t="s">
        <v>229</v>
      </c>
      <c r="B56" s="1" t="s">
        <v>44</v>
      </c>
      <c r="C56" s="5">
        <v>0.01</v>
      </c>
      <c r="D56" s="5">
        <v>0.01</v>
      </c>
      <c r="E56" s="5">
        <v>0.01</v>
      </c>
      <c r="F56" s="5">
        <v>0.01</v>
      </c>
      <c r="G56" s="3" t="s">
        <v>230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 t="s">
        <v>231</v>
      </c>
      <c r="B57" s="1" t="s">
        <v>42</v>
      </c>
      <c r="C57" s="6">
        <v>0</v>
      </c>
      <c r="D57" s="6">
        <v>0</v>
      </c>
      <c r="E57" s="6">
        <v>0</v>
      </c>
      <c r="F57" s="6">
        <v>0</v>
      </c>
      <c r="G57" s="3" t="s">
        <v>232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</sheetData>
  <mergeCells count="2">
    <mergeCell ref="A1:G1"/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U300"/>
  <sheetViews>
    <sheetView showGridLines="0" workbookViewId="0">
      <selection sqref="A1:AU1"/>
    </sheetView>
  </sheetViews>
  <sheetFormatPr defaultRowHeight="13.8"/>
  <cols>
    <col min="1" max="1" width="44" customWidth="1"/>
    <col min="2" max="2" width="11" customWidth="1"/>
    <col min="3" max="47" width="10.5" customWidth="1"/>
  </cols>
  <sheetData>
    <row r="1" spans="1:47" ht="25.95" customHeight="1">
      <c r="A1" s="44" t="s">
        <v>233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</row>
    <row r="2" spans="1:47" ht="18" customHeight="1">
      <c r="A2" s="45" t="s">
        <v>234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8" customHeight="1">
      <c r="A4" s="47" t="s">
        <v>235</v>
      </c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4" t="s">
        <v>35</v>
      </c>
      <c r="M5" s="4" t="s">
        <v>36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 t="s">
        <v>41</v>
      </c>
      <c r="B6" s="1" t="s">
        <v>42</v>
      </c>
      <c r="C6" s="11">
        <v>51244</v>
      </c>
      <c r="D6" s="11">
        <v>55040.2</v>
      </c>
      <c r="E6" s="11">
        <v>54487.1</v>
      </c>
      <c r="F6" s="11">
        <v>58584.5</v>
      </c>
      <c r="G6" s="11">
        <v>61023.199999999997</v>
      </c>
      <c r="H6" s="11">
        <v>61943</v>
      </c>
      <c r="I6" s="11">
        <v>79093.399999999994</v>
      </c>
      <c r="J6" s="11">
        <v>90487.6</v>
      </c>
      <c r="K6" s="11">
        <v>89760.3</v>
      </c>
      <c r="L6" s="11">
        <v>89088.4</v>
      </c>
      <c r="M6" s="11">
        <v>92624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236</v>
      </c>
      <c r="B7" s="1" t="s">
        <v>42</v>
      </c>
      <c r="C7" s="11">
        <v>35672.400000000001</v>
      </c>
      <c r="D7" s="11">
        <v>39154.400000000001</v>
      </c>
      <c r="E7" s="11">
        <v>38557.5</v>
      </c>
      <c r="F7" s="11">
        <v>41303.300000000003</v>
      </c>
      <c r="G7" s="11">
        <v>43608.5</v>
      </c>
      <c r="H7" s="11">
        <v>42320.5</v>
      </c>
      <c r="I7" s="11">
        <v>55587.199999999997</v>
      </c>
      <c r="J7" s="11">
        <v>64544.6</v>
      </c>
      <c r="K7" s="11">
        <v>63149.7</v>
      </c>
      <c r="L7" s="11">
        <v>61780.2</v>
      </c>
      <c r="M7" s="11">
        <v>65619.199999999997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237</v>
      </c>
      <c r="B8" s="1" t="s">
        <v>42</v>
      </c>
      <c r="C8" s="11">
        <v>15571.6</v>
      </c>
      <c r="D8" s="11">
        <v>15885.8</v>
      </c>
      <c r="E8" s="11">
        <v>15929.6</v>
      </c>
      <c r="F8" s="11">
        <v>17281.2</v>
      </c>
      <c r="G8" s="11">
        <v>17414.7</v>
      </c>
      <c r="H8" s="11">
        <v>19622.5</v>
      </c>
      <c r="I8" s="11">
        <v>23506.2</v>
      </c>
      <c r="J8" s="11">
        <v>25943</v>
      </c>
      <c r="K8" s="11">
        <v>26610.6</v>
      </c>
      <c r="L8" s="11">
        <v>27308.2</v>
      </c>
      <c r="M8" s="11">
        <v>27004.799999999999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238</v>
      </c>
      <c r="B9" s="1" t="s">
        <v>42</v>
      </c>
      <c r="C9" s="11">
        <v>3409.7</v>
      </c>
      <c r="D9" s="11">
        <v>4081.7</v>
      </c>
      <c r="E9" s="11">
        <v>4234.8999999999996</v>
      </c>
      <c r="F9" s="11">
        <v>4451</v>
      </c>
      <c r="G9" s="11">
        <v>4290.7</v>
      </c>
      <c r="H9" s="11">
        <v>4140</v>
      </c>
      <c r="I9" s="11">
        <v>5493.5</v>
      </c>
      <c r="J9" s="11">
        <v>6515.7</v>
      </c>
      <c r="K9" s="11">
        <v>6997.2</v>
      </c>
      <c r="L9" s="11">
        <v>6437.8</v>
      </c>
      <c r="M9" s="11">
        <v>5921.6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239</v>
      </c>
      <c r="B10" s="1" t="s">
        <v>42</v>
      </c>
      <c r="C10" s="11">
        <v>2862.6</v>
      </c>
      <c r="D10" s="11">
        <v>3202.1</v>
      </c>
      <c r="E10" s="11">
        <v>3414.1</v>
      </c>
      <c r="F10" s="11">
        <v>3595.1</v>
      </c>
      <c r="G10" s="11">
        <v>2982.3</v>
      </c>
      <c r="H10" s="11">
        <v>3468.6</v>
      </c>
      <c r="I10" s="11">
        <v>4638.2</v>
      </c>
      <c r="J10" s="11">
        <v>5913.9</v>
      </c>
      <c r="K10" s="11">
        <v>6037.5</v>
      </c>
      <c r="L10" s="11">
        <v>5746.5</v>
      </c>
      <c r="M10" s="11">
        <v>6143.4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240</v>
      </c>
      <c r="B11" s="1" t="s">
        <v>42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46</v>
      </c>
      <c r="B12" s="1" t="s">
        <v>42</v>
      </c>
      <c r="C12" s="11">
        <v>11182.5</v>
      </c>
      <c r="D12" s="11">
        <v>11698.599999999999</v>
      </c>
      <c r="E12" s="11">
        <v>10541.8</v>
      </c>
      <c r="F12" s="11">
        <v>11938.4</v>
      </c>
      <c r="G12" s="11">
        <v>12659.2</v>
      </c>
      <c r="H12" s="11">
        <v>15070.9</v>
      </c>
      <c r="I12" s="11">
        <v>17119.7</v>
      </c>
      <c r="J12" s="11">
        <v>17300.8</v>
      </c>
      <c r="K12" s="11">
        <v>17017</v>
      </c>
      <c r="L12" s="11">
        <v>18085</v>
      </c>
      <c r="M12" s="11">
        <v>18035.8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241</v>
      </c>
      <c r="B13" s="1" t="s">
        <v>42</v>
      </c>
      <c r="C13" s="11">
        <v>1496.5</v>
      </c>
      <c r="D13" s="11">
        <v>2310.6999999999998</v>
      </c>
      <c r="E13" s="11">
        <v>2112.4</v>
      </c>
      <c r="F13" s="11">
        <v>1947.4</v>
      </c>
      <c r="G13" s="11">
        <v>2086.1999999999998</v>
      </c>
      <c r="H13" s="11">
        <v>2765.6</v>
      </c>
      <c r="I13" s="11">
        <v>3091.1</v>
      </c>
      <c r="J13" s="11">
        <v>3340.2</v>
      </c>
      <c r="K13" s="11">
        <v>3407.1</v>
      </c>
      <c r="L13" s="11">
        <v>2957.9</v>
      </c>
      <c r="M13" s="11">
        <v>2910.7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48</v>
      </c>
      <c r="B14" s="1" t="s">
        <v>42</v>
      </c>
      <c r="C14" s="11">
        <v>9686</v>
      </c>
      <c r="D14" s="11">
        <v>9387.9</v>
      </c>
      <c r="E14" s="11">
        <v>8429.4</v>
      </c>
      <c r="F14" s="11">
        <v>9991</v>
      </c>
      <c r="G14" s="11">
        <v>10573</v>
      </c>
      <c r="H14" s="11">
        <v>12305.3</v>
      </c>
      <c r="I14" s="11">
        <v>14028.6</v>
      </c>
      <c r="J14" s="11">
        <v>13960.6</v>
      </c>
      <c r="K14" s="11">
        <v>13609.9</v>
      </c>
      <c r="L14" s="11">
        <v>15127.1</v>
      </c>
      <c r="M14" s="11">
        <v>15125.1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242</v>
      </c>
      <c r="B15" s="1" t="s">
        <v>42</v>
      </c>
      <c r="C15" s="11">
        <v>537.79999999999995</v>
      </c>
      <c r="D15" s="11">
        <v>594.20000000000005</v>
      </c>
      <c r="E15" s="11">
        <v>583</v>
      </c>
      <c r="F15" s="11">
        <v>737.5</v>
      </c>
      <c r="G15" s="11">
        <v>732.8</v>
      </c>
      <c r="H15" s="11">
        <v>508.8</v>
      </c>
      <c r="I15" s="11">
        <v>532.5</v>
      </c>
      <c r="J15" s="11">
        <v>1007.7</v>
      </c>
      <c r="K15" s="11">
        <v>1255.2</v>
      </c>
      <c r="L15" s="11">
        <v>1477</v>
      </c>
      <c r="M15" s="11">
        <v>1457.7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243</v>
      </c>
      <c r="B16" s="1" t="s">
        <v>42</v>
      </c>
      <c r="C16" s="11">
        <v>2345.0999999999995</v>
      </c>
      <c r="D16" s="11">
        <v>2241.9000000000005</v>
      </c>
      <c r="E16" s="11">
        <v>2399.9</v>
      </c>
      <c r="F16" s="11">
        <v>2292.3000000000002</v>
      </c>
      <c r="G16" s="11">
        <v>2408.1000000000008</v>
      </c>
      <c r="H16" s="11">
        <v>2091.2000000000016</v>
      </c>
      <c r="I16" s="11">
        <v>1625.6999999999996</v>
      </c>
      <c r="J16" s="11">
        <v>1818.5000000000005</v>
      </c>
      <c r="K16" s="11">
        <v>2389.6000000000004</v>
      </c>
      <c r="L16" s="11">
        <v>3820.2000000000003</v>
      </c>
      <c r="M16" s="11">
        <v>3649.1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244</v>
      </c>
      <c r="B17" s="1" t="s">
        <v>42</v>
      </c>
      <c r="C17" s="11">
        <v>0</v>
      </c>
      <c r="D17" s="11">
        <v>0</v>
      </c>
      <c r="E17" s="11">
        <v>1.1000000000000001</v>
      </c>
      <c r="F17" s="11">
        <v>-4.3</v>
      </c>
      <c r="G17" s="11">
        <v>2.9</v>
      </c>
      <c r="H17" s="11">
        <v>13</v>
      </c>
      <c r="I17" s="11">
        <v>5.7</v>
      </c>
      <c r="J17" s="11">
        <v>-5.7</v>
      </c>
      <c r="K17" s="11">
        <v>-23.3</v>
      </c>
      <c r="L17" s="11">
        <v>25.4</v>
      </c>
      <c r="M17" s="11">
        <v>25.7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245</v>
      </c>
      <c r="B18" s="1" t="s">
        <v>42</v>
      </c>
      <c r="C18" s="11">
        <v>11493.3</v>
      </c>
      <c r="D18" s="11">
        <v>11035.6</v>
      </c>
      <c r="E18" s="11">
        <v>10247.4</v>
      </c>
      <c r="F18" s="11">
        <v>11541.5</v>
      </c>
      <c r="G18" s="11">
        <v>12251.2</v>
      </c>
      <c r="H18" s="11">
        <v>13900.7</v>
      </c>
      <c r="I18" s="11">
        <v>15127.5</v>
      </c>
      <c r="J18" s="11">
        <v>14765.7</v>
      </c>
      <c r="K18" s="11">
        <v>14721</v>
      </c>
      <c r="L18" s="11">
        <v>17495.7</v>
      </c>
      <c r="M18" s="11">
        <v>17342.2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246</v>
      </c>
      <c r="B19" s="1" t="s">
        <v>42</v>
      </c>
      <c r="C19" s="11">
        <v>2536.6</v>
      </c>
      <c r="D19" s="11">
        <v>2521.3000000000002</v>
      </c>
      <c r="E19" s="11">
        <v>2239</v>
      </c>
      <c r="F19" s="11">
        <v>2524.1999999999998</v>
      </c>
      <c r="G19" s="11">
        <v>2479.9</v>
      </c>
      <c r="H19" s="11">
        <v>3034.5</v>
      </c>
      <c r="I19" s="11">
        <v>2894.6</v>
      </c>
      <c r="J19" s="11">
        <v>3399.2</v>
      </c>
      <c r="K19" s="11">
        <v>3608.9</v>
      </c>
      <c r="L19" s="11">
        <v>4277.7</v>
      </c>
      <c r="M19" s="11">
        <v>4076.7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247</v>
      </c>
      <c r="B20" s="1" t="s">
        <v>42</v>
      </c>
      <c r="C20" s="11">
        <v>8956.7000000000007</v>
      </c>
      <c r="D20" s="11">
        <v>8514.2999999999993</v>
      </c>
      <c r="E20" s="11">
        <v>8008.4</v>
      </c>
      <c r="F20" s="11">
        <v>9017.2999999999993</v>
      </c>
      <c r="G20" s="11">
        <v>9771.2999999999993</v>
      </c>
      <c r="H20" s="11">
        <v>10866.2</v>
      </c>
      <c r="I20" s="11">
        <v>12232.9</v>
      </c>
      <c r="J20" s="11">
        <v>11366.5</v>
      </c>
      <c r="K20" s="11">
        <v>11112.1</v>
      </c>
      <c r="L20" s="11">
        <v>13218</v>
      </c>
      <c r="M20" s="11">
        <v>13265.5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248</v>
      </c>
      <c r="B21" s="1" t="s">
        <v>42</v>
      </c>
      <c r="C21" s="11">
        <v>49.2</v>
      </c>
      <c r="D21" s="11">
        <v>24.8</v>
      </c>
      <c r="E21" s="11">
        <v>0.3</v>
      </c>
      <c r="F21" s="11">
        <v>14.2</v>
      </c>
      <c r="G21" s="11">
        <v>49.5</v>
      </c>
      <c r="H21" s="11">
        <v>71.599999999999994</v>
      </c>
      <c r="I21" s="11">
        <v>13.8</v>
      </c>
      <c r="J21" s="11">
        <v>16.5</v>
      </c>
      <c r="K21" s="11">
        <v>66.900000000000006</v>
      </c>
      <c r="L21" s="11">
        <v>82.6</v>
      </c>
      <c r="M21" s="11">
        <v>68.099999999999994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249</v>
      </c>
      <c r="B22" s="1" t="s">
        <v>42</v>
      </c>
      <c r="C22" s="11">
        <v>8907.5</v>
      </c>
      <c r="D22" s="11">
        <v>8489.5</v>
      </c>
      <c r="E22" s="11">
        <v>8008.1</v>
      </c>
      <c r="F22" s="11">
        <v>9003.1</v>
      </c>
      <c r="G22" s="11">
        <v>9721.7999999999993</v>
      </c>
      <c r="H22" s="11">
        <v>10794.6</v>
      </c>
      <c r="I22" s="11">
        <v>12219.1</v>
      </c>
      <c r="J22" s="11">
        <v>11350</v>
      </c>
      <c r="K22" s="11">
        <v>11045.2</v>
      </c>
      <c r="L22" s="11">
        <v>13135.4</v>
      </c>
      <c r="M22" s="11">
        <v>13197.4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250</v>
      </c>
      <c r="B23" s="1" t="s">
        <v>53</v>
      </c>
      <c r="C23" s="12">
        <v>18.13</v>
      </c>
      <c r="D23" s="12">
        <v>13.11</v>
      </c>
      <c r="E23" s="12">
        <v>12.64</v>
      </c>
      <c r="F23" s="12">
        <v>14.99</v>
      </c>
      <c r="G23" s="12">
        <v>16.670000000000002</v>
      </c>
      <c r="H23" s="12">
        <v>19.11</v>
      </c>
      <c r="I23" s="12">
        <v>22.35</v>
      </c>
      <c r="J23" s="12">
        <v>10.36</v>
      </c>
      <c r="K23" s="12">
        <v>10.44</v>
      </c>
      <c r="L23" s="12">
        <v>12.56</v>
      </c>
      <c r="M23" s="12">
        <v>12.6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52</v>
      </c>
      <c r="B24" s="1" t="s">
        <v>53</v>
      </c>
      <c r="C24" s="12">
        <v>18.09</v>
      </c>
      <c r="D24" s="12">
        <v>13.07</v>
      </c>
      <c r="E24" s="12">
        <v>12.62</v>
      </c>
      <c r="F24" s="12">
        <v>14.95</v>
      </c>
      <c r="G24" s="12">
        <v>16.62</v>
      </c>
      <c r="H24" s="12">
        <v>19.07</v>
      </c>
      <c r="I24" s="12">
        <v>22.29</v>
      </c>
      <c r="J24" s="12">
        <v>10.34</v>
      </c>
      <c r="K24" s="12">
        <v>10.41</v>
      </c>
      <c r="L24" s="12">
        <v>12.52</v>
      </c>
      <c r="M24" s="12">
        <v>12.56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251</v>
      </c>
      <c r="B25" s="1" t="s">
        <v>252</v>
      </c>
      <c r="C25" s="13">
        <v>4913.1188000000002</v>
      </c>
      <c r="D25" s="13">
        <v>6476.108013</v>
      </c>
      <c r="E25" s="13">
        <v>6333.3912</v>
      </c>
      <c r="F25" s="13">
        <v>6007.3768369999998</v>
      </c>
      <c r="G25" s="13">
        <v>5833.3840179999997</v>
      </c>
      <c r="H25" s="13">
        <v>5649.2658849999998</v>
      </c>
      <c r="I25" s="13">
        <v>5466.7058399999996</v>
      </c>
      <c r="J25" s="13">
        <v>10954.933145999999</v>
      </c>
      <c r="K25" s="13">
        <v>10576.571110000001</v>
      </c>
      <c r="L25" s="13">
        <v>10456.741552</v>
      </c>
      <c r="M25" s="13">
        <v>10476.247846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253</v>
      </c>
      <c r="B26" s="1" t="s">
        <v>252</v>
      </c>
      <c r="C26" s="13">
        <v>4923.3798159999997</v>
      </c>
      <c r="D26" s="13">
        <v>6495.1295170000003</v>
      </c>
      <c r="E26" s="13">
        <v>6344.4826329999996</v>
      </c>
      <c r="F26" s="13">
        <v>6022.3043669999997</v>
      </c>
      <c r="G26" s="13">
        <v>5847.8232390000003</v>
      </c>
      <c r="H26" s="13">
        <v>5661.6578220000001</v>
      </c>
      <c r="I26" s="13">
        <v>5482.0834379999997</v>
      </c>
      <c r="J26" s="13">
        <v>10977.98235</v>
      </c>
      <c r="K26" s="13">
        <v>10611.424628000001</v>
      </c>
      <c r="L26" s="13">
        <v>10488.939392</v>
      </c>
      <c r="M26" s="13">
        <v>10503.422936000001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8" customHeight="1">
      <c r="A30" s="47" t="s">
        <v>254</v>
      </c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</row>
    <row r="31" spans="1:47" ht="19.95" customHeight="1">
      <c r="A31" s="4" t="s">
        <v>24</v>
      </c>
      <c r="B31" s="4" t="s">
        <v>25</v>
      </c>
      <c r="C31" s="4" t="s">
        <v>255</v>
      </c>
      <c r="D31" s="4" t="s">
        <v>256</v>
      </c>
      <c r="E31" s="4" t="s">
        <v>257</v>
      </c>
      <c r="F31" s="4" t="s">
        <v>258</v>
      </c>
      <c r="G31" s="4" t="s">
        <v>259</v>
      </c>
      <c r="H31" s="4" t="s">
        <v>260</v>
      </c>
      <c r="I31" s="4" t="s">
        <v>261</v>
      </c>
      <c r="J31" s="4" t="s">
        <v>262</v>
      </c>
      <c r="K31" s="4" t="s">
        <v>263</v>
      </c>
      <c r="L31" s="4" t="s">
        <v>264</v>
      </c>
      <c r="M31" s="4" t="s">
        <v>265</v>
      </c>
      <c r="N31" s="4" t="s">
        <v>266</v>
      </c>
      <c r="O31" s="4" t="s">
        <v>267</v>
      </c>
      <c r="P31" s="4" t="s">
        <v>268</v>
      </c>
      <c r="Q31" s="4" t="s">
        <v>269</v>
      </c>
      <c r="R31" s="4" t="s">
        <v>270</v>
      </c>
      <c r="S31" s="4" t="s">
        <v>271</v>
      </c>
      <c r="T31" s="4" t="s">
        <v>272</v>
      </c>
      <c r="U31" s="4" t="s">
        <v>273</v>
      </c>
      <c r="V31" s="4" t="s">
        <v>274</v>
      </c>
      <c r="W31" s="4" t="s">
        <v>275</v>
      </c>
      <c r="X31" s="4" t="s">
        <v>276</v>
      </c>
      <c r="Y31" s="4" t="s">
        <v>277</v>
      </c>
      <c r="Z31" s="4" t="s">
        <v>278</v>
      </c>
      <c r="AA31" s="4" t="s">
        <v>279</v>
      </c>
      <c r="AB31" s="4" t="s">
        <v>280</v>
      </c>
      <c r="AC31" s="4" t="s">
        <v>281</v>
      </c>
      <c r="AD31" s="4" t="s">
        <v>282</v>
      </c>
      <c r="AE31" s="4" t="s">
        <v>283</v>
      </c>
      <c r="AF31" s="4" t="s">
        <v>284</v>
      </c>
      <c r="AG31" s="4" t="s">
        <v>285</v>
      </c>
      <c r="AH31" s="4" t="s">
        <v>286</v>
      </c>
      <c r="AI31" s="4" t="s">
        <v>287</v>
      </c>
      <c r="AJ31" s="4" t="s">
        <v>288</v>
      </c>
      <c r="AK31" s="4" t="s">
        <v>289</v>
      </c>
      <c r="AL31" s="4" t="s">
        <v>290</v>
      </c>
      <c r="AM31" s="4" t="s">
        <v>291</v>
      </c>
      <c r="AN31" s="4" t="s">
        <v>292</v>
      </c>
      <c r="AO31" s="4" t="s">
        <v>293</v>
      </c>
      <c r="AP31" s="4" t="s">
        <v>294</v>
      </c>
      <c r="AQ31" s="4" t="s">
        <v>295</v>
      </c>
      <c r="AR31" s="4" t="s">
        <v>296</v>
      </c>
      <c r="AS31" s="4" t="s">
        <v>297</v>
      </c>
      <c r="AT31" s="4" t="s">
        <v>298</v>
      </c>
      <c r="AU31" s="4" t="s">
        <v>299</v>
      </c>
    </row>
    <row r="32" spans="1:47" ht="14.4">
      <c r="A32" s="1" t="s">
        <v>41</v>
      </c>
      <c r="B32" s="1" t="s">
        <v>42</v>
      </c>
      <c r="C32" s="11">
        <v>12237.6</v>
      </c>
      <c r="D32" s="11">
        <v>12513.5</v>
      </c>
      <c r="E32" s="11">
        <v>12860.5</v>
      </c>
      <c r="F32" s="11">
        <v>13632.400000000001</v>
      </c>
      <c r="G32" s="11">
        <v>13599.2</v>
      </c>
      <c r="H32" s="11">
        <v>13765.7</v>
      </c>
      <c r="I32" s="11">
        <v>13687.8</v>
      </c>
      <c r="J32" s="11">
        <v>13987.5</v>
      </c>
      <c r="K32" s="11">
        <v>13626.1</v>
      </c>
      <c r="L32" s="11">
        <v>13423.4</v>
      </c>
      <c r="M32" s="11">
        <v>13669</v>
      </c>
      <c r="N32" s="11">
        <v>13768.599999999999</v>
      </c>
      <c r="O32" s="11">
        <v>13977.7</v>
      </c>
      <c r="P32" s="11">
        <v>14541</v>
      </c>
      <c r="Q32" s="11">
        <v>15059.5</v>
      </c>
      <c r="R32" s="11">
        <v>15006.300000000003</v>
      </c>
      <c r="S32" s="11">
        <v>14716.1</v>
      </c>
      <c r="T32" s="11">
        <v>15125.6</v>
      </c>
      <c r="U32" s="11">
        <v>15470.5</v>
      </c>
      <c r="V32" s="11">
        <v>15711</v>
      </c>
      <c r="W32" s="11">
        <v>14913.1</v>
      </c>
      <c r="X32" s="11">
        <v>15114.5</v>
      </c>
      <c r="Y32" s="11">
        <v>15670</v>
      </c>
      <c r="Z32" s="11">
        <v>16245.400000000001</v>
      </c>
      <c r="AA32" s="11">
        <v>18252.400000000001</v>
      </c>
      <c r="AB32" s="11">
        <v>19667.400000000001</v>
      </c>
      <c r="AC32" s="11">
        <v>20313.599999999999</v>
      </c>
      <c r="AD32" s="11">
        <v>20859.999999999993</v>
      </c>
      <c r="AE32" s="11">
        <v>21528.6</v>
      </c>
      <c r="AF32" s="11">
        <v>22539.7</v>
      </c>
      <c r="AG32" s="11">
        <v>23229</v>
      </c>
      <c r="AH32" s="11">
        <v>23190.300000000003</v>
      </c>
      <c r="AI32" s="11">
        <v>22831</v>
      </c>
      <c r="AJ32" s="11">
        <v>22515.9</v>
      </c>
      <c r="AK32" s="11">
        <v>22205.1</v>
      </c>
      <c r="AL32" s="11">
        <v>22208.300000000003</v>
      </c>
      <c r="AM32" s="11">
        <v>21963.8</v>
      </c>
      <c r="AN32" s="11">
        <v>22301.599999999999</v>
      </c>
      <c r="AO32" s="11">
        <v>22318.799999999999</v>
      </c>
      <c r="AP32" s="11">
        <v>22504.199999999997</v>
      </c>
      <c r="AQ32" s="11">
        <v>22134.6</v>
      </c>
      <c r="AR32" s="11">
        <v>22697.3</v>
      </c>
      <c r="AS32" s="11">
        <v>23555.8</v>
      </c>
      <c r="AT32" s="11">
        <v>24236.300000000003</v>
      </c>
      <c r="AU32" s="11">
        <v>24478.6</v>
      </c>
    </row>
    <row r="33" spans="1:47" ht="14.4">
      <c r="A33" s="1" t="s">
        <v>236</v>
      </c>
      <c r="B33" s="1" t="s">
        <v>42</v>
      </c>
      <c r="C33" s="11">
        <v>8478.7000000000007</v>
      </c>
      <c r="D33" s="11">
        <v>8582.4</v>
      </c>
      <c r="E33" s="11">
        <v>9027</v>
      </c>
      <c r="F33" s="11">
        <v>9584.3000000000029</v>
      </c>
      <c r="G33" s="11">
        <v>9638.9</v>
      </c>
      <c r="H33" s="11">
        <v>9780.7999999999993</v>
      </c>
      <c r="I33" s="11">
        <v>9657.6</v>
      </c>
      <c r="J33" s="11">
        <v>10077.100000000002</v>
      </c>
      <c r="K33" s="11">
        <v>9711.1</v>
      </c>
      <c r="L33" s="11">
        <v>9469.4</v>
      </c>
      <c r="M33" s="11">
        <v>9597.6</v>
      </c>
      <c r="N33" s="11">
        <v>9779.4000000000015</v>
      </c>
      <c r="O33" s="11">
        <v>10035</v>
      </c>
      <c r="P33" s="11">
        <v>10177</v>
      </c>
      <c r="Q33" s="11">
        <v>10397.1</v>
      </c>
      <c r="R33" s="11">
        <v>10694.200000000004</v>
      </c>
      <c r="S33" s="11">
        <v>10427.299999999999</v>
      </c>
      <c r="T33" s="11">
        <v>10800.6</v>
      </c>
      <c r="U33" s="11">
        <v>10967.3</v>
      </c>
      <c r="V33" s="11">
        <v>11413.300000000003</v>
      </c>
      <c r="W33" s="11">
        <v>10370</v>
      </c>
      <c r="X33" s="11">
        <v>10538.7</v>
      </c>
      <c r="Y33" s="11">
        <v>10431.299999999999</v>
      </c>
      <c r="Z33" s="11">
        <v>10980.5</v>
      </c>
      <c r="AA33" s="11">
        <v>12756.7</v>
      </c>
      <c r="AB33" s="11">
        <v>13756.2</v>
      </c>
      <c r="AC33" s="11">
        <v>14277.8</v>
      </c>
      <c r="AD33" s="11">
        <v>14796.5</v>
      </c>
      <c r="AE33" s="11">
        <v>15560</v>
      </c>
      <c r="AF33" s="11">
        <v>16383.5</v>
      </c>
      <c r="AG33" s="11">
        <v>16327.3</v>
      </c>
      <c r="AH33" s="11">
        <v>16273.799999999996</v>
      </c>
      <c r="AI33" s="11">
        <v>16126.1</v>
      </c>
      <c r="AJ33" s="11">
        <v>15919.1</v>
      </c>
      <c r="AK33" s="11">
        <v>15382.6</v>
      </c>
      <c r="AL33" s="11">
        <v>15721.899999999994</v>
      </c>
      <c r="AM33" s="11">
        <v>15330.6</v>
      </c>
      <c r="AN33" s="11">
        <v>15504.9</v>
      </c>
      <c r="AO33" s="11">
        <v>15392.2</v>
      </c>
      <c r="AP33" s="11">
        <v>15552.5</v>
      </c>
      <c r="AQ33" s="11">
        <v>15724.7</v>
      </c>
      <c r="AR33" s="11">
        <v>15983.2</v>
      </c>
      <c r="AS33" s="11">
        <v>16719.900000000001</v>
      </c>
      <c r="AT33" s="11">
        <v>17191.399999999994</v>
      </c>
      <c r="AU33" s="11">
        <v>17490</v>
      </c>
    </row>
    <row r="34" spans="1:47" ht="14.4">
      <c r="A34" s="1" t="s">
        <v>237</v>
      </c>
      <c r="B34" s="1" t="s">
        <v>42</v>
      </c>
      <c r="C34" s="11">
        <v>3758.9</v>
      </c>
      <c r="D34" s="11">
        <v>3931.1</v>
      </c>
      <c r="E34" s="11">
        <v>3833.5</v>
      </c>
      <c r="F34" s="11">
        <v>4048.1000000000004</v>
      </c>
      <c r="G34" s="11">
        <v>3960.3</v>
      </c>
      <c r="H34" s="11">
        <v>3984.9</v>
      </c>
      <c r="I34" s="11">
        <v>4030.2</v>
      </c>
      <c r="J34" s="11">
        <v>3910.3999999999996</v>
      </c>
      <c r="K34" s="11">
        <v>3915</v>
      </c>
      <c r="L34" s="11">
        <v>3954</v>
      </c>
      <c r="M34" s="11">
        <v>4071.4</v>
      </c>
      <c r="N34" s="11">
        <v>3989.2000000000007</v>
      </c>
      <c r="O34" s="11">
        <v>3942.7</v>
      </c>
      <c r="P34" s="11">
        <v>4364</v>
      </c>
      <c r="Q34" s="11">
        <v>4662.3999999999996</v>
      </c>
      <c r="R34" s="11">
        <v>4312.1000000000022</v>
      </c>
      <c r="S34" s="11">
        <v>4288.8</v>
      </c>
      <c r="T34" s="11">
        <v>4325</v>
      </c>
      <c r="U34" s="11">
        <v>4503.2</v>
      </c>
      <c r="V34" s="11">
        <v>4297.7000000000007</v>
      </c>
      <c r="W34" s="11">
        <v>4543.1000000000004</v>
      </c>
      <c r="X34" s="11">
        <v>4575.8</v>
      </c>
      <c r="Y34" s="11">
        <v>5238.7</v>
      </c>
      <c r="Z34" s="11">
        <v>5264.9</v>
      </c>
      <c r="AA34" s="11">
        <v>5495.7</v>
      </c>
      <c r="AB34" s="11">
        <v>5911.2</v>
      </c>
      <c r="AC34" s="11">
        <v>6035.8</v>
      </c>
      <c r="AD34" s="11">
        <v>6063.5</v>
      </c>
      <c r="AE34" s="11">
        <v>5968.6</v>
      </c>
      <c r="AF34" s="11">
        <v>6156.2</v>
      </c>
      <c r="AG34" s="11">
        <v>6901.7</v>
      </c>
      <c r="AH34" s="11">
        <v>6916.5</v>
      </c>
      <c r="AI34" s="11">
        <v>6704.9</v>
      </c>
      <c r="AJ34" s="11">
        <v>6596.8</v>
      </c>
      <c r="AK34" s="11">
        <v>6822.5</v>
      </c>
      <c r="AL34" s="11">
        <v>6486.3999999999978</v>
      </c>
      <c r="AM34" s="11">
        <v>6633.2</v>
      </c>
      <c r="AN34" s="11">
        <v>6796.7</v>
      </c>
      <c r="AO34" s="11">
        <v>6926.6</v>
      </c>
      <c r="AP34" s="11">
        <v>6951.7000000000007</v>
      </c>
      <c r="AQ34" s="11">
        <v>6409.9</v>
      </c>
      <c r="AR34" s="11">
        <v>6714.1</v>
      </c>
      <c r="AS34" s="11">
        <v>6835.9</v>
      </c>
      <c r="AT34" s="11">
        <v>7044.8999999999978</v>
      </c>
      <c r="AU34" s="11">
        <v>6988.6</v>
      </c>
    </row>
    <row r="35" spans="1:47" ht="14.4">
      <c r="A35" s="1" t="s">
        <v>238</v>
      </c>
      <c r="B35" s="1" t="s">
        <v>42</v>
      </c>
      <c r="C35" s="11">
        <v>804.4</v>
      </c>
      <c r="D35" s="11">
        <v>870.8</v>
      </c>
      <c r="E35" s="11">
        <v>836.2</v>
      </c>
      <c r="F35" s="11">
        <v>898.3</v>
      </c>
      <c r="G35" s="11">
        <v>1014.1</v>
      </c>
      <c r="H35" s="11">
        <v>961.4</v>
      </c>
      <c r="I35" s="11">
        <v>922.6</v>
      </c>
      <c r="J35" s="11">
        <v>1183.5999999999999</v>
      </c>
      <c r="K35" s="11">
        <v>1014.6</v>
      </c>
      <c r="L35" s="11">
        <v>986.7</v>
      </c>
      <c r="M35" s="11">
        <v>1107.3</v>
      </c>
      <c r="N35" s="11">
        <v>1126.3</v>
      </c>
      <c r="O35" s="11">
        <v>1081.3</v>
      </c>
      <c r="P35" s="11">
        <v>1081.4000000000001</v>
      </c>
      <c r="Q35" s="11">
        <v>1188.9000000000001</v>
      </c>
      <c r="R35" s="11">
        <v>1099.4000000000001</v>
      </c>
      <c r="S35" s="11">
        <v>1095.3</v>
      </c>
      <c r="T35" s="11">
        <v>1062.9000000000001</v>
      </c>
      <c r="U35" s="11">
        <v>1103</v>
      </c>
      <c r="V35" s="11">
        <v>1029.5</v>
      </c>
      <c r="W35" s="11">
        <v>978.9</v>
      </c>
      <c r="X35" s="11">
        <v>960.6</v>
      </c>
      <c r="Y35" s="11">
        <v>1132.5999999999999</v>
      </c>
      <c r="Z35" s="11">
        <v>1067.9000000000001</v>
      </c>
      <c r="AA35" s="11">
        <v>1301.7</v>
      </c>
      <c r="AB35" s="11">
        <v>1385.2</v>
      </c>
      <c r="AC35" s="11">
        <v>1398.8</v>
      </c>
      <c r="AD35" s="11">
        <v>1407.8</v>
      </c>
      <c r="AE35" s="11">
        <v>1535.9</v>
      </c>
      <c r="AF35" s="11">
        <v>1514</v>
      </c>
      <c r="AG35" s="11">
        <v>1775.2</v>
      </c>
      <c r="AH35" s="11">
        <v>1690.6</v>
      </c>
      <c r="AI35" s="11">
        <v>1658.4</v>
      </c>
      <c r="AJ35" s="11">
        <v>1876.7</v>
      </c>
      <c r="AK35" s="11">
        <v>1917.8</v>
      </c>
      <c r="AL35" s="11">
        <v>1544.3</v>
      </c>
      <c r="AM35" s="11">
        <v>1584.4</v>
      </c>
      <c r="AN35" s="11">
        <v>1738.8</v>
      </c>
      <c r="AO35" s="11">
        <v>1608.1</v>
      </c>
      <c r="AP35" s="11">
        <v>1506.5</v>
      </c>
      <c r="AQ35" s="11">
        <v>1528.5</v>
      </c>
      <c r="AR35" s="11">
        <v>1492</v>
      </c>
      <c r="AS35" s="11">
        <v>1500.8</v>
      </c>
      <c r="AT35" s="11">
        <v>1400.3000000000002</v>
      </c>
      <c r="AU35" s="11">
        <v>1649.6</v>
      </c>
    </row>
    <row r="36" spans="1:47" ht="14.4">
      <c r="A36" s="1" t="s">
        <v>239</v>
      </c>
      <c r="B36" s="1" t="s">
        <v>42</v>
      </c>
      <c r="C36" s="11">
        <v>685.3</v>
      </c>
      <c r="D36" s="11">
        <v>684.7</v>
      </c>
      <c r="E36" s="11">
        <v>701</v>
      </c>
      <c r="F36" s="11">
        <v>791.59999999999991</v>
      </c>
      <c r="G36" s="11">
        <v>759.9</v>
      </c>
      <c r="H36" s="11">
        <v>854.5</v>
      </c>
      <c r="I36" s="11">
        <v>861</v>
      </c>
      <c r="J36" s="11">
        <v>726.69999999999982</v>
      </c>
      <c r="K36" s="11">
        <v>726.4</v>
      </c>
      <c r="L36" s="11">
        <v>708.5</v>
      </c>
      <c r="M36" s="11">
        <v>999.1</v>
      </c>
      <c r="N36" s="11">
        <v>980.09999999999991</v>
      </c>
      <c r="O36" s="11">
        <v>860.8</v>
      </c>
      <c r="P36" s="11">
        <v>1369.6</v>
      </c>
      <c r="Q36" s="11">
        <v>697.8</v>
      </c>
      <c r="R36" s="11">
        <v>666.90000000000009</v>
      </c>
      <c r="S36" s="11">
        <v>811.9</v>
      </c>
      <c r="T36" s="11">
        <v>652.70000000000005</v>
      </c>
      <c r="U36" s="11">
        <v>749.6</v>
      </c>
      <c r="V36" s="11">
        <v>768.10000000000036</v>
      </c>
      <c r="W36" s="11">
        <v>1000.6</v>
      </c>
      <c r="X36" s="11">
        <v>817.7</v>
      </c>
      <c r="Y36" s="11">
        <v>781.4</v>
      </c>
      <c r="Z36" s="11">
        <v>868.90000000000009</v>
      </c>
      <c r="AA36" s="11">
        <v>1053</v>
      </c>
      <c r="AB36" s="11">
        <v>1128.8</v>
      </c>
      <c r="AC36" s="11">
        <v>1203.5999999999999</v>
      </c>
      <c r="AD36" s="11">
        <v>1252.8000000000002</v>
      </c>
      <c r="AE36" s="11">
        <v>1347.1</v>
      </c>
      <c r="AF36" s="11">
        <v>1497.6</v>
      </c>
      <c r="AG36" s="11">
        <v>1502</v>
      </c>
      <c r="AH36" s="11">
        <v>1567.1999999999998</v>
      </c>
      <c r="AI36" s="11">
        <v>1588.7</v>
      </c>
      <c r="AJ36" s="11">
        <v>1412.4</v>
      </c>
      <c r="AK36" s="11">
        <v>1644.4</v>
      </c>
      <c r="AL36" s="11">
        <v>1392</v>
      </c>
      <c r="AM36" s="11">
        <v>1421.3</v>
      </c>
      <c r="AN36" s="11">
        <v>1303.4000000000001</v>
      </c>
      <c r="AO36" s="11">
        <v>1462.9</v>
      </c>
      <c r="AP36" s="11">
        <v>1558.8999999999996</v>
      </c>
      <c r="AQ36" s="11">
        <v>1327.2</v>
      </c>
      <c r="AR36" s="11">
        <v>1495</v>
      </c>
      <c r="AS36" s="11">
        <v>1840.4</v>
      </c>
      <c r="AT36" s="11">
        <v>1480.7999999999993</v>
      </c>
      <c r="AU36" s="11">
        <v>1496.3</v>
      </c>
    </row>
    <row r="37" spans="1:47" ht="14.4">
      <c r="A37" s="1" t="s">
        <v>240</v>
      </c>
      <c r="B37" s="1" t="s">
        <v>42</v>
      </c>
      <c r="C37" s="11">
        <v>132.99999999999966</v>
      </c>
      <c r="D37" s="11">
        <v>53.300000000000182</v>
      </c>
      <c r="E37" s="11">
        <v>91.100000000000136</v>
      </c>
      <c r="F37" s="11">
        <v>109.2999999999995</v>
      </c>
      <c r="G37" s="11">
        <v>98.399999999999636</v>
      </c>
      <c r="H37" s="11">
        <v>128.0999999999998</v>
      </c>
      <c r="I37" s="11">
        <v>76.700000000000387</v>
      </c>
      <c r="J37" s="11">
        <v>482.69999999999936</v>
      </c>
      <c r="K37" s="11">
        <v>35.300000000000182</v>
      </c>
      <c r="L37" s="11">
        <v>45.299999999999955</v>
      </c>
      <c r="M37" s="11">
        <v>12.499999999999886</v>
      </c>
      <c r="N37" s="11">
        <v>55.699999999999136</v>
      </c>
      <c r="O37" s="11">
        <v>330</v>
      </c>
      <c r="P37" s="11">
        <v>148.59999999999991</v>
      </c>
      <c r="Q37" s="11">
        <v>91.100000000000591</v>
      </c>
      <c r="R37" s="11">
        <v>186.199999999998</v>
      </c>
      <c r="S37" s="11">
        <v>155.69999999999993</v>
      </c>
      <c r="T37" s="11">
        <v>64.100000000000136</v>
      </c>
      <c r="U37" s="11">
        <v>72.700000000000387</v>
      </c>
      <c r="V37" s="11">
        <v>138.79999999999927</v>
      </c>
      <c r="W37" s="11">
        <v>130.19999999999982</v>
      </c>
      <c r="X37" s="11">
        <v>15.999999999999886</v>
      </c>
      <c r="Y37" s="11">
        <v>56.60000000000025</v>
      </c>
      <c r="Z37" s="11">
        <v>88.599999999999454</v>
      </c>
      <c r="AA37" s="11">
        <v>331.00000000000023</v>
      </c>
      <c r="AB37" s="11">
        <v>94.800000000000182</v>
      </c>
      <c r="AC37" s="11">
        <v>120.09999999999968</v>
      </c>
      <c r="AD37" s="11">
        <v>108.2000000000005</v>
      </c>
      <c r="AE37" s="11">
        <v>103.39999999999964</v>
      </c>
      <c r="AF37" s="11">
        <v>105.70000000000027</v>
      </c>
      <c r="AG37" s="11">
        <v>139.10000000000014</v>
      </c>
      <c r="AH37" s="11">
        <v>99.000000000000455</v>
      </c>
      <c r="AI37" s="11">
        <v>-6.1999999999995907</v>
      </c>
      <c r="AJ37" s="11">
        <v>26.799999999999955</v>
      </c>
      <c r="AK37" s="11">
        <v>26.200000000000045</v>
      </c>
      <c r="AL37" s="11">
        <v>-12.79999999999859</v>
      </c>
      <c r="AM37" s="11">
        <v>-20.599999999999682</v>
      </c>
      <c r="AN37" s="11">
        <v>-39.599999999999682</v>
      </c>
      <c r="AO37" s="11">
        <v>40.999999999999545</v>
      </c>
      <c r="AP37" s="11">
        <v>22.399999999999636</v>
      </c>
      <c r="AQ37" s="11">
        <v>18.2000000000005</v>
      </c>
      <c r="AR37" s="11">
        <v>55.799999999999727</v>
      </c>
      <c r="AS37" s="11">
        <v>78.800000000000409</v>
      </c>
      <c r="AT37" s="11">
        <v>32.500000000002728</v>
      </c>
      <c r="AU37" s="11">
        <v>77.900000000000006</v>
      </c>
    </row>
    <row r="38" spans="1:47" ht="14.4">
      <c r="A38" s="1" t="s">
        <v>46</v>
      </c>
      <c r="B38" s="1" t="s">
        <v>42</v>
      </c>
      <c r="C38" s="11">
        <v>2738.8999999999996</v>
      </c>
      <c r="D38" s="11">
        <v>2781.9</v>
      </c>
      <c r="E38" s="11">
        <v>2763.8</v>
      </c>
      <c r="F38" s="11">
        <v>2897.9</v>
      </c>
      <c r="G38" s="11">
        <v>2751.2</v>
      </c>
      <c r="H38" s="11">
        <v>2782</v>
      </c>
      <c r="I38" s="11">
        <v>2864.5</v>
      </c>
      <c r="J38" s="11">
        <v>3300.8999999999992</v>
      </c>
      <c r="K38" s="11">
        <v>2703.6000000000004</v>
      </c>
      <c r="L38" s="11">
        <v>2824.1</v>
      </c>
      <c r="M38" s="11">
        <v>2505.4</v>
      </c>
      <c r="N38" s="11">
        <v>2508.6999999999998</v>
      </c>
      <c r="O38" s="11">
        <v>2788.3367972807296</v>
      </c>
      <c r="P38" s="11">
        <v>2498.6</v>
      </c>
      <c r="Q38" s="11">
        <v>3359.9632027192706</v>
      </c>
      <c r="R38" s="11">
        <v>3291.5</v>
      </c>
      <c r="S38" s="11">
        <v>3032.8</v>
      </c>
      <c r="T38" s="11">
        <v>3154.9</v>
      </c>
      <c r="U38" s="11">
        <v>3252.8</v>
      </c>
      <c r="V38" s="11">
        <v>3218.6999999999994</v>
      </c>
      <c r="W38" s="11">
        <v>3359.6326099801431</v>
      </c>
      <c r="X38" s="11">
        <v>3488.3246161793904</v>
      </c>
      <c r="Y38" s="11">
        <v>4080.9263015998581</v>
      </c>
      <c r="Z38" s="11">
        <v>4142.0164722406071</v>
      </c>
      <c r="AA38" s="11">
        <v>4185.3337755109778</v>
      </c>
      <c r="AB38" s="11">
        <v>4260.6342999542312</v>
      </c>
      <c r="AC38" s="11">
        <v>4347.3888574773619</v>
      </c>
      <c r="AD38" s="11">
        <v>4326.3430670574289</v>
      </c>
      <c r="AE38" s="11">
        <v>3983.6926398755186</v>
      </c>
      <c r="AF38" s="11">
        <v>4082.3157230382949</v>
      </c>
      <c r="AG38" s="11">
        <v>4621.0600917694801</v>
      </c>
      <c r="AH38" s="11">
        <v>4613.7315453167066</v>
      </c>
      <c r="AI38" s="11">
        <v>4318.2136376549543</v>
      </c>
      <c r="AJ38" s="11">
        <v>4189.1531472154165</v>
      </c>
      <c r="AK38" s="11">
        <v>4129.3558751474757</v>
      </c>
      <c r="AL38" s="11">
        <v>4380.2773399821517</v>
      </c>
      <c r="AM38" s="11">
        <v>4336.1388685844622</v>
      </c>
      <c r="AN38" s="11">
        <v>4455.3544546764788</v>
      </c>
      <c r="AO38" s="11">
        <v>4637.6255265556456</v>
      </c>
      <c r="AP38" s="11">
        <v>4655.8811501834143</v>
      </c>
      <c r="AQ38" s="11">
        <v>4267.9776064518919</v>
      </c>
      <c r="AR38" s="11">
        <v>4496.160398060978</v>
      </c>
      <c r="AS38" s="11">
        <v>4313.7386752893417</v>
      </c>
      <c r="AT38" s="11">
        <v>4957.9233201977904</v>
      </c>
      <c r="AU38" s="11"/>
    </row>
    <row r="39" spans="1:47" ht="14.4">
      <c r="A39" s="1" t="s">
        <v>241</v>
      </c>
      <c r="B39" s="1" t="s">
        <v>42</v>
      </c>
      <c r="C39" s="11">
        <v>336.7</v>
      </c>
      <c r="D39" s="11">
        <v>353</v>
      </c>
      <c r="E39" s="11">
        <v>376.4</v>
      </c>
      <c r="F39" s="11">
        <v>430.40000000000009</v>
      </c>
      <c r="G39" s="11">
        <v>466.5</v>
      </c>
      <c r="H39" s="11">
        <v>484.9</v>
      </c>
      <c r="I39" s="11">
        <v>541.20000000000005</v>
      </c>
      <c r="J39" s="11">
        <v>818.09999999999991</v>
      </c>
      <c r="K39" s="11">
        <v>494.30000000000018</v>
      </c>
      <c r="L39" s="11">
        <v>520</v>
      </c>
      <c r="M39" s="11">
        <v>527.9</v>
      </c>
      <c r="N39" s="11">
        <v>570.20000000000005</v>
      </c>
      <c r="O39" s="11">
        <v>457.7367972807296</v>
      </c>
      <c r="P39" s="11">
        <v>437</v>
      </c>
      <c r="Q39" s="11">
        <v>493.16320271927049</v>
      </c>
      <c r="R39" s="11">
        <v>559.5</v>
      </c>
      <c r="S39" s="11">
        <v>495.5</v>
      </c>
      <c r="T39" s="11">
        <v>481.4</v>
      </c>
      <c r="U39" s="11">
        <v>529.5</v>
      </c>
      <c r="V39" s="11">
        <v>579.79999999999973</v>
      </c>
      <c r="W39" s="11">
        <v>665.83260998014305</v>
      </c>
      <c r="X39" s="11">
        <v>674.82461617939066</v>
      </c>
      <c r="Y39" s="11">
        <v>699.62630159985792</v>
      </c>
      <c r="Z39" s="11">
        <v>725.31647224060839</v>
      </c>
      <c r="AA39" s="11">
        <v>713.33377551097817</v>
      </c>
      <c r="AB39" s="11">
        <v>768.63429995423144</v>
      </c>
      <c r="AC39" s="11">
        <v>793.88885747736219</v>
      </c>
      <c r="AD39" s="11">
        <v>815.24306705742811</v>
      </c>
      <c r="AE39" s="11">
        <v>794.69263987551858</v>
      </c>
      <c r="AF39" s="11">
        <v>832.01572303829471</v>
      </c>
      <c r="AG39" s="11">
        <v>857.46009176947996</v>
      </c>
      <c r="AH39" s="11">
        <v>856.03154531670634</v>
      </c>
      <c r="AI39" s="11">
        <v>866.61363765495423</v>
      </c>
      <c r="AJ39" s="11">
        <v>854.65314721541699</v>
      </c>
      <c r="AK39" s="11">
        <v>842.85587514747601</v>
      </c>
      <c r="AL39" s="11">
        <v>842.97733998215256</v>
      </c>
      <c r="AM39" s="11">
        <v>729.23886858446224</v>
      </c>
      <c r="AN39" s="11">
        <v>740.45445467647869</v>
      </c>
      <c r="AO39" s="11">
        <v>741.02552655564591</v>
      </c>
      <c r="AP39" s="11">
        <v>747.18115018341325</v>
      </c>
      <c r="AQ39" s="11">
        <v>695.57760645189137</v>
      </c>
      <c r="AR39" s="11">
        <v>713.26039806097765</v>
      </c>
      <c r="AS39" s="11">
        <v>740.2386752893417</v>
      </c>
      <c r="AT39" s="11">
        <v>761.62332019778898</v>
      </c>
      <c r="AU39" s="11"/>
    </row>
    <row r="40" spans="1:47" ht="14.4">
      <c r="A40" s="1" t="s">
        <v>48</v>
      </c>
      <c r="B40" s="1" t="s">
        <v>42</v>
      </c>
      <c r="C40" s="11">
        <v>2402.1999999999998</v>
      </c>
      <c r="D40" s="11">
        <v>2428.9</v>
      </c>
      <c r="E40" s="11">
        <v>2387.4</v>
      </c>
      <c r="F40" s="11">
        <v>2467.5</v>
      </c>
      <c r="G40" s="11">
        <v>2284.6999999999998</v>
      </c>
      <c r="H40" s="11">
        <v>2297.1</v>
      </c>
      <c r="I40" s="11">
        <v>2323.3000000000002</v>
      </c>
      <c r="J40" s="11">
        <v>2482.7999999999993</v>
      </c>
      <c r="K40" s="11">
        <v>2209.3000000000002</v>
      </c>
      <c r="L40" s="11">
        <v>2304.1</v>
      </c>
      <c r="M40" s="11">
        <v>1977.5</v>
      </c>
      <c r="N40" s="11">
        <v>1938.5</v>
      </c>
      <c r="O40" s="11">
        <v>2330.6</v>
      </c>
      <c r="P40" s="11">
        <v>2061.6</v>
      </c>
      <c r="Q40" s="11">
        <v>2866.8</v>
      </c>
      <c r="R40" s="11">
        <v>2732</v>
      </c>
      <c r="S40" s="11">
        <v>2537.3000000000002</v>
      </c>
      <c r="T40" s="11">
        <v>2673.5</v>
      </c>
      <c r="U40" s="11">
        <v>2723.3</v>
      </c>
      <c r="V40" s="11">
        <v>2638.8999999999996</v>
      </c>
      <c r="W40" s="11">
        <v>2693.8</v>
      </c>
      <c r="X40" s="11">
        <v>2813.5</v>
      </c>
      <c r="Y40" s="11">
        <v>3381.3</v>
      </c>
      <c r="Z40" s="11">
        <v>3416.6999999999989</v>
      </c>
      <c r="AA40" s="11">
        <v>3472</v>
      </c>
      <c r="AB40" s="11">
        <v>3492</v>
      </c>
      <c r="AC40" s="11">
        <v>3553.5</v>
      </c>
      <c r="AD40" s="11">
        <v>3511.1000000000004</v>
      </c>
      <c r="AE40" s="11">
        <v>3189</v>
      </c>
      <c r="AF40" s="11">
        <v>3250.3</v>
      </c>
      <c r="AG40" s="11">
        <v>3763.6</v>
      </c>
      <c r="AH40" s="11">
        <v>3757.7000000000007</v>
      </c>
      <c r="AI40" s="11">
        <v>3451.6</v>
      </c>
      <c r="AJ40" s="11">
        <v>3334.5</v>
      </c>
      <c r="AK40" s="11">
        <v>3286.5</v>
      </c>
      <c r="AL40" s="11">
        <v>3537.2999999999993</v>
      </c>
      <c r="AM40" s="11">
        <v>3606.9</v>
      </c>
      <c r="AN40" s="11">
        <v>3714.9</v>
      </c>
      <c r="AO40" s="11">
        <v>3896.6</v>
      </c>
      <c r="AP40" s="11">
        <v>3908.7000000000007</v>
      </c>
      <c r="AQ40" s="11">
        <v>3572.4</v>
      </c>
      <c r="AR40" s="11">
        <v>3782.9</v>
      </c>
      <c r="AS40" s="11">
        <v>3573.5</v>
      </c>
      <c r="AT40" s="11">
        <v>4196.3000000000011</v>
      </c>
      <c r="AU40" s="11">
        <v>3920.6</v>
      </c>
    </row>
    <row r="41" spans="1:47" ht="14.4">
      <c r="A41" s="1" t="s">
        <v>242</v>
      </c>
      <c r="B41" s="1" t="s">
        <v>42</v>
      </c>
      <c r="C41" s="11">
        <v>128.6</v>
      </c>
      <c r="D41" s="11">
        <v>158.9</v>
      </c>
      <c r="E41" s="11">
        <v>142.30000000000001</v>
      </c>
      <c r="F41" s="11">
        <v>107.99999999999994</v>
      </c>
      <c r="G41" s="11">
        <v>133.6</v>
      </c>
      <c r="H41" s="11">
        <v>142.80000000000001</v>
      </c>
      <c r="I41" s="11">
        <v>136.6</v>
      </c>
      <c r="J41" s="11">
        <v>181.20000000000005</v>
      </c>
      <c r="K41" s="11">
        <v>147.4</v>
      </c>
      <c r="L41" s="11">
        <v>138.6</v>
      </c>
      <c r="M41" s="11">
        <v>120.5</v>
      </c>
      <c r="N41" s="11">
        <v>176.5</v>
      </c>
      <c r="O41" s="11">
        <v>164.9</v>
      </c>
      <c r="P41" s="11">
        <v>156.9</v>
      </c>
      <c r="Q41" s="11">
        <v>162.69999999999999</v>
      </c>
      <c r="R41" s="11">
        <v>253</v>
      </c>
      <c r="S41" s="11">
        <v>158.4</v>
      </c>
      <c r="T41" s="11">
        <v>224.7</v>
      </c>
      <c r="U41" s="11">
        <v>184.4</v>
      </c>
      <c r="V41" s="11">
        <v>165.29999999999995</v>
      </c>
      <c r="W41" s="11">
        <v>129.9</v>
      </c>
      <c r="X41" s="11">
        <v>126.7</v>
      </c>
      <c r="Y41" s="11">
        <v>140</v>
      </c>
      <c r="Z41" s="11">
        <v>112.19999999999999</v>
      </c>
      <c r="AA41" s="11">
        <v>74.599999999999994</v>
      </c>
      <c r="AB41" s="11">
        <v>145.9</v>
      </c>
      <c r="AC41" s="11">
        <v>140.30000000000001</v>
      </c>
      <c r="AD41" s="11">
        <v>171.7</v>
      </c>
      <c r="AE41" s="11">
        <v>204.5</v>
      </c>
      <c r="AF41" s="11">
        <v>227</v>
      </c>
      <c r="AG41" s="11">
        <v>290.2</v>
      </c>
      <c r="AH41" s="11">
        <v>286</v>
      </c>
      <c r="AI41" s="11">
        <v>308.60000000000002</v>
      </c>
      <c r="AJ41" s="11">
        <v>303.3</v>
      </c>
      <c r="AK41" s="11">
        <v>312.5</v>
      </c>
      <c r="AL41" s="11">
        <v>330.79999999999995</v>
      </c>
      <c r="AM41" s="11">
        <v>328.8</v>
      </c>
      <c r="AN41" s="11">
        <v>356.9</v>
      </c>
      <c r="AO41" s="11">
        <v>414.6</v>
      </c>
      <c r="AP41" s="11">
        <v>376.70000000000005</v>
      </c>
      <c r="AQ41" s="11">
        <v>360.8</v>
      </c>
      <c r="AR41" s="11">
        <v>361.2</v>
      </c>
      <c r="AS41" s="11">
        <v>365.6</v>
      </c>
      <c r="AT41" s="11">
        <v>370.10000000000014</v>
      </c>
      <c r="AU41" s="11">
        <v>472.8</v>
      </c>
    </row>
    <row r="42" spans="1:47" ht="14.4">
      <c r="A42" s="1" t="s">
        <v>243</v>
      </c>
      <c r="B42" s="1" t="s">
        <v>42</v>
      </c>
      <c r="C42" s="11">
        <v>524.20000000000005</v>
      </c>
      <c r="D42" s="11">
        <v>619.4</v>
      </c>
      <c r="E42" s="11">
        <v>622.70000000000005</v>
      </c>
      <c r="F42" s="11">
        <v>578.79999999999927</v>
      </c>
      <c r="G42" s="11">
        <v>520</v>
      </c>
      <c r="H42" s="11">
        <v>510.5</v>
      </c>
      <c r="I42" s="11">
        <v>571.9</v>
      </c>
      <c r="J42" s="11">
        <v>639.50000000000045</v>
      </c>
      <c r="K42" s="11">
        <v>620</v>
      </c>
      <c r="L42" s="11">
        <v>666.1</v>
      </c>
      <c r="M42" s="11">
        <v>613.4</v>
      </c>
      <c r="N42" s="11">
        <v>500.40000000000009</v>
      </c>
      <c r="O42" s="11">
        <v>519.70000000000005</v>
      </c>
      <c r="P42" s="11">
        <v>513.6</v>
      </c>
      <c r="Q42" s="11">
        <v>536.20000000000005</v>
      </c>
      <c r="R42" s="11">
        <v>722.80000000000018</v>
      </c>
      <c r="S42" s="11">
        <v>694.7</v>
      </c>
      <c r="T42" s="11">
        <v>685.7</v>
      </c>
      <c r="U42" s="11">
        <v>537</v>
      </c>
      <c r="V42" s="11">
        <v>490.70000000000073</v>
      </c>
      <c r="W42" s="11">
        <v>528.1</v>
      </c>
      <c r="X42" s="11">
        <v>520.9</v>
      </c>
      <c r="Y42" s="11">
        <v>597.5</v>
      </c>
      <c r="Z42" s="11">
        <v>444.70000000000164</v>
      </c>
      <c r="AA42" s="11">
        <v>461.9</v>
      </c>
      <c r="AB42" s="11">
        <v>411.4</v>
      </c>
      <c r="AC42" s="11">
        <v>357.8</v>
      </c>
      <c r="AD42" s="11">
        <v>394.59999999999968</v>
      </c>
      <c r="AE42" s="11">
        <v>369</v>
      </c>
      <c r="AF42" s="11">
        <v>404</v>
      </c>
      <c r="AG42" s="11">
        <v>499.2</v>
      </c>
      <c r="AH42" s="11">
        <v>546.30000000000041</v>
      </c>
      <c r="AI42" s="11">
        <v>654.20000000000005</v>
      </c>
      <c r="AJ42" s="11">
        <v>481</v>
      </c>
      <c r="AK42" s="11">
        <v>578.5</v>
      </c>
      <c r="AL42" s="11">
        <v>675.90000000000032</v>
      </c>
      <c r="AM42" s="11">
        <v>748</v>
      </c>
      <c r="AN42" s="11">
        <v>919.5</v>
      </c>
      <c r="AO42" s="11">
        <v>970.8</v>
      </c>
      <c r="AP42" s="11">
        <v>1181.9000000000001</v>
      </c>
      <c r="AQ42" s="11">
        <v>1041.7</v>
      </c>
      <c r="AR42" s="11">
        <v>845.5</v>
      </c>
      <c r="AS42" s="11">
        <v>923.2</v>
      </c>
      <c r="AT42" s="11">
        <v>838.69999999999982</v>
      </c>
      <c r="AU42" s="11">
        <v>887.2</v>
      </c>
    </row>
    <row r="43" spans="1:47" ht="14.4">
      <c r="A43" s="1" t="s">
        <v>244</v>
      </c>
      <c r="B43" s="1" t="s">
        <v>42</v>
      </c>
      <c r="C43" s="11">
        <v>0</v>
      </c>
      <c r="D43" s="11">
        <v>0</v>
      </c>
      <c r="E43" s="11">
        <v>0</v>
      </c>
      <c r="F43" s="11">
        <v>0</v>
      </c>
      <c r="G43" s="11">
        <v>0</v>
      </c>
      <c r="H43" s="11">
        <v>0</v>
      </c>
      <c r="I43" s="11">
        <v>0</v>
      </c>
      <c r="J43" s="11">
        <v>0</v>
      </c>
      <c r="K43" s="11">
        <v>-0.1</v>
      </c>
      <c r="L43" s="11">
        <v>0.5</v>
      </c>
      <c r="M43" s="11">
        <v>1</v>
      </c>
      <c r="N43" s="11">
        <v>-0.29999999999999982</v>
      </c>
      <c r="O43" s="11">
        <v>-5.3</v>
      </c>
      <c r="P43" s="11">
        <v>2</v>
      </c>
      <c r="Q43" s="11">
        <v>0.7</v>
      </c>
      <c r="R43" s="11">
        <v>-1.7000000000000002</v>
      </c>
      <c r="S43" s="11">
        <v>-1.6</v>
      </c>
      <c r="T43" s="11">
        <v>-0.2</v>
      </c>
      <c r="U43" s="11">
        <v>3.4</v>
      </c>
      <c r="V43" s="11">
        <v>1.3</v>
      </c>
      <c r="W43" s="11">
        <v>3.1</v>
      </c>
      <c r="X43" s="11">
        <v>-0.6</v>
      </c>
      <c r="Y43" s="11">
        <v>10.1</v>
      </c>
      <c r="Z43" s="11">
        <v>0.40000000000000036</v>
      </c>
      <c r="AA43" s="11">
        <v>0.7</v>
      </c>
      <c r="AB43" s="11">
        <v>-1</v>
      </c>
      <c r="AC43" s="11">
        <v>7.6</v>
      </c>
      <c r="AD43" s="11">
        <v>-1.5999999999999996</v>
      </c>
      <c r="AE43" s="11">
        <v>-1.5</v>
      </c>
      <c r="AF43" s="11">
        <v>-7.2</v>
      </c>
      <c r="AG43" s="11">
        <v>2.6</v>
      </c>
      <c r="AH43" s="11">
        <v>0.39999999999999947</v>
      </c>
      <c r="AI43" s="11">
        <v>0.3</v>
      </c>
      <c r="AJ43" s="11">
        <v>-3</v>
      </c>
      <c r="AK43" s="11">
        <v>-0.4</v>
      </c>
      <c r="AL43" s="11">
        <v>-20.2</v>
      </c>
      <c r="AM43" s="11">
        <v>-4.5</v>
      </c>
      <c r="AN43" s="11">
        <v>0.3</v>
      </c>
      <c r="AO43" s="11">
        <v>0.5</v>
      </c>
      <c r="AP43" s="11">
        <v>29.099999999999998</v>
      </c>
      <c r="AQ43" s="11">
        <v>5</v>
      </c>
      <c r="AR43" s="11">
        <v>15.2</v>
      </c>
      <c r="AS43" s="11">
        <v>2.8</v>
      </c>
      <c r="AT43" s="11">
        <v>2.6999999999999993</v>
      </c>
      <c r="AU43" s="11">
        <v>-0.5</v>
      </c>
    </row>
    <row r="44" spans="1:47" ht="14.4">
      <c r="A44" s="1" t="s">
        <v>245</v>
      </c>
      <c r="B44" s="1" t="s">
        <v>42</v>
      </c>
      <c r="C44" s="11">
        <v>2797.8</v>
      </c>
      <c r="D44" s="11">
        <v>2889.4</v>
      </c>
      <c r="E44" s="11">
        <v>2867.8</v>
      </c>
      <c r="F44" s="11">
        <v>2938.2999999999993</v>
      </c>
      <c r="G44" s="11">
        <v>2671.1</v>
      </c>
      <c r="H44" s="11">
        <v>2664.8</v>
      </c>
      <c r="I44" s="11">
        <v>2758.6</v>
      </c>
      <c r="J44" s="11">
        <v>2941.1000000000004</v>
      </c>
      <c r="K44" s="11">
        <v>2681.8</v>
      </c>
      <c r="L44" s="11">
        <v>2832.1</v>
      </c>
      <c r="M44" s="11">
        <v>2471.4</v>
      </c>
      <c r="N44" s="11">
        <v>2262.0999999999995</v>
      </c>
      <c r="O44" s="11">
        <v>2680.1</v>
      </c>
      <c r="P44" s="11">
        <v>2420.3000000000002</v>
      </c>
      <c r="Q44" s="11">
        <v>3241</v>
      </c>
      <c r="R44" s="11">
        <v>3200.1000000000004</v>
      </c>
      <c r="S44" s="11">
        <v>3072</v>
      </c>
      <c r="T44" s="11">
        <v>3134.3</v>
      </c>
      <c r="U44" s="11">
        <v>3079.3</v>
      </c>
      <c r="V44" s="11">
        <v>2965.6000000000004</v>
      </c>
      <c r="W44" s="11">
        <v>3095.1</v>
      </c>
      <c r="X44" s="11">
        <v>3207.1</v>
      </c>
      <c r="Y44" s="11">
        <v>3848.9</v>
      </c>
      <c r="Z44" s="11">
        <v>3749.6000000000004</v>
      </c>
      <c r="AA44" s="11">
        <v>3860</v>
      </c>
      <c r="AB44" s="11">
        <v>3756.5</v>
      </c>
      <c r="AC44" s="11">
        <v>3778.6</v>
      </c>
      <c r="AD44" s="11">
        <v>3732.3999999999996</v>
      </c>
      <c r="AE44" s="11">
        <v>3352</v>
      </c>
      <c r="AF44" s="11">
        <v>3420.1</v>
      </c>
      <c r="AG44" s="11">
        <v>3975.2</v>
      </c>
      <c r="AH44" s="11">
        <v>4018.4000000000015</v>
      </c>
      <c r="AI44" s="11">
        <v>3797.5</v>
      </c>
      <c r="AJ44" s="11">
        <v>3509.2</v>
      </c>
      <c r="AK44" s="11">
        <v>3552.1</v>
      </c>
      <c r="AL44" s="11">
        <v>3862.2000000000007</v>
      </c>
      <c r="AM44" s="11">
        <v>4021.6</v>
      </c>
      <c r="AN44" s="11">
        <v>4277.8</v>
      </c>
      <c r="AO44" s="11">
        <v>4453.3</v>
      </c>
      <c r="AP44" s="11">
        <v>4743</v>
      </c>
      <c r="AQ44" s="11">
        <v>4258.3</v>
      </c>
      <c r="AR44" s="11">
        <v>4282.3999999999996</v>
      </c>
      <c r="AS44" s="11">
        <v>4133.8999999999996</v>
      </c>
      <c r="AT44" s="11">
        <v>4667.6000000000022</v>
      </c>
      <c r="AU44" s="11">
        <v>4334.5</v>
      </c>
    </row>
    <row r="45" spans="1:47" ht="14.4">
      <c r="A45" s="1" t="s">
        <v>246</v>
      </c>
      <c r="B45" s="1" t="s">
        <v>42</v>
      </c>
      <c r="C45" s="11">
        <v>594.5</v>
      </c>
      <c r="D45" s="11">
        <v>648.6</v>
      </c>
      <c r="E45" s="11">
        <v>624.79999999999995</v>
      </c>
      <c r="F45" s="11">
        <v>668.69999999999982</v>
      </c>
      <c r="G45" s="11">
        <v>612.20000000000005</v>
      </c>
      <c r="H45" s="11">
        <v>590.9</v>
      </c>
      <c r="I45" s="11">
        <v>644</v>
      </c>
      <c r="J45" s="11">
        <v>674.20000000000027</v>
      </c>
      <c r="K45" s="11">
        <v>599.4</v>
      </c>
      <c r="L45" s="11">
        <v>642.6</v>
      </c>
      <c r="M45" s="11">
        <v>535.5</v>
      </c>
      <c r="N45" s="11">
        <v>461.5</v>
      </c>
      <c r="O45" s="11">
        <v>586.5</v>
      </c>
      <c r="P45" s="11">
        <v>534.70000000000005</v>
      </c>
      <c r="Q45" s="11">
        <v>696.6</v>
      </c>
      <c r="R45" s="11">
        <v>706.39999999999964</v>
      </c>
      <c r="S45" s="11">
        <v>669.9</v>
      </c>
      <c r="T45" s="11">
        <v>573.1</v>
      </c>
      <c r="U45" s="11">
        <v>616.4</v>
      </c>
      <c r="V45" s="11">
        <v>620.5</v>
      </c>
      <c r="W45" s="11">
        <v>683.8</v>
      </c>
      <c r="X45" s="11">
        <v>722.8</v>
      </c>
      <c r="Y45" s="11">
        <v>852.4</v>
      </c>
      <c r="Z45" s="11">
        <v>775.5</v>
      </c>
      <c r="AA45" s="11">
        <v>622.5</v>
      </c>
      <c r="AB45" s="11">
        <v>825.9</v>
      </c>
      <c r="AC45" s="11">
        <v>806.3</v>
      </c>
      <c r="AD45" s="11">
        <v>639.90000000000009</v>
      </c>
      <c r="AE45" s="11">
        <v>793.1</v>
      </c>
      <c r="AF45" s="11">
        <v>771</v>
      </c>
      <c r="AG45" s="11">
        <v>910.2</v>
      </c>
      <c r="AH45" s="11">
        <v>924.89999999999964</v>
      </c>
      <c r="AI45" s="11">
        <v>911.5</v>
      </c>
      <c r="AJ45" s="11">
        <v>841.9</v>
      </c>
      <c r="AK45" s="11">
        <v>851.5</v>
      </c>
      <c r="AL45" s="11">
        <v>1004</v>
      </c>
      <c r="AM45" s="11">
        <v>985</v>
      </c>
      <c r="AN45" s="11">
        <v>1051.2</v>
      </c>
      <c r="AO45" s="11">
        <v>1086.5999999999999</v>
      </c>
      <c r="AP45" s="11">
        <v>1154.8999999999996</v>
      </c>
      <c r="AQ45" s="11">
        <v>921.8</v>
      </c>
      <c r="AR45" s="11">
        <v>1020</v>
      </c>
      <c r="AS45" s="11">
        <v>988.9</v>
      </c>
      <c r="AT45" s="11">
        <v>1146</v>
      </c>
      <c r="AU45" s="11">
        <v>978.2</v>
      </c>
    </row>
    <row r="46" spans="1:47" ht="14.4">
      <c r="A46" s="1" t="s">
        <v>247</v>
      </c>
      <c r="B46" s="1" t="s">
        <v>42</v>
      </c>
      <c r="C46" s="11">
        <v>2203.3000000000002</v>
      </c>
      <c r="D46" s="11">
        <v>2240.8000000000002</v>
      </c>
      <c r="E46" s="11">
        <v>2243</v>
      </c>
      <c r="F46" s="11">
        <v>2269.6000000000004</v>
      </c>
      <c r="G46" s="11">
        <v>2058.9</v>
      </c>
      <c r="H46" s="11">
        <v>2073.9</v>
      </c>
      <c r="I46" s="11">
        <v>2114.6</v>
      </c>
      <c r="J46" s="11">
        <v>2266.8999999999996</v>
      </c>
      <c r="K46" s="11">
        <v>2082.4</v>
      </c>
      <c r="L46" s="11">
        <v>4119</v>
      </c>
      <c r="M46" s="11">
        <v>1935.9</v>
      </c>
      <c r="N46" s="11">
        <v>-128.90000000000055</v>
      </c>
      <c r="O46" s="11">
        <v>2093.6</v>
      </c>
      <c r="P46" s="11">
        <v>1885.6</v>
      </c>
      <c r="Q46" s="11">
        <v>2544.4</v>
      </c>
      <c r="R46" s="11">
        <v>2493.6999999999989</v>
      </c>
      <c r="S46" s="11">
        <v>2402.1</v>
      </c>
      <c r="T46" s="11">
        <v>2561.1999999999998</v>
      </c>
      <c r="U46" s="11">
        <v>2462.9</v>
      </c>
      <c r="V46" s="11">
        <v>2345.0999999999995</v>
      </c>
      <c r="W46" s="11">
        <v>2411.3000000000002</v>
      </c>
      <c r="X46" s="11">
        <v>2484.3000000000002</v>
      </c>
      <c r="Y46" s="11">
        <v>2996.5</v>
      </c>
      <c r="Z46" s="11">
        <v>2974.1000000000004</v>
      </c>
      <c r="AA46" s="11">
        <v>3237.5</v>
      </c>
      <c r="AB46" s="11">
        <v>2930.6</v>
      </c>
      <c r="AC46" s="11">
        <v>2972.3</v>
      </c>
      <c r="AD46" s="11">
        <v>3092.5</v>
      </c>
      <c r="AE46" s="11">
        <v>2558.9</v>
      </c>
      <c r="AF46" s="11">
        <v>2649.1</v>
      </c>
      <c r="AG46" s="11">
        <v>3065</v>
      </c>
      <c r="AH46" s="11">
        <v>3093.5</v>
      </c>
      <c r="AI46" s="11">
        <v>2886</v>
      </c>
      <c r="AJ46" s="11">
        <v>2667.3</v>
      </c>
      <c r="AK46" s="11">
        <v>2700.6</v>
      </c>
      <c r="AL46" s="11">
        <v>2858.2000000000007</v>
      </c>
      <c r="AM46" s="11">
        <v>3036.6</v>
      </c>
      <c r="AN46" s="11">
        <v>3226.6</v>
      </c>
      <c r="AO46" s="11">
        <v>3366.7</v>
      </c>
      <c r="AP46" s="11">
        <v>3588.1000000000004</v>
      </c>
      <c r="AQ46" s="11">
        <v>3336.5</v>
      </c>
      <c r="AR46" s="11">
        <v>3262.4</v>
      </c>
      <c r="AS46" s="11">
        <v>3145</v>
      </c>
      <c r="AT46" s="11">
        <v>3521.6000000000004</v>
      </c>
      <c r="AU46" s="11">
        <v>3356.3</v>
      </c>
    </row>
    <row r="47" spans="1:47" ht="14.4">
      <c r="A47" s="1" t="s">
        <v>248</v>
      </c>
      <c r="B47" s="1" t="s">
        <v>42</v>
      </c>
      <c r="C47" s="11">
        <v>15.6</v>
      </c>
      <c r="D47" s="11">
        <v>5.4</v>
      </c>
      <c r="E47" s="11">
        <v>8.9</v>
      </c>
      <c r="F47" s="11">
        <v>19.300000000000004</v>
      </c>
      <c r="G47" s="11">
        <v>7.1</v>
      </c>
      <c r="H47" s="11">
        <v>6.7</v>
      </c>
      <c r="I47" s="11">
        <v>5.2</v>
      </c>
      <c r="J47" s="11">
        <v>5.8000000000000007</v>
      </c>
      <c r="K47" s="11">
        <v>5.9</v>
      </c>
      <c r="L47" s="11">
        <v>1927.3</v>
      </c>
      <c r="M47" s="11">
        <v>-1.2</v>
      </c>
      <c r="N47" s="11">
        <v>-1931.7</v>
      </c>
      <c r="O47" s="11">
        <v>-27</v>
      </c>
      <c r="P47" s="11">
        <v>-3.3</v>
      </c>
      <c r="Q47" s="11">
        <v>34.1</v>
      </c>
      <c r="R47" s="11">
        <v>10.399999999999999</v>
      </c>
      <c r="S47" s="11">
        <v>14.7</v>
      </c>
      <c r="T47" s="11">
        <v>8.6</v>
      </c>
      <c r="U47" s="11">
        <v>7.1</v>
      </c>
      <c r="V47" s="11">
        <v>19.100000000000001</v>
      </c>
      <c r="W47" s="11">
        <v>21.1</v>
      </c>
      <c r="X47" s="11">
        <v>18.7</v>
      </c>
      <c r="Y47" s="11">
        <v>29.8</v>
      </c>
      <c r="Z47" s="11">
        <v>2</v>
      </c>
      <c r="AA47" s="11">
        <v>5.4</v>
      </c>
      <c r="AB47" s="11">
        <v>-0.1</v>
      </c>
      <c r="AC47" s="11">
        <v>3.3</v>
      </c>
      <c r="AD47" s="11">
        <v>5.2000000000000011</v>
      </c>
      <c r="AE47" s="11">
        <v>-4.7</v>
      </c>
      <c r="AF47" s="11">
        <v>-9.9</v>
      </c>
      <c r="AG47" s="11">
        <v>12.1</v>
      </c>
      <c r="AH47" s="11">
        <v>19</v>
      </c>
      <c r="AI47" s="11">
        <v>15.9</v>
      </c>
      <c r="AJ47" s="11">
        <v>21</v>
      </c>
      <c r="AK47" s="11">
        <v>6.4</v>
      </c>
      <c r="AL47" s="11">
        <v>23.600000000000009</v>
      </c>
      <c r="AM47" s="11">
        <v>33.4</v>
      </c>
      <c r="AN47" s="11">
        <v>17.8</v>
      </c>
      <c r="AO47" s="11">
        <v>12.9</v>
      </c>
      <c r="AP47" s="11">
        <v>18.5</v>
      </c>
      <c r="AQ47" s="11">
        <v>6.1</v>
      </c>
      <c r="AR47" s="11">
        <v>16.2</v>
      </c>
      <c r="AS47" s="11">
        <v>26</v>
      </c>
      <c r="AT47" s="11">
        <v>19.799999999999997</v>
      </c>
      <c r="AU47" s="11">
        <v>4.3</v>
      </c>
    </row>
    <row r="48" spans="1:47" ht="14.4">
      <c r="A48" s="1" t="s">
        <v>249</v>
      </c>
      <c r="B48" s="1" t="s">
        <v>42</v>
      </c>
      <c r="C48" s="11">
        <v>2187.6999999999998</v>
      </c>
      <c r="D48" s="11">
        <v>2235.4</v>
      </c>
      <c r="E48" s="11">
        <v>2234.1</v>
      </c>
      <c r="F48" s="11">
        <v>2250.3000000000002</v>
      </c>
      <c r="G48" s="11">
        <v>2051.8000000000002</v>
      </c>
      <c r="H48" s="11">
        <v>2067.1999999999998</v>
      </c>
      <c r="I48" s="11">
        <v>2109.4</v>
      </c>
      <c r="J48" s="11">
        <v>2261.1000000000004</v>
      </c>
      <c r="K48" s="11">
        <v>2076.5</v>
      </c>
      <c r="L48" s="11">
        <v>2191.6999999999998</v>
      </c>
      <c r="M48" s="11">
        <v>1937.1</v>
      </c>
      <c r="N48" s="11">
        <v>1802.8000000000011</v>
      </c>
      <c r="O48" s="11">
        <v>2120.6</v>
      </c>
      <c r="P48" s="11">
        <v>1888.9</v>
      </c>
      <c r="Q48" s="11">
        <v>2510.3000000000002</v>
      </c>
      <c r="R48" s="11">
        <v>2483.3000000000002</v>
      </c>
      <c r="S48" s="11">
        <v>2387.4</v>
      </c>
      <c r="T48" s="11">
        <v>2552.6</v>
      </c>
      <c r="U48" s="11">
        <v>2455.8000000000002</v>
      </c>
      <c r="V48" s="11">
        <v>2325.9999999999991</v>
      </c>
      <c r="W48" s="11">
        <v>2390.1999999999998</v>
      </c>
      <c r="X48" s="11">
        <v>2465.6</v>
      </c>
      <c r="Y48" s="11">
        <v>2966.7</v>
      </c>
      <c r="Z48" s="11">
        <v>2972.1000000000004</v>
      </c>
      <c r="AA48" s="11">
        <v>3232.1</v>
      </c>
      <c r="AB48" s="11">
        <v>2930.7</v>
      </c>
      <c r="AC48" s="11">
        <v>2969</v>
      </c>
      <c r="AD48" s="11">
        <v>3087.3000000000011</v>
      </c>
      <c r="AE48" s="11">
        <v>2563.6</v>
      </c>
      <c r="AF48" s="11">
        <v>2659</v>
      </c>
      <c r="AG48" s="11">
        <v>3052.9</v>
      </c>
      <c r="AH48" s="11">
        <v>3074.5</v>
      </c>
      <c r="AI48" s="11">
        <v>2870.1</v>
      </c>
      <c r="AJ48" s="11">
        <v>2646.3</v>
      </c>
      <c r="AK48" s="11">
        <v>2694.2</v>
      </c>
      <c r="AL48" s="11">
        <v>2834.6000000000004</v>
      </c>
      <c r="AM48" s="11">
        <v>3003.2</v>
      </c>
      <c r="AN48" s="11">
        <v>3208.8</v>
      </c>
      <c r="AO48" s="11">
        <v>3353.8</v>
      </c>
      <c r="AP48" s="11">
        <v>3569.6000000000004</v>
      </c>
      <c r="AQ48" s="11">
        <v>3330.4</v>
      </c>
      <c r="AR48" s="11">
        <v>3246.2</v>
      </c>
      <c r="AS48" s="11">
        <v>3119</v>
      </c>
      <c r="AT48" s="11">
        <v>3501.7999999999993</v>
      </c>
      <c r="AU48" s="11">
        <v>3352</v>
      </c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8" customHeight="1">
      <c r="A53" s="47" t="s">
        <v>300</v>
      </c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9.95" customHeight="1">
      <c r="A54" s="4" t="s">
        <v>24</v>
      </c>
      <c r="B54" s="4" t="s">
        <v>25</v>
      </c>
      <c r="C54" s="4" t="s">
        <v>26</v>
      </c>
      <c r="D54" s="4" t="s">
        <v>27</v>
      </c>
      <c r="E54" s="4" t="s">
        <v>28</v>
      </c>
      <c r="F54" s="4" t="s">
        <v>29</v>
      </c>
      <c r="G54" s="4" t="s">
        <v>30</v>
      </c>
      <c r="H54" s="4" t="s">
        <v>31</v>
      </c>
      <c r="I54" s="4" t="s">
        <v>32</v>
      </c>
      <c r="J54" s="4" t="s">
        <v>33</v>
      </c>
      <c r="K54" s="4" t="s">
        <v>34</v>
      </c>
      <c r="L54" s="4" t="s">
        <v>35</v>
      </c>
      <c r="M54" s="4" t="s">
        <v>36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 t="s">
        <v>301</v>
      </c>
      <c r="B55" s="1" t="s">
        <v>42</v>
      </c>
      <c r="C55" s="11">
        <v>6495.2</v>
      </c>
      <c r="D55" s="11">
        <v>6979.4</v>
      </c>
      <c r="E55" s="11">
        <v>6444.3</v>
      </c>
      <c r="F55" s="11">
        <v>7060.1</v>
      </c>
      <c r="G55" s="11">
        <v>8112</v>
      </c>
      <c r="H55" s="11">
        <v>8519.2000000000007</v>
      </c>
      <c r="I55" s="11">
        <v>9089.7999999999993</v>
      </c>
      <c r="J55" s="11">
        <v>8865.9</v>
      </c>
      <c r="K55" s="11">
        <v>8160.8</v>
      </c>
      <c r="L55" s="11">
        <v>8068.4</v>
      </c>
      <c r="M55" s="11">
        <v>8178.7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 t="s">
        <v>302</v>
      </c>
      <c r="B56" s="1" t="s">
        <v>42</v>
      </c>
      <c r="C56" s="11"/>
      <c r="D56" s="11"/>
      <c r="E56" s="11"/>
      <c r="F56" s="11">
        <v>1326.6</v>
      </c>
      <c r="G56" s="11">
        <v>1674.8</v>
      </c>
      <c r="H56" s="11">
        <v>1642</v>
      </c>
      <c r="I56" s="11">
        <v>1887</v>
      </c>
      <c r="J56" s="11">
        <v>1870.2</v>
      </c>
      <c r="K56" s="11">
        <v>1795.5</v>
      </c>
      <c r="L56" s="11">
        <v>2559.8000000000002</v>
      </c>
      <c r="M56" s="11">
        <v>2828.7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 t="s">
        <v>303</v>
      </c>
      <c r="B57" s="1" t="s">
        <v>42</v>
      </c>
      <c r="C57" s="11">
        <v>10199.1</v>
      </c>
      <c r="D57" s="11">
        <v>12579.6</v>
      </c>
      <c r="E57" s="11">
        <v>11758.4</v>
      </c>
      <c r="F57" s="11">
        <v>11698</v>
      </c>
      <c r="G57" s="11">
        <v>13101.2</v>
      </c>
      <c r="H57" s="11">
        <v>13912.7</v>
      </c>
      <c r="I57" s="11">
        <v>24698.9</v>
      </c>
      <c r="J57" s="11">
        <v>30797</v>
      </c>
      <c r="K57" s="11">
        <v>31600.2</v>
      </c>
      <c r="L57" s="11">
        <v>32501.4</v>
      </c>
      <c r="M57" s="11">
        <v>38739.9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 t="s">
        <v>304</v>
      </c>
      <c r="B58" s="1" t="s">
        <v>42</v>
      </c>
      <c r="C58" s="11">
        <v>1584.1</v>
      </c>
      <c r="D58" s="11">
        <v>1592.2</v>
      </c>
      <c r="E58" s="11">
        <v>1811.3</v>
      </c>
      <c r="F58" s="11">
        <v>1376.2</v>
      </c>
      <c r="G58" s="11">
        <v>1636.2</v>
      </c>
      <c r="H58" s="11">
        <v>1308.5</v>
      </c>
      <c r="I58" s="11">
        <v>4355.5</v>
      </c>
      <c r="J58" s="11">
        <v>4304.5</v>
      </c>
      <c r="K58" s="11">
        <v>3274.8</v>
      </c>
      <c r="L58" s="11">
        <v>2745</v>
      </c>
      <c r="M58" s="11">
        <v>2917.6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 t="s">
        <v>305</v>
      </c>
      <c r="B59" s="1" t="s">
        <v>42</v>
      </c>
      <c r="C59" s="11">
        <v>490.7</v>
      </c>
      <c r="D59" s="11"/>
      <c r="E59" s="11"/>
      <c r="F59" s="11"/>
      <c r="G59" s="11"/>
      <c r="H59" s="11"/>
      <c r="I59" s="11"/>
      <c r="J59" s="11"/>
      <c r="K59" s="11"/>
      <c r="L59" s="11"/>
      <c r="M59" s="11">
        <v>2805.3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 t="s">
        <v>306</v>
      </c>
      <c r="B60" s="1" t="s">
        <v>42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>
        <v>212.6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 t="s">
        <v>307</v>
      </c>
      <c r="B61" s="1" t="s">
        <v>42</v>
      </c>
      <c r="C61" s="11"/>
      <c r="D61" s="11">
        <v>399.8</v>
      </c>
      <c r="E61" s="11">
        <v>444.6</v>
      </c>
      <c r="F61" s="11">
        <v>437.3</v>
      </c>
      <c r="G61" s="11">
        <v>604.9</v>
      </c>
      <c r="H61" s="11">
        <v>435.8</v>
      </c>
      <c r="I61" s="11">
        <v>476.5</v>
      </c>
      <c r="J61" s="11">
        <v>86.3</v>
      </c>
      <c r="K61" s="11">
        <v>404.5</v>
      </c>
      <c r="L61" s="11">
        <v>29.9</v>
      </c>
      <c r="M61" s="11">
        <v>34.9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 t="s">
        <v>308</v>
      </c>
      <c r="B62" s="1" t="s">
        <v>42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>
        <v>743.3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 t="s">
        <v>309</v>
      </c>
      <c r="B63" s="1" t="s">
        <v>42</v>
      </c>
      <c r="C63" s="11"/>
      <c r="D63" s="11">
        <v>2.6</v>
      </c>
      <c r="E63" s="11">
        <v>418.6</v>
      </c>
      <c r="F63" s="11">
        <v>514.6</v>
      </c>
      <c r="G63" s="11">
        <v>588.1</v>
      </c>
      <c r="H63" s="11">
        <v>608.79999999999995</v>
      </c>
      <c r="I63" s="11">
        <v>608.4</v>
      </c>
      <c r="J63" s="11">
        <v>633</v>
      </c>
      <c r="K63" s="11">
        <v>555</v>
      </c>
      <c r="L63" s="11">
        <v>466.4</v>
      </c>
      <c r="M63" s="11">
        <v>625.9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 t="s">
        <v>310</v>
      </c>
      <c r="B64" s="1" t="s">
        <v>42</v>
      </c>
      <c r="C64" s="11">
        <v>380</v>
      </c>
      <c r="D64" s="11">
        <v>309.8</v>
      </c>
      <c r="E64" s="11">
        <v>690.8</v>
      </c>
      <c r="F64" s="11">
        <v>560.4</v>
      </c>
      <c r="G64" s="11">
        <v>600.5</v>
      </c>
      <c r="H64" s="11">
        <v>166.4</v>
      </c>
      <c r="I64" s="11">
        <v>229.8</v>
      </c>
      <c r="J64" s="11">
        <v>210</v>
      </c>
      <c r="K64" s="11">
        <v>181.7</v>
      </c>
      <c r="L64" s="11">
        <v>256.10000000000002</v>
      </c>
      <c r="M64" s="11">
        <v>524.20000000000005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 t="s">
        <v>311</v>
      </c>
      <c r="B65" s="1" t="s">
        <v>42</v>
      </c>
      <c r="C65" s="11">
        <v>1175.0999999999999</v>
      </c>
      <c r="D65" s="11">
        <v>1200.8</v>
      </c>
      <c r="E65" s="11">
        <v>1834.9</v>
      </c>
      <c r="F65" s="11">
        <v>2060.3000000000002</v>
      </c>
      <c r="G65" s="11">
        <v>1141.4000000000001</v>
      </c>
      <c r="H65" s="11">
        <v>1432.3</v>
      </c>
      <c r="I65" s="11">
        <v>1025.5999999999999</v>
      </c>
      <c r="J65" s="11">
        <v>1192.2</v>
      </c>
      <c r="K65" s="11">
        <v>904.3</v>
      </c>
      <c r="L65" s="11">
        <v>723</v>
      </c>
      <c r="M65" s="11">
        <v>778.7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 t="s">
        <v>312</v>
      </c>
      <c r="B66" s="1" t="s">
        <v>42</v>
      </c>
      <c r="C66" s="11">
        <v>1582.8</v>
      </c>
      <c r="D66" s="11">
        <v>1679.3</v>
      </c>
      <c r="E66" s="11">
        <v>1572.6</v>
      </c>
      <c r="F66" s="11">
        <v>2101.8000000000002</v>
      </c>
      <c r="G66" s="11"/>
      <c r="H66" s="11"/>
      <c r="I66" s="11"/>
      <c r="J66" s="11"/>
      <c r="K66" s="11"/>
      <c r="L66" s="11"/>
      <c r="M66" s="11">
        <v>901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 t="s">
        <v>313</v>
      </c>
      <c r="B67" s="1" t="s">
        <v>42</v>
      </c>
      <c r="C67" s="11">
        <v>21933</v>
      </c>
      <c r="D67" s="11">
        <v>25461.8</v>
      </c>
      <c r="E67" s="11">
        <v>25448.400000000001</v>
      </c>
      <c r="F67" s="11">
        <v>26126.5</v>
      </c>
      <c r="G67" s="11">
        <v>29721.1</v>
      </c>
      <c r="H67" s="11">
        <v>30824.799999999999</v>
      </c>
      <c r="I67" s="11">
        <v>45843</v>
      </c>
      <c r="J67" s="11">
        <v>51472.6</v>
      </c>
      <c r="K67" s="11">
        <v>50179.7</v>
      </c>
      <c r="L67" s="11">
        <v>50874.5</v>
      </c>
      <c r="M67" s="11">
        <v>59290.8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 t="s">
        <v>314</v>
      </c>
      <c r="B68" s="1" t="s">
        <v>42</v>
      </c>
      <c r="C68" s="11">
        <v>539</v>
      </c>
      <c r="D68" s="11">
        <v>391.5</v>
      </c>
      <c r="E68" s="11">
        <v>337</v>
      </c>
      <c r="F68" s="11">
        <v>395.1</v>
      </c>
      <c r="G68" s="11">
        <v>186.5</v>
      </c>
      <c r="H68" s="11">
        <v>106.4</v>
      </c>
      <c r="I68" s="11">
        <v>133.4</v>
      </c>
      <c r="J68" s="11">
        <v>118.8</v>
      </c>
      <c r="K68" s="11">
        <v>90.7</v>
      </c>
      <c r="L68" s="11">
        <v>69.400000000000006</v>
      </c>
      <c r="M68" s="11">
        <v>51.7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 t="s">
        <v>315</v>
      </c>
      <c r="B69" s="1" t="s">
        <v>42</v>
      </c>
      <c r="C69" s="11">
        <v>567.5</v>
      </c>
      <c r="D69" s="11">
        <v>974.7</v>
      </c>
      <c r="E69" s="11">
        <v>123.2</v>
      </c>
      <c r="F69" s="11">
        <v>493.1</v>
      </c>
      <c r="G69" s="11">
        <v>302.5</v>
      </c>
      <c r="H69" s="11">
        <v>406.4</v>
      </c>
      <c r="I69" s="11">
        <v>303.2</v>
      </c>
      <c r="J69" s="11">
        <v>184.4</v>
      </c>
      <c r="K69" s="11">
        <v>133.30000000000001</v>
      </c>
      <c r="L69" s="11">
        <v>182</v>
      </c>
      <c r="M69" s="11">
        <v>88.8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 t="s">
        <v>316</v>
      </c>
      <c r="B70" s="1" t="s">
        <v>42</v>
      </c>
      <c r="C70" s="11">
        <v>13294.4</v>
      </c>
      <c r="D70" s="11">
        <v>29203</v>
      </c>
      <c r="E70" s="11">
        <v>24909.4</v>
      </c>
      <c r="F70" s="11">
        <v>22071.599999999999</v>
      </c>
      <c r="G70" s="11">
        <v>18963.5</v>
      </c>
      <c r="H70" s="11">
        <v>17570.7</v>
      </c>
      <c r="I70" s="11">
        <v>24165.5</v>
      </c>
      <c r="J70" s="11">
        <v>30923.200000000001</v>
      </c>
      <c r="K70" s="11">
        <v>31117.1</v>
      </c>
      <c r="L70" s="11">
        <v>41147.4</v>
      </c>
      <c r="M70" s="11">
        <v>43768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 t="s">
        <v>317</v>
      </c>
      <c r="B71" s="1" t="s">
        <v>42</v>
      </c>
      <c r="C71" s="11">
        <v>9904.9</v>
      </c>
      <c r="D71" s="11">
        <v>5271</v>
      </c>
      <c r="E71" s="11">
        <v>4492.5</v>
      </c>
      <c r="F71" s="11">
        <v>15852.9</v>
      </c>
      <c r="G71" s="11">
        <v>14449.9</v>
      </c>
      <c r="H71" s="11">
        <v>16979.3</v>
      </c>
      <c r="I71" s="11">
        <v>10383.6</v>
      </c>
      <c r="J71" s="11">
        <v>9188</v>
      </c>
      <c r="K71" s="11">
        <v>9695.2999999999993</v>
      </c>
      <c r="L71" s="11">
        <v>12197.4</v>
      </c>
      <c r="M71" s="11">
        <v>10555.5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 t="s">
        <v>318</v>
      </c>
      <c r="B72" s="1" t="s">
        <v>42</v>
      </c>
      <c r="C72" s="11">
        <v>10238</v>
      </c>
      <c r="D72" s="11">
        <v>9484.6</v>
      </c>
      <c r="E72" s="11">
        <v>10099</v>
      </c>
      <c r="F72" s="11">
        <v>10048.9</v>
      </c>
      <c r="G72" s="11">
        <v>10447.4</v>
      </c>
      <c r="H72" s="11">
        <v>9429.7999999999993</v>
      </c>
      <c r="I72" s="11">
        <v>11521.9</v>
      </c>
      <c r="J72" s="11">
        <v>12635</v>
      </c>
      <c r="K72" s="11">
        <v>11547.7</v>
      </c>
      <c r="L72" s="11">
        <v>11774.5</v>
      </c>
      <c r="M72" s="11">
        <v>13590.1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 t="s">
        <v>319</v>
      </c>
      <c r="B73" s="1" t="s">
        <v>42</v>
      </c>
      <c r="C73" s="11">
        <v>4827.3</v>
      </c>
      <c r="D73" s="11"/>
      <c r="E73" s="11"/>
      <c r="F73" s="11"/>
      <c r="G73" s="11"/>
      <c r="H73" s="11"/>
      <c r="I73" s="11"/>
      <c r="J73" s="11"/>
      <c r="K73" s="11"/>
      <c r="L73" s="11"/>
      <c r="M73" s="11">
        <v>7682.3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 t="s">
        <v>320</v>
      </c>
      <c r="B74" s="1" t="s">
        <v>42</v>
      </c>
      <c r="C74" s="11"/>
      <c r="D74" s="11">
        <v>517.70000000000005</v>
      </c>
      <c r="E74" s="11">
        <v>742.9</v>
      </c>
      <c r="F74" s="11">
        <v>1461.1</v>
      </c>
      <c r="G74" s="11">
        <v>861.4</v>
      </c>
      <c r="H74" s="11">
        <v>724.5</v>
      </c>
      <c r="I74" s="11">
        <v>4291.3999999999996</v>
      </c>
      <c r="J74" s="11">
        <v>909.6</v>
      </c>
      <c r="K74" s="11">
        <v>1053.5999999999999</v>
      </c>
      <c r="L74" s="11">
        <v>844.8</v>
      </c>
      <c r="M74" s="11">
        <v>1024.5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 t="s">
        <v>321</v>
      </c>
      <c r="B75" s="1" t="s">
        <v>42</v>
      </c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>
        <v>1481.9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 t="s">
        <v>322</v>
      </c>
      <c r="B76" s="1" t="s">
        <v>42</v>
      </c>
      <c r="C76" s="11">
        <v>781.2</v>
      </c>
      <c r="D76" s="11">
        <v>980.4</v>
      </c>
      <c r="E76" s="11">
        <v>626.20000000000005</v>
      </c>
      <c r="F76" s="11">
        <v>743.5</v>
      </c>
      <c r="G76" s="11">
        <v>288.2</v>
      </c>
      <c r="H76" s="11">
        <v>246.1</v>
      </c>
      <c r="I76" s="11">
        <v>237.3</v>
      </c>
      <c r="J76" s="11">
        <v>509.1</v>
      </c>
      <c r="K76" s="11">
        <v>648.4</v>
      </c>
      <c r="L76" s="11">
        <v>641.70000000000005</v>
      </c>
      <c r="M76" s="11">
        <v>1076.2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 t="s">
        <v>323</v>
      </c>
      <c r="B77" s="1" t="s">
        <v>42</v>
      </c>
      <c r="C77" s="11">
        <v>10406.799999999999</v>
      </c>
      <c r="D77" s="11">
        <v>3075.1</v>
      </c>
      <c r="E77" s="11">
        <v>3059.6</v>
      </c>
      <c r="F77" s="11">
        <v>3769.7</v>
      </c>
      <c r="G77" s="11"/>
      <c r="H77" s="11"/>
      <c r="I77" s="11"/>
      <c r="J77" s="11"/>
      <c r="K77" s="11"/>
      <c r="L77" s="11"/>
      <c r="M77" s="11">
        <v>3316.4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 t="s">
        <v>324</v>
      </c>
      <c r="B78" s="1" t="s">
        <v>42</v>
      </c>
      <c r="C78" s="11">
        <v>50559.1</v>
      </c>
      <c r="D78" s="11">
        <v>53889.8</v>
      </c>
      <c r="E78" s="11">
        <v>50615.6</v>
      </c>
      <c r="F78" s="11">
        <v>57190.6</v>
      </c>
      <c r="G78" s="11">
        <v>51985.1</v>
      </c>
      <c r="H78" s="11">
        <v>52318.6</v>
      </c>
      <c r="I78" s="11">
        <v>62075.199999999997</v>
      </c>
      <c r="J78" s="11">
        <v>66109.600000000006</v>
      </c>
      <c r="K78" s="11">
        <v>65066.2</v>
      </c>
      <c r="L78" s="11">
        <v>77777.5</v>
      </c>
      <c r="M78" s="11">
        <v>82635.399999999994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 t="s">
        <v>325</v>
      </c>
      <c r="B79" s="1" t="s">
        <v>42</v>
      </c>
      <c r="C79" s="11">
        <v>72492.100000000006</v>
      </c>
      <c r="D79" s="11">
        <v>79351.600000000006</v>
      </c>
      <c r="E79" s="11">
        <v>76064</v>
      </c>
      <c r="F79" s="11">
        <v>83317.100000000006</v>
      </c>
      <c r="G79" s="11">
        <v>81706.2</v>
      </c>
      <c r="H79" s="11">
        <v>83143.399999999994</v>
      </c>
      <c r="I79" s="11">
        <v>107918.2</v>
      </c>
      <c r="J79" s="11">
        <v>117582.2</v>
      </c>
      <c r="K79" s="11">
        <v>115245.9</v>
      </c>
      <c r="L79" s="11">
        <v>128652</v>
      </c>
      <c r="M79" s="11">
        <v>141926.20000000001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 t="s">
        <v>326</v>
      </c>
      <c r="B80" s="1" t="s">
        <v>42</v>
      </c>
      <c r="C80" s="11">
        <v>494.1</v>
      </c>
      <c r="D80" s="11">
        <v>486.1</v>
      </c>
      <c r="E80" s="11">
        <v>904.8</v>
      </c>
      <c r="F80" s="11">
        <v>1206.8</v>
      </c>
      <c r="G80" s="11">
        <v>1142.7</v>
      </c>
      <c r="H80" s="11">
        <v>1095.8</v>
      </c>
      <c r="I80" s="11">
        <v>1096.4000000000001</v>
      </c>
      <c r="J80" s="11">
        <v>1097.5999999999999</v>
      </c>
      <c r="K80" s="11">
        <v>1045</v>
      </c>
      <c r="L80" s="11">
        <v>2094.4</v>
      </c>
      <c r="M80" s="11">
        <v>2097.6999999999998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 t="s">
        <v>327</v>
      </c>
      <c r="B81" s="1" t="s">
        <v>42</v>
      </c>
      <c r="C81" s="11">
        <v>1464.2</v>
      </c>
      <c r="D81" s="11">
        <v>46.9</v>
      </c>
      <c r="E81" s="11">
        <v>80</v>
      </c>
      <c r="F81" s="11">
        <v>53.3</v>
      </c>
      <c r="G81" s="11">
        <v>127.5</v>
      </c>
      <c r="H81" s="11">
        <v>71.400000000000006</v>
      </c>
      <c r="I81" s="11">
        <v>156.6</v>
      </c>
      <c r="J81" s="11">
        <v>368.9</v>
      </c>
      <c r="K81" s="11">
        <v>329.1</v>
      </c>
      <c r="L81" s="11">
        <v>262.8</v>
      </c>
      <c r="M81" s="11">
        <v>615.79999999999995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 t="s">
        <v>328</v>
      </c>
      <c r="B82" s="1" t="s">
        <v>42</v>
      </c>
      <c r="C82" s="11">
        <v>42573.5</v>
      </c>
      <c r="D82" s="11">
        <v>49093</v>
      </c>
      <c r="E82" s="11">
        <v>45326.5</v>
      </c>
      <c r="F82" s="11">
        <v>53470</v>
      </c>
      <c r="G82" s="11">
        <v>47610.3</v>
      </c>
      <c r="H82" s="11">
        <v>46669.2</v>
      </c>
      <c r="I82" s="11">
        <v>55125.2</v>
      </c>
      <c r="J82" s="11">
        <v>66096.399999999994</v>
      </c>
      <c r="K82" s="11">
        <v>63093.599999999999</v>
      </c>
      <c r="L82" s="11">
        <v>71647.7</v>
      </c>
      <c r="M82" s="11">
        <v>73505.7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 t="s">
        <v>329</v>
      </c>
      <c r="B83" s="1" t="s">
        <v>42</v>
      </c>
      <c r="C83" s="11">
        <v>46607.8</v>
      </c>
      <c r="D83" s="11">
        <v>52030.400000000001</v>
      </c>
      <c r="E83" s="11">
        <v>48293.599999999999</v>
      </c>
      <c r="F83" s="11">
        <v>56811.6</v>
      </c>
      <c r="G83" s="11">
        <v>55745.8</v>
      </c>
      <c r="H83" s="11">
        <v>55309.5</v>
      </c>
      <c r="I83" s="11">
        <v>65815.8</v>
      </c>
      <c r="J83" s="11">
        <v>78116.399999999994</v>
      </c>
      <c r="K83" s="11">
        <v>74988.3</v>
      </c>
      <c r="L83" s="11">
        <v>82830.899999999994</v>
      </c>
      <c r="M83" s="11">
        <v>88536.8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 t="s">
        <v>248</v>
      </c>
      <c r="B84" s="1" t="s">
        <v>42</v>
      </c>
      <c r="C84" s="11">
        <v>222.4</v>
      </c>
      <c r="D84" s="11">
        <v>239.1</v>
      </c>
      <c r="E84" s="11">
        <v>241</v>
      </c>
      <c r="F84" s="11">
        <v>263.7</v>
      </c>
      <c r="G84" s="11">
        <v>187.5</v>
      </c>
      <c r="H84" s="11">
        <v>149.80000000000001</v>
      </c>
      <c r="I84" s="11">
        <v>51.5</v>
      </c>
      <c r="J84" s="11">
        <v>58.9</v>
      </c>
      <c r="K84" s="11">
        <v>134</v>
      </c>
      <c r="L84" s="11">
        <v>213.8</v>
      </c>
      <c r="M84" s="11">
        <v>250.9</v>
      </c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 t="s">
        <v>330</v>
      </c>
      <c r="B85" s="1" t="s">
        <v>42</v>
      </c>
      <c r="C85" s="11">
        <v>46830.2</v>
      </c>
      <c r="D85" s="11">
        <v>52269.5</v>
      </c>
      <c r="E85" s="11">
        <v>48534.6</v>
      </c>
      <c r="F85" s="11">
        <v>57075.3</v>
      </c>
      <c r="G85" s="11">
        <v>55933.3</v>
      </c>
      <c r="H85" s="11">
        <v>55459.3</v>
      </c>
      <c r="I85" s="11">
        <v>65867.3</v>
      </c>
      <c r="J85" s="11">
        <v>78175.3</v>
      </c>
      <c r="K85" s="11">
        <v>75122.3</v>
      </c>
      <c r="L85" s="11">
        <v>83044.7</v>
      </c>
      <c r="M85" s="11">
        <v>88787.7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 t="s">
        <v>331</v>
      </c>
      <c r="B86" s="1" t="s">
        <v>42</v>
      </c>
      <c r="C86" s="11">
        <v>1736.1</v>
      </c>
      <c r="D86" s="11">
        <v>1961.1</v>
      </c>
      <c r="E86" s="11">
        <v>4526.8</v>
      </c>
      <c r="F86" s="11">
        <v>2836.8</v>
      </c>
      <c r="G86" s="11">
        <v>484</v>
      </c>
      <c r="H86" s="11">
        <v>745.8</v>
      </c>
      <c r="I86" s="11">
        <v>5646.3</v>
      </c>
      <c r="J86" s="11">
        <v>6127.2</v>
      </c>
      <c r="K86" s="11">
        <v>6230</v>
      </c>
      <c r="L86" s="11">
        <v>6395.4</v>
      </c>
      <c r="M86" s="11">
        <v>196.2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 t="s">
        <v>332</v>
      </c>
      <c r="B87" s="1" t="s">
        <v>42</v>
      </c>
      <c r="C87" s="11"/>
      <c r="D87" s="11"/>
      <c r="E87" s="11"/>
      <c r="F87" s="11"/>
      <c r="G87" s="11">
        <v>656</v>
      </c>
      <c r="H87" s="11">
        <v>1351.3</v>
      </c>
      <c r="I87" s="11">
        <v>1517.7</v>
      </c>
      <c r="J87" s="11">
        <v>1595.3</v>
      </c>
      <c r="K87" s="11">
        <v>1396.2</v>
      </c>
      <c r="L87" s="11">
        <v>2219.3000000000002</v>
      </c>
      <c r="M87" s="11">
        <v>2632.7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 t="s">
        <v>333</v>
      </c>
      <c r="B88" s="1" t="s">
        <v>42</v>
      </c>
      <c r="C88" s="11"/>
      <c r="D88" s="11"/>
      <c r="E88" s="11">
        <v>0.7</v>
      </c>
      <c r="F88" s="11"/>
      <c r="G88" s="11">
        <v>15.1</v>
      </c>
      <c r="H88" s="11">
        <v>229.1</v>
      </c>
      <c r="I88" s="11">
        <v>296.10000000000002</v>
      </c>
      <c r="J88" s="11">
        <v>264.89999999999998</v>
      </c>
      <c r="K88" s="11">
        <v>498.5</v>
      </c>
      <c r="L88" s="11">
        <v>779.3</v>
      </c>
      <c r="M88" s="11">
        <v>674.3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 t="s">
        <v>334</v>
      </c>
      <c r="B89" s="1" t="s">
        <v>42</v>
      </c>
      <c r="C89" s="11">
        <v>510.8</v>
      </c>
      <c r="D89" s="11">
        <v>661.4</v>
      </c>
      <c r="E89" s="11">
        <v>305.89999999999998</v>
      </c>
      <c r="F89" s="11">
        <v>341.7</v>
      </c>
      <c r="G89" s="11">
        <v>282.5</v>
      </c>
      <c r="H89" s="11">
        <v>463.3</v>
      </c>
      <c r="I89" s="11">
        <v>1214.0999999999999</v>
      </c>
      <c r="J89" s="11">
        <v>1515.3</v>
      </c>
      <c r="K89" s="11">
        <v>1746.7</v>
      </c>
      <c r="L89" s="11">
        <v>1644.3</v>
      </c>
      <c r="M89" s="11">
        <v>1726.6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 t="s">
        <v>335</v>
      </c>
      <c r="B90" s="1" t="s">
        <v>42</v>
      </c>
      <c r="C90" s="11">
        <v>823.1</v>
      </c>
      <c r="D90" s="11">
        <v>954.7</v>
      </c>
      <c r="E90" s="11">
        <v>922</v>
      </c>
      <c r="F90" s="11">
        <v>1102.3</v>
      </c>
      <c r="G90" s="11">
        <v>1320.5</v>
      </c>
      <c r="H90" s="11">
        <v>1106.9000000000001</v>
      </c>
      <c r="I90" s="11">
        <v>1781.8</v>
      </c>
      <c r="J90" s="11">
        <v>2177.6999999999998</v>
      </c>
      <c r="K90" s="11">
        <v>3709</v>
      </c>
      <c r="L90" s="11">
        <v>4202.3999999999996</v>
      </c>
      <c r="M90" s="11">
        <v>4819.5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 t="s">
        <v>336</v>
      </c>
      <c r="B91" s="1" t="s">
        <v>42</v>
      </c>
      <c r="C91" s="11">
        <v>722.5</v>
      </c>
      <c r="D91" s="11">
        <v>550</v>
      </c>
      <c r="E91" s="11">
        <v>423</v>
      </c>
      <c r="F91" s="11">
        <v>525.79999999999995</v>
      </c>
      <c r="G91" s="11">
        <v>753.7</v>
      </c>
      <c r="H91" s="11"/>
      <c r="I91" s="11"/>
      <c r="J91" s="11"/>
      <c r="K91" s="11">
        <v>0</v>
      </c>
      <c r="L91" s="11">
        <v>4.0999999999999996</v>
      </c>
      <c r="M91" s="11">
        <v>2304.1999999999998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 t="s">
        <v>337</v>
      </c>
      <c r="B92" s="1" t="s">
        <v>42</v>
      </c>
      <c r="C92" s="11">
        <v>1.4</v>
      </c>
      <c r="D92" s="11">
        <v>0.4</v>
      </c>
      <c r="E92" s="11">
        <v>0.3</v>
      </c>
      <c r="F92" s="11">
        <v>0.2</v>
      </c>
      <c r="G92" s="11">
        <v>0.2</v>
      </c>
      <c r="H92" s="11">
        <v>0.2</v>
      </c>
      <c r="I92" s="11">
        <v>0.1</v>
      </c>
      <c r="J92" s="11"/>
      <c r="K92" s="11">
        <v>0</v>
      </c>
      <c r="L92" s="11">
        <v>29.4</v>
      </c>
      <c r="M92" s="11">
        <v>22.4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 t="s">
        <v>338</v>
      </c>
      <c r="B93" s="1" t="s">
        <v>42</v>
      </c>
      <c r="C93" s="11">
        <v>3805.8</v>
      </c>
      <c r="D93" s="11">
        <v>4127.8</v>
      </c>
      <c r="E93" s="11">
        <v>6178.7</v>
      </c>
      <c r="F93" s="11">
        <v>4806.8</v>
      </c>
      <c r="G93" s="11">
        <v>4133.6000000000004</v>
      </c>
      <c r="H93" s="11">
        <v>4680.1000000000004</v>
      </c>
      <c r="I93" s="11">
        <v>11218</v>
      </c>
      <c r="J93" s="11">
        <v>12631.6</v>
      </c>
      <c r="K93" s="11">
        <v>14877.8</v>
      </c>
      <c r="L93" s="11">
        <v>16982</v>
      </c>
      <c r="M93" s="11">
        <v>12815.3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 t="s">
        <v>339</v>
      </c>
      <c r="B94" s="1" t="s">
        <v>42</v>
      </c>
      <c r="C94" s="11">
        <v>10786</v>
      </c>
      <c r="D94" s="11">
        <v>12280.1</v>
      </c>
      <c r="E94" s="11">
        <v>9299.1</v>
      </c>
      <c r="F94" s="11">
        <v>7109.9</v>
      </c>
      <c r="G94" s="11">
        <v>7320.2</v>
      </c>
      <c r="H94" s="11">
        <v>7587.4</v>
      </c>
      <c r="I94" s="11">
        <v>9523.2999999999993</v>
      </c>
      <c r="J94" s="11">
        <v>8882.1</v>
      </c>
      <c r="K94" s="11">
        <v>7916.6</v>
      </c>
      <c r="L94" s="11">
        <v>9786.2999999999993</v>
      </c>
      <c r="M94" s="11">
        <v>16591.2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 t="s">
        <v>340</v>
      </c>
      <c r="B95" s="1" t="s">
        <v>42</v>
      </c>
      <c r="C95" s="11"/>
      <c r="D95" s="11"/>
      <c r="E95" s="11"/>
      <c r="F95" s="11"/>
      <c r="G95" s="11">
        <v>1263.8</v>
      </c>
      <c r="H95" s="11">
        <v>766.9</v>
      </c>
      <c r="I95" s="11">
        <v>905.6</v>
      </c>
      <c r="J95" s="11">
        <v>862</v>
      </c>
      <c r="K95" s="11">
        <v>922.1</v>
      </c>
      <c r="L95" s="11">
        <v>802.5</v>
      </c>
      <c r="M95" s="11">
        <v>870.9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 t="s">
        <v>341</v>
      </c>
      <c r="B96" s="1" t="s">
        <v>42</v>
      </c>
      <c r="C96" s="11">
        <v>234</v>
      </c>
      <c r="D96" s="11">
        <v>270.8</v>
      </c>
      <c r="E96" s="11">
        <v>221</v>
      </c>
      <c r="F96" s="11">
        <v>131</v>
      </c>
      <c r="G96" s="11">
        <v>723.1</v>
      </c>
      <c r="H96" s="11">
        <v>107</v>
      </c>
      <c r="I96" s="11">
        <v>58.5</v>
      </c>
      <c r="J96" s="11">
        <v>282.5</v>
      </c>
      <c r="K96" s="11">
        <v>55.8</v>
      </c>
      <c r="L96" s="11">
        <v>96.8</v>
      </c>
      <c r="M96" s="11">
        <v>1097.8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 t="s">
        <v>342</v>
      </c>
      <c r="B97" s="1" t="s">
        <v>42</v>
      </c>
      <c r="C97" s="11">
        <v>6818.7</v>
      </c>
      <c r="D97" s="11">
        <v>6548.6</v>
      </c>
      <c r="E97" s="11">
        <v>6812.9</v>
      </c>
      <c r="F97" s="11">
        <v>8830.4</v>
      </c>
      <c r="G97" s="11">
        <v>7812.9</v>
      </c>
      <c r="H97" s="11">
        <v>7651.2</v>
      </c>
      <c r="I97" s="11">
        <v>9447.7000000000007</v>
      </c>
      <c r="J97" s="11">
        <v>8905.4</v>
      </c>
      <c r="K97" s="11">
        <v>8856.6</v>
      </c>
      <c r="L97" s="11">
        <v>8825.2000000000007</v>
      </c>
      <c r="M97" s="11">
        <v>9492.4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 t="s">
        <v>343</v>
      </c>
      <c r="B98" s="1" t="s">
        <v>42</v>
      </c>
      <c r="C98" s="11"/>
      <c r="D98" s="11"/>
      <c r="E98" s="11">
        <v>105</v>
      </c>
      <c r="F98" s="11">
        <v>64.400000000000006</v>
      </c>
      <c r="G98" s="11">
        <v>89.9</v>
      </c>
      <c r="H98" s="11">
        <v>147</v>
      </c>
      <c r="I98" s="11">
        <v>3311</v>
      </c>
      <c r="J98" s="11">
        <v>414.1</v>
      </c>
      <c r="K98" s="11">
        <v>227.2</v>
      </c>
      <c r="L98" s="11">
        <v>387.8</v>
      </c>
      <c r="M98" s="11">
        <v>1135.7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 t="s">
        <v>344</v>
      </c>
      <c r="B99" s="1" t="s">
        <v>42</v>
      </c>
      <c r="C99" s="11">
        <v>1807.6</v>
      </c>
      <c r="D99" s="11"/>
      <c r="E99" s="11"/>
      <c r="F99" s="11"/>
      <c r="G99" s="11"/>
      <c r="H99" s="11"/>
      <c r="I99" s="11"/>
      <c r="J99" s="11"/>
      <c r="K99" s="11"/>
      <c r="L99" s="11"/>
      <c r="M99" s="11">
        <v>2543.4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 t="s">
        <v>345</v>
      </c>
      <c r="B100" s="1" t="s">
        <v>42</v>
      </c>
      <c r="C100" s="11">
        <v>701.5</v>
      </c>
      <c r="D100" s="11">
        <v>810.1</v>
      </c>
      <c r="E100" s="11">
        <v>941.7</v>
      </c>
      <c r="F100" s="11">
        <v>954.1</v>
      </c>
      <c r="G100" s="11">
        <v>1173.0999999999999</v>
      </c>
      <c r="H100" s="11">
        <v>1732.4</v>
      </c>
      <c r="I100" s="11">
        <v>1323.1</v>
      </c>
      <c r="J100" s="11">
        <v>1884.6</v>
      </c>
      <c r="K100" s="11">
        <v>2175.6</v>
      </c>
      <c r="L100" s="11">
        <v>3448.1</v>
      </c>
      <c r="M100" s="11">
        <v>4962.1000000000004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 t="s">
        <v>346</v>
      </c>
      <c r="B101" s="1" t="s">
        <v>42</v>
      </c>
      <c r="C101" s="11">
        <v>1382.1</v>
      </c>
      <c r="D101" s="11">
        <v>1302.7</v>
      </c>
      <c r="E101" s="11">
        <v>1661.3</v>
      </c>
      <c r="F101" s="11">
        <v>1869</v>
      </c>
      <c r="G101" s="11"/>
      <c r="H101" s="11"/>
      <c r="I101" s="11"/>
      <c r="J101" s="11"/>
      <c r="K101" s="11">
        <v>0</v>
      </c>
      <c r="L101" s="11">
        <v>23.4</v>
      </c>
      <c r="M101" s="11">
        <v>3480.1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 t="s">
        <v>347</v>
      </c>
      <c r="B102" s="1" t="s">
        <v>42</v>
      </c>
      <c r="C102" s="11">
        <v>126.2</v>
      </c>
      <c r="D102" s="11">
        <v>127</v>
      </c>
      <c r="E102" s="11">
        <v>79.599999999999994</v>
      </c>
      <c r="F102" s="11">
        <v>63.8</v>
      </c>
      <c r="G102" s="11">
        <v>61.2</v>
      </c>
      <c r="H102" s="11">
        <v>303.39999999999998</v>
      </c>
      <c r="I102" s="11">
        <v>277.10000000000002</v>
      </c>
      <c r="J102" s="11">
        <v>254.9</v>
      </c>
      <c r="K102" s="11">
        <v>197.1</v>
      </c>
      <c r="L102" s="11">
        <v>163.69999999999999</v>
      </c>
      <c r="M102" s="11">
        <v>149.6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 t="s">
        <v>348</v>
      </c>
      <c r="B103" s="1" t="s">
        <v>42</v>
      </c>
      <c r="C103" s="11">
        <v>21856.1</v>
      </c>
      <c r="D103" s="11">
        <v>22954.3</v>
      </c>
      <c r="E103" s="11">
        <v>21350.7</v>
      </c>
      <c r="F103" s="11">
        <v>21435</v>
      </c>
      <c r="G103" s="11">
        <v>21639.3</v>
      </c>
      <c r="H103" s="11">
        <v>23004</v>
      </c>
      <c r="I103" s="11">
        <v>30832.9</v>
      </c>
      <c r="J103" s="11">
        <v>26775.3</v>
      </c>
      <c r="K103" s="11">
        <v>25245.8</v>
      </c>
      <c r="L103" s="11">
        <v>28625.3</v>
      </c>
      <c r="M103" s="11">
        <v>40323.199999999997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 t="s">
        <v>349</v>
      </c>
      <c r="B104" s="1" t="s">
        <v>42</v>
      </c>
      <c r="C104" s="11">
        <v>25661.9</v>
      </c>
      <c r="D104" s="11">
        <v>27082.1</v>
      </c>
      <c r="E104" s="11">
        <v>27529.4</v>
      </c>
      <c r="F104" s="11">
        <v>26241.8</v>
      </c>
      <c r="G104" s="11">
        <v>25772.9</v>
      </c>
      <c r="H104" s="11">
        <v>27684.1</v>
      </c>
      <c r="I104" s="11">
        <v>42050.9</v>
      </c>
      <c r="J104" s="11">
        <v>39406.9</v>
      </c>
      <c r="K104" s="11">
        <v>40123.599999999999</v>
      </c>
      <c r="L104" s="11">
        <v>45607.3</v>
      </c>
      <c r="M104" s="11">
        <v>53138.5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8" customHeight="1">
      <c r="A108" s="47" t="s">
        <v>350</v>
      </c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9.95" customHeight="1">
      <c r="A109" s="4" t="s">
        <v>24</v>
      </c>
      <c r="B109" s="4" t="s">
        <v>25</v>
      </c>
      <c r="C109" s="4" t="s">
        <v>26</v>
      </c>
      <c r="D109" s="4" t="s">
        <v>27</v>
      </c>
      <c r="E109" s="4" t="s">
        <v>28</v>
      </c>
      <c r="F109" s="4" t="s">
        <v>29</v>
      </c>
      <c r="G109" s="4" t="s">
        <v>30</v>
      </c>
      <c r="H109" s="4" t="s">
        <v>31</v>
      </c>
      <c r="I109" s="4" t="s">
        <v>32</v>
      </c>
      <c r="J109" s="4" t="s">
        <v>33</v>
      </c>
      <c r="K109" s="4" t="s">
        <v>34</v>
      </c>
      <c r="L109" s="4" t="s">
        <v>35</v>
      </c>
      <c r="M109" s="4" t="s">
        <v>36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 t="s">
        <v>351</v>
      </c>
      <c r="B110" s="1" t="s">
        <v>42</v>
      </c>
      <c r="C110" s="11">
        <v>11493.3</v>
      </c>
      <c r="D110" s="11">
        <v>11035.6</v>
      </c>
      <c r="E110" s="11">
        <v>10247.4</v>
      </c>
      <c r="F110" s="11">
        <v>11541.5</v>
      </c>
      <c r="G110" s="11">
        <v>12251.2</v>
      </c>
      <c r="H110" s="11">
        <v>13900.7</v>
      </c>
      <c r="I110" s="11">
        <v>15127.5</v>
      </c>
      <c r="J110" s="11">
        <v>14765.7</v>
      </c>
      <c r="K110" s="11">
        <v>14721</v>
      </c>
      <c r="L110" s="11">
        <v>17495.7</v>
      </c>
      <c r="M110" s="11">
        <v>17342.2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 t="s">
        <v>241</v>
      </c>
      <c r="B111" s="1" t="s">
        <v>42</v>
      </c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>
        <v>2910.7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 t="s">
        <v>352</v>
      </c>
      <c r="B112" s="1" t="s">
        <v>42</v>
      </c>
      <c r="C112" s="11">
        <v>153.4</v>
      </c>
      <c r="D112" s="11">
        <v>174.2</v>
      </c>
      <c r="E112" s="11">
        <v>134.69999999999999</v>
      </c>
      <c r="F112" s="11">
        <v>193.8</v>
      </c>
      <c r="G112" s="11">
        <v>126.2</v>
      </c>
      <c r="H112" s="11">
        <v>231</v>
      </c>
      <c r="I112" s="11">
        <v>411</v>
      </c>
      <c r="J112" s="11">
        <v>396.9</v>
      </c>
      <c r="K112" s="11">
        <v>558.4</v>
      </c>
      <c r="L112" s="11">
        <v>555.1</v>
      </c>
      <c r="M112" s="11">
        <v>446.5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 t="s">
        <v>353</v>
      </c>
      <c r="B113" s="1" t="s">
        <v>42</v>
      </c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>
        <v>-39.299999999999997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 t="s">
        <v>354</v>
      </c>
      <c r="B114" s="1" t="s">
        <v>42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>
        <v>-2191.4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 t="s">
        <v>355</v>
      </c>
      <c r="B115" s="1" t="s">
        <v>42</v>
      </c>
      <c r="C115" s="11">
        <v>2536.6</v>
      </c>
      <c r="D115" s="11">
        <v>2521.3000000000002</v>
      </c>
      <c r="E115" s="11">
        <v>2239</v>
      </c>
      <c r="F115" s="11">
        <v>2524.1999999999998</v>
      </c>
      <c r="G115" s="11">
        <v>2479.9</v>
      </c>
      <c r="H115" s="11">
        <v>3034.5</v>
      </c>
      <c r="I115" s="11">
        <v>2894.6</v>
      </c>
      <c r="J115" s="11">
        <v>3399.2</v>
      </c>
      <c r="K115" s="11">
        <v>3608.9</v>
      </c>
      <c r="L115" s="11">
        <v>4277.7</v>
      </c>
      <c r="M115" s="11">
        <v>4076.7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 t="s">
        <v>356</v>
      </c>
      <c r="B116" s="1" t="s">
        <v>42</v>
      </c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>
        <v>-1144.2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 t="s">
        <v>357</v>
      </c>
      <c r="B117" s="1" t="s">
        <v>42</v>
      </c>
      <c r="C117" s="11">
        <v>-532.9</v>
      </c>
      <c r="D117" s="11">
        <v>381.3</v>
      </c>
      <c r="E117" s="11">
        <v>219.2</v>
      </c>
      <c r="F117" s="11"/>
      <c r="G117" s="11"/>
      <c r="H117" s="11"/>
      <c r="I117" s="11"/>
      <c r="J117" s="11"/>
      <c r="K117" s="11"/>
      <c r="L117" s="11"/>
      <c r="M117" s="11">
        <v>-1449.8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 t="s">
        <v>358</v>
      </c>
      <c r="B118" s="1" t="s">
        <v>42</v>
      </c>
      <c r="C118" s="11">
        <v>-54.1</v>
      </c>
      <c r="D118" s="11">
        <v>147.5</v>
      </c>
      <c r="E118" s="11">
        <v>54.5</v>
      </c>
      <c r="F118" s="11">
        <v>-56.6</v>
      </c>
      <c r="G118" s="11">
        <v>208.5</v>
      </c>
      <c r="H118" s="11">
        <v>80.3</v>
      </c>
      <c r="I118" s="11">
        <v>-25.6</v>
      </c>
      <c r="J118" s="11">
        <v>16.2</v>
      </c>
      <c r="K118" s="11">
        <v>28.7</v>
      </c>
      <c r="L118" s="11">
        <v>21.3</v>
      </c>
      <c r="M118" s="11">
        <v>18.399999999999999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 t="s">
        <v>359</v>
      </c>
      <c r="B119" s="1" t="s">
        <v>42</v>
      </c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>
        <v>-20.5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 t="s">
        <v>360</v>
      </c>
      <c r="B120" s="1" t="s">
        <v>42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>
        <v>848.2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 t="s">
        <v>361</v>
      </c>
      <c r="B121" s="1" t="s">
        <v>42</v>
      </c>
      <c r="C121" s="11">
        <v>10580.8</v>
      </c>
      <c r="D121" s="11">
        <v>11824.9</v>
      </c>
      <c r="E121" s="11">
        <v>11233.8</v>
      </c>
      <c r="F121" s="11">
        <v>14146.5</v>
      </c>
      <c r="G121" s="11">
        <v>10702.7</v>
      </c>
      <c r="H121" s="11">
        <v>17246.5</v>
      </c>
      <c r="I121" s="11">
        <v>13648.3</v>
      </c>
      <c r="J121" s="11">
        <v>16081.9</v>
      </c>
      <c r="K121" s="11">
        <v>19157.599999999999</v>
      </c>
      <c r="L121" s="11">
        <v>19560.099999999999</v>
      </c>
      <c r="M121" s="11">
        <v>17556.099999999999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 t="s">
        <v>362</v>
      </c>
      <c r="B122" s="1" t="s">
        <v>42</v>
      </c>
      <c r="C122" s="11">
        <v>-2693.5</v>
      </c>
      <c r="D122" s="11">
        <v>-2547.6</v>
      </c>
      <c r="E122" s="11">
        <v>-2810.5</v>
      </c>
      <c r="F122" s="11">
        <v>-2514.9</v>
      </c>
      <c r="G122" s="11">
        <v>-638.4</v>
      </c>
      <c r="H122" s="11">
        <v>-2491.5</v>
      </c>
      <c r="I122" s="11">
        <v>-2568.6</v>
      </c>
      <c r="J122" s="11">
        <v>-3021.8</v>
      </c>
      <c r="K122" s="11">
        <v>-1536</v>
      </c>
      <c r="L122" s="11">
        <v>-2617.5</v>
      </c>
      <c r="M122" s="11">
        <v>-2624.5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 t="s">
        <v>54</v>
      </c>
      <c r="B123" s="1" t="s">
        <v>42</v>
      </c>
      <c r="C123" s="11">
        <v>7887.3</v>
      </c>
      <c r="D123" s="11">
        <v>9277.2999999999993</v>
      </c>
      <c r="E123" s="11">
        <v>8423.2999999999993</v>
      </c>
      <c r="F123" s="11">
        <v>11631.6</v>
      </c>
      <c r="G123" s="11">
        <v>10064.299999999999</v>
      </c>
      <c r="H123" s="11">
        <v>14755</v>
      </c>
      <c r="I123" s="11">
        <v>11079.7</v>
      </c>
      <c r="J123" s="11">
        <v>13060.1</v>
      </c>
      <c r="K123" s="11">
        <v>17621.599999999999</v>
      </c>
      <c r="L123" s="11">
        <v>16942.599999999999</v>
      </c>
      <c r="M123" s="11">
        <v>14931.6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 t="s">
        <v>363</v>
      </c>
      <c r="B124" s="1" t="s">
        <v>42</v>
      </c>
      <c r="C124" s="11">
        <v>-1395.1</v>
      </c>
      <c r="D124" s="11">
        <v>-2085.3000000000002</v>
      </c>
      <c r="E124" s="11">
        <v>-2187</v>
      </c>
      <c r="F124" s="11">
        <v>-2278.1</v>
      </c>
      <c r="G124" s="11">
        <v>-2349.6999999999998</v>
      </c>
      <c r="H124" s="11">
        <v>-1957.7</v>
      </c>
      <c r="I124" s="11">
        <v>-2015.3</v>
      </c>
      <c r="J124" s="11">
        <v>-1483.4</v>
      </c>
      <c r="K124" s="11">
        <v>-1051</v>
      </c>
      <c r="L124" s="11">
        <v>-1473.7</v>
      </c>
      <c r="M124" s="11">
        <v>-1560.3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 t="s">
        <v>364</v>
      </c>
      <c r="B125" s="1" t="s">
        <v>42</v>
      </c>
      <c r="C125" s="11">
        <v>77.900000000000006</v>
      </c>
      <c r="D125" s="11">
        <v>120.7</v>
      </c>
      <c r="E125" s="11">
        <v>117.1</v>
      </c>
      <c r="F125" s="11">
        <v>194</v>
      </c>
      <c r="G125" s="11">
        <v>127</v>
      </c>
      <c r="H125" s="11">
        <v>75.3</v>
      </c>
      <c r="I125" s="11">
        <v>73.599999999999994</v>
      </c>
      <c r="J125" s="11">
        <v>54.6</v>
      </c>
      <c r="K125" s="11">
        <v>402.2</v>
      </c>
      <c r="L125" s="11">
        <v>182.2</v>
      </c>
      <c r="M125" s="11">
        <v>75.8</v>
      </c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 t="s">
        <v>365</v>
      </c>
      <c r="B126" s="1" t="s">
        <v>42</v>
      </c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>
        <v>-83780.600000000006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 t="s">
        <v>366</v>
      </c>
      <c r="B127" s="1" t="s">
        <v>42</v>
      </c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>
        <v>81673.2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 t="s">
        <v>367</v>
      </c>
      <c r="B128" s="1" t="s">
        <v>42</v>
      </c>
      <c r="C128" s="11">
        <v>-3937.3</v>
      </c>
      <c r="D128" s="11">
        <v>-3360.8</v>
      </c>
      <c r="E128" s="11">
        <v>-665.2</v>
      </c>
      <c r="F128" s="11"/>
      <c r="G128" s="11">
        <v>-1000.3</v>
      </c>
      <c r="H128" s="11">
        <v>-987.3</v>
      </c>
      <c r="I128" s="11">
        <v>-12984.6</v>
      </c>
      <c r="J128" s="11">
        <v>-4556.6000000000004</v>
      </c>
      <c r="K128" s="11">
        <v>-529.1</v>
      </c>
      <c r="L128" s="11">
        <v>-96.4</v>
      </c>
      <c r="M128" s="11">
        <v>-2603.3000000000002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 t="s">
        <v>368</v>
      </c>
      <c r="B129" s="1" t="s">
        <v>42</v>
      </c>
      <c r="C129" s="11">
        <v>1836.8</v>
      </c>
      <c r="D129" s="11">
        <v>1706.9</v>
      </c>
      <c r="E129" s="11">
        <v>1434.7</v>
      </c>
      <c r="F129" s="11">
        <v>2016.3</v>
      </c>
      <c r="G129" s="11">
        <v>2383.6999999999998</v>
      </c>
      <c r="H129" s="11">
        <v>1962.4</v>
      </c>
      <c r="I129" s="11">
        <v>1227.5</v>
      </c>
      <c r="J129" s="11">
        <v>1411.2</v>
      </c>
      <c r="K129" s="11">
        <v>2011.1</v>
      </c>
      <c r="L129" s="11">
        <v>2621.1999999999998</v>
      </c>
      <c r="M129" s="11">
        <v>2887.8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 t="s">
        <v>369</v>
      </c>
      <c r="B130" s="1" t="s">
        <v>42</v>
      </c>
      <c r="C130" s="11">
        <v>6.6</v>
      </c>
      <c r="D130" s="11">
        <v>31.1</v>
      </c>
      <c r="E130" s="11">
        <v>60.9</v>
      </c>
      <c r="F130" s="11">
        <v>36.1</v>
      </c>
      <c r="G130" s="11">
        <v>36.700000000000003</v>
      </c>
      <c r="H130" s="11">
        <v>0.4</v>
      </c>
      <c r="I130" s="11">
        <v>0.2</v>
      </c>
      <c r="J130" s="11">
        <v>0.3</v>
      </c>
      <c r="K130" s="11">
        <v>0.3</v>
      </c>
      <c r="L130" s="11">
        <v>229.9</v>
      </c>
      <c r="M130" s="11">
        <v>0.3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 t="s">
        <v>370</v>
      </c>
      <c r="B131" s="1" t="s">
        <v>42</v>
      </c>
      <c r="C131" s="11">
        <v>-13815.6</v>
      </c>
      <c r="D131" s="11">
        <v>-11628.3</v>
      </c>
      <c r="E131" s="11">
        <v>3557.8</v>
      </c>
      <c r="F131" s="11">
        <v>5012.6000000000004</v>
      </c>
      <c r="G131" s="11">
        <v>3401.2</v>
      </c>
      <c r="H131" s="11">
        <v>773.9</v>
      </c>
      <c r="I131" s="11">
        <v>-22449.5</v>
      </c>
      <c r="J131" s="11">
        <v>-8406.5</v>
      </c>
      <c r="K131" s="11">
        <v>1168</v>
      </c>
      <c r="L131" s="11">
        <v>-8073</v>
      </c>
      <c r="M131" s="11">
        <v>-3342.3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 t="s">
        <v>371</v>
      </c>
      <c r="B132" s="1" t="s">
        <v>42</v>
      </c>
      <c r="C132" s="11">
        <v>0.4</v>
      </c>
      <c r="D132" s="11"/>
      <c r="E132" s="11">
        <v>2.4</v>
      </c>
      <c r="F132" s="11">
        <v>0.4</v>
      </c>
      <c r="G132" s="11">
        <v>1.4</v>
      </c>
      <c r="H132" s="11">
        <v>0.6</v>
      </c>
      <c r="I132" s="11">
        <v>0.6</v>
      </c>
      <c r="J132" s="11">
        <v>1.2</v>
      </c>
      <c r="K132" s="11">
        <v>1.3</v>
      </c>
      <c r="L132" s="11">
        <v>2.7</v>
      </c>
      <c r="M132" s="11">
        <v>3.3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 t="s">
        <v>372</v>
      </c>
      <c r="B133" s="1" t="s">
        <v>42</v>
      </c>
      <c r="C133" s="11">
        <v>17254.900000000001</v>
      </c>
      <c r="D133" s="11">
        <v>12592.2</v>
      </c>
      <c r="E133" s="11">
        <v>14427.1</v>
      </c>
      <c r="F133" s="11">
        <v>6516.1</v>
      </c>
      <c r="G133" s="11">
        <v>10634.2</v>
      </c>
      <c r="H133" s="11">
        <v>10341.799999999999</v>
      </c>
      <c r="I133" s="11">
        <v>26012</v>
      </c>
      <c r="J133" s="11">
        <v>16103.4</v>
      </c>
      <c r="K133" s="11">
        <v>12050</v>
      </c>
      <c r="L133" s="11">
        <v>19559.5</v>
      </c>
      <c r="M133" s="11">
        <v>25308.9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 t="s">
        <v>373</v>
      </c>
      <c r="B134" s="1" t="s">
        <v>42</v>
      </c>
      <c r="C134" s="11">
        <v>-13729.8</v>
      </c>
      <c r="D134" s="11">
        <v>-11280.3</v>
      </c>
      <c r="E134" s="11">
        <v>-15525.4</v>
      </c>
      <c r="F134" s="11">
        <v>-10403.9</v>
      </c>
      <c r="G134" s="11">
        <v>-13238</v>
      </c>
      <c r="H134" s="11">
        <v>-9720.6</v>
      </c>
      <c r="I134" s="11">
        <v>-19181</v>
      </c>
      <c r="J134" s="11">
        <v>-16891</v>
      </c>
      <c r="K134" s="11">
        <v>-13055.7</v>
      </c>
      <c r="L134" s="11">
        <v>-17767.2</v>
      </c>
      <c r="M134" s="11">
        <v>-25984.1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 t="s">
        <v>374</v>
      </c>
      <c r="B135" s="1" t="s">
        <v>42</v>
      </c>
      <c r="C135" s="11"/>
      <c r="D135" s="11"/>
      <c r="E135" s="11"/>
      <c r="F135" s="11"/>
      <c r="G135" s="11">
        <v>-678.4</v>
      </c>
      <c r="H135" s="11">
        <v>-866</v>
      </c>
      <c r="I135" s="11">
        <v>-973</v>
      </c>
      <c r="J135" s="11">
        <v>-971.1</v>
      </c>
      <c r="K135" s="11">
        <v>-1006</v>
      </c>
      <c r="L135" s="11">
        <v>-1047.4000000000001</v>
      </c>
      <c r="M135" s="11">
        <v>-1156.0999999999999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 t="s">
        <v>375</v>
      </c>
      <c r="B136" s="1" t="s">
        <v>42</v>
      </c>
      <c r="C136" s="11">
        <v>-134.80000000000001</v>
      </c>
      <c r="D136" s="11">
        <v>-199.9</v>
      </c>
      <c r="E136" s="11">
        <v>-312.3</v>
      </c>
      <c r="F136" s="11">
        <v>-479.6</v>
      </c>
      <c r="G136" s="11">
        <v>-460.1</v>
      </c>
      <c r="H136" s="11">
        <v>-333.5</v>
      </c>
      <c r="I136" s="11">
        <v>-508.9</v>
      </c>
      <c r="J136" s="11">
        <v>-870.8</v>
      </c>
      <c r="K136" s="11">
        <v>-1045.5999999999999</v>
      </c>
      <c r="L136" s="11">
        <v>-868.9</v>
      </c>
      <c r="M136" s="11">
        <v>-633.6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 t="s">
        <v>376</v>
      </c>
      <c r="B137" s="1" t="s">
        <v>42</v>
      </c>
      <c r="C137" s="11">
        <v>-3549.4</v>
      </c>
      <c r="D137" s="11">
        <v>-873.4</v>
      </c>
      <c r="E137" s="11">
        <v>-542</v>
      </c>
      <c r="F137" s="11">
        <v>-450.4</v>
      </c>
      <c r="G137" s="11">
        <v>-568.9</v>
      </c>
      <c r="H137" s="11">
        <v>-545.9</v>
      </c>
      <c r="I137" s="11">
        <v>-546.70000000000005</v>
      </c>
      <c r="J137" s="11">
        <v>-3281.4</v>
      </c>
      <c r="K137" s="11">
        <v>-521.79999999999995</v>
      </c>
      <c r="L137" s="11">
        <v>-6275</v>
      </c>
      <c r="M137" s="11">
        <v>-11520.6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 t="s">
        <v>212</v>
      </c>
      <c r="B138" s="1" t="s">
        <v>42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 t="s">
        <v>377</v>
      </c>
      <c r="B139" s="1" t="s">
        <v>42</v>
      </c>
      <c r="C139" s="11">
        <v>-158.69999999999999</v>
      </c>
      <c r="D139" s="11">
        <v>-2275.1999999999998</v>
      </c>
      <c r="E139" s="11">
        <v>-12997.8</v>
      </c>
      <c r="F139" s="11">
        <v>-4936.8999999999996</v>
      </c>
      <c r="G139" s="11">
        <v>-15099.8</v>
      </c>
      <c r="H139" s="11">
        <v>-12884</v>
      </c>
      <c r="I139" s="11">
        <v>4658.6000000000004</v>
      </c>
      <c r="J139" s="11">
        <v>-6088.1</v>
      </c>
      <c r="K139" s="11">
        <v>-18256.7</v>
      </c>
      <c r="L139" s="11">
        <v>-6396.3</v>
      </c>
      <c r="M139" s="11">
        <v>-14126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 t="s">
        <v>378</v>
      </c>
      <c r="B140" s="1" t="s">
        <v>42</v>
      </c>
      <c r="C140" s="11">
        <v>54.9</v>
      </c>
      <c r="D140" s="11">
        <v>-141.19999999999999</v>
      </c>
      <c r="E140" s="11">
        <v>37.5</v>
      </c>
      <c r="F140" s="11">
        <v>52.6</v>
      </c>
      <c r="G140" s="11">
        <v>192.2</v>
      </c>
      <c r="H140" s="11">
        <v>-89</v>
      </c>
      <c r="I140" s="11">
        <v>128.19999999999999</v>
      </c>
      <c r="J140" s="11">
        <v>237.3</v>
      </c>
      <c r="K140" s="11">
        <v>-23.9</v>
      </c>
      <c r="L140" s="11">
        <v>29</v>
      </c>
      <c r="M140" s="11">
        <v>894.8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 t="s">
        <v>379</v>
      </c>
      <c r="B141" s="1" t="s">
        <v>42</v>
      </c>
      <c r="C141" s="11"/>
      <c r="D141" s="11">
        <v>9904.9</v>
      </c>
      <c r="E141" s="11">
        <v>5271</v>
      </c>
      <c r="F141" s="11">
        <v>4492.5</v>
      </c>
      <c r="G141" s="11">
        <v>15852.9</v>
      </c>
      <c r="H141" s="11">
        <v>14449.9</v>
      </c>
      <c r="I141" s="11">
        <v>16979.3</v>
      </c>
      <c r="J141" s="11">
        <v>10383.6</v>
      </c>
      <c r="K141" s="11">
        <v>9188</v>
      </c>
      <c r="L141" s="11">
        <v>9695.2999999999993</v>
      </c>
      <c r="M141" s="11">
        <v>12197.4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 t="s">
        <v>380</v>
      </c>
      <c r="B142" s="1" t="s">
        <v>42</v>
      </c>
      <c r="C142" s="11">
        <v>9904.9</v>
      </c>
      <c r="D142" s="11">
        <v>5271</v>
      </c>
      <c r="E142" s="11">
        <v>4492.5</v>
      </c>
      <c r="F142" s="11">
        <v>15852.9</v>
      </c>
      <c r="G142" s="11">
        <v>14449.9</v>
      </c>
      <c r="H142" s="11">
        <v>16979.3</v>
      </c>
      <c r="I142" s="11">
        <v>10383.6</v>
      </c>
      <c r="J142" s="11">
        <v>9188</v>
      </c>
      <c r="K142" s="11">
        <v>9695.2999999999993</v>
      </c>
      <c r="L142" s="11">
        <v>12197.4</v>
      </c>
      <c r="M142" s="11">
        <v>10555.5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</sheetData>
  <mergeCells count="6">
    <mergeCell ref="A108:M108"/>
    <mergeCell ref="A1:AU1"/>
    <mergeCell ref="A2:AU2"/>
    <mergeCell ref="A4:M4"/>
    <mergeCell ref="A30:AU30"/>
    <mergeCell ref="A53:M5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300"/>
  <sheetViews>
    <sheetView showGridLines="0" topLeftCell="A6" workbookViewId="0">
      <selection sqref="A1:M1"/>
    </sheetView>
  </sheetViews>
  <sheetFormatPr defaultRowHeight="13.8"/>
  <cols>
    <col min="1" max="1" width="45" customWidth="1"/>
    <col min="2" max="2" width="12" customWidth="1"/>
    <col min="3" max="17" width="11.5" customWidth="1"/>
  </cols>
  <sheetData>
    <row r="1" spans="1:47" ht="25.95" customHeight="1">
      <c r="A1" s="44" t="s">
        <v>381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45" t="s">
        <v>382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4" t="s">
        <v>35</v>
      </c>
      <c r="M5" s="4" t="s">
        <v>36</v>
      </c>
      <c r="N5" s="14" t="s">
        <v>37</v>
      </c>
      <c r="O5" s="14" t="s">
        <v>38</v>
      </c>
      <c r="P5" s="14" t="s">
        <v>39</v>
      </c>
      <c r="Q5" s="14" t="s">
        <v>40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383</v>
      </c>
      <c r="B7" s="1" t="s">
        <v>62</v>
      </c>
      <c r="C7" s="15">
        <v>7346.3</v>
      </c>
      <c r="D7" s="15">
        <v>7704.5</v>
      </c>
      <c r="E7" s="15">
        <v>8060.2</v>
      </c>
      <c r="F7" s="15">
        <v>8120.3</v>
      </c>
      <c r="G7" s="15">
        <v>8256.2000000000007</v>
      </c>
      <c r="H7" s="15">
        <v>8136.5</v>
      </c>
      <c r="I7" s="15">
        <v>10355.9</v>
      </c>
      <c r="J7" s="15">
        <v>11159.7</v>
      </c>
      <c r="K7" s="15">
        <v>10805.3</v>
      </c>
      <c r="L7" s="15">
        <v>10511.5</v>
      </c>
      <c r="M7" s="15">
        <v>10478.1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384</v>
      </c>
      <c r="B8" s="1" t="s">
        <v>59</v>
      </c>
      <c r="C8" s="13">
        <v>172912</v>
      </c>
      <c r="D8" s="13">
        <v>181482</v>
      </c>
      <c r="E8" s="13">
        <v>163827</v>
      </c>
      <c r="F8" s="13">
        <v>171425</v>
      </c>
      <c r="G8" s="13">
        <v>182886</v>
      </c>
      <c r="H8" s="13">
        <v>197712</v>
      </c>
      <c r="I8" s="13">
        <v>243128</v>
      </c>
      <c r="J8" s="13">
        <v>256921</v>
      </c>
      <c r="K8" s="13">
        <v>234054</v>
      </c>
      <c r="L8" s="13">
        <v>233346</v>
      </c>
      <c r="M8" s="13">
        <v>242156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385</v>
      </c>
      <c r="B9" s="1" t="s">
        <v>59</v>
      </c>
      <c r="C9" s="13">
        <v>13140</v>
      </c>
      <c r="D9" s="13">
        <v>14466</v>
      </c>
      <c r="E9" s="13">
        <v>14936</v>
      </c>
      <c r="F9" s="13">
        <v>14360</v>
      </c>
      <c r="G9" s="13">
        <v>14908</v>
      </c>
      <c r="H9" s="13">
        <v>15368</v>
      </c>
      <c r="I9" s="13">
        <v>17691</v>
      </c>
      <c r="J9" s="13">
        <v>16986</v>
      </c>
      <c r="K9" s="13">
        <v>15601</v>
      </c>
      <c r="L9" s="13">
        <v>15230</v>
      </c>
      <c r="M9" s="13">
        <v>14574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386</v>
      </c>
      <c r="B10" s="1" t="s">
        <v>44</v>
      </c>
      <c r="C10" s="16">
        <v>0.79900000000000004</v>
      </c>
      <c r="D10" s="16">
        <v>0.82299999999999995</v>
      </c>
      <c r="E10" s="16">
        <v>0.82499999999999996</v>
      </c>
      <c r="F10" s="16">
        <v>0.84799999999999998</v>
      </c>
      <c r="G10" s="16">
        <v>0.82299999999999995</v>
      </c>
      <c r="H10" s="16">
        <v>0.8590000000000001</v>
      </c>
      <c r="I10" s="16">
        <v>0.86799999999999999</v>
      </c>
      <c r="J10" s="16">
        <v>0.81200000000000006</v>
      </c>
      <c r="K10" s="16">
        <v>0.84799999999999998</v>
      </c>
      <c r="L10" s="16">
        <v>0.85599999999999998</v>
      </c>
      <c r="M10" s="16">
        <v>0.84499999999999997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387</v>
      </c>
      <c r="B11" s="1" t="s">
        <v>44</v>
      </c>
      <c r="C11" s="16">
        <v>0.161</v>
      </c>
      <c r="D11" s="16">
        <v>0.16300000000000001</v>
      </c>
      <c r="E11" s="16">
        <v>0.16600000000000001</v>
      </c>
      <c r="F11" s="16">
        <v>0.17600000000000002</v>
      </c>
      <c r="G11" s="16">
        <v>0.14699999999999999</v>
      </c>
      <c r="H11" s="16">
        <v>0.121</v>
      </c>
      <c r="I11" s="16">
        <v>0.23800000000000002</v>
      </c>
      <c r="J11" s="16">
        <v>0.192</v>
      </c>
      <c r="K11" s="16">
        <v>0.14199999999999999</v>
      </c>
      <c r="L11" s="16">
        <v>0.15</v>
      </c>
      <c r="M11" s="16">
        <v>0.13800000000000001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147</v>
      </c>
      <c r="B12" s="1" t="s">
        <v>44</v>
      </c>
      <c r="C12" s="16">
        <v>0.55200000000000005</v>
      </c>
      <c r="D12" s="16">
        <v>0.57100000000000006</v>
      </c>
      <c r="E12" s="16">
        <v>0.58099999999999996</v>
      </c>
      <c r="F12" s="16">
        <v>0.59399999999999997</v>
      </c>
      <c r="G12" s="16">
        <v>0.624</v>
      </c>
      <c r="H12" s="16">
        <v>0.62</v>
      </c>
      <c r="I12" s="16">
        <v>0.628</v>
      </c>
      <c r="J12" s="16">
        <v>0.59399999999999997</v>
      </c>
      <c r="K12" s="16">
        <v>0.59200000000000008</v>
      </c>
      <c r="L12" s="16">
        <v>0.56600000000000006</v>
      </c>
      <c r="M12" s="16">
        <v>0.54299999999999993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388</v>
      </c>
      <c r="B13" s="1" t="s">
        <v>59</v>
      </c>
      <c r="C13" s="13">
        <v>1223</v>
      </c>
      <c r="D13" s="13">
        <v>1323</v>
      </c>
      <c r="E13" s="13">
        <v>1248</v>
      </c>
      <c r="F13" s="13">
        <v>1115</v>
      </c>
      <c r="G13" s="13">
        <v>1074</v>
      </c>
      <c r="H13" s="13">
        <v>1120</v>
      </c>
      <c r="I13" s="13">
        <v>1369</v>
      </c>
      <c r="J13" s="13">
        <v>1441</v>
      </c>
      <c r="K13" s="13">
        <v>1371</v>
      </c>
      <c r="L13" s="13">
        <v>1282</v>
      </c>
      <c r="M13" s="13">
        <v>1233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389</v>
      </c>
      <c r="B14" s="1" t="s">
        <v>59</v>
      </c>
      <c r="C14" s="13">
        <v>9</v>
      </c>
      <c r="D14" s="13">
        <v>9</v>
      </c>
      <c r="E14" s="13">
        <v>8</v>
      </c>
      <c r="F14" s="13">
        <v>10</v>
      </c>
      <c r="G14" s="13">
        <v>15</v>
      </c>
      <c r="H14" s="13">
        <v>11</v>
      </c>
      <c r="I14" s="13">
        <v>19</v>
      </c>
      <c r="J14" s="13">
        <v>19</v>
      </c>
      <c r="K14" s="13">
        <v>22</v>
      </c>
      <c r="L14" s="13">
        <v>17</v>
      </c>
      <c r="M14" s="13">
        <v>16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390</v>
      </c>
      <c r="B15" s="1" t="s">
        <v>59</v>
      </c>
      <c r="C15" s="13">
        <v>33</v>
      </c>
      <c r="D15" s="13">
        <v>34</v>
      </c>
      <c r="E15" s="13">
        <v>39</v>
      </c>
      <c r="F15" s="13">
        <v>41</v>
      </c>
      <c r="G15" s="13">
        <v>40</v>
      </c>
      <c r="H15" s="13">
        <v>40</v>
      </c>
      <c r="I15" s="13">
        <v>50</v>
      </c>
      <c r="J15" s="13">
        <v>53</v>
      </c>
      <c r="K15" s="13">
        <v>45</v>
      </c>
      <c r="L15" s="13">
        <v>44</v>
      </c>
      <c r="M15" s="13">
        <v>45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391</v>
      </c>
      <c r="B16" s="1" t="s">
        <v>59</v>
      </c>
      <c r="C16" s="13">
        <v>89</v>
      </c>
      <c r="D16" s="13">
        <v>91</v>
      </c>
      <c r="E16" s="13">
        <v>95</v>
      </c>
      <c r="F16" s="13">
        <v>96</v>
      </c>
      <c r="G16" s="13">
        <v>96</v>
      </c>
      <c r="H16" s="13">
        <v>93</v>
      </c>
      <c r="I16" s="13">
        <v>117</v>
      </c>
      <c r="J16" s="13">
        <v>117</v>
      </c>
      <c r="K16" s="13">
        <v>116</v>
      </c>
      <c r="L16" s="13">
        <v>111</v>
      </c>
      <c r="M16" s="13">
        <v>106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392</v>
      </c>
      <c r="B17" s="1" t="s">
        <v>59</v>
      </c>
      <c r="C17" s="13">
        <v>160</v>
      </c>
      <c r="D17" s="13">
        <v>163</v>
      </c>
      <c r="E17" s="13">
        <v>171</v>
      </c>
      <c r="F17" s="13">
        <v>172</v>
      </c>
      <c r="G17" s="13">
        <v>166</v>
      </c>
      <c r="H17" s="13">
        <v>167</v>
      </c>
      <c r="I17" s="13">
        <v>194</v>
      </c>
      <c r="J17" s="13">
        <v>208</v>
      </c>
      <c r="K17" s="13">
        <v>205</v>
      </c>
      <c r="L17" s="13">
        <v>181</v>
      </c>
      <c r="M17" s="13">
        <v>183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393</v>
      </c>
      <c r="B18" s="1" t="s">
        <v>59</v>
      </c>
      <c r="C18" s="13">
        <v>248</v>
      </c>
      <c r="D18" s="13">
        <v>268</v>
      </c>
      <c r="E18" s="13">
        <v>277</v>
      </c>
      <c r="F18" s="13">
        <v>262</v>
      </c>
      <c r="G18" s="13">
        <v>260</v>
      </c>
      <c r="H18" s="13">
        <v>257</v>
      </c>
      <c r="I18" s="13">
        <v>297</v>
      </c>
      <c r="J18" s="13">
        <v>311</v>
      </c>
      <c r="K18" s="13">
        <v>301</v>
      </c>
      <c r="L18" s="13">
        <v>289</v>
      </c>
      <c r="M18" s="13">
        <v>289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394</v>
      </c>
      <c r="B19" s="1" t="s">
        <v>59</v>
      </c>
      <c r="C19" s="13">
        <v>550</v>
      </c>
      <c r="D19" s="13">
        <v>602</v>
      </c>
      <c r="E19" s="13">
        <v>631</v>
      </c>
      <c r="F19" s="13">
        <v>571</v>
      </c>
      <c r="G19" s="13">
        <v>574</v>
      </c>
      <c r="H19" s="13">
        <v>566</v>
      </c>
      <c r="I19" s="13">
        <v>679</v>
      </c>
      <c r="J19" s="13">
        <v>750</v>
      </c>
      <c r="K19" s="13">
        <v>741</v>
      </c>
      <c r="L19" s="13">
        <v>716</v>
      </c>
      <c r="M19" s="13">
        <v>715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395</v>
      </c>
      <c r="B20" s="1" t="s">
        <v>44</v>
      </c>
      <c r="C20" s="16">
        <v>3.1E-2</v>
      </c>
      <c r="D20" s="16">
        <v>2.7000000000000003E-2</v>
      </c>
      <c r="E20" s="16">
        <v>3.1E-2</v>
      </c>
      <c r="F20" s="16">
        <v>3.7000000000000005E-2</v>
      </c>
      <c r="G20" s="16">
        <v>3.2000000000000001E-2</v>
      </c>
      <c r="H20" s="16">
        <v>3.1E-2</v>
      </c>
      <c r="I20" s="16">
        <v>3.2000000000000001E-2</v>
      </c>
      <c r="J20" s="16">
        <v>3.2000000000000001E-2</v>
      </c>
      <c r="K20" s="16">
        <v>0.03</v>
      </c>
      <c r="L20" s="16">
        <v>4.2999999999999997E-2</v>
      </c>
      <c r="M20" s="16">
        <v>4.5999999999999999E-2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396</v>
      </c>
      <c r="B21" s="1" t="s">
        <v>44</v>
      </c>
      <c r="C21" s="16">
        <v>0.05</v>
      </c>
      <c r="D21" s="16">
        <v>0.05</v>
      </c>
      <c r="E21" s="16">
        <v>0.05</v>
      </c>
      <c r="F21" s="16">
        <v>0.05</v>
      </c>
      <c r="G21" s="16">
        <v>0.05</v>
      </c>
      <c r="H21" s="16">
        <v>0.05</v>
      </c>
      <c r="I21" s="16">
        <v>0.05</v>
      </c>
      <c r="J21" s="16">
        <v>0.05</v>
      </c>
      <c r="K21" s="16">
        <v>0.05</v>
      </c>
      <c r="L21" s="16">
        <v>0.05</v>
      </c>
      <c r="M21" s="16">
        <v>0.05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397</v>
      </c>
      <c r="B22" s="1" t="s">
        <v>44</v>
      </c>
      <c r="C22" s="16">
        <v>0.1</v>
      </c>
      <c r="D22" s="16">
        <v>0.1</v>
      </c>
      <c r="E22" s="16">
        <v>0.1</v>
      </c>
      <c r="F22" s="16">
        <v>0.1</v>
      </c>
      <c r="G22" s="16">
        <v>0.1</v>
      </c>
      <c r="H22" s="16">
        <v>0.1</v>
      </c>
      <c r="I22" s="16">
        <v>0.1</v>
      </c>
      <c r="J22" s="16">
        <v>0.1</v>
      </c>
      <c r="K22" s="16">
        <v>0.1</v>
      </c>
      <c r="L22" s="16">
        <v>0.1</v>
      </c>
      <c r="M22" s="16">
        <v>0.1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61</v>
      </c>
      <c r="B23" s="1" t="s">
        <v>62</v>
      </c>
      <c r="C23" s="15"/>
      <c r="D23" s="15"/>
      <c r="E23" s="15"/>
      <c r="F23" s="15"/>
      <c r="G23" s="15"/>
      <c r="H23" s="15"/>
      <c r="I23" s="15"/>
      <c r="J23" s="15"/>
      <c r="K23" s="15">
        <v>14907</v>
      </c>
      <c r="L23" s="15">
        <v>14315</v>
      </c>
      <c r="M23" s="15">
        <v>16449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63</v>
      </c>
      <c r="B24" s="1" t="s">
        <v>62</v>
      </c>
      <c r="C24" s="15"/>
      <c r="D24" s="15"/>
      <c r="E24" s="15"/>
      <c r="F24" s="15"/>
      <c r="G24" s="15"/>
      <c r="H24" s="15"/>
      <c r="I24" s="15"/>
      <c r="J24" s="15"/>
      <c r="K24" s="15"/>
      <c r="L24" s="15">
        <v>5368</v>
      </c>
      <c r="M24" s="15">
        <v>7829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398</v>
      </c>
      <c r="B25" s="1" t="s">
        <v>44</v>
      </c>
      <c r="C25" s="16">
        <v>0.6</v>
      </c>
      <c r="D25" s="16">
        <v>0.61</v>
      </c>
      <c r="E25" s="16">
        <v>0.57999999999999996</v>
      </c>
      <c r="F25" s="16">
        <v>0.61</v>
      </c>
      <c r="G25" s="16">
        <v>0.63</v>
      </c>
      <c r="H25" s="16">
        <v>0.61</v>
      </c>
      <c r="I25" s="16">
        <v>0.59</v>
      </c>
      <c r="J25" s="16">
        <v>0.61</v>
      </c>
      <c r="K25" s="16">
        <v>0.6</v>
      </c>
      <c r="L25" s="16">
        <v>0.62</v>
      </c>
      <c r="M25" s="16">
        <v>0.61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399</v>
      </c>
      <c r="B26" s="1" t="s">
        <v>44</v>
      </c>
      <c r="C26" s="16">
        <v>0.12</v>
      </c>
      <c r="D26" s="16">
        <v>0.1</v>
      </c>
      <c r="E26" s="16">
        <v>0.1</v>
      </c>
      <c r="F26" s="16">
        <v>0.1</v>
      </c>
      <c r="G26" s="16">
        <v>0.1</v>
      </c>
      <c r="H26" s="16">
        <v>0.1</v>
      </c>
      <c r="I26" s="16">
        <v>0.11</v>
      </c>
      <c r="J26" s="16">
        <v>0.1</v>
      </c>
      <c r="K26" s="16">
        <v>0.11</v>
      </c>
      <c r="L26" s="16">
        <v>0.1</v>
      </c>
      <c r="M26" s="16">
        <v>0.11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400</v>
      </c>
      <c r="B27" s="1" t="s">
        <v>44</v>
      </c>
      <c r="C27" s="16">
        <v>0.08</v>
      </c>
      <c r="D27" s="16">
        <v>0.09</v>
      </c>
      <c r="E27" s="16">
        <v>0.09</v>
      </c>
      <c r="F27" s="16">
        <v>0.09</v>
      </c>
      <c r="G27" s="16">
        <v>0.08</v>
      </c>
      <c r="H27" s="16">
        <v>0.08</v>
      </c>
      <c r="I27" s="16">
        <v>0.1</v>
      </c>
      <c r="J27" s="16">
        <v>0.1</v>
      </c>
      <c r="K27" s="16">
        <v>0.1</v>
      </c>
      <c r="L27" s="16">
        <v>0.1</v>
      </c>
      <c r="M27" s="16">
        <v>0.09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401</v>
      </c>
      <c r="B28" s="1" t="s">
        <v>44</v>
      </c>
      <c r="C28" s="16">
        <v>7.0000000000000007E-2</v>
      </c>
      <c r="D28" s="16">
        <v>7.0000000000000007E-2</v>
      </c>
      <c r="E28" s="16">
        <v>0.08</v>
      </c>
      <c r="F28" s="16">
        <v>0.05</v>
      </c>
      <c r="G28" s="16">
        <v>0.04</v>
      </c>
      <c r="H28" s="16">
        <v>0.05</v>
      </c>
      <c r="I28" s="16">
        <v>0.05</v>
      </c>
      <c r="J28" s="16">
        <v>0.04</v>
      </c>
      <c r="K28" s="16">
        <v>0.05</v>
      </c>
      <c r="L28" s="16">
        <v>0.04</v>
      </c>
      <c r="M28" s="16">
        <v>0.05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402</v>
      </c>
      <c r="B29" s="1" t="s">
        <v>44</v>
      </c>
      <c r="C29" s="16">
        <v>0.04</v>
      </c>
      <c r="D29" s="16">
        <v>0.04</v>
      </c>
      <c r="E29" s="16">
        <v>0.05</v>
      </c>
      <c r="F29" s="16">
        <v>0.05</v>
      </c>
      <c r="G29" s="16">
        <v>0.05</v>
      </c>
      <c r="H29" s="16">
        <v>0.05</v>
      </c>
      <c r="I29" s="16">
        <v>0.05</v>
      </c>
      <c r="J29" s="16">
        <v>0.05</v>
      </c>
      <c r="K29" s="16">
        <v>0.04</v>
      </c>
      <c r="L29" s="16">
        <v>0.04</v>
      </c>
      <c r="M29" s="16">
        <v>0.04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403</v>
      </c>
      <c r="B30" s="1" t="s">
        <v>44</v>
      </c>
      <c r="C30" s="16">
        <v>0.02</v>
      </c>
      <c r="D30" s="16">
        <v>0.02</v>
      </c>
      <c r="E30" s="16">
        <v>0.02</v>
      </c>
      <c r="F30" s="16">
        <v>0.03</v>
      </c>
      <c r="G30" s="16">
        <v>0.03</v>
      </c>
      <c r="H30" s="16">
        <v>0.03</v>
      </c>
      <c r="I30" s="16">
        <v>0.03</v>
      </c>
      <c r="J30" s="16">
        <v>0.03</v>
      </c>
      <c r="K30" s="16">
        <v>0.03</v>
      </c>
      <c r="L30" s="16">
        <v>0.03</v>
      </c>
      <c r="M30" s="16">
        <v>0.03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404</v>
      </c>
      <c r="B31" s="1" t="s">
        <v>44</v>
      </c>
      <c r="C31" s="16">
        <v>7.0000000000000007E-2</v>
      </c>
      <c r="D31" s="16">
        <v>7.0000000000000007E-2</v>
      </c>
      <c r="E31" s="16">
        <v>0.08</v>
      </c>
      <c r="F31" s="16">
        <v>7.0000000000000007E-2</v>
      </c>
      <c r="G31" s="16">
        <v>7.0000000000000007E-2</v>
      </c>
      <c r="H31" s="16">
        <v>0.08</v>
      </c>
      <c r="I31" s="16">
        <v>7.0000000000000007E-2</v>
      </c>
      <c r="J31" s="16">
        <v>7.0000000000000007E-2</v>
      </c>
      <c r="K31" s="16">
        <v>7.0000000000000007E-2</v>
      </c>
      <c r="L31" s="16">
        <v>7.0000000000000007E-2</v>
      </c>
      <c r="M31" s="16">
        <v>7.0000000000000007E-2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8" customHeight="1">
      <c r="A34" s="47" t="s">
        <v>405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406</v>
      </c>
      <c r="B35" s="1" t="s">
        <v>44</v>
      </c>
      <c r="C35" s="16">
        <v>0.26300000000000001</v>
      </c>
      <c r="D35" s="16">
        <v>0.25700000000000001</v>
      </c>
      <c r="E35" s="16">
        <v>0.28100000000000003</v>
      </c>
      <c r="F35" s="16">
        <v>0.309</v>
      </c>
      <c r="G35" s="16">
        <v>0.31</v>
      </c>
      <c r="H35" s="16">
        <v>0.307</v>
      </c>
      <c r="I35" s="16">
        <v>0.34700000000000003</v>
      </c>
      <c r="J35" s="16">
        <v>0.34899999999999998</v>
      </c>
      <c r="K35" s="16">
        <v>0.33399999999999996</v>
      </c>
      <c r="L35" s="16">
        <v>0.34299999999999997</v>
      </c>
      <c r="M35" s="16">
        <v>0.34100000000000003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407</v>
      </c>
      <c r="B36" s="1" t="s">
        <v>44</v>
      </c>
      <c r="C36" s="16">
        <v>0.13300000000000001</v>
      </c>
      <c r="D36" s="16">
        <v>7.2999999999999995E-2</v>
      </c>
      <c r="E36" s="16">
        <v>6.4000000000000001E-2</v>
      </c>
      <c r="F36" s="16">
        <v>5.7000000000000002E-2</v>
      </c>
      <c r="G36" s="16">
        <v>5.7000000000000002E-2</v>
      </c>
      <c r="H36" s="16">
        <v>5.2000000000000005E-2</v>
      </c>
      <c r="I36" s="16">
        <v>0.05</v>
      </c>
      <c r="J36" s="16">
        <v>4.7E-2</v>
      </c>
      <c r="K36" s="16">
        <v>4.2000000000000003E-2</v>
      </c>
      <c r="L36" s="16">
        <v>0.152</v>
      </c>
      <c r="M36" s="16">
        <v>0.02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408</v>
      </c>
      <c r="B37" s="1" t="s">
        <v>44</v>
      </c>
      <c r="C37" s="16">
        <v>0.18600000000000003</v>
      </c>
      <c r="D37" s="16"/>
      <c r="E37" s="16"/>
      <c r="F37" s="16"/>
      <c r="G37" s="16"/>
      <c r="H37" s="16"/>
      <c r="I37" s="16"/>
      <c r="J37" s="16"/>
      <c r="K37" s="16"/>
      <c r="L37" s="16"/>
      <c r="M37" s="16">
        <v>0.17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 t="s">
        <v>409</v>
      </c>
      <c r="B38" s="1" t="s">
        <v>44</v>
      </c>
      <c r="C38" s="16">
        <v>0.12</v>
      </c>
      <c r="D38" s="16">
        <v>0.156</v>
      </c>
      <c r="E38" s="16"/>
      <c r="F38" s="16">
        <v>0.13200000000000001</v>
      </c>
      <c r="G38" s="16">
        <v>0.13200000000000001</v>
      </c>
      <c r="H38" s="16">
        <v>0.13</v>
      </c>
      <c r="I38" s="16">
        <v>0.115</v>
      </c>
      <c r="J38" s="16">
        <v>0.122</v>
      </c>
      <c r="K38" s="16">
        <v>0.14099999999999999</v>
      </c>
      <c r="L38" s="16">
        <v>0.14400000000000002</v>
      </c>
      <c r="M38" s="16">
        <v>0.14199999999999999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410</v>
      </c>
      <c r="B39" s="1" t="s">
        <v>44</v>
      </c>
      <c r="C39" s="16">
        <v>0.152</v>
      </c>
      <c r="D39" s="16">
        <v>0.158</v>
      </c>
      <c r="E39" s="16">
        <v>0.158</v>
      </c>
      <c r="F39" s="16">
        <v>0.157</v>
      </c>
      <c r="G39" s="16">
        <v>0.16300000000000001</v>
      </c>
      <c r="H39" s="16">
        <v>0.17</v>
      </c>
      <c r="I39" s="16">
        <v>0.17899999999999999</v>
      </c>
      <c r="J39" s="16">
        <v>0.188</v>
      </c>
      <c r="K39" s="16">
        <v>0.187</v>
      </c>
      <c r="L39" s="16">
        <v>0.18899999999999997</v>
      </c>
      <c r="M39" s="16">
        <v>0.184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411</v>
      </c>
      <c r="B40" s="1" t="s">
        <v>44</v>
      </c>
      <c r="C40" s="16">
        <v>0.14599999999999999</v>
      </c>
      <c r="D40" s="16">
        <v>0.13100000000000001</v>
      </c>
      <c r="E40" s="16"/>
      <c r="F40" s="16"/>
      <c r="G40" s="16"/>
      <c r="H40" s="16"/>
      <c r="I40" s="16"/>
      <c r="J40" s="16"/>
      <c r="K40" s="16"/>
      <c r="L40" s="16"/>
      <c r="M40" s="16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 t="s">
        <v>412</v>
      </c>
      <c r="B41" s="1" t="s">
        <v>44</v>
      </c>
      <c r="C41" s="16"/>
      <c r="D41" s="16"/>
      <c r="E41" s="16"/>
      <c r="F41" s="16"/>
      <c r="G41" s="16"/>
      <c r="H41" s="16"/>
      <c r="I41" s="16"/>
      <c r="J41" s="16"/>
      <c r="K41" s="16"/>
      <c r="L41" s="16">
        <v>0.153</v>
      </c>
      <c r="M41" s="16">
        <v>0.16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413</v>
      </c>
      <c r="B42" s="1" t="s">
        <v>44</v>
      </c>
      <c r="C42" s="16">
        <v>0.52700000000000002</v>
      </c>
      <c r="D42" s="16">
        <v>0.54700000000000004</v>
      </c>
      <c r="E42" s="16">
        <v>0.53400000000000003</v>
      </c>
      <c r="F42" s="16">
        <v>0.56799999999999995</v>
      </c>
      <c r="G42" s="16">
        <v>0.59099999999999997</v>
      </c>
      <c r="H42" s="16">
        <v>0.29399999999999998</v>
      </c>
      <c r="I42" s="16">
        <v>0.27899999999999997</v>
      </c>
      <c r="J42" s="16">
        <v>0.29100000000000004</v>
      </c>
      <c r="K42" s="16">
        <v>0.3</v>
      </c>
      <c r="L42" s="16">
        <v>0.317</v>
      </c>
      <c r="M42" s="16">
        <v>0.33200000000000002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414</v>
      </c>
      <c r="B43" s="1" t="s">
        <v>44</v>
      </c>
      <c r="C43" s="16">
        <v>0.253</v>
      </c>
      <c r="D43" s="16">
        <v>0.24399999999999999</v>
      </c>
      <c r="E43" s="16">
        <v>0.25600000000000001</v>
      </c>
      <c r="F43" s="16">
        <v>0.255</v>
      </c>
      <c r="G43" s="16">
        <v>0.24</v>
      </c>
      <c r="H43" s="16">
        <v>0.27300000000000002</v>
      </c>
      <c r="I43" s="16">
        <v>0.29899999999999999</v>
      </c>
      <c r="J43" s="16">
        <v>0.28600000000000003</v>
      </c>
      <c r="K43" s="16">
        <v>0.28399999999999997</v>
      </c>
      <c r="L43" s="16">
        <v>0.27100000000000002</v>
      </c>
      <c r="M43" s="16">
        <v>0.26500000000000001</v>
      </c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 t="s">
        <v>415</v>
      </c>
      <c r="B44" s="1" t="s">
        <v>44</v>
      </c>
      <c r="C44" s="16">
        <v>0.10800000000000001</v>
      </c>
      <c r="D44" s="16">
        <v>0.10099999999999999</v>
      </c>
      <c r="E44" s="16">
        <v>9.9000000000000005E-2</v>
      </c>
      <c r="F44" s="16"/>
      <c r="G44" s="16"/>
      <c r="H44" s="16"/>
      <c r="I44" s="16"/>
      <c r="J44" s="16"/>
      <c r="K44" s="16"/>
      <c r="L44" s="16"/>
      <c r="M44" s="16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416</v>
      </c>
      <c r="B45" s="1" t="s">
        <v>44</v>
      </c>
      <c r="C45" s="16">
        <v>0.11199999999999999</v>
      </c>
      <c r="D45" s="16">
        <v>0.10800000000000001</v>
      </c>
      <c r="E45" s="16">
        <v>0.111</v>
      </c>
      <c r="F45" s="16"/>
      <c r="G45" s="16"/>
      <c r="H45" s="16"/>
      <c r="I45" s="16"/>
      <c r="J45" s="16"/>
      <c r="K45" s="16"/>
      <c r="L45" s="16"/>
      <c r="M45" s="16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 t="s">
        <v>417</v>
      </c>
      <c r="B46" s="1" t="s">
        <v>44</v>
      </c>
      <c r="C46" s="16"/>
      <c r="D46" s="16"/>
      <c r="E46" s="16"/>
      <c r="F46" s="16"/>
      <c r="G46" s="16"/>
      <c r="H46" s="16">
        <v>0.29399999999999998</v>
      </c>
      <c r="I46" s="16">
        <v>0.27899999999999997</v>
      </c>
      <c r="J46" s="16">
        <v>0.29100000000000004</v>
      </c>
      <c r="K46" s="16">
        <v>0.3</v>
      </c>
      <c r="L46" s="16">
        <v>0.317</v>
      </c>
      <c r="M46" s="16">
        <v>0.33200000000000002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 t="s">
        <v>418</v>
      </c>
      <c r="B47" s="1" t="s">
        <v>44</v>
      </c>
      <c r="C47" s="16"/>
      <c r="D47" s="16"/>
      <c r="E47" s="16"/>
      <c r="F47" s="16"/>
      <c r="G47" s="16"/>
      <c r="H47" s="16">
        <v>0.29699999999999999</v>
      </c>
      <c r="I47" s="16">
        <v>0.30599999999999999</v>
      </c>
      <c r="J47" s="16">
        <v>0.31</v>
      </c>
      <c r="K47" s="16">
        <v>0.30099999999999999</v>
      </c>
      <c r="L47" s="16">
        <v>0.30599999999999999</v>
      </c>
      <c r="M47" s="16">
        <v>0.29199999999999998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 t="s">
        <v>419</v>
      </c>
      <c r="B48" s="1" t="s">
        <v>44</v>
      </c>
      <c r="C48" s="16"/>
      <c r="D48" s="16"/>
      <c r="E48" s="16"/>
      <c r="F48" s="16"/>
      <c r="G48" s="16"/>
      <c r="H48" s="16">
        <v>0.13600000000000001</v>
      </c>
      <c r="I48" s="16">
        <v>0.11599999999999999</v>
      </c>
      <c r="J48" s="16">
        <v>0.113</v>
      </c>
      <c r="K48" s="16">
        <v>0.115</v>
      </c>
      <c r="L48" s="16">
        <v>0.106</v>
      </c>
      <c r="M48" s="16">
        <v>0.111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</sheetData>
  <mergeCells count="3">
    <mergeCell ref="A1:M1"/>
    <mergeCell ref="A2:M2"/>
    <mergeCell ref="A34:M3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U300"/>
  <sheetViews>
    <sheetView showGridLines="0" workbookViewId="0"/>
  </sheetViews>
  <sheetFormatPr defaultRowHeight="13.8"/>
  <cols>
    <col min="1" max="1" width="42" customWidth="1"/>
    <col min="2" max="2" width="11" customWidth="1"/>
    <col min="3" max="47" width="10.5" customWidth="1"/>
  </cols>
  <sheetData>
    <row r="1" spans="1:47" ht="25.95" customHeight="1">
      <c r="A1" s="44" t="s">
        <v>420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</row>
    <row r="2" spans="1:47" ht="18" customHeight="1">
      <c r="A2" s="45" t="s">
        <v>421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24</v>
      </c>
      <c r="B5" s="4" t="s">
        <v>25</v>
      </c>
      <c r="C5" s="4" t="s">
        <v>255</v>
      </c>
      <c r="D5" s="4" t="s">
        <v>256</v>
      </c>
      <c r="E5" s="4" t="s">
        <v>257</v>
      </c>
      <c r="F5" s="4" t="s">
        <v>258</v>
      </c>
      <c r="G5" s="4" t="s">
        <v>259</v>
      </c>
      <c r="H5" s="4" t="s">
        <v>260</v>
      </c>
      <c r="I5" s="4" t="s">
        <v>261</v>
      </c>
      <c r="J5" s="4" t="s">
        <v>262</v>
      </c>
      <c r="K5" s="4" t="s">
        <v>263</v>
      </c>
      <c r="L5" s="4" t="s">
        <v>264</v>
      </c>
      <c r="M5" s="4" t="s">
        <v>265</v>
      </c>
      <c r="N5" s="4" t="s">
        <v>266</v>
      </c>
      <c r="O5" s="4" t="s">
        <v>267</v>
      </c>
      <c r="P5" s="4" t="s">
        <v>268</v>
      </c>
      <c r="Q5" s="4" t="s">
        <v>269</v>
      </c>
      <c r="R5" s="4" t="s">
        <v>270</v>
      </c>
      <c r="S5" s="4" t="s">
        <v>271</v>
      </c>
      <c r="T5" s="4" t="s">
        <v>272</v>
      </c>
      <c r="U5" s="4" t="s">
        <v>273</v>
      </c>
      <c r="V5" s="4" t="s">
        <v>274</v>
      </c>
      <c r="W5" s="4" t="s">
        <v>275</v>
      </c>
      <c r="X5" s="4" t="s">
        <v>276</v>
      </c>
      <c r="Y5" s="4" t="s">
        <v>277</v>
      </c>
      <c r="Z5" s="4" t="s">
        <v>278</v>
      </c>
      <c r="AA5" s="4" t="s">
        <v>279</v>
      </c>
      <c r="AB5" s="4" t="s">
        <v>280</v>
      </c>
      <c r="AC5" s="4" t="s">
        <v>281</v>
      </c>
      <c r="AD5" s="4" t="s">
        <v>282</v>
      </c>
      <c r="AE5" s="4" t="s">
        <v>283</v>
      </c>
      <c r="AF5" s="4" t="s">
        <v>284</v>
      </c>
      <c r="AG5" s="4" t="s">
        <v>285</v>
      </c>
      <c r="AH5" s="4" t="s">
        <v>286</v>
      </c>
      <c r="AI5" s="4" t="s">
        <v>287</v>
      </c>
      <c r="AJ5" s="4" t="s">
        <v>288</v>
      </c>
      <c r="AK5" s="4" t="s">
        <v>289</v>
      </c>
      <c r="AL5" s="4" t="s">
        <v>290</v>
      </c>
      <c r="AM5" s="4" t="s">
        <v>291</v>
      </c>
      <c r="AN5" s="4" t="s">
        <v>292</v>
      </c>
      <c r="AO5" s="4" t="s">
        <v>293</v>
      </c>
      <c r="AP5" s="4" t="s">
        <v>294</v>
      </c>
      <c r="AQ5" s="4" t="s">
        <v>295</v>
      </c>
      <c r="AR5" s="4" t="s">
        <v>296</v>
      </c>
      <c r="AS5" s="4" t="s">
        <v>297</v>
      </c>
      <c r="AT5" s="4" t="s">
        <v>298</v>
      </c>
      <c r="AU5" s="4" t="s">
        <v>299</v>
      </c>
    </row>
    <row r="6" spans="1:47" ht="14.4">
      <c r="A6" s="1" t="s">
        <v>41</v>
      </c>
      <c r="B6" s="1" t="s">
        <v>42</v>
      </c>
      <c r="C6" s="17">
        <f>'Raw Financials'!C32</f>
        <v>12237.6</v>
      </c>
      <c r="D6" s="17">
        <f>'Raw Financials'!D32</f>
        <v>12513.5</v>
      </c>
      <c r="E6" s="17">
        <f>'Raw Financials'!E32</f>
        <v>12860.5</v>
      </c>
      <c r="F6" s="17">
        <f>'Raw Financials'!F32</f>
        <v>13632.400000000001</v>
      </c>
      <c r="G6" s="17">
        <f>'Raw Financials'!G32</f>
        <v>13599.2</v>
      </c>
      <c r="H6" s="17">
        <f>'Raw Financials'!H32</f>
        <v>13765.7</v>
      </c>
      <c r="I6" s="17">
        <f>'Raw Financials'!I32</f>
        <v>13687.8</v>
      </c>
      <c r="J6" s="17">
        <f>'Raw Financials'!J32</f>
        <v>13987.5</v>
      </c>
      <c r="K6" s="17">
        <f>'Raw Financials'!K32</f>
        <v>13626.1</v>
      </c>
      <c r="L6" s="17">
        <f>'Raw Financials'!L32</f>
        <v>13423.4</v>
      </c>
      <c r="M6" s="17">
        <f>'Raw Financials'!M32</f>
        <v>13669</v>
      </c>
      <c r="N6" s="17">
        <f>'Raw Financials'!N32</f>
        <v>13768.599999999999</v>
      </c>
      <c r="O6" s="17">
        <f>'Raw Financials'!O32</f>
        <v>13977.7</v>
      </c>
      <c r="P6" s="17">
        <f>'Raw Financials'!P32</f>
        <v>14541</v>
      </c>
      <c r="Q6" s="17">
        <f>'Raw Financials'!Q32</f>
        <v>15059.5</v>
      </c>
      <c r="R6" s="17">
        <f>'Raw Financials'!R32</f>
        <v>15006.300000000003</v>
      </c>
      <c r="S6" s="17">
        <f>'Raw Financials'!S32</f>
        <v>14716.1</v>
      </c>
      <c r="T6" s="17">
        <f>'Raw Financials'!T32</f>
        <v>15125.6</v>
      </c>
      <c r="U6" s="17">
        <f>'Raw Financials'!U32</f>
        <v>15470.5</v>
      </c>
      <c r="V6" s="17">
        <f>'Raw Financials'!V32</f>
        <v>15711</v>
      </c>
      <c r="W6" s="17">
        <f>'Raw Financials'!W32</f>
        <v>14913.1</v>
      </c>
      <c r="X6" s="17">
        <f>'Raw Financials'!X32</f>
        <v>15114.5</v>
      </c>
      <c r="Y6" s="17">
        <f>'Raw Financials'!Y32</f>
        <v>15670</v>
      </c>
      <c r="Z6" s="17">
        <f>'Raw Financials'!Z32</f>
        <v>16245.400000000001</v>
      </c>
      <c r="AA6" s="17">
        <f>'Raw Financials'!AA32</f>
        <v>18252.400000000001</v>
      </c>
      <c r="AB6" s="17">
        <f>'Raw Financials'!AB32</f>
        <v>19667.400000000001</v>
      </c>
      <c r="AC6" s="17">
        <f>'Raw Financials'!AC32</f>
        <v>20313.599999999999</v>
      </c>
      <c r="AD6" s="17">
        <f>'Raw Financials'!AD32</f>
        <v>20859.999999999993</v>
      </c>
      <c r="AE6" s="17">
        <f>'Raw Financials'!AE32</f>
        <v>21528.6</v>
      </c>
      <c r="AF6" s="17">
        <f>'Raw Financials'!AF32</f>
        <v>22539.7</v>
      </c>
      <c r="AG6" s="17">
        <f>'Raw Financials'!AG32</f>
        <v>23229</v>
      </c>
      <c r="AH6" s="17">
        <f>'Raw Financials'!AH32</f>
        <v>23190.300000000003</v>
      </c>
      <c r="AI6" s="17">
        <f>'Raw Financials'!AI32</f>
        <v>22831</v>
      </c>
      <c r="AJ6" s="17">
        <f>'Raw Financials'!AJ32</f>
        <v>22515.9</v>
      </c>
      <c r="AK6" s="17">
        <f>'Raw Financials'!AK32</f>
        <v>22205.1</v>
      </c>
      <c r="AL6" s="17">
        <f>'Raw Financials'!AL32</f>
        <v>22208.300000000003</v>
      </c>
      <c r="AM6" s="17">
        <f>'Raw Financials'!AM32</f>
        <v>21963.8</v>
      </c>
      <c r="AN6" s="17">
        <f>'Raw Financials'!AN32</f>
        <v>22301.599999999999</v>
      </c>
      <c r="AO6" s="17">
        <f>'Raw Financials'!AO32</f>
        <v>22318.799999999999</v>
      </c>
      <c r="AP6" s="17">
        <f>'Raw Financials'!AP32</f>
        <v>22504.199999999997</v>
      </c>
      <c r="AQ6" s="17">
        <f>'Raw Financials'!AQ32</f>
        <v>22134.6</v>
      </c>
      <c r="AR6" s="17">
        <f>'Raw Financials'!AR32</f>
        <v>22697.3</v>
      </c>
      <c r="AS6" s="17">
        <f>'Raw Financials'!AS32</f>
        <v>23555.8</v>
      </c>
      <c r="AT6" s="17">
        <f>'Raw Financials'!AT32</f>
        <v>24236.300000000003</v>
      </c>
      <c r="AU6" s="17">
        <f>'Raw Financials'!AU32</f>
        <v>24478.6</v>
      </c>
    </row>
    <row r="7" spans="1:47" ht="14.4">
      <c r="A7" s="1" t="s">
        <v>422</v>
      </c>
      <c r="B7" s="1" t="s">
        <v>44</v>
      </c>
      <c r="C7" s="1"/>
      <c r="D7" s="18">
        <f t="shared" ref="D7:AU7" si="0">IFERROR(D6/C6-1,"")</f>
        <v>2.2545270314440646E-2</v>
      </c>
      <c r="E7" s="18">
        <f t="shared" si="0"/>
        <v>2.7730051544332168E-2</v>
      </c>
      <c r="F7" s="18">
        <f t="shared" si="0"/>
        <v>6.0020994518098059E-2</v>
      </c>
      <c r="G7" s="18">
        <f t="shared" si="0"/>
        <v>-2.4353745488688849E-3</v>
      </c>
      <c r="H7" s="18">
        <f t="shared" si="0"/>
        <v>1.2243367256897564E-2</v>
      </c>
      <c r="I7" s="18">
        <f t="shared" si="0"/>
        <v>-5.6589930043514647E-3</v>
      </c>
      <c r="J7" s="18">
        <f t="shared" si="0"/>
        <v>2.1895410511550528E-2</v>
      </c>
      <c r="K7" s="18">
        <f t="shared" si="0"/>
        <v>-2.5837354781054533E-2</v>
      </c>
      <c r="L7" s="18">
        <f t="shared" si="0"/>
        <v>-1.4875863233060116E-2</v>
      </c>
      <c r="M7" s="18">
        <f t="shared" si="0"/>
        <v>1.8296407765543865E-2</v>
      </c>
      <c r="N7" s="18">
        <f t="shared" si="0"/>
        <v>7.2865608310774821E-3</v>
      </c>
      <c r="O7" s="18">
        <f t="shared" si="0"/>
        <v>1.5186729224467399E-2</v>
      </c>
      <c r="P7" s="18">
        <f t="shared" si="0"/>
        <v>4.0299906279287701E-2</v>
      </c>
      <c r="Q7" s="18">
        <f t="shared" si="0"/>
        <v>3.5657795199779851E-2</v>
      </c>
      <c r="R7" s="18">
        <f t="shared" si="0"/>
        <v>-3.5326538065670876E-3</v>
      </c>
      <c r="S7" s="18">
        <f t="shared" si="0"/>
        <v>-1.9338544477986108E-2</v>
      </c>
      <c r="T7" s="18">
        <f t="shared" si="0"/>
        <v>2.7826666032440661E-2</v>
      </c>
      <c r="U7" s="18">
        <f t="shared" si="0"/>
        <v>2.2802401227058677E-2</v>
      </c>
      <c r="V7" s="18">
        <f t="shared" si="0"/>
        <v>1.5545716040205493E-2</v>
      </c>
      <c r="W7" s="18">
        <f t="shared" si="0"/>
        <v>-5.0786073451721703E-2</v>
      </c>
      <c r="X7" s="18">
        <f t="shared" si="0"/>
        <v>1.3504905083450147E-2</v>
      </c>
      <c r="Y7" s="18">
        <f t="shared" si="0"/>
        <v>3.6752787058784708E-2</v>
      </c>
      <c r="Z7" s="18">
        <f t="shared" si="0"/>
        <v>3.6719846841097636E-2</v>
      </c>
      <c r="AA7" s="18">
        <f t="shared" si="0"/>
        <v>0.12354266438499506</v>
      </c>
      <c r="AB7" s="18">
        <f t="shared" si="0"/>
        <v>7.7524051631566282E-2</v>
      </c>
      <c r="AC7" s="18">
        <f t="shared" si="0"/>
        <v>3.2856401964672433E-2</v>
      </c>
      <c r="AD7" s="18">
        <f t="shared" si="0"/>
        <v>2.6898235664776005E-2</v>
      </c>
      <c r="AE7" s="18">
        <f t="shared" si="0"/>
        <v>3.205177372962642E-2</v>
      </c>
      <c r="AF7" s="18">
        <f t="shared" si="0"/>
        <v>4.6965432029951071E-2</v>
      </c>
      <c r="AG7" s="18">
        <f t="shared" si="0"/>
        <v>3.0581596028341096E-2</v>
      </c>
      <c r="AH7" s="18">
        <f t="shared" si="0"/>
        <v>-1.6660209221230904E-3</v>
      </c>
      <c r="AI7" s="18">
        <f t="shared" si="0"/>
        <v>-1.5493546870890107E-2</v>
      </c>
      <c r="AJ7" s="18">
        <f t="shared" si="0"/>
        <v>-1.3801410363102784E-2</v>
      </c>
      <c r="AK7" s="18">
        <f t="shared" si="0"/>
        <v>-1.3803578804311711E-2</v>
      </c>
      <c r="AL7" s="18">
        <f t="shared" si="0"/>
        <v>1.441110375546284E-4</v>
      </c>
      <c r="AM7" s="18">
        <f t="shared" si="0"/>
        <v>-1.1009397387463427E-2</v>
      </c>
      <c r="AN7" s="18">
        <f t="shared" si="0"/>
        <v>1.537985230242489E-2</v>
      </c>
      <c r="AO7" s="18">
        <f t="shared" si="0"/>
        <v>7.7124511245840743E-4</v>
      </c>
      <c r="AP7" s="18">
        <f t="shared" si="0"/>
        <v>8.3068982203342578E-3</v>
      </c>
      <c r="AQ7" s="18">
        <f t="shared" si="0"/>
        <v>-1.6423600927826798E-2</v>
      </c>
      <c r="AR7" s="18">
        <f t="shared" si="0"/>
        <v>2.5421737912589393E-2</v>
      </c>
      <c r="AS7" s="18">
        <f t="shared" si="0"/>
        <v>3.78238821357606E-2</v>
      </c>
      <c r="AT7" s="18">
        <f t="shared" si="0"/>
        <v>2.8888851153431538E-2</v>
      </c>
      <c r="AU7" s="18">
        <f t="shared" si="0"/>
        <v>9.9974005933247678E-3</v>
      </c>
    </row>
    <row r="8" spans="1:47" ht="14.4">
      <c r="A8" s="1" t="s">
        <v>423</v>
      </c>
      <c r="B8" s="1" t="s">
        <v>44</v>
      </c>
      <c r="C8" s="1"/>
      <c r="D8" s="1"/>
      <c r="E8" s="1"/>
      <c r="F8" s="1"/>
      <c r="G8" s="18">
        <f t="shared" ref="G8:AU8" si="1">IFERROR(G6/C6-1,"")</f>
        <v>0.11126364646662745</v>
      </c>
      <c r="H8" s="18">
        <f t="shared" si="1"/>
        <v>0.1000679266392297</v>
      </c>
      <c r="I8" s="18">
        <f t="shared" si="1"/>
        <v>6.4328758601920555E-2</v>
      </c>
      <c r="J8" s="18">
        <f t="shared" si="1"/>
        <v>2.6048238021184611E-2</v>
      </c>
      <c r="K8" s="18">
        <f t="shared" si="1"/>
        <v>1.9780575327961181E-3</v>
      </c>
      <c r="L8" s="18">
        <f t="shared" si="1"/>
        <v>-2.4866152829133403E-2</v>
      </c>
      <c r="M8" s="18">
        <f t="shared" si="1"/>
        <v>-1.3734858779350656E-3</v>
      </c>
      <c r="N8" s="18">
        <f t="shared" si="1"/>
        <v>-1.56496872207329E-2</v>
      </c>
      <c r="O8" s="18">
        <f t="shared" si="1"/>
        <v>2.5803421375155011E-2</v>
      </c>
      <c r="P8" s="18">
        <f t="shared" si="1"/>
        <v>8.3257594946138935E-2</v>
      </c>
      <c r="Q8" s="18">
        <f t="shared" si="1"/>
        <v>0.10172653449411073</v>
      </c>
      <c r="R8" s="18">
        <f t="shared" si="1"/>
        <v>8.9892944816466702E-2</v>
      </c>
      <c r="S8" s="18">
        <f t="shared" si="1"/>
        <v>5.2827003011940432E-2</v>
      </c>
      <c r="T8" s="18">
        <f t="shared" si="1"/>
        <v>4.0203562340966892E-2</v>
      </c>
      <c r="U8" s="18">
        <f t="shared" si="1"/>
        <v>2.7291742753743575E-2</v>
      </c>
      <c r="V8" s="18">
        <f t="shared" si="1"/>
        <v>4.6960276683792657E-2</v>
      </c>
      <c r="W8" s="18">
        <f t="shared" si="1"/>
        <v>1.3386698921589169E-2</v>
      </c>
      <c r="X8" s="18">
        <f t="shared" si="1"/>
        <v>-7.3385518590995957E-4</v>
      </c>
      <c r="Y8" s="18">
        <f t="shared" si="1"/>
        <v>1.2895510810898125E-2</v>
      </c>
      <c r="Z8" s="18">
        <f t="shared" si="1"/>
        <v>3.4014384825918231E-2</v>
      </c>
      <c r="AA8" s="18">
        <f t="shared" si="1"/>
        <v>0.22391722713587381</v>
      </c>
      <c r="AB8" s="18">
        <f t="shared" si="1"/>
        <v>0.30122729828972195</v>
      </c>
      <c r="AC8" s="18">
        <f t="shared" si="1"/>
        <v>0.29633694958519463</v>
      </c>
      <c r="AD8" s="18">
        <f t="shared" si="1"/>
        <v>0.28405579425560412</v>
      </c>
      <c r="AE8" s="18">
        <f t="shared" si="1"/>
        <v>0.17949420350200507</v>
      </c>
      <c r="AF8" s="18">
        <f t="shared" si="1"/>
        <v>0.14604370684482948</v>
      </c>
      <c r="AG8" s="18">
        <f t="shared" si="1"/>
        <v>0.14351961247637068</v>
      </c>
      <c r="AH8" s="18">
        <f t="shared" si="1"/>
        <v>0.11171140939597368</v>
      </c>
      <c r="AI8" s="18">
        <f t="shared" si="1"/>
        <v>6.0496270077943004E-2</v>
      </c>
      <c r="AJ8" s="18">
        <f t="shared" si="1"/>
        <v>-1.0559146749956616E-3</v>
      </c>
      <c r="AK8" s="18">
        <f t="shared" si="1"/>
        <v>-4.4078522536484588E-2</v>
      </c>
      <c r="AL8" s="18">
        <f t="shared" si="1"/>
        <v>-4.234529091904804E-2</v>
      </c>
      <c r="AM8" s="18">
        <f t="shared" si="1"/>
        <v>-3.7983443563575858E-2</v>
      </c>
      <c r="AN8" s="18">
        <f t="shared" si="1"/>
        <v>-9.5177185899743E-3</v>
      </c>
      <c r="AO8" s="18">
        <f t="shared" si="1"/>
        <v>5.1204453031061803E-3</v>
      </c>
      <c r="AP8" s="18">
        <f t="shared" si="1"/>
        <v>1.3323847390389831E-2</v>
      </c>
      <c r="AQ8" s="18">
        <f t="shared" si="1"/>
        <v>7.776432129230848E-3</v>
      </c>
      <c r="AR8" s="18">
        <f t="shared" si="1"/>
        <v>1.7743121569752773E-2</v>
      </c>
      <c r="AS8" s="18">
        <f t="shared" si="1"/>
        <v>5.5424126745165614E-2</v>
      </c>
      <c r="AT8" s="18">
        <f t="shared" si="1"/>
        <v>7.6967854889309795E-2</v>
      </c>
      <c r="AU8" s="18">
        <f t="shared" si="1"/>
        <v>0.1058975540556415</v>
      </c>
    </row>
    <row r="9" spans="1:47" ht="14.4">
      <c r="A9" s="1" t="s">
        <v>236</v>
      </c>
      <c r="B9" s="1" t="s">
        <v>42</v>
      </c>
      <c r="C9" s="17">
        <f>'Raw Financials'!C33</f>
        <v>8478.7000000000007</v>
      </c>
      <c r="D9" s="17">
        <f>'Raw Financials'!D33</f>
        <v>8582.4</v>
      </c>
      <c r="E9" s="17">
        <f>'Raw Financials'!E33</f>
        <v>9027</v>
      </c>
      <c r="F9" s="17">
        <f>'Raw Financials'!F33</f>
        <v>9584.3000000000029</v>
      </c>
      <c r="G9" s="17">
        <f>'Raw Financials'!G33</f>
        <v>9638.9</v>
      </c>
      <c r="H9" s="17">
        <f>'Raw Financials'!H33</f>
        <v>9780.7999999999993</v>
      </c>
      <c r="I9" s="17">
        <f>'Raw Financials'!I33</f>
        <v>9657.6</v>
      </c>
      <c r="J9" s="17">
        <f>'Raw Financials'!J33</f>
        <v>10077.100000000002</v>
      </c>
      <c r="K9" s="17">
        <f>'Raw Financials'!K33</f>
        <v>9711.1</v>
      </c>
      <c r="L9" s="17">
        <f>'Raw Financials'!L33</f>
        <v>9469.4</v>
      </c>
      <c r="M9" s="17">
        <f>'Raw Financials'!M33</f>
        <v>9597.6</v>
      </c>
      <c r="N9" s="17">
        <f>'Raw Financials'!N33</f>
        <v>9779.4000000000015</v>
      </c>
      <c r="O9" s="17">
        <f>'Raw Financials'!O33</f>
        <v>10035</v>
      </c>
      <c r="P9" s="17">
        <f>'Raw Financials'!P33</f>
        <v>10177</v>
      </c>
      <c r="Q9" s="17">
        <f>'Raw Financials'!Q33</f>
        <v>10397.1</v>
      </c>
      <c r="R9" s="17">
        <f>'Raw Financials'!R33</f>
        <v>10694.200000000004</v>
      </c>
      <c r="S9" s="17">
        <f>'Raw Financials'!S33</f>
        <v>10427.299999999999</v>
      </c>
      <c r="T9" s="17">
        <f>'Raw Financials'!T33</f>
        <v>10800.6</v>
      </c>
      <c r="U9" s="17">
        <f>'Raw Financials'!U33</f>
        <v>10967.3</v>
      </c>
      <c r="V9" s="17">
        <f>'Raw Financials'!V33</f>
        <v>11413.300000000003</v>
      </c>
      <c r="W9" s="17">
        <f>'Raw Financials'!W33</f>
        <v>10370</v>
      </c>
      <c r="X9" s="17">
        <f>'Raw Financials'!X33</f>
        <v>10538.7</v>
      </c>
      <c r="Y9" s="17">
        <f>'Raw Financials'!Y33</f>
        <v>10431.299999999999</v>
      </c>
      <c r="Z9" s="17">
        <f>'Raw Financials'!Z33</f>
        <v>10980.5</v>
      </c>
      <c r="AA9" s="17">
        <f>'Raw Financials'!AA33</f>
        <v>12756.7</v>
      </c>
      <c r="AB9" s="17">
        <f>'Raw Financials'!AB33</f>
        <v>13756.2</v>
      </c>
      <c r="AC9" s="17">
        <f>'Raw Financials'!AC33</f>
        <v>14277.8</v>
      </c>
      <c r="AD9" s="17">
        <f>'Raw Financials'!AD33</f>
        <v>14796.5</v>
      </c>
      <c r="AE9" s="17">
        <f>'Raw Financials'!AE33</f>
        <v>15560</v>
      </c>
      <c r="AF9" s="17">
        <f>'Raw Financials'!AF33</f>
        <v>16383.5</v>
      </c>
      <c r="AG9" s="17">
        <f>'Raw Financials'!AG33</f>
        <v>16327.3</v>
      </c>
      <c r="AH9" s="17">
        <f>'Raw Financials'!AH33</f>
        <v>16273.799999999996</v>
      </c>
      <c r="AI9" s="17">
        <f>'Raw Financials'!AI33</f>
        <v>16126.1</v>
      </c>
      <c r="AJ9" s="17">
        <f>'Raw Financials'!AJ33</f>
        <v>15919.1</v>
      </c>
      <c r="AK9" s="17">
        <f>'Raw Financials'!AK33</f>
        <v>15382.6</v>
      </c>
      <c r="AL9" s="17">
        <f>'Raw Financials'!AL33</f>
        <v>15721.899999999994</v>
      </c>
      <c r="AM9" s="17">
        <f>'Raw Financials'!AM33</f>
        <v>15330.6</v>
      </c>
      <c r="AN9" s="17">
        <f>'Raw Financials'!AN33</f>
        <v>15504.9</v>
      </c>
      <c r="AO9" s="17">
        <f>'Raw Financials'!AO33</f>
        <v>15392.2</v>
      </c>
      <c r="AP9" s="17">
        <f>'Raw Financials'!AP33</f>
        <v>15552.5</v>
      </c>
      <c r="AQ9" s="17">
        <f>'Raw Financials'!AQ33</f>
        <v>15724.7</v>
      </c>
      <c r="AR9" s="17">
        <f>'Raw Financials'!AR33</f>
        <v>15983.2</v>
      </c>
      <c r="AS9" s="17">
        <f>'Raw Financials'!AS33</f>
        <v>16719.900000000001</v>
      </c>
      <c r="AT9" s="17">
        <f>'Raw Financials'!AT33</f>
        <v>17191.399999999994</v>
      </c>
      <c r="AU9" s="17">
        <f>'Raw Financials'!AU33</f>
        <v>17490</v>
      </c>
    </row>
    <row r="10" spans="1:47" ht="14.4">
      <c r="A10" s="21" t="s">
        <v>237</v>
      </c>
      <c r="B10" s="19" t="s">
        <v>42</v>
      </c>
      <c r="C10" s="20">
        <f>'Raw Financials'!C34</f>
        <v>3758.9</v>
      </c>
      <c r="D10" s="20">
        <f>'Raw Financials'!D34</f>
        <v>3931.1</v>
      </c>
      <c r="E10" s="20">
        <f>'Raw Financials'!E34</f>
        <v>3833.5</v>
      </c>
      <c r="F10" s="20">
        <f>'Raw Financials'!F34</f>
        <v>4048.1000000000004</v>
      </c>
      <c r="G10" s="20">
        <f>'Raw Financials'!G34</f>
        <v>3960.3</v>
      </c>
      <c r="H10" s="20">
        <f>'Raw Financials'!H34</f>
        <v>3984.9</v>
      </c>
      <c r="I10" s="20">
        <f>'Raw Financials'!I34</f>
        <v>4030.2</v>
      </c>
      <c r="J10" s="20">
        <f>'Raw Financials'!J34</f>
        <v>3910.3999999999996</v>
      </c>
      <c r="K10" s="20">
        <f>'Raw Financials'!K34</f>
        <v>3915</v>
      </c>
      <c r="L10" s="20">
        <f>'Raw Financials'!L34</f>
        <v>3954</v>
      </c>
      <c r="M10" s="20">
        <f>'Raw Financials'!M34</f>
        <v>4071.4</v>
      </c>
      <c r="N10" s="20">
        <f>'Raw Financials'!N34</f>
        <v>3989.2000000000007</v>
      </c>
      <c r="O10" s="20">
        <f>'Raw Financials'!O34</f>
        <v>3942.7</v>
      </c>
      <c r="P10" s="20">
        <f>'Raw Financials'!P34</f>
        <v>4364</v>
      </c>
      <c r="Q10" s="20">
        <f>'Raw Financials'!Q34</f>
        <v>4662.3999999999996</v>
      </c>
      <c r="R10" s="20">
        <f>'Raw Financials'!R34</f>
        <v>4312.1000000000022</v>
      </c>
      <c r="S10" s="20">
        <f>'Raw Financials'!S34</f>
        <v>4288.8</v>
      </c>
      <c r="T10" s="20">
        <f>'Raw Financials'!T34</f>
        <v>4325</v>
      </c>
      <c r="U10" s="20">
        <f>'Raw Financials'!U34</f>
        <v>4503.2</v>
      </c>
      <c r="V10" s="20">
        <f>'Raw Financials'!V34</f>
        <v>4297.7000000000007</v>
      </c>
      <c r="W10" s="20">
        <f>'Raw Financials'!W34</f>
        <v>4543.1000000000004</v>
      </c>
      <c r="X10" s="20">
        <f>'Raw Financials'!X34</f>
        <v>4575.8</v>
      </c>
      <c r="Y10" s="20">
        <f>'Raw Financials'!Y34</f>
        <v>5238.7</v>
      </c>
      <c r="Z10" s="20">
        <f>'Raw Financials'!Z34</f>
        <v>5264.9</v>
      </c>
      <c r="AA10" s="20">
        <f>'Raw Financials'!AA34</f>
        <v>5495.7</v>
      </c>
      <c r="AB10" s="20">
        <f>'Raw Financials'!AB34</f>
        <v>5911.2</v>
      </c>
      <c r="AC10" s="20">
        <f>'Raw Financials'!AC34</f>
        <v>6035.8</v>
      </c>
      <c r="AD10" s="20">
        <f>'Raw Financials'!AD34</f>
        <v>6063.5</v>
      </c>
      <c r="AE10" s="20">
        <f>'Raw Financials'!AE34</f>
        <v>5968.6</v>
      </c>
      <c r="AF10" s="20">
        <f>'Raw Financials'!AF34</f>
        <v>6156.2</v>
      </c>
      <c r="AG10" s="20">
        <f>'Raw Financials'!AG34</f>
        <v>6901.7</v>
      </c>
      <c r="AH10" s="20">
        <f>'Raw Financials'!AH34</f>
        <v>6916.5</v>
      </c>
      <c r="AI10" s="20">
        <f>'Raw Financials'!AI34</f>
        <v>6704.9</v>
      </c>
      <c r="AJ10" s="20">
        <f>'Raw Financials'!AJ34</f>
        <v>6596.8</v>
      </c>
      <c r="AK10" s="20">
        <f>'Raw Financials'!AK34</f>
        <v>6822.5</v>
      </c>
      <c r="AL10" s="20">
        <f>'Raw Financials'!AL34</f>
        <v>6486.3999999999978</v>
      </c>
      <c r="AM10" s="20">
        <f>'Raw Financials'!AM34</f>
        <v>6633.2</v>
      </c>
      <c r="AN10" s="20">
        <f>'Raw Financials'!AN34</f>
        <v>6796.7</v>
      </c>
      <c r="AO10" s="20">
        <f>'Raw Financials'!AO34</f>
        <v>6926.6</v>
      </c>
      <c r="AP10" s="20">
        <f>'Raw Financials'!AP34</f>
        <v>6951.7000000000007</v>
      </c>
      <c r="AQ10" s="20">
        <f>'Raw Financials'!AQ34</f>
        <v>6409.9</v>
      </c>
      <c r="AR10" s="20">
        <f>'Raw Financials'!AR34</f>
        <v>6714.1</v>
      </c>
      <c r="AS10" s="20">
        <f>'Raw Financials'!AS34</f>
        <v>6835.9</v>
      </c>
      <c r="AT10" s="20">
        <f>'Raw Financials'!AT34</f>
        <v>7044.8999999999978</v>
      </c>
      <c r="AU10" s="20">
        <f>'Raw Financials'!AU34</f>
        <v>6988.6</v>
      </c>
    </row>
    <row r="11" spans="1:47" ht="14.4">
      <c r="A11" s="1" t="s">
        <v>45</v>
      </c>
      <c r="B11" s="1" t="s">
        <v>44</v>
      </c>
      <c r="C11" s="18">
        <f t="shared" ref="C11:AU11" si="2">IFERROR(C10/C6,"")</f>
        <v>0.30715990063411125</v>
      </c>
      <c r="D11" s="18">
        <f t="shared" si="2"/>
        <v>0.31414871938306627</v>
      </c>
      <c r="E11" s="18">
        <f t="shared" si="2"/>
        <v>0.29808327825512226</v>
      </c>
      <c r="F11" s="18">
        <f t="shared" si="2"/>
        <v>0.29694697925530356</v>
      </c>
      <c r="G11" s="18">
        <f t="shared" si="2"/>
        <v>0.29121565974469088</v>
      </c>
      <c r="H11" s="18">
        <f t="shared" si="2"/>
        <v>0.28948037513530006</v>
      </c>
      <c r="I11" s="18">
        <f t="shared" si="2"/>
        <v>0.29443738219436288</v>
      </c>
      <c r="J11" s="18">
        <f t="shared" si="2"/>
        <v>0.27956389633601425</v>
      </c>
      <c r="K11" s="18">
        <f t="shared" si="2"/>
        <v>0.28731625336670064</v>
      </c>
      <c r="L11" s="18">
        <f t="shared" si="2"/>
        <v>0.29456024554136806</v>
      </c>
      <c r="M11" s="18">
        <f t="shared" si="2"/>
        <v>0.29785646353061673</v>
      </c>
      <c r="N11" s="18">
        <f t="shared" si="2"/>
        <v>0.28973170837993706</v>
      </c>
      <c r="O11" s="18">
        <f t="shared" si="2"/>
        <v>0.28207072694363161</v>
      </c>
      <c r="P11" s="18">
        <f t="shared" si="2"/>
        <v>0.30011691080393371</v>
      </c>
      <c r="Q11" s="18">
        <f t="shared" si="2"/>
        <v>0.30959859225073871</v>
      </c>
      <c r="R11" s="18">
        <f t="shared" si="2"/>
        <v>0.28735264522234005</v>
      </c>
      <c r="S11" s="18">
        <f t="shared" si="2"/>
        <v>0.29143591032950306</v>
      </c>
      <c r="T11" s="18">
        <f t="shared" si="2"/>
        <v>0.28593907018564552</v>
      </c>
      <c r="U11" s="18">
        <f t="shared" si="2"/>
        <v>0.29108302899065963</v>
      </c>
      <c r="V11" s="18">
        <f t="shared" si="2"/>
        <v>0.27354719623193946</v>
      </c>
      <c r="W11" s="18">
        <f t="shared" si="2"/>
        <v>0.30463820399514524</v>
      </c>
      <c r="X11" s="18">
        <f t="shared" si="2"/>
        <v>0.30274239968242417</v>
      </c>
      <c r="Y11" s="18">
        <f t="shared" si="2"/>
        <v>0.33431397574984045</v>
      </c>
      <c r="Z11" s="18">
        <f t="shared" si="2"/>
        <v>0.32408558730471387</v>
      </c>
      <c r="AA11" s="18">
        <f t="shared" si="2"/>
        <v>0.30109465056650081</v>
      </c>
      <c r="AB11" s="18">
        <f t="shared" si="2"/>
        <v>0.30055828426736625</v>
      </c>
      <c r="AC11" s="18">
        <f t="shared" si="2"/>
        <v>0.2971309861373661</v>
      </c>
      <c r="AD11" s="18">
        <f t="shared" si="2"/>
        <v>0.29067593480345166</v>
      </c>
      <c r="AE11" s="18">
        <f t="shared" si="2"/>
        <v>0.27724050797543737</v>
      </c>
      <c r="AF11" s="18">
        <f t="shared" si="2"/>
        <v>0.27312697152136006</v>
      </c>
      <c r="AG11" s="18">
        <f t="shared" si="2"/>
        <v>0.29711567437255154</v>
      </c>
      <c r="AH11" s="18">
        <f t="shared" si="2"/>
        <v>0.29824969922769429</v>
      </c>
      <c r="AI11" s="18">
        <f t="shared" si="2"/>
        <v>0.29367526608558536</v>
      </c>
      <c r="AJ11" s="18">
        <f t="shared" si="2"/>
        <v>0.29298406903565921</v>
      </c>
      <c r="AK11" s="18">
        <f t="shared" si="2"/>
        <v>0.30724923553598049</v>
      </c>
      <c r="AL11" s="18">
        <f t="shared" si="2"/>
        <v>0.29207098247051766</v>
      </c>
      <c r="AM11" s="18">
        <f t="shared" si="2"/>
        <v>0.30200602810078403</v>
      </c>
      <c r="AN11" s="18">
        <f t="shared" si="2"/>
        <v>0.30476288696775122</v>
      </c>
      <c r="AO11" s="18">
        <f t="shared" si="2"/>
        <v>0.31034822660716527</v>
      </c>
      <c r="AP11" s="18">
        <f t="shared" si="2"/>
        <v>0.30890678184516673</v>
      </c>
      <c r="AQ11" s="18">
        <f t="shared" si="2"/>
        <v>0.28958734289302723</v>
      </c>
      <c r="AR11" s="18">
        <f t="shared" si="2"/>
        <v>0.29581051490705945</v>
      </c>
      <c r="AS11" s="18">
        <f t="shared" si="2"/>
        <v>0.29020029037434514</v>
      </c>
      <c r="AT11" s="18">
        <f t="shared" si="2"/>
        <v>0.29067555691256491</v>
      </c>
      <c r="AU11" s="18">
        <f t="shared" si="2"/>
        <v>0.28549835366401677</v>
      </c>
    </row>
    <row r="12" spans="1:47" ht="14.4">
      <c r="A12" s="1" t="s">
        <v>238</v>
      </c>
      <c r="B12" s="1" t="s">
        <v>42</v>
      </c>
      <c r="C12" s="17">
        <f>'Raw Financials'!C35</f>
        <v>804.4</v>
      </c>
      <c r="D12" s="17">
        <f>'Raw Financials'!D35</f>
        <v>870.8</v>
      </c>
      <c r="E12" s="17">
        <f>'Raw Financials'!E35</f>
        <v>836.2</v>
      </c>
      <c r="F12" s="17">
        <f>'Raw Financials'!F35</f>
        <v>898.3</v>
      </c>
      <c r="G12" s="17">
        <f>'Raw Financials'!G35</f>
        <v>1014.1</v>
      </c>
      <c r="H12" s="17">
        <f>'Raw Financials'!H35</f>
        <v>961.4</v>
      </c>
      <c r="I12" s="17">
        <f>'Raw Financials'!I35</f>
        <v>922.6</v>
      </c>
      <c r="J12" s="17">
        <f>'Raw Financials'!J35</f>
        <v>1183.5999999999999</v>
      </c>
      <c r="K12" s="17">
        <f>'Raw Financials'!K35</f>
        <v>1014.6</v>
      </c>
      <c r="L12" s="17">
        <f>'Raw Financials'!L35</f>
        <v>986.7</v>
      </c>
      <c r="M12" s="17">
        <f>'Raw Financials'!M35</f>
        <v>1107.3</v>
      </c>
      <c r="N12" s="17">
        <f>'Raw Financials'!N35</f>
        <v>1126.3</v>
      </c>
      <c r="O12" s="17">
        <f>'Raw Financials'!O35</f>
        <v>1081.3</v>
      </c>
      <c r="P12" s="17">
        <f>'Raw Financials'!P35</f>
        <v>1081.4000000000001</v>
      </c>
      <c r="Q12" s="17">
        <f>'Raw Financials'!Q35</f>
        <v>1188.9000000000001</v>
      </c>
      <c r="R12" s="17">
        <f>'Raw Financials'!R35</f>
        <v>1099.4000000000001</v>
      </c>
      <c r="S12" s="17">
        <f>'Raw Financials'!S35</f>
        <v>1095.3</v>
      </c>
      <c r="T12" s="17">
        <f>'Raw Financials'!T35</f>
        <v>1062.9000000000001</v>
      </c>
      <c r="U12" s="17">
        <f>'Raw Financials'!U35</f>
        <v>1103</v>
      </c>
      <c r="V12" s="17">
        <f>'Raw Financials'!V35</f>
        <v>1029.5</v>
      </c>
      <c r="W12" s="17">
        <f>'Raw Financials'!W35</f>
        <v>978.9</v>
      </c>
      <c r="X12" s="17">
        <f>'Raw Financials'!X35</f>
        <v>960.6</v>
      </c>
      <c r="Y12" s="17">
        <f>'Raw Financials'!Y35</f>
        <v>1132.5999999999999</v>
      </c>
      <c r="Z12" s="17">
        <f>'Raw Financials'!Z35</f>
        <v>1067.9000000000001</v>
      </c>
      <c r="AA12" s="17">
        <f>'Raw Financials'!AA35</f>
        <v>1301.7</v>
      </c>
      <c r="AB12" s="17">
        <f>'Raw Financials'!AB35</f>
        <v>1385.2</v>
      </c>
      <c r="AC12" s="17">
        <f>'Raw Financials'!AC35</f>
        <v>1398.8</v>
      </c>
      <c r="AD12" s="17">
        <f>'Raw Financials'!AD35</f>
        <v>1407.8</v>
      </c>
      <c r="AE12" s="17">
        <f>'Raw Financials'!AE35</f>
        <v>1535.9</v>
      </c>
      <c r="AF12" s="17">
        <f>'Raw Financials'!AF35</f>
        <v>1514</v>
      </c>
      <c r="AG12" s="17">
        <f>'Raw Financials'!AG35</f>
        <v>1775.2</v>
      </c>
      <c r="AH12" s="17">
        <f>'Raw Financials'!AH35</f>
        <v>1690.6</v>
      </c>
      <c r="AI12" s="17">
        <f>'Raw Financials'!AI35</f>
        <v>1658.4</v>
      </c>
      <c r="AJ12" s="17">
        <f>'Raw Financials'!AJ35</f>
        <v>1876.7</v>
      </c>
      <c r="AK12" s="17">
        <f>'Raw Financials'!AK35</f>
        <v>1917.8</v>
      </c>
      <c r="AL12" s="17">
        <f>'Raw Financials'!AL35</f>
        <v>1544.3</v>
      </c>
      <c r="AM12" s="17">
        <f>'Raw Financials'!AM35</f>
        <v>1584.4</v>
      </c>
      <c r="AN12" s="17">
        <f>'Raw Financials'!AN35</f>
        <v>1738.8</v>
      </c>
      <c r="AO12" s="17">
        <f>'Raw Financials'!AO35</f>
        <v>1608.1</v>
      </c>
      <c r="AP12" s="17">
        <f>'Raw Financials'!AP35</f>
        <v>1506.5</v>
      </c>
      <c r="AQ12" s="17">
        <f>'Raw Financials'!AQ35</f>
        <v>1528.5</v>
      </c>
      <c r="AR12" s="17">
        <f>'Raw Financials'!AR35</f>
        <v>1492</v>
      </c>
      <c r="AS12" s="17">
        <f>'Raw Financials'!AS35</f>
        <v>1500.8</v>
      </c>
      <c r="AT12" s="17">
        <f>'Raw Financials'!AT35</f>
        <v>1400.3000000000002</v>
      </c>
      <c r="AU12" s="17">
        <f>'Raw Financials'!AU35</f>
        <v>1649.6</v>
      </c>
    </row>
    <row r="13" spans="1:47" ht="14.4">
      <c r="A13" s="1" t="s">
        <v>239</v>
      </c>
      <c r="B13" s="1" t="s">
        <v>42</v>
      </c>
      <c r="C13" s="17">
        <f>'Raw Financials'!C36</f>
        <v>685.3</v>
      </c>
      <c r="D13" s="17">
        <f>'Raw Financials'!D36</f>
        <v>684.7</v>
      </c>
      <c r="E13" s="17">
        <f>'Raw Financials'!E36</f>
        <v>701</v>
      </c>
      <c r="F13" s="17">
        <f>'Raw Financials'!F36</f>
        <v>791.59999999999991</v>
      </c>
      <c r="G13" s="17">
        <f>'Raw Financials'!G36</f>
        <v>759.9</v>
      </c>
      <c r="H13" s="17">
        <f>'Raw Financials'!H36</f>
        <v>854.5</v>
      </c>
      <c r="I13" s="17">
        <f>'Raw Financials'!I36</f>
        <v>861</v>
      </c>
      <c r="J13" s="17">
        <f>'Raw Financials'!J36</f>
        <v>726.69999999999982</v>
      </c>
      <c r="K13" s="17">
        <f>'Raw Financials'!K36</f>
        <v>726.4</v>
      </c>
      <c r="L13" s="17">
        <f>'Raw Financials'!L36</f>
        <v>708.5</v>
      </c>
      <c r="M13" s="17">
        <f>'Raw Financials'!M36</f>
        <v>999.1</v>
      </c>
      <c r="N13" s="17">
        <f>'Raw Financials'!N36</f>
        <v>980.09999999999991</v>
      </c>
      <c r="O13" s="17">
        <f>'Raw Financials'!O36</f>
        <v>860.8</v>
      </c>
      <c r="P13" s="17">
        <f>'Raw Financials'!P36</f>
        <v>1369.6</v>
      </c>
      <c r="Q13" s="17">
        <f>'Raw Financials'!Q36</f>
        <v>697.8</v>
      </c>
      <c r="R13" s="17">
        <f>'Raw Financials'!R36</f>
        <v>666.90000000000009</v>
      </c>
      <c r="S13" s="17">
        <f>'Raw Financials'!S36</f>
        <v>811.9</v>
      </c>
      <c r="T13" s="17">
        <f>'Raw Financials'!T36</f>
        <v>652.70000000000005</v>
      </c>
      <c r="U13" s="17">
        <f>'Raw Financials'!U36</f>
        <v>749.6</v>
      </c>
      <c r="V13" s="17">
        <f>'Raw Financials'!V36</f>
        <v>768.10000000000036</v>
      </c>
      <c r="W13" s="17">
        <f>'Raw Financials'!W36</f>
        <v>1000.6</v>
      </c>
      <c r="X13" s="17">
        <f>'Raw Financials'!X36</f>
        <v>817.7</v>
      </c>
      <c r="Y13" s="17">
        <f>'Raw Financials'!Y36</f>
        <v>781.4</v>
      </c>
      <c r="Z13" s="17">
        <f>'Raw Financials'!Z36</f>
        <v>868.90000000000009</v>
      </c>
      <c r="AA13" s="17">
        <f>'Raw Financials'!AA36</f>
        <v>1053</v>
      </c>
      <c r="AB13" s="17">
        <f>'Raw Financials'!AB36</f>
        <v>1128.8</v>
      </c>
      <c r="AC13" s="17">
        <f>'Raw Financials'!AC36</f>
        <v>1203.5999999999999</v>
      </c>
      <c r="AD13" s="17">
        <f>'Raw Financials'!AD36</f>
        <v>1252.8000000000002</v>
      </c>
      <c r="AE13" s="17">
        <f>'Raw Financials'!AE36</f>
        <v>1347.1</v>
      </c>
      <c r="AF13" s="17">
        <f>'Raw Financials'!AF36</f>
        <v>1497.6</v>
      </c>
      <c r="AG13" s="17">
        <f>'Raw Financials'!AG36</f>
        <v>1502</v>
      </c>
      <c r="AH13" s="17">
        <f>'Raw Financials'!AH36</f>
        <v>1567.1999999999998</v>
      </c>
      <c r="AI13" s="17">
        <f>'Raw Financials'!AI36</f>
        <v>1588.7</v>
      </c>
      <c r="AJ13" s="17">
        <f>'Raw Financials'!AJ36</f>
        <v>1412.4</v>
      </c>
      <c r="AK13" s="17">
        <f>'Raw Financials'!AK36</f>
        <v>1644.4</v>
      </c>
      <c r="AL13" s="17">
        <f>'Raw Financials'!AL36</f>
        <v>1392</v>
      </c>
      <c r="AM13" s="17">
        <f>'Raw Financials'!AM36</f>
        <v>1421.3</v>
      </c>
      <c r="AN13" s="17">
        <f>'Raw Financials'!AN36</f>
        <v>1303.4000000000001</v>
      </c>
      <c r="AO13" s="17">
        <f>'Raw Financials'!AO36</f>
        <v>1462.9</v>
      </c>
      <c r="AP13" s="17">
        <f>'Raw Financials'!AP36</f>
        <v>1558.8999999999996</v>
      </c>
      <c r="AQ13" s="17">
        <f>'Raw Financials'!AQ36</f>
        <v>1327.2</v>
      </c>
      <c r="AR13" s="17">
        <f>'Raw Financials'!AR36</f>
        <v>1495</v>
      </c>
      <c r="AS13" s="17">
        <f>'Raw Financials'!AS36</f>
        <v>1840.4</v>
      </c>
      <c r="AT13" s="17">
        <f>'Raw Financials'!AT36</f>
        <v>1480.7999999999993</v>
      </c>
      <c r="AU13" s="17">
        <f>'Raw Financials'!AU36</f>
        <v>1496.3</v>
      </c>
    </row>
    <row r="14" spans="1:47" ht="14.4">
      <c r="A14" s="1" t="s">
        <v>240</v>
      </c>
      <c r="B14" s="1" t="s">
        <v>42</v>
      </c>
      <c r="C14" s="17">
        <f>'Raw Financials'!C37</f>
        <v>132.99999999999966</v>
      </c>
      <c r="D14" s="17">
        <f>'Raw Financials'!D37</f>
        <v>53.300000000000182</v>
      </c>
      <c r="E14" s="17">
        <f>'Raw Financials'!E37</f>
        <v>91.100000000000136</v>
      </c>
      <c r="F14" s="17">
        <f>'Raw Financials'!F37</f>
        <v>109.2999999999995</v>
      </c>
      <c r="G14" s="17">
        <f>'Raw Financials'!G37</f>
        <v>98.399999999999636</v>
      </c>
      <c r="H14" s="17">
        <f>'Raw Financials'!H37</f>
        <v>128.0999999999998</v>
      </c>
      <c r="I14" s="17">
        <f>'Raw Financials'!I37</f>
        <v>76.700000000000387</v>
      </c>
      <c r="J14" s="17">
        <f>'Raw Financials'!J37</f>
        <v>482.69999999999936</v>
      </c>
      <c r="K14" s="17">
        <f>'Raw Financials'!K37</f>
        <v>35.300000000000182</v>
      </c>
      <c r="L14" s="17">
        <f>'Raw Financials'!L37</f>
        <v>45.299999999999955</v>
      </c>
      <c r="M14" s="17">
        <f>'Raw Financials'!M37</f>
        <v>12.499999999999886</v>
      </c>
      <c r="N14" s="17">
        <f>'Raw Financials'!N37</f>
        <v>55.699999999999136</v>
      </c>
      <c r="O14" s="17">
        <f>'Raw Financials'!O37</f>
        <v>330</v>
      </c>
      <c r="P14" s="17">
        <f>'Raw Financials'!P37</f>
        <v>148.59999999999991</v>
      </c>
      <c r="Q14" s="17">
        <f>'Raw Financials'!Q37</f>
        <v>91.100000000000591</v>
      </c>
      <c r="R14" s="17">
        <f>'Raw Financials'!R37</f>
        <v>186.199999999998</v>
      </c>
      <c r="S14" s="17">
        <f>'Raw Financials'!S37</f>
        <v>155.69999999999993</v>
      </c>
      <c r="T14" s="17">
        <f>'Raw Financials'!T37</f>
        <v>64.100000000000136</v>
      </c>
      <c r="U14" s="17">
        <f>'Raw Financials'!U37</f>
        <v>72.700000000000387</v>
      </c>
      <c r="V14" s="17">
        <f>'Raw Financials'!V37</f>
        <v>138.79999999999927</v>
      </c>
      <c r="W14" s="17">
        <f>'Raw Financials'!W37</f>
        <v>130.19999999999982</v>
      </c>
      <c r="X14" s="17">
        <f>'Raw Financials'!X37</f>
        <v>15.999999999999886</v>
      </c>
      <c r="Y14" s="17">
        <f>'Raw Financials'!Y37</f>
        <v>56.60000000000025</v>
      </c>
      <c r="Z14" s="17">
        <f>'Raw Financials'!Z37</f>
        <v>88.599999999999454</v>
      </c>
      <c r="AA14" s="17">
        <f>'Raw Financials'!AA37</f>
        <v>331.00000000000023</v>
      </c>
      <c r="AB14" s="17">
        <f>'Raw Financials'!AB37</f>
        <v>94.800000000000182</v>
      </c>
      <c r="AC14" s="17">
        <f>'Raw Financials'!AC37</f>
        <v>120.09999999999968</v>
      </c>
      <c r="AD14" s="17">
        <f>'Raw Financials'!AD37</f>
        <v>108.2000000000005</v>
      </c>
      <c r="AE14" s="17">
        <f>'Raw Financials'!AE37</f>
        <v>103.39999999999964</v>
      </c>
      <c r="AF14" s="17">
        <f>'Raw Financials'!AF37</f>
        <v>105.70000000000027</v>
      </c>
      <c r="AG14" s="17">
        <f>'Raw Financials'!AG37</f>
        <v>139.10000000000014</v>
      </c>
      <c r="AH14" s="17">
        <f>'Raw Financials'!AH37</f>
        <v>99.000000000000455</v>
      </c>
      <c r="AI14" s="17">
        <f>'Raw Financials'!AI37</f>
        <v>-6.1999999999995907</v>
      </c>
      <c r="AJ14" s="17">
        <f>'Raw Financials'!AJ37</f>
        <v>26.799999999999955</v>
      </c>
      <c r="AK14" s="17">
        <f>'Raw Financials'!AK37</f>
        <v>26.200000000000045</v>
      </c>
      <c r="AL14" s="17">
        <f>'Raw Financials'!AL37</f>
        <v>-12.79999999999859</v>
      </c>
      <c r="AM14" s="17">
        <f>'Raw Financials'!AM37</f>
        <v>-20.599999999999682</v>
      </c>
      <c r="AN14" s="17">
        <f>'Raw Financials'!AN37</f>
        <v>-39.599999999999682</v>
      </c>
      <c r="AO14" s="17">
        <f>'Raw Financials'!AO37</f>
        <v>40.999999999999545</v>
      </c>
      <c r="AP14" s="17">
        <f>'Raw Financials'!AP37</f>
        <v>22.399999999999636</v>
      </c>
      <c r="AQ14" s="17">
        <f>'Raw Financials'!AQ37</f>
        <v>18.2000000000005</v>
      </c>
      <c r="AR14" s="17">
        <f>'Raw Financials'!AR37</f>
        <v>55.799999999999727</v>
      </c>
      <c r="AS14" s="17">
        <f>'Raw Financials'!AS37</f>
        <v>78.800000000000409</v>
      </c>
      <c r="AT14" s="17">
        <f>'Raw Financials'!AT37</f>
        <v>32.500000000002728</v>
      </c>
      <c r="AU14" s="17">
        <f>'Raw Financials'!AU37</f>
        <v>77.900000000000006</v>
      </c>
    </row>
    <row r="15" spans="1:47" ht="14.4">
      <c r="A15" s="21" t="s">
        <v>46</v>
      </c>
      <c r="B15" s="19" t="s">
        <v>42</v>
      </c>
      <c r="C15" s="20">
        <f>'Raw Financials'!C38</f>
        <v>2738.8999999999996</v>
      </c>
      <c r="D15" s="20">
        <f>'Raw Financials'!D38</f>
        <v>2781.9</v>
      </c>
      <c r="E15" s="20">
        <f>'Raw Financials'!E38</f>
        <v>2763.8</v>
      </c>
      <c r="F15" s="20">
        <f>'Raw Financials'!F38</f>
        <v>2897.9</v>
      </c>
      <c r="G15" s="20">
        <f>'Raw Financials'!G38</f>
        <v>2751.2</v>
      </c>
      <c r="H15" s="20">
        <f>'Raw Financials'!H38</f>
        <v>2782</v>
      </c>
      <c r="I15" s="20">
        <f>'Raw Financials'!I38</f>
        <v>2864.5</v>
      </c>
      <c r="J15" s="20">
        <f>'Raw Financials'!J38</f>
        <v>3300.8999999999992</v>
      </c>
      <c r="K15" s="20">
        <f>'Raw Financials'!K38</f>
        <v>2703.6000000000004</v>
      </c>
      <c r="L15" s="20">
        <f>'Raw Financials'!L38</f>
        <v>2824.1</v>
      </c>
      <c r="M15" s="20">
        <f>'Raw Financials'!M38</f>
        <v>2505.4</v>
      </c>
      <c r="N15" s="20">
        <f>'Raw Financials'!N38</f>
        <v>2508.6999999999998</v>
      </c>
      <c r="O15" s="20">
        <f>'Raw Financials'!O38</f>
        <v>2788.3367972807296</v>
      </c>
      <c r="P15" s="20">
        <f>'Raw Financials'!P38</f>
        <v>2498.6</v>
      </c>
      <c r="Q15" s="20">
        <f>'Raw Financials'!Q38</f>
        <v>3359.9632027192706</v>
      </c>
      <c r="R15" s="20">
        <f>'Raw Financials'!R38</f>
        <v>3291.5</v>
      </c>
      <c r="S15" s="20">
        <f>'Raw Financials'!S38</f>
        <v>3032.8</v>
      </c>
      <c r="T15" s="20">
        <f>'Raw Financials'!T38</f>
        <v>3154.9</v>
      </c>
      <c r="U15" s="20">
        <f>'Raw Financials'!U38</f>
        <v>3252.8</v>
      </c>
      <c r="V15" s="20">
        <f>'Raw Financials'!V38</f>
        <v>3218.6999999999994</v>
      </c>
      <c r="W15" s="20">
        <f>'Raw Financials'!W38</f>
        <v>3359.6326099801431</v>
      </c>
      <c r="X15" s="20">
        <f>'Raw Financials'!X38</f>
        <v>3488.3246161793904</v>
      </c>
      <c r="Y15" s="20">
        <f>'Raw Financials'!Y38</f>
        <v>4080.9263015998581</v>
      </c>
      <c r="Z15" s="20">
        <f>'Raw Financials'!Z38</f>
        <v>4142.0164722406071</v>
      </c>
      <c r="AA15" s="20">
        <f>'Raw Financials'!AA38</f>
        <v>4185.3337755109778</v>
      </c>
      <c r="AB15" s="20">
        <f>'Raw Financials'!AB38</f>
        <v>4260.6342999542312</v>
      </c>
      <c r="AC15" s="20">
        <f>'Raw Financials'!AC38</f>
        <v>4347.3888574773619</v>
      </c>
      <c r="AD15" s="20">
        <f>'Raw Financials'!AD38</f>
        <v>4326.3430670574289</v>
      </c>
      <c r="AE15" s="20">
        <f>'Raw Financials'!AE38</f>
        <v>3983.6926398755186</v>
      </c>
      <c r="AF15" s="20">
        <f>'Raw Financials'!AF38</f>
        <v>4082.3157230382949</v>
      </c>
      <c r="AG15" s="20">
        <f>'Raw Financials'!AG38</f>
        <v>4621.0600917694801</v>
      </c>
      <c r="AH15" s="20">
        <f>'Raw Financials'!AH38</f>
        <v>4613.7315453167066</v>
      </c>
      <c r="AI15" s="20">
        <f>'Raw Financials'!AI38</f>
        <v>4318.2136376549543</v>
      </c>
      <c r="AJ15" s="20">
        <f>'Raw Financials'!AJ38</f>
        <v>4189.1531472154165</v>
      </c>
      <c r="AK15" s="20">
        <f>'Raw Financials'!AK38</f>
        <v>4129.3558751474757</v>
      </c>
      <c r="AL15" s="20">
        <f>'Raw Financials'!AL38</f>
        <v>4380.2773399821517</v>
      </c>
      <c r="AM15" s="20">
        <f>'Raw Financials'!AM38</f>
        <v>4336.1388685844622</v>
      </c>
      <c r="AN15" s="20">
        <f>'Raw Financials'!AN38</f>
        <v>4455.3544546764788</v>
      </c>
      <c r="AO15" s="20">
        <f>'Raw Financials'!AO38</f>
        <v>4637.6255265556456</v>
      </c>
      <c r="AP15" s="20">
        <f>'Raw Financials'!AP38</f>
        <v>4655.8811501834143</v>
      </c>
      <c r="AQ15" s="20">
        <f>'Raw Financials'!AQ38</f>
        <v>4267.9776064518919</v>
      </c>
      <c r="AR15" s="20">
        <f>'Raw Financials'!AR38</f>
        <v>4496.160398060978</v>
      </c>
      <c r="AS15" s="20">
        <f>'Raw Financials'!AS38</f>
        <v>4313.7386752893417</v>
      </c>
      <c r="AT15" s="20">
        <f>'Raw Financials'!AT38</f>
        <v>4957.9233201977904</v>
      </c>
      <c r="AU15" s="20">
        <f>'Raw Financials'!AU38</f>
        <v>0</v>
      </c>
    </row>
    <row r="16" spans="1:47" ht="14.4">
      <c r="A16" s="1" t="s">
        <v>47</v>
      </c>
      <c r="B16" s="1" t="s">
        <v>44</v>
      </c>
      <c r="C16" s="18">
        <f t="shared" ref="C16:AU16" si="3">IFERROR(C15/C6,"")</f>
        <v>0.22381022422697258</v>
      </c>
      <c r="D16" s="18">
        <f t="shared" si="3"/>
        <v>0.22231190314460383</v>
      </c>
      <c r="E16" s="18">
        <f t="shared" si="3"/>
        <v>0.21490610784961706</v>
      </c>
      <c r="F16" s="18">
        <f t="shared" si="3"/>
        <v>0.2125744549749127</v>
      </c>
      <c r="G16" s="18">
        <f t="shared" si="3"/>
        <v>0.20230601800105885</v>
      </c>
      <c r="H16" s="18">
        <f t="shared" si="3"/>
        <v>0.20209651525167627</v>
      </c>
      <c r="I16" s="18">
        <f t="shared" si="3"/>
        <v>0.2092739519864405</v>
      </c>
      <c r="J16" s="18">
        <f t="shared" si="3"/>
        <v>0.23598927613941012</v>
      </c>
      <c r="K16" s="18">
        <f t="shared" si="3"/>
        <v>0.19841333910656755</v>
      </c>
      <c r="L16" s="18">
        <f t="shared" si="3"/>
        <v>0.21038634027146624</v>
      </c>
      <c r="M16" s="18">
        <f t="shared" si="3"/>
        <v>0.18329065769258907</v>
      </c>
      <c r="N16" s="18">
        <f t="shared" si="3"/>
        <v>0.18220443618087534</v>
      </c>
      <c r="O16" s="18">
        <f t="shared" si="3"/>
        <v>0.19948466466448195</v>
      </c>
      <c r="P16" s="18">
        <f t="shared" si="3"/>
        <v>0.1718313733580909</v>
      </c>
      <c r="Q16" s="18">
        <f t="shared" si="3"/>
        <v>0.2231125337972224</v>
      </c>
      <c r="R16" s="18">
        <f t="shared" si="3"/>
        <v>0.21934121002512275</v>
      </c>
      <c r="S16" s="18">
        <f t="shared" si="3"/>
        <v>0.20608721060607091</v>
      </c>
      <c r="T16" s="18">
        <f t="shared" si="3"/>
        <v>0.20858015549796372</v>
      </c>
      <c r="U16" s="18">
        <f t="shared" si="3"/>
        <v>0.21025823341197764</v>
      </c>
      <c r="V16" s="18">
        <f t="shared" si="3"/>
        <v>0.20486919992362035</v>
      </c>
      <c r="W16" s="18">
        <f t="shared" si="3"/>
        <v>0.22528063313329511</v>
      </c>
      <c r="X16" s="18">
        <f t="shared" si="3"/>
        <v>0.23079325258390224</v>
      </c>
      <c r="Y16" s="18">
        <f t="shared" si="3"/>
        <v>0.26042924707082693</v>
      </c>
      <c r="Z16" s="18">
        <f t="shared" si="3"/>
        <v>0.25496549621681258</v>
      </c>
      <c r="AA16" s="18">
        <f t="shared" si="3"/>
        <v>0.22930320262053086</v>
      </c>
      <c r="AB16" s="18">
        <f t="shared" si="3"/>
        <v>0.21663434414077259</v>
      </c>
      <c r="AC16" s="18">
        <f t="shared" si="3"/>
        <v>0.21401370793347127</v>
      </c>
      <c r="AD16" s="18">
        <f t="shared" si="3"/>
        <v>0.20739899650323251</v>
      </c>
      <c r="AE16" s="18">
        <f t="shared" si="3"/>
        <v>0.18504188102689068</v>
      </c>
      <c r="AF16" s="18">
        <f t="shared" si="3"/>
        <v>0.18111668403032405</v>
      </c>
      <c r="AG16" s="18">
        <f t="shared" si="3"/>
        <v>0.19893495595029834</v>
      </c>
      <c r="AH16" s="18">
        <f t="shared" si="3"/>
        <v>0.19895092108841653</v>
      </c>
      <c r="AI16" s="18">
        <f t="shared" si="3"/>
        <v>0.18913817343326855</v>
      </c>
      <c r="AJ16" s="18">
        <f t="shared" si="3"/>
        <v>0.18605310679188558</v>
      </c>
      <c r="AK16" s="18">
        <f t="shared" si="3"/>
        <v>0.18596429987468988</v>
      </c>
      <c r="AL16" s="18">
        <f t="shared" si="3"/>
        <v>0.19723604868369712</v>
      </c>
      <c r="AM16" s="18">
        <f t="shared" si="3"/>
        <v>0.19742207034231155</v>
      </c>
      <c r="AN16" s="18">
        <f t="shared" si="3"/>
        <v>0.19977734578131071</v>
      </c>
      <c r="AO16" s="18">
        <f t="shared" si="3"/>
        <v>0.20779009295103884</v>
      </c>
      <c r="AP16" s="18">
        <f t="shared" si="3"/>
        <v>0.20688943175866795</v>
      </c>
      <c r="AQ16" s="18">
        <f t="shared" si="3"/>
        <v>0.19281927870627399</v>
      </c>
      <c r="AR16" s="18">
        <f t="shared" si="3"/>
        <v>0.19809230164208863</v>
      </c>
      <c r="AS16" s="18">
        <f t="shared" si="3"/>
        <v>0.18312851507014585</v>
      </c>
      <c r="AT16" s="18">
        <f t="shared" si="3"/>
        <v>0.20456601544781133</v>
      </c>
      <c r="AU16" s="18">
        <f t="shared" si="3"/>
        <v>0</v>
      </c>
    </row>
    <row r="17" spans="1:47" ht="14.4">
      <c r="A17" s="1" t="s">
        <v>241</v>
      </c>
      <c r="B17" s="1" t="s">
        <v>42</v>
      </c>
      <c r="C17" s="17">
        <f>'Raw Financials'!C39</f>
        <v>336.7</v>
      </c>
      <c r="D17" s="17">
        <f>'Raw Financials'!D39</f>
        <v>353</v>
      </c>
      <c r="E17" s="17">
        <f>'Raw Financials'!E39</f>
        <v>376.4</v>
      </c>
      <c r="F17" s="17">
        <f>'Raw Financials'!F39</f>
        <v>430.40000000000009</v>
      </c>
      <c r="G17" s="17">
        <f>'Raw Financials'!G39</f>
        <v>466.5</v>
      </c>
      <c r="H17" s="17">
        <f>'Raw Financials'!H39</f>
        <v>484.9</v>
      </c>
      <c r="I17" s="17">
        <f>'Raw Financials'!I39</f>
        <v>541.20000000000005</v>
      </c>
      <c r="J17" s="17">
        <f>'Raw Financials'!J39</f>
        <v>818.09999999999991</v>
      </c>
      <c r="K17" s="17">
        <f>'Raw Financials'!K39</f>
        <v>494.30000000000018</v>
      </c>
      <c r="L17" s="17">
        <f>'Raw Financials'!L39</f>
        <v>520</v>
      </c>
      <c r="M17" s="17">
        <f>'Raw Financials'!M39</f>
        <v>527.9</v>
      </c>
      <c r="N17" s="17">
        <f>'Raw Financials'!N39</f>
        <v>570.20000000000005</v>
      </c>
      <c r="O17" s="17">
        <f>'Raw Financials'!O39</f>
        <v>457.7367972807296</v>
      </c>
      <c r="P17" s="17">
        <f>'Raw Financials'!P39</f>
        <v>437</v>
      </c>
      <c r="Q17" s="17">
        <f>'Raw Financials'!Q39</f>
        <v>493.16320271927049</v>
      </c>
      <c r="R17" s="17">
        <f>'Raw Financials'!R39</f>
        <v>559.5</v>
      </c>
      <c r="S17" s="17">
        <f>'Raw Financials'!S39</f>
        <v>495.5</v>
      </c>
      <c r="T17" s="17">
        <f>'Raw Financials'!T39</f>
        <v>481.4</v>
      </c>
      <c r="U17" s="17">
        <f>'Raw Financials'!U39</f>
        <v>529.5</v>
      </c>
      <c r="V17" s="17">
        <f>'Raw Financials'!V39</f>
        <v>579.79999999999973</v>
      </c>
      <c r="W17" s="17">
        <f>'Raw Financials'!W39</f>
        <v>665.83260998014305</v>
      </c>
      <c r="X17" s="17">
        <f>'Raw Financials'!X39</f>
        <v>674.82461617939066</v>
      </c>
      <c r="Y17" s="17">
        <f>'Raw Financials'!Y39</f>
        <v>699.62630159985792</v>
      </c>
      <c r="Z17" s="17">
        <f>'Raw Financials'!Z39</f>
        <v>725.31647224060839</v>
      </c>
      <c r="AA17" s="17">
        <f>'Raw Financials'!AA39</f>
        <v>713.33377551097817</v>
      </c>
      <c r="AB17" s="17">
        <f>'Raw Financials'!AB39</f>
        <v>768.63429995423144</v>
      </c>
      <c r="AC17" s="17">
        <f>'Raw Financials'!AC39</f>
        <v>793.88885747736219</v>
      </c>
      <c r="AD17" s="17">
        <f>'Raw Financials'!AD39</f>
        <v>815.24306705742811</v>
      </c>
      <c r="AE17" s="17">
        <f>'Raw Financials'!AE39</f>
        <v>794.69263987551858</v>
      </c>
      <c r="AF17" s="17">
        <f>'Raw Financials'!AF39</f>
        <v>832.01572303829471</v>
      </c>
      <c r="AG17" s="17">
        <f>'Raw Financials'!AG39</f>
        <v>857.46009176947996</v>
      </c>
      <c r="AH17" s="17">
        <f>'Raw Financials'!AH39</f>
        <v>856.03154531670634</v>
      </c>
      <c r="AI17" s="17">
        <f>'Raw Financials'!AI39</f>
        <v>866.61363765495423</v>
      </c>
      <c r="AJ17" s="17">
        <f>'Raw Financials'!AJ39</f>
        <v>854.65314721541699</v>
      </c>
      <c r="AK17" s="17">
        <f>'Raw Financials'!AK39</f>
        <v>842.85587514747601</v>
      </c>
      <c r="AL17" s="17">
        <f>'Raw Financials'!AL39</f>
        <v>842.97733998215256</v>
      </c>
      <c r="AM17" s="17">
        <f>'Raw Financials'!AM39</f>
        <v>729.23886858446224</v>
      </c>
      <c r="AN17" s="17">
        <f>'Raw Financials'!AN39</f>
        <v>740.45445467647869</v>
      </c>
      <c r="AO17" s="17">
        <f>'Raw Financials'!AO39</f>
        <v>741.02552655564591</v>
      </c>
      <c r="AP17" s="17">
        <f>'Raw Financials'!AP39</f>
        <v>747.18115018341325</v>
      </c>
      <c r="AQ17" s="17">
        <f>'Raw Financials'!AQ39</f>
        <v>695.57760645189137</v>
      </c>
      <c r="AR17" s="17">
        <f>'Raw Financials'!AR39</f>
        <v>713.26039806097765</v>
      </c>
      <c r="AS17" s="17">
        <f>'Raw Financials'!AS39</f>
        <v>740.2386752893417</v>
      </c>
      <c r="AT17" s="17">
        <f>'Raw Financials'!AT39</f>
        <v>761.62332019778898</v>
      </c>
      <c r="AU17" s="17">
        <f>'Raw Financials'!AU39</f>
        <v>0</v>
      </c>
    </row>
    <row r="18" spans="1:47" ht="14.4">
      <c r="A18" s="21" t="s">
        <v>48</v>
      </c>
      <c r="B18" s="19" t="s">
        <v>42</v>
      </c>
      <c r="C18" s="20">
        <f>'Raw Financials'!C40</f>
        <v>2402.1999999999998</v>
      </c>
      <c r="D18" s="20">
        <f>'Raw Financials'!D40</f>
        <v>2428.9</v>
      </c>
      <c r="E18" s="20">
        <f>'Raw Financials'!E40</f>
        <v>2387.4</v>
      </c>
      <c r="F18" s="20">
        <f>'Raw Financials'!F40</f>
        <v>2467.5</v>
      </c>
      <c r="G18" s="20">
        <f>'Raw Financials'!G40</f>
        <v>2284.6999999999998</v>
      </c>
      <c r="H18" s="20">
        <f>'Raw Financials'!H40</f>
        <v>2297.1</v>
      </c>
      <c r="I18" s="20">
        <f>'Raw Financials'!I40</f>
        <v>2323.3000000000002</v>
      </c>
      <c r="J18" s="20">
        <f>'Raw Financials'!J40</f>
        <v>2482.7999999999993</v>
      </c>
      <c r="K18" s="20">
        <f>'Raw Financials'!K40</f>
        <v>2209.3000000000002</v>
      </c>
      <c r="L18" s="20">
        <f>'Raw Financials'!L40</f>
        <v>2304.1</v>
      </c>
      <c r="M18" s="20">
        <f>'Raw Financials'!M40</f>
        <v>1977.5</v>
      </c>
      <c r="N18" s="20">
        <f>'Raw Financials'!N40</f>
        <v>1938.5</v>
      </c>
      <c r="O18" s="20">
        <f>'Raw Financials'!O40</f>
        <v>2330.6</v>
      </c>
      <c r="P18" s="20">
        <f>'Raw Financials'!P40</f>
        <v>2061.6</v>
      </c>
      <c r="Q18" s="20">
        <f>'Raw Financials'!Q40</f>
        <v>2866.8</v>
      </c>
      <c r="R18" s="20">
        <f>'Raw Financials'!R40</f>
        <v>2732</v>
      </c>
      <c r="S18" s="20">
        <f>'Raw Financials'!S40</f>
        <v>2537.3000000000002</v>
      </c>
      <c r="T18" s="20">
        <f>'Raw Financials'!T40</f>
        <v>2673.5</v>
      </c>
      <c r="U18" s="20">
        <f>'Raw Financials'!U40</f>
        <v>2723.3</v>
      </c>
      <c r="V18" s="20">
        <f>'Raw Financials'!V40</f>
        <v>2638.8999999999996</v>
      </c>
      <c r="W18" s="20">
        <f>'Raw Financials'!W40</f>
        <v>2693.8</v>
      </c>
      <c r="X18" s="20">
        <f>'Raw Financials'!X40</f>
        <v>2813.5</v>
      </c>
      <c r="Y18" s="20">
        <f>'Raw Financials'!Y40</f>
        <v>3381.3</v>
      </c>
      <c r="Z18" s="20">
        <f>'Raw Financials'!Z40</f>
        <v>3416.6999999999989</v>
      </c>
      <c r="AA18" s="20">
        <f>'Raw Financials'!AA40</f>
        <v>3472</v>
      </c>
      <c r="AB18" s="20">
        <f>'Raw Financials'!AB40</f>
        <v>3492</v>
      </c>
      <c r="AC18" s="20">
        <f>'Raw Financials'!AC40</f>
        <v>3553.5</v>
      </c>
      <c r="AD18" s="20">
        <f>'Raw Financials'!AD40</f>
        <v>3511.1000000000004</v>
      </c>
      <c r="AE18" s="20">
        <f>'Raw Financials'!AE40</f>
        <v>3189</v>
      </c>
      <c r="AF18" s="20">
        <f>'Raw Financials'!AF40</f>
        <v>3250.3</v>
      </c>
      <c r="AG18" s="20">
        <f>'Raw Financials'!AG40</f>
        <v>3763.6</v>
      </c>
      <c r="AH18" s="20">
        <f>'Raw Financials'!AH40</f>
        <v>3757.7000000000007</v>
      </c>
      <c r="AI18" s="20">
        <f>'Raw Financials'!AI40</f>
        <v>3451.6</v>
      </c>
      <c r="AJ18" s="20">
        <f>'Raw Financials'!AJ40</f>
        <v>3334.5</v>
      </c>
      <c r="AK18" s="20">
        <f>'Raw Financials'!AK40</f>
        <v>3286.5</v>
      </c>
      <c r="AL18" s="20">
        <f>'Raw Financials'!AL40</f>
        <v>3537.2999999999993</v>
      </c>
      <c r="AM18" s="20">
        <f>'Raw Financials'!AM40</f>
        <v>3606.9</v>
      </c>
      <c r="AN18" s="20">
        <f>'Raw Financials'!AN40</f>
        <v>3714.9</v>
      </c>
      <c r="AO18" s="20">
        <f>'Raw Financials'!AO40</f>
        <v>3896.6</v>
      </c>
      <c r="AP18" s="20">
        <f>'Raw Financials'!AP40</f>
        <v>3908.7000000000007</v>
      </c>
      <c r="AQ18" s="20">
        <f>'Raw Financials'!AQ40</f>
        <v>3572.4</v>
      </c>
      <c r="AR18" s="20">
        <f>'Raw Financials'!AR40</f>
        <v>3782.9</v>
      </c>
      <c r="AS18" s="20">
        <f>'Raw Financials'!AS40</f>
        <v>3573.5</v>
      </c>
      <c r="AT18" s="20">
        <f>'Raw Financials'!AT40</f>
        <v>4196.3000000000011</v>
      </c>
      <c r="AU18" s="20">
        <f>'Raw Financials'!AU40</f>
        <v>3920.6</v>
      </c>
    </row>
    <row r="19" spans="1:47" ht="14.4">
      <c r="A19" s="1" t="s">
        <v>49</v>
      </c>
      <c r="B19" s="1" t="s">
        <v>44</v>
      </c>
      <c r="C19" s="18">
        <f t="shared" ref="C19:AU19" si="4">IFERROR(C18/C6,"")</f>
        <v>0.19629665947571417</v>
      </c>
      <c r="D19" s="18">
        <f t="shared" si="4"/>
        <v>0.19410236944100373</v>
      </c>
      <c r="E19" s="18">
        <f t="shared" si="4"/>
        <v>0.18563819447144358</v>
      </c>
      <c r="F19" s="18">
        <f t="shared" si="4"/>
        <v>0.18100261142572105</v>
      </c>
      <c r="G19" s="18">
        <f t="shared" si="4"/>
        <v>0.16800252956056236</v>
      </c>
      <c r="H19" s="18">
        <f t="shared" si="4"/>
        <v>0.16687128151855699</v>
      </c>
      <c r="I19" s="18">
        <f t="shared" si="4"/>
        <v>0.16973509256418126</v>
      </c>
      <c r="J19" s="18">
        <f t="shared" si="4"/>
        <v>0.17750134048257368</v>
      </c>
      <c r="K19" s="18">
        <f t="shared" si="4"/>
        <v>0.16213736872619458</v>
      </c>
      <c r="L19" s="18">
        <f t="shared" si="4"/>
        <v>0.17164801764083615</v>
      </c>
      <c r="M19" s="18">
        <f t="shared" si="4"/>
        <v>0.14467042212305217</v>
      </c>
      <c r="N19" s="18">
        <f t="shared" si="4"/>
        <v>0.14079136586145288</v>
      </c>
      <c r="O19" s="18">
        <f t="shared" si="4"/>
        <v>0.16673701681964842</v>
      </c>
      <c r="P19" s="18">
        <f t="shared" si="4"/>
        <v>0.14177841964101506</v>
      </c>
      <c r="Q19" s="18">
        <f t="shared" si="4"/>
        <v>0.19036488595238887</v>
      </c>
      <c r="R19" s="18">
        <f t="shared" si="4"/>
        <v>0.18205686944816507</v>
      </c>
      <c r="S19" s="18">
        <f t="shared" si="4"/>
        <v>0.17241660494288569</v>
      </c>
      <c r="T19" s="18">
        <f t="shared" si="4"/>
        <v>0.17675331887660653</v>
      </c>
      <c r="U19" s="18">
        <f t="shared" si="4"/>
        <v>0.17603180246275171</v>
      </c>
      <c r="V19" s="18">
        <f t="shared" si="4"/>
        <v>0.16796511997963209</v>
      </c>
      <c r="W19" s="18">
        <f t="shared" si="4"/>
        <v>0.18063313462660346</v>
      </c>
      <c r="X19" s="18">
        <f t="shared" si="4"/>
        <v>0.18614575407721062</v>
      </c>
      <c r="Y19" s="18">
        <f t="shared" si="4"/>
        <v>0.21578174856413529</v>
      </c>
      <c r="Z19" s="18">
        <f t="shared" si="4"/>
        <v>0.21031799771012094</v>
      </c>
      <c r="AA19" s="18">
        <f t="shared" si="4"/>
        <v>0.19022155990445092</v>
      </c>
      <c r="AB19" s="18">
        <f t="shared" si="4"/>
        <v>0.17755270142469262</v>
      </c>
      <c r="AC19" s="18">
        <f t="shared" si="4"/>
        <v>0.17493206521739132</v>
      </c>
      <c r="AD19" s="18">
        <f t="shared" si="4"/>
        <v>0.16831735378715251</v>
      </c>
      <c r="AE19" s="18">
        <f t="shared" si="4"/>
        <v>0.1481285359939801</v>
      </c>
      <c r="AF19" s="18">
        <f t="shared" si="4"/>
        <v>0.14420333899741344</v>
      </c>
      <c r="AG19" s="18">
        <f t="shared" si="4"/>
        <v>0.16202161091738773</v>
      </c>
      <c r="AH19" s="18">
        <f t="shared" si="4"/>
        <v>0.16203757605550598</v>
      </c>
      <c r="AI19" s="18">
        <f t="shared" si="4"/>
        <v>0.1511804125969077</v>
      </c>
      <c r="AJ19" s="18">
        <f t="shared" si="4"/>
        <v>0.14809534595552476</v>
      </c>
      <c r="AK19" s="18">
        <f t="shared" si="4"/>
        <v>0.14800653903832905</v>
      </c>
      <c r="AL19" s="18">
        <f t="shared" si="4"/>
        <v>0.1592782878473363</v>
      </c>
      <c r="AM19" s="18">
        <f t="shared" si="4"/>
        <v>0.16422021690235752</v>
      </c>
      <c r="AN19" s="18">
        <f t="shared" si="4"/>
        <v>0.16657549234135668</v>
      </c>
      <c r="AO19" s="18">
        <f t="shared" si="4"/>
        <v>0.17458823951108482</v>
      </c>
      <c r="AP19" s="18">
        <f t="shared" si="4"/>
        <v>0.1736875783187139</v>
      </c>
      <c r="AQ19" s="18">
        <f t="shared" si="4"/>
        <v>0.1613943780325825</v>
      </c>
      <c r="AR19" s="18">
        <f t="shared" si="4"/>
        <v>0.16666740096839713</v>
      </c>
      <c r="AS19" s="18">
        <f t="shared" si="4"/>
        <v>0.15170361439645438</v>
      </c>
      <c r="AT19" s="18">
        <f t="shared" si="4"/>
        <v>0.17314111477411984</v>
      </c>
      <c r="AU19" s="18">
        <f t="shared" si="4"/>
        <v>0.16016438848626965</v>
      </c>
    </row>
    <row r="20" spans="1:47" ht="14.4">
      <c r="A20" s="1" t="s">
        <v>242</v>
      </c>
      <c r="B20" s="1" t="s">
        <v>42</v>
      </c>
      <c r="C20" s="17">
        <f>'Raw Financials'!C41</f>
        <v>128.6</v>
      </c>
      <c r="D20" s="17">
        <f>'Raw Financials'!D41</f>
        <v>158.9</v>
      </c>
      <c r="E20" s="17">
        <f>'Raw Financials'!E41</f>
        <v>142.30000000000001</v>
      </c>
      <c r="F20" s="17">
        <f>'Raw Financials'!F41</f>
        <v>107.99999999999994</v>
      </c>
      <c r="G20" s="17">
        <f>'Raw Financials'!G41</f>
        <v>133.6</v>
      </c>
      <c r="H20" s="17">
        <f>'Raw Financials'!H41</f>
        <v>142.80000000000001</v>
      </c>
      <c r="I20" s="17">
        <f>'Raw Financials'!I41</f>
        <v>136.6</v>
      </c>
      <c r="J20" s="17">
        <f>'Raw Financials'!J41</f>
        <v>181.20000000000005</v>
      </c>
      <c r="K20" s="17">
        <f>'Raw Financials'!K41</f>
        <v>147.4</v>
      </c>
      <c r="L20" s="17">
        <f>'Raw Financials'!L41</f>
        <v>138.6</v>
      </c>
      <c r="M20" s="17">
        <f>'Raw Financials'!M41</f>
        <v>120.5</v>
      </c>
      <c r="N20" s="17">
        <f>'Raw Financials'!N41</f>
        <v>176.5</v>
      </c>
      <c r="O20" s="17">
        <f>'Raw Financials'!O41</f>
        <v>164.9</v>
      </c>
      <c r="P20" s="17">
        <f>'Raw Financials'!P41</f>
        <v>156.9</v>
      </c>
      <c r="Q20" s="17">
        <f>'Raw Financials'!Q41</f>
        <v>162.69999999999999</v>
      </c>
      <c r="R20" s="17">
        <f>'Raw Financials'!R41</f>
        <v>253</v>
      </c>
      <c r="S20" s="17">
        <f>'Raw Financials'!S41</f>
        <v>158.4</v>
      </c>
      <c r="T20" s="17">
        <f>'Raw Financials'!T41</f>
        <v>224.7</v>
      </c>
      <c r="U20" s="17">
        <f>'Raw Financials'!U41</f>
        <v>184.4</v>
      </c>
      <c r="V20" s="17">
        <f>'Raw Financials'!V41</f>
        <v>165.29999999999995</v>
      </c>
      <c r="W20" s="17">
        <f>'Raw Financials'!W41</f>
        <v>129.9</v>
      </c>
      <c r="X20" s="17">
        <f>'Raw Financials'!X41</f>
        <v>126.7</v>
      </c>
      <c r="Y20" s="17">
        <f>'Raw Financials'!Y41</f>
        <v>140</v>
      </c>
      <c r="Z20" s="17">
        <f>'Raw Financials'!Z41</f>
        <v>112.19999999999999</v>
      </c>
      <c r="AA20" s="17">
        <f>'Raw Financials'!AA41</f>
        <v>74.599999999999994</v>
      </c>
      <c r="AB20" s="17">
        <f>'Raw Financials'!AB41</f>
        <v>145.9</v>
      </c>
      <c r="AC20" s="17">
        <f>'Raw Financials'!AC41</f>
        <v>140.30000000000001</v>
      </c>
      <c r="AD20" s="17">
        <f>'Raw Financials'!AD41</f>
        <v>171.7</v>
      </c>
      <c r="AE20" s="17">
        <f>'Raw Financials'!AE41</f>
        <v>204.5</v>
      </c>
      <c r="AF20" s="17">
        <f>'Raw Financials'!AF41</f>
        <v>227</v>
      </c>
      <c r="AG20" s="17">
        <f>'Raw Financials'!AG41</f>
        <v>290.2</v>
      </c>
      <c r="AH20" s="17">
        <f>'Raw Financials'!AH41</f>
        <v>286</v>
      </c>
      <c r="AI20" s="17">
        <f>'Raw Financials'!AI41</f>
        <v>308.60000000000002</v>
      </c>
      <c r="AJ20" s="17">
        <f>'Raw Financials'!AJ41</f>
        <v>303.3</v>
      </c>
      <c r="AK20" s="17">
        <f>'Raw Financials'!AK41</f>
        <v>312.5</v>
      </c>
      <c r="AL20" s="17">
        <f>'Raw Financials'!AL41</f>
        <v>330.79999999999995</v>
      </c>
      <c r="AM20" s="17">
        <f>'Raw Financials'!AM41</f>
        <v>328.8</v>
      </c>
      <c r="AN20" s="17">
        <f>'Raw Financials'!AN41</f>
        <v>356.9</v>
      </c>
      <c r="AO20" s="17">
        <f>'Raw Financials'!AO41</f>
        <v>414.6</v>
      </c>
      <c r="AP20" s="17">
        <f>'Raw Financials'!AP41</f>
        <v>376.70000000000005</v>
      </c>
      <c r="AQ20" s="17">
        <f>'Raw Financials'!AQ41</f>
        <v>360.8</v>
      </c>
      <c r="AR20" s="17">
        <f>'Raw Financials'!AR41</f>
        <v>361.2</v>
      </c>
      <c r="AS20" s="17">
        <f>'Raw Financials'!AS41</f>
        <v>365.6</v>
      </c>
      <c r="AT20" s="17">
        <f>'Raw Financials'!AT41</f>
        <v>370.10000000000014</v>
      </c>
      <c r="AU20" s="17">
        <f>'Raw Financials'!AU41</f>
        <v>472.8</v>
      </c>
    </row>
    <row r="21" spans="1:47" ht="14.4">
      <c r="A21" s="1" t="s">
        <v>243</v>
      </c>
      <c r="B21" s="1" t="s">
        <v>42</v>
      </c>
      <c r="C21" s="17">
        <f>'Raw Financials'!C42</f>
        <v>524.20000000000005</v>
      </c>
      <c r="D21" s="17">
        <f>'Raw Financials'!D42</f>
        <v>619.4</v>
      </c>
      <c r="E21" s="17">
        <f>'Raw Financials'!E42</f>
        <v>622.70000000000005</v>
      </c>
      <c r="F21" s="17">
        <f>'Raw Financials'!F42</f>
        <v>578.79999999999927</v>
      </c>
      <c r="G21" s="17">
        <f>'Raw Financials'!G42</f>
        <v>520</v>
      </c>
      <c r="H21" s="17">
        <f>'Raw Financials'!H42</f>
        <v>510.5</v>
      </c>
      <c r="I21" s="17">
        <f>'Raw Financials'!I42</f>
        <v>571.9</v>
      </c>
      <c r="J21" s="17">
        <f>'Raw Financials'!J42</f>
        <v>639.50000000000045</v>
      </c>
      <c r="K21" s="17">
        <f>'Raw Financials'!K42</f>
        <v>620</v>
      </c>
      <c r="L21" s="17">
        <f>'Raw Financials'!L42</f>
        <v>666.1</v>
      </c>
      <c r="M21" s="17">
        <f>'Raw Financials'!M42</f>
        <v>613.4</v>
      </c>
      <c r="N21" s="17">
        <f>'Raw Financials'!N42</f>
        <v>500.40000000000009</v>
      </c>
      <c r="O21" s="17">
        <f>'Raw Financials'!O42</f>
        <v>519.70000000000005</v>
      </c>
      <c r="P21" s="17">
        <f>'Raw Financials'!P42</f>
        <v>513.6</v>
      </c>
      <c r="Q21" s="17">
        <f>'Raw Financials'!Q42</f>
        <v>536.20000000000005</v>
      </c>
      <c r="R21" s="17">
        <f>'Raw Financials'!R42</f>
        <v>722.80000000000018</v>
      </c>
      <c r="S21" s="17">
        <f>'Raw Financials'!S42</f>
        <v>694.7</v>
      </c>
      <c r="T21" s="17">
        <f>'Raw Financials'!T42</f>
        <v>685.7</v>
      </c>
      <c r="U21" s="17">
        <f>'Raw Financials'!U42</f>
        <v>537</v>
      </c>
      <c r="V21" s="17">
        <f>'Raw Financials'!V42</f>
        <v>490.70000000000073</v>
      </c>
      <c r="W21" s="17">
        <f>'Raw Financials'!W42</f>
        <v>528.1</v>
      </c>
      <c r="X21" s="17">
        <f>'Raw Financials'!X42</f>
        <v>520.9</v>
      </c>
      <c r="Y21" s="17">
        <f>'Raw Financials'!Y42</f>
        <v>597.5</v>
      </c>
      <c r="Z21" s="17">
        <f>'Raw Financials'!Z42</f>
        <v>444.70000000000164</v>
      </c>
      <c r="AA21" s="17">
        <f>'Raw Financials'!AA42</f>
        <v>461.9</v>
      </c>
      <c r="AB21" s="17">
        <f>'Raw Financials'!AB42</f>
        <v>411.4</v>
      </c>
      <c r="AC21" s="17">
        <f>'Raw Financials'!AC42</f>
        <v>357.8</v>
      </c>
      <c r="AD21" s="17">
        <f>'Raw Financials'!AD42</f>
        <v>394.59999999999968</v>
      </c>
      <c r="AE21" s="17">
        <f>'Raw Financials'!AE42</f>
        <v>369</v>
      </c>
      <c r="AF21" s="17">
        <f>'Raw Financials'!AF42</f>
        <v>404</v>
      </c>
      <c r="AG21" s="17">
        <f>'Raw Financials'!AG42</f>
        <v>499.2</v>
      </c>
      <c r="AH21" s="17">
        <f>'Raw Financials'!AH42</f>
        <v>546.30000000000041</v>
      </c>
      <c r="AI21" s="17">
        <f>'Raw Financials'!AI42</f>
        <v>654.20000000000005</v>
      </c>
      <c r="AJ21" s="17">
        <f>'Raw Financials'!AJ42</f>
        <v>481</v>
      </c>
      <c r="AK21" s="17">
        <f>'Raw Financials'!AK42</f>
        <v>578.5</v>
      </c>
      <c r="AL21" s="17">
        <f>'Raw Financials'!AL42</f>
        <v>675.90000000000032</v>
      </c>
      <c r="AM21" s="17">
        <f>'Raw Financials'!AM42</f>
        <v>748</v>
      </c>
      <c r="AN21" s="17">
        <f>'Raw Financials'!AN42</f>
        <v>919.5</v>
      </c>
      <c r="AO21" s="17">
        <f>'Raw Financials'!AO42</f>
        <v>970.8</v>
      </c>
      <c r="AP21" s="17">
        <f>'Raw Financials'!AP42</f>
        <v>1181.9000000000001</v>
      </c>
      <c r="AQ21" s="17">
        <f>'Raw Financials'!AQ42</f>
        <v>1041.7</v>
      </c>
      <c r="AR21" s="17">
        <f>'Raw Financials'!AR42</f>
        <v>845.5</v>
      </c>
      <c r="AS21" s="17">
        <f>'Raw Financials'!AS42</f>
        <v>923.2</v>
      </c>
      <c r="AT21" s="17">
        <f>'Raw Financials'!AT42</f>
        <v>838.69999999999982</v>
      </c>
      <c r="AU21" s="17">
        <f>'Raw Financials'!AU42</f>
        <v>887.2</v>
      </c>
    </row>
    <row r="22" spans="1:47" ht="14.4">
      <c r="A22" s="1" t="s">
        <v>244</v>
      </c>
      <c r="B22" s="1" t="s">
        <v>42</v>
      </c>
      <c r="C22" s="17">
        <f>'Raw Financials'!C43</f>
        <v>0</v>
      </c>
      <c r="D22" s="17">
        <f>'Raw Financials'!D43</f>
        <v>0</v>
      </c>
      <c r="E22" s="17">
        <f>'Raw Financials'!E43</f>
        <v>0</v>
      </c>
      <c r="F22" s="17">
        <f>'Raw Financials'!F43</f>
        <v>0</v>
      </c>
      <c r="G22" s="17">
        <f>'Raw Financials'!G43</f>
        <v>0</v>
      </c>
      <c r="H22" s="17">
        <f>'Raw Financials'!H43</f>
        <v>0</v>
      </c>
      <c r="I22" s="17">
        <f>'Raw Financials'!I43</f>
        <v>0</v>
      </c>
      <c r="J22" s="17">
        <f>'Raw Financials'!J43</f>
        <v>0</v>
      </c>
      <c r="K22" s="17">
        <f>'Raw Financials'!K43</f>
        <v>-0.1</v>
      </c>
      <c r="L22" s="17">
        <f>'Raw Financials'!L43</f>
        <v>0.5</v>
      </c>
      <c r="M22" s="17">
        <f>'Raw Financials'!M43</f>
        <v>1</v>
      </c>
      <c r="N22" s="17">
        <f>'Raw Financials'!N43</f>
        <v>-0.29999999999999982</v>
      </c>
      <c r="O22" s="17">
        <f>'Raw Financials'!O43</f>
        <v>-5.3</v>
      </c>
      <c r="P22" s="17">
        <f>'Raw Financials'!P43</f>
        <v>2</v>
      </c>
      <c r="Q22" s="17">
        <f>'Raw Financials'!Q43</f>
        <v>0.7</v>
      </c>
      <c r="R22" s="17">
        <f>'Raw Financials'!R43</f>
        <v>-1.7000000000000002</v>
      </c>
      <c r="S22" s="17">
        <f>'Raw Financials'!S43</f>
        <v>-1.6</v>
      </c>
      <c r="T22" s="17">
        <f>'Raw Financials'!T43</f>
        <v>-0.2</v>
      </c>
      <c r="U22" s="17">
        <f>'Raw Financials'!U43</f>
        <v>3.4</v>
      </c>
      <c r="V22" s="17">
        <f>'Raw Financials'!V43</f>
        <v>1.3</v>
      </c>
      <c r="W22" s="17">
        <f>'Raw Financials'!W43</f>
        <v>3.1</v>
      </c>
      <c r="X22" s="17">
        <f>'Raw Financials'!X43</f>
        <v>-0.6</v>
      </c>
      <c r="Y22" s="17">
        <f>'Raw Financials'!Y43</f>
        <v>10.1</v>
      </c>
      <c r="Z22" s="17">
        <f>'Raw Financials'!Z43</f>
        <v>0.40000000000000036</v>
      </c>
      <c r="AA22" s="17">
        <f>'Raw Financials'!AA43</f>
        <v>0.7</v>
      </c>
      <c r="AB22" s="17">
        <f>'Raw Financials'!AB43</f>
        <v>-1</v>
      </c>
      <c r="AC22" s="17">
        <f>'Raw Financials'!AC43</f>
        <v>7.6</v>
      </c>
      <c r="AD22" s="17">
        <f>'Raw Financials'!AD43</f>
        <v>-1.5999999999999996</v>
      </c>
      <c r="AE22" s="17">
        <f>'Raw Financials'!AE43</f>
        <v>-1.5</v>
      </c>
      <c r="AF22" s="17">
        <f>'Raw Financials'!AF43</f>
        <v>-7.2</v>
      </c>
      <c r="AG22" s="17">
        <f>'Raw Financials'!AG43</f>
        <v>2.6</v>
      </c>
      <c r="AH22" s="17">
        <f>'Raw Financials'!AH43</f>
        <v>0.39999999999999947</v>
      </c>
      <c r="AI22" s="17">
        <f>'Raw Financials'!AI43</f>
        <v>0.3</v>
      </c>
      <c r="AJ22" s="17">
        <f>'Raw Financials'!AJ43</f>
        <v>-3</v>
      </c>
      <c r="AK22" s="17">
        <f>'Raw Financials'!AK43</f>
        <v>-0.4</v>
      </c>
      <c r="AL22" s="17">
        <f>'Raw Financials'!AL43</f>
        <v>-20.2</v>
      </c>
      <c r="AM22" s="17">
        <f>'Raw Financials'!AM43</f>
        <v>-4.5</v>
      </c>
      <c r="AN22" s="17">
        <f>'Raw Financials'!AN43</f>
        <v>0.3</v>
      </c>
      <c r="AO22" s="17">
        <f>'Raw Financials'!AO43</f>
        <v>0.5</v>
      </c>
      <c r="AP22" s="17">
        <f>'Raw Financials'!AP43</f>
        <v>29.099999999999998</v>
      </c>
      <c r="AQ22" s="17">
        <f>'Raw Financials'!AQ43</f>
        <v>5</v>
      </c>
      <c r="AR22" s="17">
        <f>'Raw Financials'!AR43</f>
        <v>15.2</v>
      </c>
      <c r="AS22" s="17">
        <f>'Raw Financials'!AS43</f>
        <v>2.8</v>
      </c>
      <c r="AT22" s="17">
        <f>'Raw Financials'!AT43</f>
        <v>2.6999999999999993</v>
      </c>
      <c r="AU22" s="17">
        <f>'Raw Financials'!AU43</f>
        <v>-0.5</v>
      </c>
    </row>
    <row r="23" spans="1:47" ht="14.4">
      <c r="A23" s="21" t="s">
        <v>245</v>
      </c>
      <c r="B23" s="19" t="s">
        <v>42</v>
      </c>
      <c r="C23" s="20">
        <f>'Raw Financials'!C44</f>
        <v>2797.8</v>
      </c>
      <c r="D23" s="20">
        <f>'Raw Financials'!D44</f>
        <v>2889.4</v>
      </c>
      <c r="E23" s="20">
        <f>'Raw Financials'!E44</f>
        <v>2867.8</v>
      </c>
      <c r="F23" s="20">
        <f>'Raw Financials'!F44</f>
        <v>2938.2999999999993</v>
      </c>
      <c r="G23" s="20">
        <f>'Raw Financials'!G44</f>
        <v>2671.1</v>
      </c>
      <c r="H23" s="20">
        <f>'Raw Financials'!H44</f>
        <v>2664.8</v>
      </c>
      <c r="I23" s="20">
        <f>'Raw Financials'!I44</f>
        <v>2758.6</v>
      </c>
      <c r="J23" s="20">
        <f>'Raw Financials'!J44</f>
        <v>2941.1000000000004</v>
      </c>
      <c r="K23" s="20">
        <f>'Raw Financials'!K44</f>
        <v>2681.8</v>
      </c>
      <c r="L23" s="20">
        <f>'Raw Financials'!L44</f>
        <v>2832.1</v>
      </c>
      <c r="M23" s="20">
        <f>'Raw Financials'!M44</f>
        <v>2471.4</v>
      </c>
      <c r="N23" s="20">
        <f>'Raw Financials'!N44</f>
        <v>2262.0999999999995</v>
      </c>
      <c r="O23" s="20">
        <f>'Raw Financials'!O44</f>
        <v>2680.1</v>
      </c>
      <c r="P23" s="20">
        <f>'Raw Financials'!P44</f>
        <v>2420.3000000000002</v>
      </c>
      <c r="Q23" s="20">
        <f>'Raw Financials'!Q44</f>
        <v>3241</v>
      </c>
      <c r="R23" s="20">
        <f>'Raw Financials'!R44</f>
        <v>3200.1000000000004</v>
      </c>
      <c r="S23" s="20">
        <f>'Raw Financials'!S44</f>
        <v>3072</v>
      </c>
      <c r="T23" s="20">
        <f>'Raw Financials'!T44</f>
        <v>3134.3</v>
      </c>
      <c r="U23" s="20">
        <f>'Raw Financials'!U44</f>
        <v>3079.3</v>
      </c>
      <c r="V23" s="20">
        <f>'Raw Financials'!V44</f>
        <v>2965.6000000000004</v>
      </c>
      <c r="W23" s="20">
        <f>'Raw Financials'!W44</f>
        <v>3095.1</v>
      </c>
      <c r="X23" s="20">
        <f>'Raw Financials'!X44</f>
        <v>3207.1</v>
      </c>
      <c r="Y23" s="20">
        <f>'Raw Financials'!Y44</f>
        <v>3848.9</v>
      </c>
      <c r="Z23" s="20">
        <f>'Raw Financials'!Z44</f>
        <v>3749.6000000000004</v>
      </c>
      <c r="AA23" s="20">
        <f>'Raw Financials'!AA44</f>
        <v>3860</v>
      </c>
      <c r="AB23" s="20">
        <f>'Raw Financials'!AB44</f>
        <v>3756.5</v>
      </c>
      <c r="AC23" s="20">
        <f>'Raw Financials'!AC44</f>
        <v>3778.6</v>
      </c>
      <c r="AD23" s="20">
        <f>'Raw Financials'!AD44</f>
        <v>3732.3999999999996</v>
      </c>
      <c r="AE23" s="20">
        <f>'Raw Financials'!AE44</f>
        <v>3352</v>
      </c>
      <c r="AF23" s="20">
        <f>'Raw Financials'!AF44</f>
        <v>3420.1</v>
      </c>
      <c r="AG23" s="20">
        <f>'Raw Financials'!AG44</f>
        <v>3975.2</v>
      </c>
      <c r="AH23" s="20">
        <f>'Raw Financials'!AH44</f>
        <v>4018.4000000000015</v>
      </c>
      <c r="AI23" s="20">
        <f>'Raw Financials'!AI44</f>
        <v>3797.5</v>
      </c>
      <c r="AJ23" s="20">
        <f>'Raw Financials'!AJ44</f>
        <v>3509.2</v>
      </c>
      <c r="AK23" s="20">
        <f>'Raw Financials'!AK44</f>
        <v>3552.1</v>
      </c>
      <c r="AL23" s="20">
        <f>'Raw Financials'!AL44</f>
        <v>3862.2000000000007</v>
      </c>
      <c r="AM23" s="20">
        <f>'Raw Financials'!AM44</f>
        <v>4021.6</v>
      </c>
      <c r="AN23" s="20">
        <f>'Raw Financials'!AN44</f>
        <v>4277.8</v>
      </c>
      <c r="AO23" s="20">
        <f>'Raw Financials'!AO44</f>
        <v>4453.3</v>
      </c>
      <c r="AP23" s="20">
        <f>'Raw Financials'!AP44</f>
        <v>4743</v>
      </c>
      <c r="AQ23" s="20">
        <f>'Raw Financials'!AQ44</f>
        <v>4258.3</v>
      </c>
      <c r="AR23" s="20">
        <f>'Raw Financials'!AR44</f>
        <v>4282.3999999999996</v>
      </c>
      <c r="AS23" s="20">
        <f>'Raw Financials'!AS44</f>
        <v>4133.8999999999996</v>
      </c>
      <c r="AT23" s="20">
        <f>'Raw Financials'!AT44</f>
        <v>4667.6000000000022</v>
      </c>
      <c r="AU23" s="20">
        <f>'Raw Financials'!AU44</f>
        <v>4334.5</v>
      </c>
    </row>
    <row r="24" spans="1:47" ht="14.4">
      <c r="A24" s="1" t="s">
        <v>424</v>
      </c>
      <c r="B24" s="1" t="s">
        <v>44</v>
      </c>
      <c r="C24" s="18">
        <f t="shared" ref="C24:AU24" si="5">IFERROR(C23/C6,"")</f>
        <v>0.22862325946263976</v>
      </c>
      <c r="D24" s="18">
        <f t="shared" si="5"/>
        <v>0.23090262516482199</v>
      </c>
      <c r="E24" s="18">
        <f t="shared" si="5"/>
        <v>0.22299288519108901</v>
      </c>
      <c r="F24" s="18">
        <f t="shared" si="5"/>
        <v>0.21553798304040367</v>
      </c>
      <c r="G24" s="18">
        <f t="shared" si="5"/>
        <v>0.19641596564503794</v>
      </c>
      <c r="H24" s="18">
        <f t="shared" si="5"/>
        <v>0.19358260023100896</v>
      </c>
      <c r="I24" s="18">
        <f t="shared" si="5"/>
        <v>0.20153713525913589</v>
      </c>
      <c r="J24" s="18">
        <f t="shared" si="5"/>
        <v>0.21026630920464703</v>
      </c>
      <c r="K24" s="18">
        <f t="shared" si="5"/>
        <v>0.19681346827045157</v>
      </c>
      <c r="L24" s="18">
        <f t="shared" si="5"/>
        <v>0.21098231446578364</v>
      </c>
      <c r="M24" s="18">
        <f t="shared" si="5"/>
        <v>0.18080327748920916</v>
      </c>
      <c r="N24" s="18">
        <f t="shared" si="5"/>
        <v>0.16429411850151793</v>
      </c>
      <c r="O24" s="18">
        <f t="shared" si="5"/>
        <v>0.19174113051503464</v>
      </c>
      <c r="P24" s="18">
        <f t="shared" si="5"/>
        <v>0.16644659927102676</v>
      </c>
      <c r="Q24" s="18">
        <f t="shared" si="5"/>
        <v>0.21521298847903317</v>
      </c>
      <c r="R24" s="18">
        <f t="shared" si="5"/>
        <v>0.21325043481737668</v>
      </c>
      <c r="S24" s="18">
        <f t="shared" si="5"/>
        <v>0.20875095983310796</v>
      </c>
      <c r="T24" s="18">
        <f t="shared" si="5"/>
        <v>0.20721822605384249</v>
      </c>
      <c r="U24" s="18">
        <f t="shared" si="5"/>
        <v>0.19904334055137199</v>
      </c>
      <c r="V24" s="18">
        <f t="shared" si="5"/>
        <v>0.1887594678887404</v>
      </c>
      <c r="W24" s="18">
        <f t="shared" si="5"/>
        <v>0.20754236208434193</v>
      </c>
      <c r="X24" s="18">
        <f t="shared" si="5"/>
        <v>0.21218697277448806</v>
      </c>
      <c r="Y24" s="18">
        <f t="shared" si="5"/>
        <v>0.24562220804084239</v>
      </c>
      <c r="Z24" s="18">
        <f t="shared" si="5"/>
        <v>0.23080995235574378</v>
      </c>
      <c r="AA24" s="18">
        <f t="shared" si="5"/>
        <v>0.21147903837303586</v>
      </c>
      <c r="AB24" s="18">
        <f t="shared" si="5"/>
        <v>0.19100135249194097</v>
      </c>
      <c r="AC24" s="18">
        <f t="shared" si="5"/>
        <v>0.18601331127914306</v>
      </c>
      <c r="AD24" s="18">
        <f t="shared" si="5"/>
        <v>0.17892617449664433</v>
      </c>
      <c r="AE24" s="18">
        <f t="shared" si="5"/>
        <v>0.15569985972148678</v>
      </c>
      <c r="AF24" s="18">
        <f t="shared" si="5"/>
        <v>0.15173671344339099</v>
      </c>
      <c r="AG24" s="18">
        <f t="shared" si="5"/>
        <v>0.17113091394377716</v>
      </c>
      <c r="AH24" s="18">
        <f t="shared" si="5"/>
        <v>0.17327934524348546</v>
      </c>
      <c r="AI24" s="18">
        <f t="shared" si="5"/>
        <v>0.16633086592790505</v>
      </c>
      <c r="AJ24" s="18">
        <f t="shared" si="5"/>
        <v>0.15585430740054804</v>
      </c>
      <c r="AK24" s="18">
        <f t="shared" si="5"/>
        <v>0.1599677551553472</v>
      </c>
      <c r="AL24" s="18">
        <f t="shared" si="5"/>
        <v>0.17390795333276299</v>
      </c>
      <c r="AM24" s="18">
        <f t="shared" si="5"/>
        <v>0.18310128484142088</v>
      </c>
      <c r="AN24" s="18">
        <f t="shared" si="5"/>
        <v>0.19181583384151812</v>
      </c>
      <c r="AO24" s="18">
        <f t="shared" si="5"/>
        <v>0.19953133681022278</v>
      </c>
      <c r="AP24" s="18">
        <f t="shared" si="5"/>
        <v>0.21076065801050473</v>
      </c>
      <c r="AQ24" s="18">
        <f t="shared" si="5"/>
        <v>0.19238206247232842</v>
      </c>
      <c r="AR24" s="18">
        <f t="shared" si="5"/>
        <v>0.18867442383014718</v>
      </c>
      <c r="AS24" s="18">
        <f t="shared" si="5"/>
        <v>0.17549393355351972</v>
      </c>
      <c r="AT24" s="18">
        <f t="shared" si="5"/>
        <v>0.19258715232935728</v>
      </c>
      <c r="AU24" s="18">
        <f t="shared" si="5"/>
        <v>0.17707303522260262</v>
      </c>
    </row>
    <row r="25" spans="1:47" ht="14.4">
      <c r="A25" s="1" t="s">
        <v>246</v>
      </c>
      <c r="B25" s="1" t="s">
        <v>42</v>
      </c>
      <c r="C25" s="17">
        <f>'Raw Financials'!C45</f>
        <v>594.5</v>
      </c>
      <c r="D25" s="17">
        <f>'Raw Financials'!D45</f>
        <v>648.6</v>
      </c>
      <c r="E25" s="17">
        <f>'Raw Financials'!E45</f>
        <v>624.79999999999995</v>
      </c>
      <c r="F25" s="17">
        <f>'Raw Financials'!F45</f>
        <v>668.69999999999982</v>
      </c>
      <c r="G25" s="17">
        <f>'Raw Financials'!G45</f>
        <v>612.20000000000005</v>
      </c>
      <c r="H25" s="17">
        <f>'Raw Financials'!H45</f>
        <v>590.9</v>
      </c>
      <c r="I25" s="17">
        <f>'Raw Financials'!I45</f>
        <v>644</v>
      </c>
      <c r="J25" s="17">
        <f>'Raw Financials'!J45</f>
        <v>674.20000000000027</v>
      </c>
      <c r="K25" s="17">
        <f>'Raw Financials'!K45</f>
        <v>599.4</v>
      </c>
      <c r="L25" s="17">
        <f>'Raw Financials'!L45</f>
        <v>642.6</v>
      </c>
      <c r="M25" s="17">
        <f>'Raw Financials'!M45</f>
        <v>535.5</v>
      </c>
      <c r="N25" s="17">
        <f>'Raw Financials'!N45</f>
        <v>461.5</v>
      </c>
      <c r="O25" s="17">
        <f>'Raw Financials'!O45</f>
        <v>586.5</v>
      </c>
      <c r="P25" s="17">
        <f>'Raw Financials'!P45</f>
        <v>534.70000000000005</v>
      </c>
      <c r="Q25" s="17">
        <f>'Raw Financials'!Q45</f>
        <v>696.6</v>
      </c>
      <c r="R25" s="17">
        <f>'Raw Financials'!R45</f>
        <v>706.39999999999964</v>
      </c>
      <c r="S25" s="17">
        <f>'Raw Financials'!S45</f>
        <v>669.9</v>
      </c>
      <c r="T25" s="17">
        <f>'Raw Financials'!T45</f>
        <v>573.1</v>
      </c>
      <c r="U25" s="17">
        <f>'Raw Financials'!U45</f>
        <v>616.4</v>
      </c>
      <c r="V25" s="17">
        <f>'Raw Financials'!V45</f>
        <v>620.5</v>
      </c>
      <c r="W25" s="17">
        <f>'Raw Financials'!W45</f>
        <v>683.8</v>
      </c>
      <c r="X25" s="17">
        <f>'Raw Financials'!X45</f>
        <v>722.8</v>
      </c>
      <c r="Y25" s="17">
        <f>'Raw Financials'!Y45</f>
        <v>852.4</v>
      </c>
      <c r="Z25" s="17">
        <f>'Raw Financials'!Z45</f>
        <v>775.5</v>
      </c>
      <c r="AA25" s="17">
        <f>'Raw Financials'!AA45</f>
        <v>622.5</v>
      </c>
      <c r="AB25" s="17">
        <f>'Raw Financials'!AB45</f>
        <v>825.9</v>
      </c>
      <c r="AC25" s="17">
        <f>'Raw Financials'!AC45</f>
        <v>806.3</v>
      </c>
      <c r="AD25" s="17">
        <f>'Raw Financials'!AD45</f>
        <v>639.90000000000009</v>
      </c>
      <c r="AE25" s="17">
        <f>'Raw Financials'!AE45</f>
        <v>793.1</v>
      </c>
      <c r="AF25" s="17">
        <f>'Raw Financials'!AF45</f>
        <v>771</v>
      </c>
      <c r="AG25" s="17">
        <f>'Raw Financials'!AG45</f>
        <v>910.2</v>
      </c>
      <c r="AH25" s="17">
        <f>'Raw Financials'!AH45</f>
        <v>924.89999999999964</v>
      </c>
      <c r="AI25" s="17">
        <f>'Raw Financials'!AI45</f>
        <v>911.5</v>
      </c>
      <c r="AJ25" s="17">
        <f>'Raw Financials'!AJ45</f>
        <v>841.9</v>
      </c>
      <c r="AK25" s="17">
        <f>'Raw Financials'!AK45</f>
        <v>851.5</v>
      </c>
      <c r="AL25" s="17">
        <f>'Raw Financials'!AL45</f>
        <v>1004</v>
      </c>
      <c r="AM25" s="17">
        <f>'Raw Financials'!AM45</f>
        <v>985</v>
      </c>
      <c r="AN25" s="17">
        <f>'Raw Financials'!AN45</f>
        <v>1051.2</v>
      </c>
      <c r="AO25" s="17">
        <f>'Raw Financials'!AO45</f>
        <v>1086.5999999999999</v>
      </c>
      <c r="AP25" s="17">
        <f>'Raw Financials'!AP45</f>
        <v>1154.8999999999996</v>
      </c>
      <c r="AQ25" s="17">
        <f>'Raw Financials'!AQ45</f>
        <v>921.8</v>
      </c>
      <c r="AR25" s="17">
        <f>'Raw Financials'!AR45</f>
        <v>1020</v>
      </c>
      <c r="AS25" s="17">
        <f>'Raw Financials'!AS45</f>
        <v>988.9</v>
      </c>
      <c r="AT25" s="17">
        <f>'Raw Financials'!AT45</f>
        <v>1146</v>
      </c>
      <c r="AU25" s="17">
        <f>'Raw Financials'!AU45</f>
        <v>978.2</v>
      </c>
    </row>
    <row r="26" spans="1:47" ht="14.4">
      <c r="A26" s="1" t="s">
        <v>175</v>
      </c>
      <c r="B26" s="1" t="s">
        <v>44</v>
      </c>
      <c r="C26" s="18">
        <f t="shared" ref="C26:AU26" si="6">IFERROR(C25/C23,"")</f>
        <v>0.21248838373007362</v>
      </c>
      <c r="D26" s="18">
        <f t="shared" si="6"/>
        <v>0.22447566968920885</v>
      </c>
      <c r="E26" s="18">
        <f t="shared" si="6"/>
        <v>0.21786735476672012</v>
      </c>
      <c r="F26" s="18">
        <f t="shared" si="6"/>
        <v>0.22758057380117755</v>
      </c>
      <c r="G26" s="18">
        <f t="shared" si="6"/>
        <v>0.22919396503313244</v>
      </c>
      <c r="H26" s="18">
        <f t="shared" si="6"/>
        <v>0.22174271990393274</v>
      </c>
      <c r="I26" s="18">
        <f t="shared" si="6"/>
        <v>0.23345175088813166</v>
      </c>
      <c r="J26" s="18">
        <f t="shared" si="6"/>
        <v>0.22923396008296223</v>
      </c>
      <c r="K26" s="18">
        <f t="shared" si="6"/>
        <v>0.22350660004474604</v>
      </c>
      <c r="L26" s="18">
        <f t="shared" si="6"/>
        <v>0.2268987676988807</v>
      </c>
      <c r="M26" s="18">
        <f t="shared" si="6"/>
        <v>0.21667880553532409</v>
      </c>
      <c r="N26" s="18">
        <f t="shared" si="6"/>
        <v>0.20401396932054291</v>
      </c>
      <c r="O26" s="18">
        <f t="shared" si="6"/>
        <v>0.2188351180926085</v>
      </c>
      <c r="P26" s="18">
        <f t="shared" si="6"/>
        <v>0.22092302607114822</v>
      </c>
      <c r="Q26" s="18">
        <f t="shared" si="6"/>
        <v>0.21493366244986117</v>
      </c>
      <c r="R26" s="18">
        <f t="shared" si="6"/>
        <v>0.2207431017780693</v>
      </c>
      <c r="S26" s="18">
        <f t="shared" si="6"/>
        <v>0.21806640624999998</v>
      </c>
      <c r="T26" s="18">
        <f t="shared" si="6"/>
        <v>0.18284784481383404</v>
      </c>
      <c r="U26" s="18">
        <f t="shared" si="6"/>
        <v>0.20017536453089987</v>
      </c>
      <c r="V26" s="18">
        <f t="shared" si="6"/>
        <v>0.20923253304558939</v>
      </c>
      <c r="W26" s="18">
        <f t="shared" si="6"/>
        <v>0.22092985687053729</v>
      </c>
      <c r="X26" s="18">
        <f t="shared" si="6"/>
        <v>0.22537494933117144</v>
      </c>
      <c r="Y26" s="18">
        <f t="shared" si="6"/>
        <v>0.22146587336641638</v>
      </c>
      <c r="Z26" s="18">
        <f t="shared" si="6"/>
        <v>0.2068220610198421</v>
      </c>
      <c r="AA26" s="18">
        <f t="shared" si="6"/>
        <v>0.16126943005181346</v>
      </c>
      <c r="AB26" s="18">
        <f t="shared" si="6"/>
        <v>0.21985891122055104</v>
      </c>
      <c r="AC26" s="18">
        <f t="shared" si="6"/>
        <v>0.21338591012544328</v>
      </c>
      <c r="AD26" s="18">
        <f t="shared" si="6"/>
        <v>0.17144464687600475</v>
      </c>
      <c r="AE26" s="18">
        <f t="shared" si="6"/>
        <v>0.23660501193317424</v>
      </c>
      <c r="AF26" s="18">
        <f t="shared" si="6"/>
        <v>0.22543200491213708</v>
      </c>
      <c r="AG26" s="18">
        <f t="shared" si="6"/>
        <v>0.22896961159186963</v>
      </c>
      <c r="AH26" s="18">
        <f t="shared" si="6"/>
        <v>0.23016623531753916</v>
      </c>
      <c r="AI26" s="18">
        <f t="shared" si="6"/>
        <v>0.24002633311389071</v>
      </c>
      <c r="AJ26" s="18">
        <f t="shared" si="6"/>
        <v>0.23991223070785364</v>
      </c>
      <c r="AK26" s="18">
        <f t="shared" si="6"/>
        <v>0.23971735029982263</v>
      </c>
      <c r="AL26" s="18">
        <f t="shared" si="6"/>
        <v>0.25995546579669615</v>
      </c>
      <c r="AM26" s="18">
        <f t="shared" si="6"/>
        <v>0.24492739208275313</v>
      </c>
      <c r="AN26" s="18">
        <f t="shared" si="6"/>
        <v>0.24573378839590443</v>
      </c>
      <c r="AO26" s="18">
        <f t="shared" si="6"/>
        <v>0.24399883232658923</v>
      </c>
      <c r="AP26" s="18">
        <f t="shared" si="6"/>
        <v>0.2434956778410288</v>
      </c>
      <c r="AQ26" s="18">
        <f t="shared" si="6"/>
        <v>0.21647136181105134</v>
      </c>
      <c r="AR26" s="18">
        <f t="shared" si="6"/>
        <v>0.2381841957780684</v>
      </c>
      <c r="AS26" s="18">
        <f t="shared" si="6"/>
        <v>0.23921720409298727</v>
      </c>
      <c r="AT26" s="18">
        <f t="shared" si="6"/>
        <v>0.24552232410660713</v>
      </c>
      <c r="AU26" s="18">
        <f t="shared" si="6"/>
        <v>0.22567770215711155</v>
      </c>
    </row>
    <row r="27" spans="1:47" ht="14.4">
      <c r="A27" s="21" t="s">
        <v>247</v>
      </c>
      <c r="B27" s="19" t="s">
        <v>42</v>
      </c>
      <c r="C27" s="20">
        <f>'Raw Financials'!C46</f>
        <v>2203.3000000000002</v>
      </c>
      <c r="D27" s="20">
        <f>'Raw Financials'!D46</f>
        <v>2240.8000000000002</v>
      </c>
      <c r="E27" s="20">
        <f>'Raw Financials'!E46</f>
        <v>2243</v>
      </c>
      <c r="F27" s="20">
        <f>'Raw Financials'!F46</f>
        <v>2269.6000000000004</v>
      </c>
      <c r="G27" s="20">
        <f>'Raw Financials'!G46</f>
        <v>2058.9</v>
      </c>
      <c r="H27" s="20">
        <f>'Raw Financials'!H46</f>
        <v>2073.9</v>
      </c>
      <c r="I27" s="20">
        <f>'Raw Financials'!I46</f>
        <v>2114.6</v>
      </c>
      <c r="J27" s="20">
        <f>'Raw Financials'!J46</f>
        <v>2266.8999999999996</v>
      </c>
      <c r="K27" s="20">
        <f>'Raw Financials'!K46</f>
        <v>2082.4</v>
      </c>
      <c r="L27" s="20">
        <f>'Raw Financials'!L46</f>
        <v>4119</v>
      </c>
      <c r="M27" s="20">
        <f>'Raw Financials'!M46</f>
        <v>1935.9</v>
      </c>
      <c r="N27" s="20">
        <f>'Raw Financials'!N46</f>
        <v>-128.90000000000055</v>
      </c>
      <c r="O27" s="20">
        <f>'Raw Financials'!O46</f>
        <v>2093.6</v>
      </c>
      <c r="P27" s="20">
        <f>'Raw Financials'!P46</f>
        <v>1885.6</v>
      </c>
      <c r="Q27" s="20">
        <f>'Raw Financials'!Q46</f>
        <v>2544.4</v>
      </c>
      <c r="R27" s="20">
        <f>'Raw Financials'!R46</f>
        <v>2493.6999999999989</v>
      </c>
      <c r="S27" s="20">
        <f>'Raw Financials'!S46</f>
        <v>2402.1</v>
      </c>
      <c r="T27" s="20">
        <f>'Raw Financials'!T46</f>
        <v>2561.1999999999998</v>
      </c>
      <c r="U27" s="20">
        <f>'Raw Financials'!U46</f>
        <v>2462.9</v>
      </c>
      <c r="V27" s="20">
        <f>'Raw Financials'!V46</f>
        <v>2345.0999999999995</v>
      </c>
      <c r="W27" s="20">
        <f>'Raw Financials'!W46</f>
        <v>2411.3000000000002</v>
      </c>
      <c r="X27" s="20">
        <f>'Raw Financials'!X46</f>
        <v>2484.3000000000002</v>
      </c>
      <c r="Y27" s="20">
        <f>'Raw Financials'!Y46</f>
        <v>2996.5</v>
      </c>
      <c r="Z27" s="20">
        <f>'Raw Financials'!Z46</f>
        <v>2974.1000000000004</v>
      </c>
      <c r="AA27" s="20">
        <f>'Raw Financials'!AA46</f>
        <v>3237.5</v>
      </c>
      <c r="AB27" s="20">
        <f>'Raw Financials'!AB46</f>
        <v>2930.6</v>
      </c>
      <c r="AC27" s="20">
        <f>'Raw Financials'!AC46</f>
        <v>2972.3</v>
      </c>
      <c r="AD27" s="20">
        <f>'Raw Financials'!AD46</f>
        <v>3092.5</v>
      </c>
      <c r="AE27" s="20">
        <f>'Raw Financials'!AE46</f>
        <v>2558.9</v>
      </c>
      <c r="AF27" s="20">
        <f>'Raw Financials'!AF46</f>
        <v>2649.1</v>
      </c>
      <c r="AG27" s="20">
        <f>'Raw Financials'!AG46</f>
        <v>3065</v>
      </c>
      <c r="AH27" s="20">
        <f>'Raw Financials'!AH46</f>
        <v>3093.5</v>
      </c>
      <c r="AI27" s="20">
        <f>'Raw Financials'!AI46</f>
        <v>2886</v>
      </c>
      <c r="AJ27" s="20">
        <f>'Raw Financials'!AJ46</f>
        <v>2667.3</v>
      </c>
      <c r="AK27" s="20">
        <f>'Raw Financials'!AK46</f>
        <v>2700.6</v>
      </c>
      <c r="AL27" s="20">
        <f>'Raw Financials'!AL46</f>
        <v>2858.2000000000007</v>
      </c>
      <c r="AM27" s="20">
        <f>'Raw Financials'!AM46</f>
        <v>3036.6</v>
      </c>
      <c r="AN27" s="20">
        <f>'Raw Financials'!AN46</f>
        <v>3226.6</v>
      </c>
      <c r="AO27" s="20">
        <f>'Raw Financials'!AO46</f>
        <v>3366.7</v>
      </c>
      <c r="AP27" s="20">
        <f>'Raw Financials'!AP46</f>
        <v>3588.1000000000004</v>
      </c>
      <c r="AQ27" s="20">
        <f>'Raw Financials'!AQ46</f>
        <v>3336.5</v>
      </c>
      <c r="AR27" s="20">
        <f>'Raw Financials'!AR46</f>
        <v>3262.4</v>
      </c>
      <c r="AS27" s="20">
        <f>'Raw Financials'!AS46</f>
        <v>3145</v>
      </c>
      <c r="AT27" s="20">
        <f>'Raw Financials'!AT46</f>
        <v>3521.6000000000004</v>
      </c>
      <c r="AU27" s="20">
        <f>'Raw Financials'!AU46</f>
        <v>3356.3</v>
      </c>
    </row>
    <row r="28" spans="1:47" ht="14.4">
      <c r="A28" s="1" t="s">
        <v>248</v>
      </c>
      <c r="B28" s="1" t="s">
        <v>42</v>
      </c>
      <c r="C28" s="17">
        <f>'Raw Financials'!C47</f>
        <v>15.6</v>
      </c>
      <c r="D28" s="17">
        <f>'Raw Financials'!D47</f>
        <v>5.4</v>
      </c>
      <c r="E28" s="17">
        <f>'Raw Financials'!E47</f>
        <v>8.9</v>
      </c>
      <c r="F28" s="17">
        <f>'Raw Financials'!F47</f>
        <v>19.300000000000004</v>
      </c>
      <c r="G28" s="17">
        <f>'Raw Financials'!G47</f>
        <v>7.1</v>
      </c>
      <c r="H28" s="17">
        <f>'Raw Financials'!H47</f>
        <v>6.7</v>
      </c>
      <c r="I28" s="17">
        <f>'Raw Financials'!I47</f>
        <v>5.2</v>
      </c>
      <c r="J28" s="17">
        <f>'Raw Financials'!J47</f>
        <v>5.8000000000000007</v>
      </c>
      <c r="K28" s="17">
        <f>'Raw Financials'!K47</f>
        <v>5.9</v>
      </c>
      <c r="L28" s="17">
        <f>'Raw Financials'!L47</f>
        <v>1927.3</v>
      </c>
      <c r="M28" s="17">
        <f>'Raw Financials'!M47</f>
        <v>-1.2</v>
      </c>
      <c r="N28" s="17">
        <f>'Raw Financials'!N47</f>
        <v>-1931.7</v>
      </c>
      <c r="O28" s="17">
        <f>'Raw Financials'!O47</f>
        <v>-27</v>
      </c>
      <c r="P28" s="17">
        <f>'Raw Financials'!P47</f>
        <v>-3.3</v>
      </c>
      <c r="Q28" s="17">
        <f>'Raw Financials'!Q47</f>
        <v>34.1</v>
      </c>
      <c r="R28" s="17">
        <f>'Raw Financials'!R47</f>
        <v>10.399999999999999</v>
      </c>
      <c r="S28" s="17">
        <f>'Raw Financials'!S47</f>
        <v>14.7</v>
      </c>
      <c r="T28" s="17">
        <f>'Raw Financials'!T47</f>
        <v>8.6</v>
      </c>
      <c r="U28" s="17">
        <f>'Raw Financials'!U47</f>
        <v>7.1</v>
      </c>
      <c r="V28" s="17">
        <f>'Raw Financials'!V47</f>
        <v>19.100000000000001</v>
      </c>
      <c r="W28" s="17">
        <f>'Raw Financials'!W47</f>
        <v>21.1</v>
      </c>
      <c r="X28" s="17">
        <f>'Raw Financials'!X47</f>
        <v>18.7</v>
      </c>
      <c r="Y28" s="17">
        <f>'Raw Financials'!Y47</f>
        <v>29.8</v>
      </c>
      <c r="Z28" s="17">
        <f>'Raw Financials'!Z47</f>
        <v>2</v>
      </c>
      <c r="AA28" s="17">
        <f>'Raw Financials'!AA47</f>
        <v>5.4</v>
      </c>
      <c r="AB28" s="17">
        <f>'Raw Financials'!AB47</f>
        <v>-0.1</v>
      </c>
      <c r="AC28" s="17">
        <f>'Raw Financials'!AC47</f>
        <v>3.3</v>
      </c>
      <c r="AD28" s="17">
        <f>'Raw Financials'!AD47</f>
        <v>5.2000000000000011</v>
      </c>
      <c r="AE28" s="17">
        <f>'Raw Financials'!AE47</f>
        <v>-4.7</v>
      </c>
      <c r="AF28" s="17">
        <f>'Raw Financials'!AF47</f>
        <v>-9.9</v>
      </c>
      <c r="AG28" s="17">
        <f>'Raw Financials'!AG47</f>
        <v>12.1</v>
      </c>
      <c r="AH28" s="17">
        <f>'Raw Financials'!AH47</f>
        <v>19</v>
      </c>
      <c r="AI28" s="17">
        <f>'Raw Financials'!AI47</f>
        <v>15.9</v>
      </c>
      <c r="AJ28" s="17">
        <f>'Raw Financials'!AJ47</f>
        <v>21</v>
      </c>
      <c r="AK28" s="17">
        <f>'Raw Financials'!AK47</f>
        <v>6.4</v>
      </c>
      <c r="AL28" s="17">
        <f>'Raw Financials'!AL47</f>
        <v>23.600000000000009</v>
      </c>
      <c r="AM28" s="17">
        <f>'Raw Financials'!AM47</f>
        <v>33.4</v>
      </c>
      <c r="AN28" s="17">
        <f>'Raw Financials'!AN47</f>
        <v>17.8</v>
      </c>
      <c r="AO28" s="17">
        <f>'Raw Financials'!AO47</f>
        <v>12.9</v>
      </c>
      <c r="AP28" s="17">
        <f>'Raw Financials'!AP47</f>
        <v>18.5</v>
      </c>
      <c r="AQ28" s="17">
        <f>'Raw Financials'!AQ47</f>
        <v>6.1</v>
      </c>
      <c r="AR28" s="17">
        <f>'Raw Financials'!AR47</f>
        <v>16.2</v>
      </c>
      <c r="AS28" s="17">
        <f>'Raw Financials'!AS47</f>
        <v>26</v>
      </c>
      <c r="AT28" s="17">
        <f>'Raw Financials'!AT47</f>
        <v>19.799999999999997</v>
      </c>
      <c r="AU28" s="17">
        <f>'Raw Financials'!AU47</f>
        <v>4.3</v>
      </c>
    </row>
    <row r="29" spans="1:47" ht="14.4">
      <c r="A29" s="21" t="s">
        <v>249</v>
      </c>
      <c r="B29" s="19" t="s">
        <v>42</v>
      </c>
      <c r="C29" s="20">
        <f>'Raw Financials'!C48</f>
        <v>2187.6999999999998</v>
      </c>
      <c r="D29" s="20">
        <f>'Raw Financials'!D48</f>
        <v>2235.4</v>
      </c>
      <c r="E29" s="20">
        <f>'Raw Financials'!E48</f>
        <v>2234.1</v>
      </c>
      <c r="F29" s="20">
        <f>'Raw Financials'!F48</f>
        <v>2250.3000000000002</v>
      </c>
      <c r="G29" s="20">
        <f>'Raw Financials'!G48</f>
        <v>2051.8000000000002</v>
      </c>
      <c r="H29" s="20">
        <f>'Raw Financials'!H48</f>
        <v>2067.1999999999998</v>
      </c>
      <c r="I29" s="20">
        <f>'Raw Financials'!I48</f>
        <v>2109.4</v>
      </c>
      <c r="J29" s="20">
        <f>'Raw Financials'!J48</f>
        <v>2261.1000000000004</v>
      </c>
      <c r="K29" s="20">
        <f>'Raw Financials'!K48</f>
        <v>2076.5</v>
      </c>
      <c r="L29" s="20">
        <f>'Raw Financials'!L48</f>
        <v>2191.6999999999998</v>
      </c>
      <c r="M29" s="20">
        <f>'Raw Financials'!M48</f>
        <v>1937.1</v>
      </c>
      <c r="N29" s="20">
        <f>'Raw Financials'!N48</f>
        <v>1802.8000000000011</v>
      </c>
      <c r="O29" s="20">
        <f>'Raw Financials'!O48</f>
        <v>2120.6</v>
      </c>
      <c r="P29" s="20">
        <f>'Raw Financials'!P48</f>
        <v>1888.9</v>
      </c>
      <c r="Q29" s="20">
        <f>'Raw Financials'!Q48</f>
        <v>2510.3000000000002</v>
      </c>
      <c r="R29" s="20">
        <f>'Raw Financials'!R48</f>
        <v>2483.3000000000002</v>
      </c>
      <c r="S29" s="20">
        <f>'Raw Financials'!S48</f>
        <v>2387.4</v>
      </c>
      <c r="T29" s="20">
        <f>'Raw Financials'!T48</f>
        <v>2552.6</v>
      </c>
      <c r="U29" s="20">
        <f>'Raw Financials'!U48</f>
        <v>2455.8000000000002</v>
      </c>
      <c r="V29" s="20">
        <f>'Raw Financials'!V48</f>
        <v>2325.9999999999991</v>
      </c>
      <c r="W29" s="20">
        <f>'Raw Financials'!W48</f>
        <v>2390.1999999999998</v>
      </c>
      <c r="X29" s="20">
        <f>'Raw Financials'!X48</f>
        <v>2465.6</v>
      </c>
      <c r="Y29" s="20">
        <f>'Raw Financials'!Y48</f>
        <v>2966.7</v>
      </c>
      <c r="Z29" s="20">
        <f>'Raw Financials'!Z48</f>
        <v>2972.1000000000004</v>
      </c>
      <c r="AA29" s="20">
        <f>'Raw Financials'!AA48</f>
        <v>3232.1</v>
      </c>
      <c r="AB29" s="20">
        <f>'Raw Financials'!AB48</f>
        <v>2930.7</v>
      </c>
      <c r="AC29" s="20">
        <f>'Raw Financials'!AC48</f>
        <v>2969</v>
      </c>
      <c r="AD29" s="20">
        <f>'Raw Financials'!AD48</f>
        <v>3087.3000000000011</v>
      </c>
      <c r="AE29" s="20">
        <f>'Raw Financials'!AE48</f>
        <v>2563.6</v>
      </c>
      <c r="AF29" s="20">
        <f>'Raw Financials'!AF48</f>
        <v>2659</v>
      </c>
      <c r="AG29" s="20">
        <f>'Raw Financials'!AG48</f>
        <v>3052.9</v>
      </c>
      <c r="AH29" s="20">
        <f>'Raw Financials'!AH48</f>
        <v>3074.5</v>
      </c>
      <c r="AI29" s="20">
        <f>'Raw Financials'!AI48</f>
        <v>2870.1</v>
      </c>
      <c r="AJ29" s="20">
        <f>'Raw Financials'!AJ48</f>
        <v>2646.3</v>
      </c>
      <c r="AK29" s="20">
        <f>'Raw Financials'!AK48</f>
        <v>2694.2</v>
      </c>
      <c r="AL29" s="20">
        <f>'Raw Financials'!AL48</f>
        <v>2834.6000000000004</v>
      </c>
      <c r="AM29" s="20">
        <f>'Raw Financials'!AM48</f>
        <v>3003.2</v>
      </c>
      <c r="AN29" s="20">
        <f>'Raw Financials'!AN48</f>
        <v>3208.8</v>
      </c>
      <c r="AO29" s="20">
        <f>'Raw Financials'!AO48</f>
        <v>3353.8</v>
      </c>
      <c r="AP29" s="20">
        <f>'Raw Financials'!AP48</f>
        <v>3569.6000000000004</v>
      </c>
      <c r="AQ29" s="20">
        <f>'Raw Financials'!AQ48</f>
        <v>3330.4</v>
      </c>
      <c r="AR29" s="20">
        <f>'Raw Financials'!AR48</f>
        <v>3246.2</v>
      </c>
      <c r="AS29" s="20">
        <f>'Raw Financials'!AS48</f>
        <v>3119</v>
      </c>
      <c r="AT29" s="20">
        <f>'Raw Financials'!AT48</f>
        <v>3501.7999999999993</v>
      </c>
      <c r="AU29" s="20">
        <f>'Raw Financials'!AU48</f>
        <v>3352</v>
      </c>
    </row>
    <row r="30" spans="1:47" ht="14.4">
      <c r="A30" s="1" t="s">
        <v>51</v>
      </c>
      <c r="B30" s="1" t="s">
        <v>44</v>
      </c>
      <c r="C30" s="18">
        <f t="shared" ref="C30:AU30" si="7">IFERROR(C29/C6,"")</f>
        <v>0.17876871281950707</v>
      </c>
      <c r="D30" s="18">
        <f t="shared" si="7"/>
        <v>0.17863906980461103</v>
      </c>
      <c r="E30" s="18">
        <f t="shared" si="7"/>
        <v>0.17371797364021616</v>
      </c>
      <c r="F30" s="18">
        <f t="shared" si="7"/>
        <v>0.16506998034095244</v>
      </c>
      <c r="G30" s="18">
        <f t="shared" si="7"/>
        <v>0.15087652214836167</v>
      </c>
      <c r="H30" s="18">
        <f t="shared" si="7"/>
        <v>0.15017035094473943</v>
      </c>
      <c r="I30" s="18">
        <f t="shared" si="7"/>
        <v>0.15410803781469631</v>
      </c>
      <c r="J30" s="18">
        <f t="shared" si="7"/>
        <v>0.16165147453083112</v>
      </c>
      <c r="K30" s="18">
        <f t="shared" si="7"/>
        <v>0.15239136656857061</v>
      </c>
      <c r="L30" s="18">
        <f t="shared" si="7"/>
        <v>0.16327458021067687</v>
      </c>
      <c r="M30" s="18">
        <f t="shared" si="7"/>
        <v>0.14171482917550662</v>
      </c>
      <c r="N30" s="18">
        <f t="shared" si="7"/>
        <v>0.13093560710602395</v>
      </c>
      <c r="O30" s="18">
        <f t="shared" si="7"/>
        <v>0.15171308584387988</v>
      </c>
      <c r="P30" s="18">
        <f t="shared" si="7"/>
        <v>0.12990165738257342</v>
      </c>
      <c r="Q30" s="18">
        <f t="shared" si="7"/>
        <v>0.16669212125236563</v>
      </c>
      <c r="R30" s="18">
        <f t="shared" si="7"/>
        <v>0.16548383012468096</v>
      </c>
      <c r="S30" s="18">
        <f t="shared" si="7"/>
        <v>0.16223048226092512</v>
      </c>
      <c r="T30" s="18">
        <f t="shared" si="7"/>
        <v>0.16876024752737082</v>
      </c>
      <c r="U30" s="18">
        <f t="shared" si="7"/>
        <v>0.15874082932031933</v>
      </c>
      <c r="V30" s="18">
        <f t="shared" si="7"/>
        <v>0.14804913754694157</v>
      </c>
      <c r="W30" s="18">
        <f t="shared" si="7"/>
        <v>0.16027519429226653</v>
      </c>
      <c r="X30" s="18">
        <f t="shared" si="7"/>
        <v>0.16312812200205101</v>
      </c>
      <c r="Y30" s="18">
        <f t="shared" si="7"/>
        <v>0.18932354818123803</v>
      </c>
      <c r="Z30" s="18">
        <f t="shared" si="7"/>
        <v>0.18295025053245842</v>
      </c>
      <c r="AA30" s="18">
        <f t="shared" si="7"/>
        <v>0.17707808288225108</v>
      </c>
      <c r="AB30" s="18">
        <f t="shared" si="7"/>
        <v>0.14901308764757923</v>
      </c>
      <c r="AC30" s="18">
        <f t="shared" si="7"/>
        <v>0.14615823881537493</v>
      </c>
      <c r="AD30" s="18">
        <f t="shared" si="7"/>
        <v>0.14800095877277095</v>
      </c>
      <c r="AE30" s="18">
        <f t="shared" si="7"/>
        <v>0.11907880679654043</v>
      </c>
      <c r="AF30" s="18">
        <f t="shared" si="7"/>
        <v>0.11796962692493689</v>
      </c>
      <c r="AG30" s="18">
        <f t="shared" si="7"/>
        <v>0.13142623444831891</v>
      </c>
      <c r="AH30" s="18">
        <f t="shared" si="7"/>
        <v>0.1325769826177324</v>
      </c>
      <c r="AI30" s="18">
        <f t="shared" si="7"/>
        <v>0.12571065656344443</v>
      </c>
      <c r="AJ30" s="18">
        <f t="shared" si="7"/>
        <v>0.11753027860312046</v>
      </c>
      <c r="AK30" s="18">
        <f t="shared" si="7"/>
        <v>0.1213324866809877</v>
      </c>
      <c r="AL30" s="18">
        <f t="shared" si="7"/>
        <v>0.12763696455829576</v>
      </c>
      <c r="AM30" s="18">
        <f t="shared" si="7"/>
        <v>0.13673408062357151</v>
      </c>
      <c r="AN30" s="18">
        <f t="shared" si="7"/>
        <v>0.14388205330559245</v>
      </c>
      <c r="AO30" s="18">
        <f t="shared" si="7"/>
        <v>0.15026793555209061</v>
      </c>
      <c r="AP30" s="18">
        <f t="shared" si="7"/>
        <v>0.15861927995663036</v>
      </c>
      <c r="AQ30" s="18">
        <f t="shared" si="7"/>
        <v>0.15046126878281063</v>
      </c>
      <c r="AR30" s="18">
        <f t="shared" si="7"/>
        <v>0.14302141664427045</v>
      </c>
      <c r="AS30" s="18">
        <f t="shared" si="7"/>
        <v>0.13240900330279592</v>
      </c>
      <c r="AT30" s="18">
        <f t="shared" si="7"/>
        <v>0.14448575071277378</v>
      </c>
      <c r="AU30" s="18">
        <f t="shared" si="7"/>
        <v>0.13693593587868588</v>
      </c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</sheetData>
  <mergeCells count="2">
    <mergeCell ref="A1:AU1"/>
    <mergeCell ref="A2:AU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300"/>
  <sheetViews>
    <sheetView showGridLines="0" workbookViewId="0">
      <selection sqref="A1:Q1"/>
    </sheetView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44" t="s">
        <v>425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45" t="s">
        <v>426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4" t="s">
        <v>35</v>
      </c>
      <c r="M5" s="4" t="s">
        <v>36</v>
      </c>
      <c r="N5" s="14" t="s">
        <v>37</v>
      </c>
      <c r="O5" s="14" t="s">
        <v>38</v>
      </c>
      <c r="P5" s="14" t="s">
        <v>39</v>
      </c>
      <c r="Q5" s="14" t="s">
        <v>40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4"/>
      <c r="O6" s="24"/>
      <c r="P6" s="24"/>
      <c r="Q6" s="2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41</v>
      </c>
      <c r="B7" s="1" t="s">
        <v>42</v>
      </c>
      <c r="C7" s="17">
        <f>'Raw Financials'!C6</f>
        <v>51244</v>
      </c>
      <c r="D7" s="17">
        <f>'Raw Financials'!D6</f>
        <v>55040.2</v>
      </c>
      <c r="E7" s="17">
        <f>'Raw Financials'!E6</f>
        <v>54487.1</v>
      </c>
      <c r="F7" s="17">
        <f>'Raw Financials'!F6</f>
        <v>58584.5</v>
      </c>
      <c r="G7" s="17">
        <f>'Raw Financials'!G6</f>
        <v>61023.199999999997</v>
      </c>
      <c r="H7" s="17">
        <f>'Raw Financials'!H6</f>
        <v>61943</v>
      </c>
      <c r="I7" s="17">
        <f>'Raw Financials'!I6</f>
        <v>79093.399999999994</v>
      </c>
      <c r="J7" s="17">
        <f>'Raw Financials'!J6</f>
        <v>90487.6</v>
      </c>
      <c r="K7" s="17">
        <f>'Raw Financials'!K6</f>
        <v>89760.3</v>
      </c>
      <c r="L7" s="17">
        <f>'Raw Financials'!L6</f>
        <v>89088.4</v>
      </c>
      <c r="M7" s="17">
        <f>'Raw Financials'!M6</f>
        <v>92624</v>
      </c>
      <c r="N7" s="29">
        <f>'Revenue Drivers'!N31</f>
        <v>95426.74118316597</v>
      </c>
      <c r="O7" s="29">
        <f>'Revenue Drivers'!O31</f>
        <v>101167.43631504844</v>
      </c>
      <c r="P7" s="29">
        <f>'Revenue Drivers'!P31</f>
        <v>109097.12384098076</v>
      </c>
      <c r="Q7" s="29">
        <f>'Revenue Drivers'!Q31</f>
        <v>118382.91707735034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423</v>
      </c>
      <c r="B8" s="1" t="s">
        <v>44</v>
      </c>
      <c r="C8" s="1"/>
      <c r="D8" s="18">
        <f t="shared" ref="D8:Q8" si="0">IFERROR(D7/C7-1,"")</f>
        <v>7.4080868004058997E-2</v>
      </c>
      <c r="E8" s="18">
        <f t="shared" si="0"/>
        <v>-1.0049018717228519E-2</v>
      </c>
      <c r="F8" s="18">
        <f t="shared" si="0"/>
        <v>7.5199450879198881E-2</v>
      </c>
      <c r="G8" s="18">
        <f t="shared" si="0"/>
        <v>4.1627051523867253E-2</v>
      </c>
      <c r="H8" s="18">
        <f t="shared" si="0"/>
        <v>1.507295585941093E-2</v>
      </c>
      <c r="I8" s="18">
        <f t="shared" si="0"/>
        <v>0.27687390019856961</v>
      </c>
      <c r="J8" s="18">
        <f t="shared" si="0"/>
        <v>0.14406006063717092</v>
      </c>
      <c r="K8" s="18">
        <f t="shared" si="0"/>
        <v>-8.0375653680725412E-3</v>
      </c>
      <c r="L8" s="18">
        <f t="shared" si="0"/>
        <v>-7.4854919156911448E-3</v>
      </c>
      <c r="M8" s="18">
        <f t="shared" si="0"/>
        <v>3.9686423821732264E-2</v>
      </c>
      <c r="N8" s="26">
        <f t="shared" si="0"/>
        <v>3.0259340809789759E-2</v>
      </c>
      <c r="O8" s="26">
        <f t="shared" si="0"/>
        <v>6.0158138701011943E-2</v>
      </c>
      <c r="P8" s="26">
        <f t="shared" si="0"/>
        <v>7.8381817457924274E-2</v>
      </c>
      <c r="Q8" s="26">
        <f t="shared" si="0"/>
        <v>8.5114922460325371E-2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236</v>
      </c>
      <c r="B9" s="1" t="s">
        <v>42</v>
      </c>
      <c r="C9" s="17">
        <f>'Raw Financials'!C7</f>
        <v>35672.400000000001</v>
      </c>
      <c r="D9" s="17">
        <f>'Raw Financials'!D7</f>
        <v>39154.400000000001</v>
      </c>
      <c r="E9" s="17">
        <f>'Raw Financials'!E7</f>
        <v>38557.5</v>
      </c>
      <c r="F9" s="17">
        <f>'Raw Financials'!F7</f>
        <v>41303.300000000003</v>
      </c>
      <c r="G9" s="17">
        <f>'Raw Financials'!G7</f>
        <v>43608.5</v>
      </c>
      <c r="H9" s="17">
        <f>'Raw Financials'!H7</f>
        <v>42320.5</v>
      </c>
      <c r="I9" s="17">
        <f>'Raw Financials'!I7</f>
        <v>55587.199999999997</v>
      </c>
      <c r="J9" s="17">
        <f>'Raw Financials'!J7</f>
        <v>64544.6</v>
      </c>
      <c r="K9" s="17">
        <f>'Raw Financials'!K7</f>
        <v>63149.7</v>
      </c>
      <c r="L9" s="17">
        <f>'Raw Financials'!L7</f>
        <v>61780.2</v>
      </c>
      <c r="M9" s="17">
        <f>'Raw Financials'!M7</f>
        <v>65619.199999999997</v>
      </c>
      <c r="N9" s="29">
        <f>N7-N10</f>
        <v>67562.132757681509</v>
      </c>
      <c r="O9" s="29">
        <f>O7-O10</f>
        <v>71323.042602109155</v>
      </c>
      <c r="P9" s="29">
        <f>P7-P10</f>
        <v>76586.180936368488</v>
      </c>
      <c r="Q9" s="29">
        <f>Q7-Q10</f>
        <v>82868.041954145243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21" t="s">
        <v>237</v>
      </c>
      <c r="B10" s="19" t="s">
        <v>42</v>
      </c>
      <c r="C10" s="20">
        <f>'Raw Financials'!C8</f>
        <v>15571.6</v>
      </c>
      <c r="D10" s="20">
        <f>'Raw Financials'!D8</f>
        <v>15885.8</v>
      </c>
      <c r="E10" s="20">
        <f>'Raw Financials'!E8</f>
        <v>15929.6</v>
      </c>
      <c r="F10" s="20">
        <f>'Raw Financials'!F8</f>
        <v>17281.2</v>
      </c>
      <c r="G10" s="20">
        <f>'Raw Financials'!G8</f>
        <v>17414.7</v>
      </c>
      <c r="H10" s="20">
        <f>'Raw Financials'!H8</f>
        <v>19622.5</v>
      </c>
      <c r="I10" s="20">
        <f>'Raw Financials'!I8</f>
        <v>23506.2</v>
      </c>
      <c r="J10" s="20">
        <f>'Raw Financials'!J8</f>
        <v>25943</v>
      </c>
      <c r="K10" s="20">
        <f>'Raw Financials'!K8</f>
        <v>26610.6</v>
      </c>
      <c r="L10" s="20">
        <f>'Raw Financials'!L8</f>
        <v>27308.2</v>
      </c>
      <c r="M10" s="20">
        <f>'Raw Financials'!M8</f>
        <v>27004.799999999999</v>
      </c>
      <c r="N10" s="27">
        <f>N7*Assumptions!C19</f>
        <v>27864.608425484461</v>
      </c>
      <c r="O10" s="27">
        <f>O7*Assumptions!D19</f>
        <v>29844.393712939291</v>
      </c>
      <c r="P10" s="27">
        <f>P7*Assumptions!E19</f>
        <v>32510.942904612264</v>
      </c>
      <c r="Q10" s="27">
        <f>Q7*Assumptions!F19</f>
        <v>35514.8751232051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45</v>
      </c>
      <c r="B11" s="1" t="s">
        <v>44</v>
      </c>
      <c r="C11" s="18">
        <f t="shared" ref="C11:Q11" si="1">IFERROR(C10/C7,"")</f>
        <v>0.30387167278120364</v>
      </c>
      <c r="D11" s="18">
        <f t="shared" si="1"/>
        <v>0.28862177099647168</v>
      </c>
      <c r="E11" s="18">
        <f t="shared" si="1"/>
        <v>0.29235543825969817</v>
      </c>
      <c r="F11" s="18">
        <f t="shared" si="1"/>
        <v>0.29497904735894309</v>
      </c>
      <c r="G11" s="18">
        <f t="shared" si="1"/>
        <v>0.28537834790702554</v>
      </c>
      <c r="H11" s="18">
        <f t="shared" si="1"/>
        <v>0.31678317162552672</v>
      </c>
      <c r="I11" s="18">
        <f t="shared" si="1"/>
        <v>0.29719546763699628</v>
      </c>
      <c r="J11" s="18">
        <f t="shared" si="1"/>
        <v>0.28670226638788077</v>
      </c>
      <c r="K11" s="18">
        <f t="shared" si="1"/>
        <v>0.29646291289133392</v>
      </c>
      <c r="L11" s="18">
        <f t="shared" si="1"/>
        <v>0.30652924510935209</v>
      </c>
      <c r="M11" s="18">
        <f t="shared" si="1"/>
        <v>0.29155294524097425</v>
      </c>
      <c r="N11" s="26">
        <f t="shared" si="1"/>
        <v>0.29199999999999998</v>
      </c>
      <c r="O11" s="26">
        <f t="shared" si="1"/>
        <v>0.29499999999999998</v>
      </c>
      <c r="P11" s="26">
        <f t="shared" si="1"/>
        <v>0.29799999999999999</v>
      </c>
      <c r="Q11" s="26">
        <f t="shared" si="1"/>
        <v>0.3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238</v>
      </c>
      <c r="B12" s="1" t="s">
        <v>42</v>
      </c>
      <c r="C12" s="17">
        <f>'Raw Financials'!C9</f>
        <v>3409.7</v>
      </c>
      <c r="D12" s="17">
        <f>'Raw Financials'!D9</f>
        <v>4081.7</v>
      </c>
      <c r="E12" s="17">
        <f>'Raw Financials'!E9</f>
        <v>4234.8999999999996</v>
      </c>
      <c r="F12" s="17">
        <f>'Raw Financials'!F9</f>
        <v>4451</v>
      </c>
      <c r="G12" s="17">
        <f>'Raw Financials'!G9</f>
        <v>4290.7</v>
      </c>
      <c r="H12" s="17">
        <f>'Raw Financials'!H9</f>
        <v>4140</v>
      </c>
      <c r="I12" s="17">
        <f>'Raw Financials'!I9</f>
        <v>5493.5</v>
      </c>
      <c r="J12" s="17">
        <f>'Raw Financials'!J9</f>
        <v>6515.7</v>
      </c>
      <c r="K12" s="17">
        <f>'Raw Financials'!K9</f>
        <v>6997.2</v>
      </c>
      <c r="L12" s="17">
        <f>'Raw Financials'!L9</f>
        <v>6437.8</v>
      </c>
      <c r="M12" s="17">
        <f>'Raw Financials'!M9</f>
        <v>5921.6</v>
      </c>
      <c r="N12" s="29">
        <f>N7*Assumptions!C20</f>
        <v>6107.3114357226223</v>
      </c>
      <c r="O12" s="29">
        <f>O7*Assumptions!D20</f>
        <v>6373.548487848052</v>
      </c>
      <c r="P12" s="29">
        <f>P7*Assumptions!E20</f>
        <v>6764.0216781408071</v>
      </c>
      <c r="Q12" s="29">
        <f>Q7*Assumptions!F20</f>
        <v>7221.357941718371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239</v>
      </c>
      <c r="B13" s="1" t="s">
        <v>42</v>
      </c>
      <c r="C13" s="17">
        <f>'Raw Financials'!C10</f>
        <v>2862.6</v>
      </c>
      <c r="D13" s="17">
        <f>'Raw Financials'!D10</f>
        <v>3202.1</v>
      </c>
      <c r="E13" s="17">
        <f>'Raw Financials'!E10</f>
        <v>3414.1</v>
      </c>
      <c r="F13" s="17">
        <f>'Raw Financials'!F10</f>
        <v>3595.1</v>
      </c>
      <c r="G13" s="17">
        <f>'Raw Financials'!G10</f>
        <v>2982.3</v>
      </c>
      <c r="H13" s="17">
        <f>'Raw Financials'!H10</f>
        <v>3468.6</v>
      </c>
      <c r="I13" s="17">
        <f>'Raw Financials'!I10</f>
        <v>4638.2</v>
      </c>
      <c r="J13" s="17">
        <f>'Raw Financials'!J10</f>
        <v>5913.9</v>
      </c>
      <c r="K13" s="17">
        <f>'Raw Financials'!K10</f>
        <v>6037.5</v>
      </c>
      <c r="L13" s="17">
        <f>'Raw Financials'!L10</f>
        <v>5746.5</v>
      </c>
      <c r="M13" s="17">
        <f>'Raw Financials'!M10</f>
        <v>6143.4</v>
      </c>
      <c r="N13" s="29">
        <f>N7*Assumptions!C21</f>
        <v>6298.1649180889544</v>
      </c>
      <c r="O13" s="29">
        <f>O7*Assumptions!D21</f>
        <v>6575.8833604781494</v>
      </c>
      <c r="P13" s="29">
        <f>P7*Assumptions!E21</f>
        <v>6982.2159258227684</v>
      </c>
      <c r="Q13" s="29">
        <f>Q7*Assumptions!F21</f>
        <v>7458.1237758730713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240</v>
      </c>
      <c r="B14" s="1" t="s">
        <v>42</v>
      </c>
      <c r="C14" s="17">
        <f>'Raw Financials'!C11</f>
        <v>0</v>
      </c>
      <c r="D14" s="17">
        <f>'Raw Financials'!D11</f>
        <v>0</v>
      </c>
      <c r="E14" s="17">
        <f>'Raw Financials'!E11</f>
        <v>0</v>
      </c>
      <c r="F14" s="17">
        <f>'Raw Financials'!F11</f>
        <v>0</v>
      </c>
      <c r="G14" s="17">
        <f>'Raw Financials'!G11</f>
        <v>0</v>
      </c>
      <c r="H14" s="17">
        <f>'Raw Financials'!H11</f>
        <v>0</v>
      </c>
      <c r="I14" s="17">
        <f>'Raw Financials'!I11</f>
        <v>0</v>
      </c>
      <c r="J14" s="17">
        <f>'Raw Financials'!J11</f>
        <v>0</v>
      </c>
      <c r="K14" s="17">
        <f>'Raw Financials'!K11</f>
        <v>0</v>
      </c>
      <c r="L14" s="17">
        <f>'Raw Financials'!L11</f>
        <v>0</v>
      </c>
      <c r="M14" s="17">
        <f>'Raw Financials'!M11</f>
        <v>0</v>
      </c>
      <c r="N14" s="29">
        <f>N7*Assumptions!C22</f>
        <v>190.85348236633195</v>
      </c>
      <c r="O14" s="29">
        <f>O7*Assumptions!D22</f>
        <v>202.3348726300969</v>
      </c>
      <c r="P14" s="29">
        <f>P7*Assumptions!E22</f>
        <v>218.19424768196151</v>
      </c>
      <c r="Q14" s="29">
        <f>Q7*Assumptions!F22</f>
        <v>236.76583415470068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21" t="s">
        <v>46</v>
      </c>
      <c r="B15" s="19" t="s">
        <v>42</v>
      </c>
      <c r="C15" s="20">
        <f>'Raw Financials'!C12</f>
        <v>11182.5</v>
      </c>
      <c r="D15" s="20">
        <f>'Raw Financials'!D12</f>
        <v>11698.599999999999</v>
      </c>
      <c r="E15" s="20">
        <f>'Raw Financials'!E12</f>
        <v>10541.8</v>
      </c>
      <c r="F15" s="20">
        <f>'Raw Financials'!F12</f>
        <v>11938.4</v>
      </c>
      <c r="G15" s="20">
        <f>'Raw Financials'!G12</f>
        <v>12659.2</v>
      </c>
      <c r="H15" s="20">
        <f>'Raw Financials'!H12</f>
        <v>15070.9</v>
      </c>
      <c r="I15" s="20">
        <f>'Raw Financials'!I12</f>
        <v>17119.7</v>
      </c>
      <c r="J15" s="20">
        <f>'Raw Financials'!J12</f>
        <v>17300.8</v>
      </c>
      <c r="K15" s="20">
        <f>'Raw Financials'!K12</f>
        <v>17017</v>
      </c>
      <c r="L15" s="20">
        <f>'Raw Financials'!L12</f>
        <v>18085</v>
      </c>
      <c r="M15" s="20">
        <f>'Raw Financials'!M12</f>
        <v>18035.8</v>
      </c>
      <c r="N15" s="27">
        <f>N18+N17</f>
        <v>18608.214530717363</v>
      </c>
      <c r="O15" s="27">
        <f>O18+O17</f>
        <v>20132.319826694638</v>
      </c>
      <c r="P15" s="27">
        <f>P18+P17</f>
        <v>22146.716139719094</v>
      </c>
      <c r="Q15" s="27">
        <f>Q18+Q17</f>
        <v>24386.880917934166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47</v>
      </c>
      <c r="B16" s="1" t="s">
        <v>44</v>
      </c>
      <c r="C16" s="18">
        <f t="shared" ref="C16:Q16" si="2">IFERROR(C15/C7,"")</f>
        <v>0.21822066973694482</v>
      </c>
      <c r="D16" s="18">
        <f t="shared" si="2"/>
        <v>0.21254646603755073</v>
      </c>
      <c r="E16" s="18">
        <f t="shared" si="2"/>
        <v>0.19347331753754557</v>
      </c>
      <c r="F16" s="18">
        <f t="shared" si="2"/>
        <v>0.20378086353899069</v>
      </c>
      <c r="G16" s="18">
        <f t="shared" si="2"/>
        <v>0.20744897022771669</v>
      </c>
      <c r="H16" s="18">
        <f t="shared" si="2"/>
        <v>0.24330271378525417</v>
      </c>
      <c r="I16" s="18">
        <f t="shared" si="2"/>
        <v>0.21644916010691159</v>
      </c>
      <c r="J16" s="18">
        <f t="shared" si="2"/>
        <v>0.19119525769276671</v>
      </c>
      <c r="K16" s="18">
        <f t="shared" si="2"/>
        <v>0.18958269970131561</v>
      </c>
      <c r="L16" s="18">
        <f t="shared" si="2"/>
        <v>0.2030006151193646</v>
      </c>
      <c r="M16" s="18">
        <f t="shared" si="2"/>
        <v>0.19472059077560891</v>
      </c>
      <c r="N16" s="26">
        <f t="shared" si="2"/>
        <v>0.19499999999999998</v>
      </c>
      <c r="O16" s="26">
        <f t="shared" si="2"/>
        <v>0.19899999999999998</v>
      </c>
      <c r="P16" s="26">
        <f t="shared" si="2"/>
        <v>0.20300000000000001</v>
      </c>
      <c r="Q16" s="26">
        <f t="shared" si="2"/>
        <v>0.20599999999999996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241</v>
      </c>
      <c r="B17" s="1" t="s">
        <v>42</v>
      </c>
      <c r="C17" s="17">
        <f>'Raw Financials'!C13</f>
        <v>1496.5</v>
      </c>
      <c r="D17" s="17">
        <f>'Raw Financials'!D13</f>
        <v>2310.6999999999998</v>
      </c>
      <c r="E17" s="17">
        <f>'Raw Financials'!E13</f>
        <v>2112.4</v>
      </c>
      <c r="F17" s="17">
        <f>'Raw Financials'!F13</f>
        <v>1947.4</v>
      </c>
      <c r="G17" s="17">
        <f>'Raw Financials'!G13</f>
        <v>2086.1999999999998</v>
      </c>
      <c r="H17" s="17">
        <f>'Raw Financials'!H13</f>
        <v>2765.6</v>
      </c>
      <c r="I17" s="17">
        <f>'Raw Financials'!I13</f>
        <v>3091.1</v>
      </c>
      <c r="J17" s="17">
        <f>'Raw Financials'!J13</f>
        <v>3340.2</v>
      </c>
      <c r="K17" s="17">
        <f>'Raw Financials'!K13</f>
        <v>3407.1</v>
      </c>
      <c r="L17" s="17">
        <f>'Raw Financials'!L13</f>
        <v>2957.9</v>
      </c>
      <c r="M17" s="17">
        <f>'Raw Financials'!M13</f>
        <v>2910.7</v>
      </c>
      <c r="N17" s="29">
        <f>N7*Assumptions!C23</f>
        <v>2958.228976678145</v>
      </c>
      <c r="O17" s="29">
        <f>O7*Assumptions!D23</f>
        <v>3035.023089451453</v>
      </c>
      <c r="P17" s="29">
        <f>P7*Assumptions!E23</f>
        <v>3163.8165913884422</v>
      </c>
      <c r="Q17" s="29">
        <f>Q7*Assumptions!F23</f>
        <v>3314.7216781658099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21" t="s">
        <v>48</v>
      </c>
      <c r="B18" s="19" t="s">
        <v>42</v>
      </c>
      <c r="C18" s="20">
        <f>'Raw Financials'!C14</f>
        <v>9686</v>
      </c>
      <c r="D18" s="20">
        <f>'Raw Financials'!D14</f>
        <v>9387.9</v>
      </c>
      <c r="E18" s="20">
        <f>'Raw Financials'!E14</f>
        <v>8429.4</v>
      </c>
      <c r="F18" s="20">
        <f>'Raw Financials'!F14</f>
        <v>9991</v>
      </c>
      <c r="G18" s="20">
        <f>'Raw Financials'!G14</f>
        <v>10573</v>
      </c>
      <c r="H18" s="20">
        <f>'Raw Financials'!H14</f>
        <v>12305.3</v>
      </c>
      <c r="I18" s="20">
        <f>'Raw Financials'!I14</f>
        <v>14028.6</v>
      </c>
      <c r="J18" s="20">
        <f>'Raw Financials'!J14</f>
        <v>13960.6</v>
      </c>
      <c r="K18" s="20">
        <f>'Raw Financials'!K14</f>
        <v>13609.9</v>
      </c>
      <c r="L18" s="20">
        <f>'Raw Financials'!L14</f>
        <v>15127.1</v>
      </c>
      <c r="M18" s="20">
        <f>'Raw Financials'!M14</f>
        <v>15125.1</v>
      </c>
      <c r="N18" s="27">
        <f>N10-N12-N13+N14</f>
        <v>15649.985554039216</v>
      </c>
      <c r="O18" s="27">
        <f>O10-O12-O13+O14</f>
        <v>17097.296737243185</v>
      </c>
      <c r="P18" s="27">
        <f>P10-P12-P13+P14</f>
        <v>18982.89954833065</v>
      </c>
      <c r="Q18" s="27">
        <f>Q10-Q12-Q13+Q14</f>
        <v>21072.159239768356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49</v>
      </c>
      <c r="B19" s="1" t="s">
        <v>44</v>
      </c>
      <c r="C19" s="18">
        <f t="shared" ref="C19:Q19" si="3">IFERROR(C18/C7,"")</f>
        <v>0.18901725080009366</v>
      </c>
      <c r="D19" s="18">
        <f t="shared" si="3"/>
        <v>0.17056442382113438</v>
      </c>
      <c r="E19" s="18">
        <f t="shared" si="3"/>
        <v>0.1547045080395176</v>
      </c>
      <c r="F19" s="18">
        <f t="shared" si="3"/>
        <v>0.17053998924630234</v>
      </c>
      <c r="G19" s="18">
        <f t="shared" si="3"/>
        <v>0.17326197249570655</v>
      </c>
      <c r="H19" s="18">
        <f t="shared" si="3"/>
        <v>0.19865521527856253</v>
      </c>
      <c r="I19" s="18">
        <f t="shared" si="3"/>
        <v>0.17736751739083162</v>
      </c>
      <c r="J19" s="18">
        <f t="shared" si="3"/>
        <v>0.15428191265985616</v>
      </c>
      <c r="K19" s="18">
        <f t="shared" si="3"/>
        <v>0.15162493886495476</v>
      </c>
      <c r="L19" s="18">
        <f t="shared" si="3"/>
        <v>0.16979876167941058</v>
      </c>
      <c r="M19" s="18">
        <f t="shared" si="3"/>
        <v>0.16329569010191744</v>
      </c>
      <c r="N19" s="26">
        <f t="shared" si="3"/>
        <v>0.16399999999999998</v>
      </c>
      <c r="O19" s="26">
        <f t="shared" si="3"/>
        <v>0.16899999999999998</v>
      </c>
      <c r="P19" s="26">
        <f t="shared" si="3"/>
        <v>0.17399999999999999</v>
      </c>
      <c r="Q19" s="26">
        <f t="shared" si="3"/>
        <v>0.17799999999999996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242</v>
      </c>
      <c r="B20" s="1" t="s">
        <v>42</v>
      </c>
      <c r="C20" s="17">
        <f>'Raw Financials'!C15</f>
        <v>537.79999999999995</v>
      </c>
      <c r="D20" s="17">
        <f>'Raw Financials'!D15</f>
        <v>594.20000000000005</v>
      </c>
      <c r="E20" s="17">
        <f>'Raw Financials'!E15</f>
        <v>583</v>
      </c>
      <c r="F20" s="17">
        <f>'Raw Financials'!F15</f>
        <v>737.5</v>
      </c>
      <c r="G20" s="17">
        <f>'Raw Financials'!G15</f>
        <v>732.8</v>
      </c>
      <c r="H20" s="17">
        <f>'Raw Financials'!H15</f>
        <v>508.8</v>
      </c>
      <c r="I20" s="17">
        <f>'Raw Financials'!I15</f>
        <v>532.5</v>
      </c>
      <c r="J20" s="17">
        <f>'Raw Financials'!J15</f>
        <v>1007.7</v>
      </c>
      <c r="K20" s="17">
        <f>'Raw Financials'!K15</f>
        <v>1255.2</v>
      </c>
      <c r="L20" s="17">
        <f>'Raw Financials'!L15</f>
        <v>1477</v>
      </c>
      <c r="M20" s="17">
        <f>'Raw Financials'!M15</f>
        <v>1457.7</v>
      </c>
      <c r="N20" s="29">
        <f>SUM('Annual Balance Sheet'!M60,'Annual Balance Sheet'!M61)*Assumptions!C25</f>
        <v>1420.3700000000001</v>
      </c>
      <c r="O20" s="29">
        <f>SUM('Annual Balance Sheet'!N60,'Annual Balance Sheet'!N61)*Assumptions!D25</f>
        <v>1439.2154625938595</v>
      </c>
      <c r="P20" s="29">
        <f>SUM('Annual Balance Sheet'!O60,'Annual Balance Sheet'!O61)*Assumptions!E25</f>
        <v>1458.1717434500356</v>
      </c>
      <c r="Q20" s="29">
        <f>SUM('Annual Balance Sheet'!P60,'Annual Balance Sheet'!P61)*Assumptions!F25</f>
        <v>1479.0498916139506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243</v>
      </c>
      <c r="B21" s="1" t="s">
        <v>42</v>
      </c>
      <c r="C21" s="17">
        <f>'Raw Financials'!C16</f>
        <v>2345.0999999999995</v>
      </c>
      <c r="D21" s="17">
        <f>'Raw Financials'!D16</f>
        <v>2241.9000000000005</v>
      </c>
      <c r="E21" s="17">
        <f>'Raw Financials'!E16</f>
        <v>2399.9</v>
      </c>
      <c r="F21" s="17">
        <f>'Raw Financials'!F16</f>
        <v>2292.3000000000002</v>
      </c>
      <c r="G21" s="17">
        <f>'Raw Financials'!G16</f>
        <v>2408.1000000000008</v>
      </c>
      <c r="H21" s="17">
        <f>'Raw Financials'!H16</f>
        <v>2091.2000000000016</v>
      </c>
      <c r="I21" s="17">
        <f>'Raw Financials'!I16</f>
        <v>1625.6999999999996</v>
      </c>
      <c r="J21" s="17">
        <f>'Raw Financials'!J16</f>
        <v>1818.5000000000005</v>
      </c>
      <c r="K21" s="17">
        <f>'Raw Financials'!K16</f>
        <v>2389.6000000000004</v>
      </c>
      <c r="L21" s="17">
        <f>'Raw Financials'!L16</f>
        <v>3820.2000000000003</v>
      </c>
      <c r="M21" s="17">
        <f>'Raw Financials'!M16</f>
        <v>3649.1</v>
      </c>
      <c r="N21" s="29">
        <f>SUM('Annual Balance Sheet'!M21:M22,'Annual Balance Sheet'!M11)*Assumptions!C24</f>
        <v>3427.7280000000001</v>
      </c>
      <c r="O21" s="29">
        <f>SUM('Annual Balance Sheet'!N21:N22,'Annual Balance Sheet'!N11)*Assumptions!D24</f>
        <v>2943.9668283884735</v>
      </c>
      <c r="P21" s="29">
        <f>SUM('Annual Balance Sheet'!O21:O22,'Annual Balance Sheet'!O11)*Assumptions!E24</f>
        <v>3063.542497630594</v>
      </c>
      <c r="Q21" s="29">
        <f>SUM('Annual Balance Sheet'!P21:P22,'Annual Balance Sheet'!P11)*Assumptions!F24</f>
        <v>3197.5709534062912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244</v>
      </c>
      <c r="B22" s="1" t="s">
        <v>42</v>
      </c>
      <c r="C22" s="17">
        <f>'Raw Financials'!C17</f>
        <v>0</v>
      </c>
      <c r="D22" s="17">
        <f>'Raw Financials'!D17</f>
        <v>0</v>
      </c>
      <c r="E22" s="17">
        <f>'Raw Financials'!E17</f>
        <v>1.1000000000000001</v>
      </c>
      <c r="F22" s="17">
        <f>'Raw Financials'!F17</f>
        <v>-4.3</v>
      </c>
      <c r="G22" s="17">
        <f>'Raw Financials'!G17</f>
        <v>2.9</v>
      </c>
      <c r="H22" s="17">
        <f>'Raw Financials'!H17</f>
        <v>13</v>
      </c>
      <c r="I22" s="17">
        <f>'Raw Financials'!I17</f>
        <v>5.7</v>
      </c>
      <c r="J22" s="17">
        <f>'Raw Financials'!J17</f>
        <v>-5.7</v>
      </c>
      <c r="K22" s="17">
        <f>'Raw Financials'!K17</f>
        <v>-23.3</v>
      </c>
      <c r="L22" s="17">
        <f>'Raw Financials'!L17</f>
        <v>25.4</v>
      </c>
      <c r="M22" s="17">
        <f>'Raw Financials'!M17</f>
        <v>25.7</v>
      </c>
      <c r="N22" s="29">
        <f>0</f>
        <v>0</v>
      </c>
      <c r="O22" s="29">
        <f>0</f>
        <v>0</v>
      </c>
      <c r="P22" s="29">
        <f>0</f>
        <v>0</v>
      </c>
      <c r="Q22" s="29">
        <f>0</f>
        <v>0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21" t="s">
        <v>245</v>
      </c>
      <c r="B23" s="19" t="s">
        <v>42</v>
      </c>
      <c r="C23" s="20">
        <f>'Raw Financials'!C18</f>
        <v>11493.3</v>
      </c>
      <c r="D23" s="20">
        <f>'Raw Financials'!D18</f>
        <v>11035.6</v>
      </c>
      <c r="E23" s="20">
        <f>'Raw Financials'!E18</f>
        <v>10247.4</v>
      </c>
      <c r="F23" s="20">
        <f>'Raw Financials'!F18</f>
        <v>11541.5</v>
      </c>
      <c r="G23" s="20">
        <f>'Raw Financials'!G18</f>
        <v>12251.2</v>
      </c>
      <c r="H23" s="20">
        <f>'Raw Financials'!H18</f>
        <v>13900.7</v>
      </c>
      <c r="I23" s="20">
        <f>'Raw Financials'!I18</f>
        <v>15127.5</v>
      </c>
      <c r="J23" s="20">
        <f>'Raw Financials'!J18</f>
        <v>14765.7</v>
      </c>
      <c r="K23" s="20">
        <f>'Raw Financials'!K18</f>
        <v>14721</v>
      </c>
      <c r="L23" s="20">
        <f>'Raw Financials'!L18</f>
        <v>17495.7</v>
      </c>
      <c r="M23" s="20">
        <f>'Raw Financials'!M18</f>
        <v>17342.2</v>
      </c>
      <c r="N23" s="27">
        <f>N18-N20+N21+N22</f>
        <v>17657.343554039217</v>
      </c>
      <c r="O23" s="27">
        <f>O18-O20+O21+O22</f>
        <v>18602.0481030378</v>
      </c>
      <c r="P23" s="27">
        <f>P18-P20+P21+P22</f>
        <v>20588.27030251121</v>
      </c>
      <c r="Q23" s="27">
        <f>Q18-Q20+Q21+Q22</f>
        <v>22790.680301560697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424</v>
      </c>
      <c r="B24" s="1" t="s">
        <v>44</v>
      </c>
      <c r="C24" s="18">
        <f t="shared" ref="C24:Q24" si="4">IFERROR(C23/C7,"")</f>
        <v>0.22428577004137068</v>
      </c>
      <c r="D24" s="18">
        <f t="shared" si="4"/>
        <v>0.20050072492469143</v>
      </c>
      <c r="E24" s="18">
        <f t="shared" si="4"/>
        <v>0.18807020377300315</v>
      </c>
      <c r="F24" s="18">
        <f t="shared" si="4"/>
        <v>0.19700603401923716</v>
      </c>
      <c r="G24" s="18">
        <f t="shared" si="4"/>
        <v>0.20076298850273341</v>
      </c>
      <c r="H24" s="18">
        <f t="shared" si="4"/>
        <v>0.22441115218830215</v>
      </c>
      <c r="I24" s="18">
        <f t="shared" si="4"/>
        <v>0.19126121775015362</v>
      </c>
      <c r="J24" s="18">
        <f t="shared" si="4"/>
        <v>0.16317926434119151</v>
      </c>
      <c r="K24" s="18">
        <f t="shared" si="4"/>
        <v>0.16400346255527221</v>
      </c>
      <c r="L24" s="18">
        <f t="shared" si="4"/>
        <v>0.19638583698887849</v>
      </c>
      <c r="M24" s="18">
        <f t="shared" si="4"/>
        <v>0.1872322508205217</v>
      </c>
      <c r="N24" s="26">
        <f t="shared" si="4"/>
        <v>0.18503559206896725</v>
      </c>
      <c r="O24" s="26">
        <f t="shared" si="4"/>
        <v>0.18387387069005706</v>
      </c>
      <c r="P24" s="26">
        <f t="shared" si="4"/>
        <v>0.18871506028445384</v>
      </c>
      <c r="Q24" s="26">
        <f t="shared" si="4"/>
        <v>0.19251663047523546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246</v>
      </c>
      <c r="B25" s="1" t="s">
        <v>42</v>
      </c>
      <c r="C25" s="17">
        <f>'Raw Financials'!C19</f>
        <v>2536.6</v>
      </c>
      <c r="D25" s="17">
        <f>'Raw Financials'!D19</f>
        <v>2521.3000000000002</v>
      </c>
      <c r="E25" s="17">
        <f>'Raw Financials'!E19</f>
        <v>2239</v>
      </c>
      <c r="F25" s="17">
        <f>'Raw Financials'!F19</f>
        <v>2524.1999999999998</v>
      </c>
      <c r="G25" s="17">
        <f>'Raw Financials'!G19</f>
        <v>2479.9</v>
      </c>
      <c r="H25" s="17">
        <f>'Raw Financials'!H19</f>
        <v>3034.5</v>
      </c>
      <c r="I25" s="17">
        <f>'Raw Financials'!I19</f>
        <v>2894.6</v>
      </c>
      <c r="J25" s="17">
        <f>'Raw Financials'!J19</f>
        <v>3399.2</v>
      </c>
      <c r="K25" s="17">
        <f>'Raw Financials'!K19</f>
        <v>3608.9</v>
      </c>
      <c r="L25" s="17">
        <f>'Raw Financials'!L19</f>
        <v>4277.7</v>
      </c>
      <c r="M25" s="17">
        <f>'Raw Financials'!M19</f>
        <v>4076.7</v>
      </c>
      <c r="N25" s="29">
        <f>N23*Assumptions!C26</f>
        <v>4237.7624529694122</v>
      </c>
      <c r="O25" s="29">
        <f>O23*Assumptions!D26</f>
        <v>4464.4915447290714</v>
      </c>
      <c r="P25" s="29">
        <f>P23*Assumptions!E26</f>
        <v>4941.1848726026901</v>
      </c>
      <c r="Q25" s="29">
        <f>Q23*Assumptions!F26</f>
        <v>5469.7632723745674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175</v>
      </c>
      <c r="B26" s="1" t="s">
        <v>44</v>
      </c>
      <c r="C26" s="18">
        <f t="shared" ref="C26:Q26" si="5">IFERROR(C25/C23,"")</f>
        <v>0.22070249623693805</v>
      </c>
      <c r="D26" s="18">
        <f t="shared" si="5"/>
        <v>0.22846967994490558</v>
      </c>
      <c r="E26" s="18">
        <f t="shared" si="5"/>
        <v>0.21849444737201631</v>
      </c>
      <c r="F26" s="18">
        <f t="shared" si="5"/>
        <v>0.21870640731274096</v>
      </c>
      <c r="G26" s="18">
        <f t="shared" si="5"/>
        <v>0.20242098733185321</v>
      </c>
      <c r="H26" s="18">
        <f t="shared" si="5"/>
        <v>0.21829835907544223</v>
      </c>
      <c r="I26" s="18">
        <f t="shared" si="5"/>
        <v>0.1913468848124277</v>
      </c>
      <c r="J26" s="18">
        <f t="shared" si="5"/>
        <v>0.23020920105379356</v>
      </c>
      <c r="K26" s="18">
        <f t="shared" si="5"/>
        <v>0.24515318252836085</v>
      </c>
      <c r="L26" s="18">
        <f t="shared" si="5"/>
        <v>0.24450007716181688</v>
      </c>
      <c r="M26" s="18">
        <f t="shared" si="5"/>
        <v>0.23507398138644461</v>
      </c>
      <c r="N26" s="26">
        <f t="shared" si="5"/>
        <v>0.24000000000000002</v>
      </c>
      <c r="O26" s="26">
        <f t="shared" si="5"/>
        <v>0.23999999999999996</v>
      </c>
      <c r="P26" s="26">
        <f t="shared" si="5"/>
        <v>0.24</v>
      </c>
      <c r="Q26" s="26">
        <f t="shared" si="5"/>
        <v>0.24000000000000002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21" t="s">
        <v>247</v>
      </c>
      <c r="B27" s="19" t="s">
        <v>42</v>
      </c>
      <c r="C27" s="20">
        <f>'Raw Financials'!C20</f>
        <v>8956.7000000000007</v>
      </c>
      <c r="D27" s="20">
        <f>'Raw Financials'!D20</f>
        <v>8514.2999999999993</v>
      </c>
      <c r="E27" s="20">
        <f>'Raw Financials'!E20</f>
        <v>8008.4</v>
      </c>
      <c r="F27" s="20">
        <f>'Raw Financials'!F20</f>
        <v>9017.2999999999993</v>
      </c>
      <c r="G27" s="20">
        <f>'Raw Financials'!G20</f>
        <v>9771.2999999999993</v>
      </c>
      <c r="H27" s="20">
        <f>'Raw Financials'!H20</f>
        <v>10866.2</v>
      </c>
      <c r="I27" s="20">
        <f>'Raw Financials'!I20</f>
        <v>12232.9</v>
      </c>
      <c r="J27" s="20">
        <f>'Raw Financials'!J20</f>
        <v>11366.5</v>
      </c>
      <c r="K27" s="20">
        <f>'Raw Financials'!K20</f>
        <v>11112.1</v>
      </c>
      <c r="L27" s="20">
        <f>'Raw Financials'!L20</f>
        <v>13218</v>
      </c>
      <c r="M27" s="20">
        <f>'Raw Financials'!M20</f>
        <v>13265.5</v>
      </c>
      <c r="N27" s="27">
        <f>N23-N25</f>
        <v>13419.581101069805</v>
      </c>
      <c r="O27" s="27">
        <f>O23-O25</f>
        <v>14137.556558308728</v>
      </c>
      <c r="P27" s="27">
        <f>P23-P25</f>
        <v>15647.085429908519</v>
      </c>
      <c r="Q27" s="27">
        <f>Q23-Q25</f>
        <v>17320.91702918613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248</v>
      </c>
      <c r="B28" s="1" t="s">
        <v>42</v>
      </c>
      <c r="C28" s="17">
        <f>'Raw Financials'!C21</f>
        <v>49.2</v>
      </c>
      <c r="D28" s="17">
        <f>'Raw Financials'!D21</f>
        <v>24.8</v>
      </c>
      <c r="E28" s="17">
        <f>'Raw Financials'!E21</f>
        <v>0.3</v>
      </c>
      <c r="F28" s="17">
        <f>'Raw Financials'!F21</f>
        <v>14.2</v>
      </c>
      <c r="G28" s="17">
        <f>'Raw Financials'!G21</f>
        <v>49.5</v>
      </c>
      <c r="H28" s="17">
        <f>'Raw Financials'!H21</f>
        <v>71.599999999999994</v>
      </c>
      <c r="I28" s="17">
        <f>'Raw Financials'!I21</f>
        <v>13.8</v>
      </c>
      <c r="J28" s="17">
        <f>'Raw Financials'!J21</f>
        <v>16.5</v>
      </c>
      <c r="K28" s="17">
        <f>'Raw Financials'!K21</f>
        <v>66.900000000000006</v>
      </c>
      <c r="L28" s="17">
        <f>'Raw Financials'!L21</f>
        <v>82.6</v>
      </c>
      <c r="M28" s="17">
        <f>'Raw Financials'!M21</f>
        <v>68.099999999999994</v>
      </c>
      <c r="N28" s="29">
        <f>0</f>
        <v>0</v>
      </c>
      <c r="O28" s="29">
        <f>0</f>
        <v>0</v>
      </c>
      <c r="P28" s="29">
        <f>0</f>
        <v>0</v>
      </c>
      <c r="Q28" s="29">
        <f>0</f>
        <v>0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21" t="s">
        <v>249</v>
      </c>
      <c r="B29" s="19" t="s">
        <v>42</v>
      </c>
      <c r="C29" s="20">
        <f>'Raw Financials'!C22</f>
        <v>8907.5</v>
      </c>
      <c r="D29" s="20">
        <f>'Raw Financials'!D22</f>
        <v>8489.5</v>
      </c>
      <c r="E29" s="20">
        <f>'Raw Financials'!E22</f>
        <v>8008.1</v>
      </c>
      <c r="F29" s="20">
        <f>'Raw Financials'!F22</f>
        <v>9003.1</v>
      </c>
      <c r="G29" s="20">
        <f>'Raw Financials'!G22</f>
        <v>9721.7999999999993</v>
      </c>
      <c r="H29" s="20">
        <f>'Raw Financials'!H22</f>
        <v>10794.6</v>
      </c>
      <c r="I29" s="20">
        <f>'Raw Financials'!I22</f>
        <v>12219.1</v>
      </c>
      <c r="J29" s="20">
        <f>'Raw Financials'!J22</f>
        <v>11350</v>
      </c>
      <c r="K29" s="20">
        <f>'Raw Financials'!K22</f>
        <v>11045.2</v>
      </c>
      <c r="L29" s="20">
        <f>'Raw Financials'!L22</f>
        <v>13135.4</v>
      </c>
      <c r="M29" s="20">
        <f>'Raw Financials'!M22</f>
        <v>13197.4</v>
      </c>
      <c r="N29" s="27">
        <f>N27-N28</f>
        <v>13419.581101069805</v>
      </c>
      <c r="O29" s="27">
        <f>O27-O28</f>
        <v>14137.556558308728</v>
      </c>
      <c r="P29" s="27">
        <f>P27-P28</f>
        <v>15647.085429908519</v>
      </c>
      <c r="Q29" s="27">
        <f>Q27-Q28</f>
        <v>17320.91702918613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51</v>
      </c>
      <c r="B30" s="1" t="s">
        <v>44</v>
      </c>
      <c r="C30" s="18">
        <f t="shared" ref="C30:Q30" si="6">IFERROR(C29/C7,"")</f>
        <v>0.17382522831941299</v>
      </c>
      <c r="D30" s="18">
        <f t="shared" si="6"/>
        <v>0.15424180871435789</v>
      </c>
      <c r="E30" s="18">
        <f t="shared" si="6"/>
        <v>0.14697240264209327</v>
      </c>
      <c r="F30" s="18">
        <f t="shared" si="6"/>
        <v>0.15367716716879037</v>
      </c>
      <c r="G30" s="18">
        <f t="shared" si="6"/>
        <v>0.15931317924985908</v>
      </c>
      <c r="H30" s="18">
        <f t="shared" si="6"/>
        <v>0.1742666645141501</v>
      </c>
      <c r="I30" s="18">
        <f t="shared" si="6"/>
        <v>0.1544895022846407</v>
      </c>
      <c r="J30" s="18">
        <f t="shared" si="6"/>
        <v>0.12543155084232535</v>
      </c>
      <c r="K30" s="18">
        <f t="shared" si="6"/>
        <v>0.12305217339959872</v>
      </c>
      <c r="L30" s="18">
        <f t="shared" si="6"/>
        <v>0.14744231572236116</v>
      </c>
      <c r="M30" s="18">
        <f t="shared" si="6"/>
        <v>0.14248358956641907</v>
      </c>
      <c r="N30" s="26">
        <f t="shared" si="6"/>
        <v>0.14062704997241512</v>
      </c>
      <c r="O30" s="26">
        <f t="shared" si="6"/>
        <v>0.13974414172444335</v>
      </c>
      <c r="P30" s="26">
        <f t="shared" si="6"/>
        <v>0.14342344581618491</v>
      </c>
      <c r="Q30" s="26">
        <f t="shared" si="6"/>
        <v>0.14631263916117895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251</v>
      </c>
      <c r="B31" s="1" t="s">
        <v>252</v>
      </c>
      <c r="C31" s="22">
        <f>'Raw Financials'!C25</f>
        <v>4913.1188000000002</v>
      </c>
      <c r="D31" s="22">
        <f>'Raw Financials'!D25</f>
        <v>6476.108013</v>
      </c>
      <c r="E31" s="22">
        <f>'Raw Financials'!E25</f>
        <v>6333.3912</v>
      </c>
      <c r="F31" s="22">
        <f>'Raw Financials'!F25</f>
        <v>6007.3768369999998</v>
      </c>
      <c r="G31" s="22">
        <f>'Raw Financials'!G25</f>
        <v>5833.3840179999997</v>
      </c>
      <c r="H31" s="22">
        <f>'Raw Financials'!H25</f>
        <v>5649.2658849999998</v>
      </c>
      <c r="I31" s="22">
        <f>'Raw Financials'!I25</f>
        <v>5466.7058399999996</v>
      </c>
      <c r="J31" s="22">
        <f>'Raw Financials'!J25</f>
        <v>10954.933145999999</v>
      </c>
      <c r="K31" s="22">
        <f>'Raw Financials'!K25</f>
        <v>10576.571110000001</v>
      </c>
      <c r="L31" s="22">
        <f>'Raw Financials'!L25</f>
        <v>10456.741552</v>
      </c>
      <c r="M31" s="22">
        <f>'Raw Financials'!M25</f>
        <v>10476.247846</v>
      </c>
      <c r="N31" s="25">
        <f>MAX(0,M31-Assumptions!C47*10/Assumptions!C51)</f>
        <v>9644.2549146899437</v>
      </c>
      <c r="O31" s="25">
        <f>MAX(0,N31-Assumptions!D47*10/Assumptions!D51)</f>
        <v>9644.2549146899437</v>
      </c>
      <c r="P31" s="25">
        <f>MAX(0,O31-Assumptions!E47*10/Assumptions!E51)</f>
        <v>9644.2549146899437</v>
      </c>
      <c r="Q31" s="25">
        <f>MAX(0,P31-Assumptions!F47*10/Assumptions!F51)</f>
        <v>9644.2549146899437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253</v>
      </c>
      <c r="B32" s="1" t="s">
        <v>252</v>
      </c>
      <c r="C32" s="22">
        <f>'Raw Financials'!C26</f>
        <v>4923.3798159999997</v>
      </c>
      <c r="D32" s="22">
        <f>'Raw Financials'!D26</f>
        <v>6495.1295170000003</v>
      </c>
      <c r="E32" s="22">
        <f>'Raw Financials'!E26</f>
        <v>6344.4826329999996</v>
      </c>
      <c r="F32" s="22">
        <f>'Raw Financials'!F26</f>
        <v>6022.3043669999997</v>
      </c>
      <c r="G32" s="22">
        <f>'Raw Financials'!G26</f>
        <v>5847.8232390000003</v>
      </c>
      <c r="H32" s="22">
        <f>'Raw Financials'!H26</f>
        <v>5661.6578220000001</v>
      </c>
      <c r="I32" s="22">
        <f>'Raw Financials'!I26</f>
        <v>5482.0834379999997</v>
      </c>
      <c r="J32" s="22">
        <f>'Raw Financials'!J26</f>
        <v>10977.98235</v>
      </c>
      <c r="K32" s="22">
        <f>'Raw Financials'!K26</f>
        <v>10611.424628000001</v>
      </c>
      <c r="L32" s="22">
        <f>'Raw Financials'!L26</f>
        <v>10488.939392</v>
      </c>
      <c r="M32" s="22">
        <f>'Raw Financials'!M26</f>
        <v>10503.422936000001</v>
      </c>
      <c r="N32" s="25">
        <f>MAX(0,M32-Assumptions!C47*10/Assumptions!C51)</f>
        <v>9671.4300046899443</v>
      </c>
      <c r="O32" s="25">
        <f>MAX(0,N32-Assumptions!D47*10/Assumptions!D51)</f>
        <v>9671.4300046899443</v>
      </c>
      <c r="P32" s="25">
        <f>MAX(0,O32-Assumptions!E47*10/Assumptions!E51)</f>
        <v>9671.4300046899443</v>
      </c>
      <c r="Q32" s="25">
        <f>MAX(0,P32-Assumptions!F47*10/Assumptions!F51)</f>
        <v>9671.4300046899443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250</v>
      </c>
      <c r="B33" s="1" t="s">
        <v>53</v>
      </c>
      <c r="C33" s="30">
        <f t="shared" ref="C33:Q33" si="7">IFERROR(C29*10/C31,"")</f>
        <v>18.130031783477328</v>
      </c>
      <c r="D33" s="30">
        <f t="shared" si="7"/>
        <v>13.108953684772336</v>
      </c>
      <c r="E33" s="30">
        <f t="shared" si="7"/>
        <v>12.644252892510414</v>
      </c>
      <c r="F33" s="30">
        <f t="shared" si="7"/>
        <v>14.986740875899542</v>
      </c>
      <c r="G33" s="30">
        <f t="shared" si="7"/>
        <v>16.665798051356749</v>
      </c>
      <c r="H33" s="30">
        <f t="shared" si="7"/>
        <v>19.107969459645997</v>
      </c>
      <c r="I33" s="30">
        <f t="shared" si="7"/>
        <v>22.351852025021344</v>
      </c>
      <c r="J33" s="30">
        <f t="shared" si="7"/>
        <v>10.360629178411967</v>
      </c>
      <c r="K33" s="30">
        <f t="shared" si="7"/>
        <v>10.443082058567088</v>
      </c>
      <c r="L33" s="30">
        <f t="shared" si="7"/>
        <v>12.561656931730965</v>
      </c>
      <c r="M33" s="30">
        <f t="shared" si="7"/>
        <v>12.597449195552375</v>
      </c>
      <c r="N33" s="31">
        <f t="shared" si="7"/>
        <v>13.914585646869783</v>
      </c>
      <c r="O33" s="31">
        <f t="shared" si="7"/>
        <v>14.659044875280799</v>
      </c>
      <c r="P33" s="31">
        <f t="shared" si="7"/>
        <v>16.224255339907263</v>
      </c>
      <c r="Q33" s="31">
        <f t="shared" si="7"/>
        <v>17.95982912355753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52</v>
      </c>
      <c r="B34" s="1" t="s">
        <v>53</v>
      </c>
      <c r="C34" s="30">
        <f t="shared" ref="C34:Q34" si="8">IFERROR(C29*10/C32,"")</f>
        <v>18.092246247288106</v>
      </c>
      <c r="D34" s="30">
        <f t="shared" si="8"/>
        <v>13.070563070035851</v>
      </c>
      <c r="E34" s="30">
        <f t="shared" si="8"/>
        <v>12.622148192741378</v>
      </c>
      <c r="F34" s="30">
        <f t="shared" si="8"/>
        <v>14.949593131382827</v>
      </c>
      <c r="G34" s="30">
        <f t="shared" si="8"/>
        <v>16.624647501593198</v>
      </c>
      <c r="H34" s="30">
        <f t="shared" si="8"/>
        <v>19.066146947373745</v>
      </c>
      <c r="I34" s="30">
        <f t="shared" si="8"/>
        <v>22.289153636920624</v>
      </c>
      <c r="J34" s="30">
        <f t="shared" si="8"/>
        <v>10.338876159697961</v>
      </c>
      <c r="K34" s="30">
        <f t="shared" si="8"/>
        <v>10.408781466397462</v>
      </c>
      <c r="L34" s="30">
        <f t="shared" si="8"/>
        <v>12.523096482012734</v>
      </c>
      <c r="M34" s="30">
        <f t="shared" si="8"/>
        <v>12.564856314379684</v>
      </c>
      <c r="N34" s="31">
        <f t="shared" si="8"/>
        <v>13.875488003906639</v>
      </c>
      <c r="O34" s="31">
        <f t="shared" si="8"/>
        <v>14.617855427225379</v>
      </c>
      <c r="P34" s="31">
        <f t="shared" si="8"/>
        <v>16.178667913970131</v>
      </c>
      <c r="Q34" s="31">
        <f t="shared" si="8"/>
        <v>17.909365027495145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427</v>
      </c>
      <c r="B35" s="1" t="s">
        <v>53</v>
      </c>
      <c r="C35" s="30">
        <f>IFERROR(-'Annual Cash Flow'!C46*10/C31,"")</f>
        <v>7.2243317218382748</v>
      </c>
      <c r="D35" s="30">
        <f>IFERROR(-'Annual Cash Flow'!D46*10/D31,"")</f>
        <v>1.3486495256823321</v>
      </c>
      <c r="E35" s="30">
        <f>IFERROR(-'Annual Cash Flow'!E46*10/E31,"")</f>
        <v>0.85578165454235644</v>
      </c>
      <c r="F35" s="30">
        <f>IFERROR(-'Annual Cash Flow'!F46*10/F31,"")</f>
        <v>0.74974487571005033</v>
      </c>
      <c r="G35" s="30">
        <f>IFERROR(-'Annual Cash Flow'!G46*10/G31,"")</f>
        <v>0.97524866911650665</v>
      </c>
      <c r="H35" s="30">
        <f>IFERROR(-'Annual Cash Flow'!H46*10/H31,"")</f>
        <v>0.96632024605087252</v>
      </c>
      <c r="I35" s="30">
        <f>IFERROR(-'Annual Cash Flow'!I46*10/I31,"")</f>
        <v>1.0000538093705076</v>
      </c>
      <c r="J35" s="30">
        <f>IFERROR(-'Annual Cash Flow'!J46*10/J31,"")</f>
        <v>2.9953628710168307</v>
      </c>
      <c r="K35" s="30">
        <f>IFERROR(-'Annual Cash Flow'!K46*10/K31,"")</f>
        <v>0.49335459911638602</v>
      </c>
      <c r="L35" s="30">
        <f>IFERROR(-'Annual Cash Flow'!L46*10/L31,"")</f>
        <v>6.0009133522094347</v>
      </c>
      <c r="M35" s="30">
        <f>IFERROR(-'Annual Cash Flow'!M46*10/M31,"")</f>
        <v>10.996876142443261</v>
      </c>
      <c r="N35" s="31">
        <f>N33*Assumptions!C46</f>
        <v>10.435939235152338</v>
      </c>
      <c r="O35" s="31">
        <f>O33*Assumptions!D46</f>
        <v>10.554512310202174</v>
      </c>
      <c r="P35" s="31">
        <f>P33*Assumptions!E46</f>
        <v>11.356978737935084</v>
      </c>
      <c r="Q35" s="31">
        <f>Q33*Assumptions!F46</f>
        <v>12.571880386490269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210</v>
      </c>
      <c r="B36" s="1" t="s">
        <v>44</v>
      </c>
      <c r="C36" s="18">
        <f t="shared" ref="C36:Q36" si="9">IFERROR(C35/C33,"")</f>
        <v>0.39847319674431664</v>
      </c>
      <c r="D36" s="18">
        <f t="shared" si="9"/>
        <v>0.10288002827021615</v>
      </c>
      <c r="E36" s="18">
        <f t="shared" si="9"/>
        <v>6.7681472509084559E-2</v>
      </c>
      <c r="F36" s="18">
        <f t="shared" si="9"/>
        <v>5.0027212848907598E-2</v>
      </c>
      <c r="G36" s="18">
        <f t="shared" si="9"/>
        <v>5.8517969923265238E-2</v>
      </c>
      <c r="H36" s="18">
        <f t="shared" si="9"/>
        <v>5.0571582087339959E-2</v>
      </c>
      <c r="I36" s="18">
        <f t="shared" si="9"/>
        <v>4.4741429401510747E-2</v>
      </c>
      <c r="J36" s="18">
        <f t="shared" si="9"/>
        <v>0.28911013215859033</v>
      </c>
      <c r="K36" s="18">
        <f t="shared" si="9"/>
        <v>4.7242240973454537E-2</v>
      </c>
      <c r="L36" s="18">
        <f t="shared" si="9"/>
        <v>0.47771670447797554</v>
      </c>
      <c r="M36" s="18">
        <f t="shared" si="9"/>
        <v>0.8729446709200297</v>
      </c>
      <c r="N36" s="26">
        <f t="shared" si="9"/>
        <v>0.75</v>
      </c>
      <c r="O36" s="26">
        <f t="shared" si="9"/>
        <v>0.72</v>
      </c>
      <c r="P36" s="26">
        <f t="shared" si="9"/>
        <v>0.7</v>
      </c>
      <c r="Q36" s="26">
        <f t="shared" si="9"/>
        <v>0.7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4"/>
      <c r="O37" s="24"/>
      <c r="P37" s="24"/>
      <c r="Q37" s="24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4"/>
      <c r="O38" s="24"/>
      <c r="P38" s="24"/>
      <c r="Q38" s="24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4"/>
      <c r="O39" s="24"/>
      <c r="P39" s="24"/>
      <c r="Q39" s="24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4"/>
      <c r="O40" s="24"/>
      <c r="P40" s="24"/>
      <c r="Q40" s="24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4"/>
      <c r="O41" s="24"/>
      <c r="P41" s="24"/>
      <c r="Q41" s="24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4"/>
      <c r="O42" s="24"/>
      <c r="P42" s="24"/>
      <c r="Q42" s="24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4"/>
      <c r="O43" s="24"/>
      <c r="P43" s="24"/>
      <c r="Q43" s="24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4"/>
      <c r="O44" s="24"/>
      <c r="P44" s="24"/>
      <c r="Q44" s="24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4"/>
      <c r="O45" s="24"/>
      <c r="P45" s="24"/>
      <c r="Q45" s="24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4"/>
      <c r="O46" s="24"/>
      <c r="P46" s="24"/>
      <c r="Q46" s="24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4"/>
      <c r="O47" s="24"/>
      <c r="P47" s="24"/>
      <c r="Q47" s="24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4"/>
      <c r="O48" s="24"/>
      <c r="P48" s="24"/>
      <c r="Q48" s="24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4"/>
      <c r="O49" s="24"/>
      <c r="P49" s="24"/>
      <c r="Q49" s="24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4"/>
      <c r="O50" s="24"/>
      <c r="P50" s="24"/>
      <c r="Q50" s="24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4"/>
      <c r="O51" s="24"/>
      <c r="P51" s="24"/>
      <c r="Q51" s="24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4"/>
      <c r="O52" s="24"/>
      <c r="P52" s="24"/>
      <c r="Q52" s="24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4"/>
      <c r="O53" s="24"/>
      <c r="P53" s="24"/>
      <c r="Q53" s="24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4"/>
      <c r="O54" s="24"/>
      <c r="P54" s="24"/>
      <c r="Q54" s="24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4"/>
      <c r="O55" s="24"/>
      <c r="P55" s="24"/>
      <c r="Q55" s="2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4"/>
      <c r="O56" s="24"/>
      <c r="P56" s="24"/>
      <c r="Q56" s="24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4"/>
      <c r="O57" s="24"/>
      <c r="P57" s="24"/>
      <c r="Q57" s="24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4"/>
      <c r="O58" s="24"/>
      <c r="P58" s="24"/>
      <c r="Q58" s="24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4"/>
      <c r="O59" s="24"/>
      <c r="P59" s="24"/>
      <c r="Q59" s="24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4"/>
      <c r="O60" s="24"/>
      <c r="P60" s="24"/>
      <c r="Q60" s="24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4"/>
      <c r="O61" s="24"/>
      <c r="P61" s="24"/>
      <c r="Q61" s="24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4"/>
      <c r="O62" s="24"/>
      <c r="P62" s="24"/>
      <c r="Q62" s="24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4"/>
      <c r="O63" s="24"/>
      <c r="P63" s="24"/>
      <c r="Q63" s="24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4"/>
      <c r="O64" s="24"/>
      <c r="P64" s="24"/>
      <c r="Q64" s="24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4"/>
      <c r="O65" s="24"/>
      <c r="P65" s="24"/>
      <c r="Q65" s="24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4"/>
      <c r="O66" s="24"/>
      <c r="P66" s="24"/>
      <c r="Q66" s="2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4"/>
      <c r="O67" s="24"/>
      <c r="P67" s="24"/>
      <c r="Q67" s="2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4"/>
      <c r="O68" s="24"/>
      <c r="P68" s="24"/>
      <c r="Q68" s="24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4"/>
      <c r="O69" s="24"/>
      <c r="P69" s="24"/>
      <c r="Q69" s="24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4"/>
      <c r="O70" s="24"/>
      <c r="P70" s="24"/>
      <c r="Q70" s="24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4"/>
      <c r="O71" s="24"/>
      <c r="P71" s="24"/>
      <c r="Q71" s="24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4"/>
      <c r="O72" s="24"/>
      <c r="P72" s="24"/>
      <c r="Q72" s="24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4"/>
      <c r="O73" s="24"/>
      <c r="P73" s="24"/>
      <c r="Q73" s="24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4"/>
      <c r="O74" s="24"/>
      <c r="P74" s="24"/>
      <c r="Q74" s="24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4"/>
      <c r="O75" s="24"/>
      <c r="P75" s="24"/>
      <c r="Q75" s="24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4"/>
      <c r="O76" s="24"/>
      <c r="P76" s="24"/>
      <c r="Q76" s="24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4"/>
      <c r="O77" s="24"/>
      <c r="P77" s="24"/>
      <c r="Q77" s="24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4"/>
      <c r="O78" s="24"/>
      <c r="P78" s="24"/>
      <c r="Q78" s="24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4"/>
      <c r="O79" s="24"/>
      <c r="P79" s="24"/>
      <c r="Q79" s="24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4"/>
      <c r="O80" s="24"/>
      <c r="P80" s="24"/>
      <c r="Q80" s="24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4"/>
      <c r="O81" s="24"/>
      <c r="P81" s="24"/>
      <c r="Q81" s="24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4"/>
      <c r="O82" s="24"/>
      <c r="P82" s="24"/>
      <c r="Q82" s="24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4"/>
      <c r="O83" s="24"/>
      <c r="P83" s="24"/>
      <c r="Q83" s="24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4"/>
      <c r="O88" s="24"/>
      <c r="P88" s="24"/>
      <c r="Q88" s="24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4"/>
      <c r="O89" s="24"/>
      <c r="P89" s="24"/>
      <c r="Q89" s="24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4"/>
      <c r="O90" s="24"/>
      <c r="P90" s="24"/>
      <c r="Q90" s="24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4"/>
      <c r="O91" s="24"/>
      <c r="P91" s="24"/>
      <c r="Q91" s="24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4"/>
      <c r="O92" s="24"/>
      <c r="P92" s="24"/>
      <c r="Q92" s="24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4"/>
      <c r="O93" s="24"/>
      <c r="P93" s="24"/>
      <c r="Q93" s="24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4"/>
      <c r="O94" s="24"/>
      <c r="P94" s="24"/>
      <c r="Q94" s="24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4"/>
      <c r="O95" s="24"/>
      <c r="P95" s="24"/>
      <c r="Q95" s="24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4"/>
      <c r="O96" s="24"/>
      <c r="P96" s="24"/>
      <c r="Q96" s="24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4"/>
      <c r="O97" s="24"/>
      <c r="P97" s="24"/>
      <c r="Q97" s="24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4"/>
      <c r="O98" s="24"/>
      <c r="P98" s="24"/>
      <c r="Q98" s="24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4"/>
      <c r="O99" s="24"/>
      <c r="P99" s="24"/>
      <c r="Q99" s="24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4"/>
      <c r="O100" s="24"/>
      <c r="P100" s="24"/>
      <c r="Q100" s="24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4"/>
      <c r="O101" s="24"/>
      <c r="P101" s="24"/>
      <c r="Q101" s="24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4"/>
      <c r="O102" s="24"/>
      <c r="P102" s="24"/>
      <c r="Q102" s="24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4"/>
      <c r="O103" s="24"/>
      <c r="P103" s="24"/>
      <c r="Q103" s="24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4"/>
      <c r="O104" s="24"/>
      <c r="P104" s="24"/>
      <c r="Q104" s="24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4"/>
      <c r="O105" s="24"/>
      <c r="P105" s="24"/>
      <c r="Q105" s="24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4"/>
      <c r="O106" s="24"/>
      <c r="P106" s="24"/>
      <c r="Q106" s="24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4"/>
      <c r="O107" s="24"/>
      <c r="P107" s="24"/>
      <c r="Q107" s="24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4"/>
      <c r="O108" s="24"/>
      <c r="P108" s="24"/>
      <c r="Q108" s="24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4"/>
      <c r="O109" s="24"/>
      <c r="P109" s="24"/>
      <c r="Q109" s="24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4"/>
      <c r="O110" s="24"/>
      <c r="P110" s="24"/>
      <c r="Q110" s="24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4"/>
      <c r="O111" s="24"/>
      <c r="P111" s="24"/>
      <c r="Q111" s="24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4"/>
      <c r="O112" s="24"/>
      <c r="P112" s="24"/>
      <c r="Q112" s="24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4"/>
      <c r="O113" s="24"/>
      <c r="P113" s="24"/>
      <c r="Q113" s="24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4"/>
      <c r="O114" s="24"/>
      <c r="P114" s="24"/>
      <c r="Q114" s="24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4"/>
      <c r="O115" s="24"/>
      <c r="P115" s="24"/>
      <c r="Q115" s="24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4"/>
      <c r="O116" s="24"/>
      <c r="P116" s="24"/>
      <c r="Q116" s="24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4"/>
      <c r="O117" s="24"/>
      <c r="P117" s="24"/>
      <c r="Q117" s="24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4"/>
      <c r="O118" s="24"/>
      <c r="P118" s="24"/>
      <c r="Q118" s="24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4"/>
      <c r="O119" s="24"/>
      <c r="P119" s="24"/>
      <c r="Q119" s="24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4"/>
      <c r="O120" s="24"/>
      <c r="P120" s="24"/>
      <c r="Q120" s="24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4"/>
      <c r="O121" s="24"/>
      <c r="P121" s="24"/>
      <c r="Q121" s="24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4"/>
      <c r="O122" s="24"/>
      <c r="P122" s="24"/>
      <c r="Q122" s="24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4"/>
      <c r="O123" s="24"/>
      <c r="P123" s="24"/>
      <c r="Q123" s="24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4"/>
      <c r="O124" s="24"/>
      <c r="P124" s="24"/>
      <c r="Q124" s="24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4"/>
      <c r="O125" s="24"/>
      <c r="P125" s="24"/>
      <c r="Q125" s="24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4"/>
      <c r="O126" s="24"/>
      <c r="P126" s="24"/>
      <c r="Q126" s="24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4"/>
      <c r="O127" s="24"/>
      <c r="P127" s="24"/>
      <c r="Q127" s="24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4"/>
      <c r="O128" s="24"/>
      <c r="P128" s="24"/>
      <c r="Q128" s="24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4"/>
      <c r="O129" s="24"/>
      <c r="P129" s="24"/>
      <c r="Q129" s="24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4"/>
      <c r="O130" s="24"/>
      <c r="P130" s="24"/>
      <c r="Q130" s="24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4"/>
      <c r="O131" s="24"/>
      <c r="P131" s="24"/>
      <c r="Q131" s="24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4"/>
      <c r="O132" s="24"/>
      <c r="P132" s="24"/>
      <c r="Q132" s="24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4"/>
      <c r="O133" s="24"/>
      <c r="P133" s="24"/>
      <c r="Q133" s="24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4"/>
      <c r="O134" s="24"/>
      <c r="P134" s="24"/>
      <c r="Q134" s="24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4"/>
      <c r="O135" s="24"/>
      <c r="P135" s="24"/>
      <c r="Q135" s="24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4"/>
      <c r="O136" s="24"/>
      <c r="P136" s="24"/>
      <c r="Q136" s="24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4"/>
      <c r="O137" s="24"/>
      <c r="P137" s="24"/>
      <c r="Q137" s="24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4"/>
      <c r="O138" s="24"/>
      <c r="P138" s="24"/>
      <c r="Q138" s="24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4"/>
      <c r="O139" s="24"/>
      <c r="P139" s="24"/>
      <c r="Q139" s="24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4"/>
      <c r="O140" s="24"/>
      <c r="P140" s="24"/>
      <c r="Q140" s="24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4"/>
      <c r="O141" s="24"/>
      <c r="P141" s="24"/>
      <c r="Q141" s="24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4"/>
      <c r="O142" s="24"/>
      <c r="P142" s="24"/>
      <c r="Q142" s="24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4"/>
      <c r="O143" s="24"/>
      <c r="P143" s="24"/>
      <c r="Q143" s="24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4"/>
      <c r="O144" s="24"/>
      <c r="P144" s="24"/>
      <c r="Q144" s="24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4"/>
      <c r="O145" s="24"/>
      <c r="P145" s="24"/>
      <c r="Q145" s="24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4"/>
      <c r="O146" s="24"/>
      <c r="P146" s="24"/>
      <c r="Q146" s="24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4"/>
      <c r="O147" s="24"/>
      <c r="P147" s="24"/>
      <c r="Q147" s="24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4"/>
      <c r="O148" s="24"/>
      <c r="P148" s="24"/>
      <c r="Q148" s="24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4"/>
      <c r="O149" s="24"/>
      <c r="P149" s="24"/>
      <c r="Q149" s="24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4"/>
      <c r="O150" s="24"/>
      <c r="P150" s="24"/>
      <c r="Q150" s="24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4"/>
      <c r="O151" s="24"/>
      <c r="P151" s="24"/>
      <c r="Q151" s="24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4"/>
      <c r="O152" s="24"/>
      <c r="P152" s="24"/>
      <c r="Q152" s="24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4"/>
      <c r="O153" s="24"/>
      <c r="P153" s="24"/>
      <c r="Q153" s="24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4"/>
      <c r="O154" s="24"/>
      <c r="P154" s="24"/>
      <c r="Q154" s="24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4"/>
      <c r="O155" s="24"/>
      <c r="P155" s="24"/>
      <c r="Q155" s="24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4"/>
      <c r="O156" s="24"/>
      <c r="P156" s="24"/>
      <c r="Q156" s="24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4"/>
      <c r="O157" s="24"/>
      <c r="P157" s="24"/>
      <c r="Q157" s="24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4"/>
      <c r="O158" s="24"/>
      <c r="P158" s="24"/>
      <c r="Q158" s="24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4"/>
      <c r="O159" s="24"/>
      <c r="P159" s="24"/>
      <c r="Q159" s="24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4"/>
      <c r="O160" s="24"/>
      <c r="P160" s="24"/>
      <c r="Q160" s="24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4"/>
      <c r="O161" s="24"/>
      <c r="P161" s="24"/>
      <c r="Q161" s="24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4"/>
      <c r="O162" s="24"/>
      <c r="P162" s="24"/>
      <c r="Q162" s="24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4"/>
      <c r="O163" s="24"/>
      <c r="P163" s="24"/>
      <c r="Q163" s="24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4"/>
      <c r="O164" s="24"/>
      <c r="P164" s="24"/>
      <c r="Q164" s="24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4"/>
      <c r="O165" s="24"/>
      <c r="P165" s="24"/>
      <c r="Q165" s="24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4"/>
      <c r="O166" s="24"/>
      <c r="P166" s="24"/>
      <c r="Q166" s="24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4"/>
      <c r="O167" s="24"/>
      <c r="P167" s="24"/>
      <c r="Q167" s="24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4"/>
      <c r="O168" s="24"/>
      <c r="P168" s="24"/>
      <c r="Q168" s="24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4"/>
      <c r="O169" s="24"/>
      <c r="P169" s="24"/>
      <c r="Q169" s="24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4"/>
      <c r="O170" s="24"/>
      <c r="P170" s="24"/>
      <c r="Q170" s="24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4"/>
      <c r="O171" s="24"/>
      <c r="P171" s="24"/>
      <c r="Q171" s="24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4"/>
      <c r="O172" s="24"/>
      <c r="P172" s="24"/>
      <c r="Q172" s="24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4"/>
      <c r="O173" s="24"/>
      <c r="P173" s="24"/>
      <c r="Q173" s="24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4"/>
      <c r="O174" s="24"/>
      <c r="P174" s="24"/>
      <c r="Q174" s="24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4"/>
      <c r="O175" s="24"/>
      <c r="P175" s="24"/>
      <c r="Q175" s="24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4"/>
      <c r="O176" s="24"/>
      <c r="P176" s="24"/>
      <c r="Q176" s="24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4"/>
      <c r="O177" s="24"/>
      <c r="P177" s="24"/>
      <c r="Q177" s="24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4"/>
      <c r="O178" s="24"/>
      <c r="P178" s="24"/>
      <c r="Q178" s="24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4"/>
      <c r="O179" s="24"/>
      <c r="P179" s="24"/>
      <c r="Q179" s="24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4"/>
      <c r="O180" s="24"/>
      <c r="P180" s="24"/>
      <c r="Q180" s="24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4"/>
      <c r="O181" s="24"/>
      <c r="P181" s="24"/>
      <c r="Q181" s="24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4"/>
      <c r="O182" s="24"/>
      <c r="P182" s="24"/>
      <c r="Q182" s="24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4"/>
      <c r="O183" s="24"/>
      <c r="P183" s="24"/>
      <c r="Q183" s="24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4"/>
      <c r="O184" s="24"/>
      <c r="P184" s="24"/>
      <c r="Q184" s="24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4"/>
      <c r="O185" s="24"/>
      <c r="P185" s="24"/>
      <c r="Q185" s="24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4"/>
      <c r="O186" s="24"/>
      <c r="P186" s="24"/>
      <c r="Q186" s="24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4"/>
      <c r="O187" s="24"/>
      <c r="P187" s="24"/>
      <c r="Q187" s="24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4"/>
      <c r="O188" s="24"/>
      <c r="P188" s="24"/>
      <c r="Q188" s="24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4"/>
      <c r="O189" s="24"/>
      <c r="P189" s="24"/>
      <c r="Q189" s="24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4"/>
      <c r="O190" s="24"/>
      <c r="P190" s="24"/>
      <c r="Q190" s="24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4"/>
      <c r="O191" s="24"/>
      <c r="P191" s="24"/>
      <c r="Q191" s="24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4"/>
      <c r="O192" s="24"/>
      <c r="P192" s="24"/>
      <c r="Q192" s="24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4"/>
      <c r="O193" s="24"/>
      <c r="P193" s="24"/>
      <c r="Q193" s="24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4"/>
      <c r="O194" s="24"/>
      <c r="P194" s="24"/>
      <c r="Q194" s="24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4"/>
      <c r="O195" s="24"/>
      <c r="P195" s="24"/>
      <c r="Q195" s="24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4"/>
      <c r="O196" s="24"/>
      <c r="P196" s="24"/>
      <c r="Q196" s="24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4"/>
      <c r="O197" s="24"/>
      <c r="P197" s="24"/>
      <c r="Q197" s="24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4"/>
      <c r="O198" s="24"/>
      <c r="P198" s="24"/>
      <c r="Q198" s="24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4"/>
      <c r="O199" s="24"/>
      <c r="P199" s="24"/>
      <c r="Q199" s="24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4"/>
      <c r="O200" s="24"/>
      <c r="P200" s="24"/>
      <c r="Q200" s="24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4"/>
      <c r="O201" s="24"/>
      <c r="P201" s="24"/>
      <c r="Q201" s="24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4"/>
      <c r="O202" s="24"/>
      <c r="P202" s="24"/>
      <c r="Q202" s="24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4"/>
      <c r="O203" s="24"/>
      <c r="P203" s="24"/>
      <c r="Q203" s="24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4"/>
      <c r="O204" s="24"/>
      <c r="P204" s="24"/>
      <c r="Q204" s="24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4"/>
      <c r="O205" s="24"/>
      <c r="P205" s="24"/>
      <c r="Q205" s="24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4"/>
      <c r="O206" s="24"/>
      <c r="P206" s="24"/>
      <c r="Q206" s="24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4"/>
      <c r="O207" s="24"/>
      <c r="P207" s="24"/>
      <c r="Q207" s="24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4"/>
      <c r="O208" s="24"/>
      <c r="P208" s="24"/>
      <c r="Q208" s="24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4"/>
      <c r="O209" s="24"/>
      <c r="P209" s="24"/>
      <c r="Q209" s="24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4"/>
      <c r="O210" s="24"/>
      <c r="P210" s="24"/>
      <c r="Q210" s="24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4"/>
      <c r="O211" s="24"/>
      <c r="P211" s="24"/>
      <c r="Q211" s="24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4"/>
      <c r="O212" s="24"/>
      <c r="P212" s="24"/>
      <c r="Q212" s="24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4"/>
      <c r="O213" s="24"/>
      <c r="P213" s="24"/>
      <c r="Q213" s="24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4"/>
      <c r="O214" s="24"/>
      <c r="P214" s="24"/>
      <c r="Q214" s="24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4"/>
      <c r="O215" s="24"/>
      <c r="P215" s="24"/>
      <c r="Q215" s="24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4"/>
      <c r="O216" s="24"/>
      <c r="P216" s="24"/>
      <c r="Q216" s="24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4"/>
      <c r="O217" s="24"/>
      <c r="P217" s="24"/>
      <c r="Q217" s="24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4"/>
      <c r="O218" s="24"/>
      <c r="P218" s="24"/>
      <c r="Q218" s="24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4"/>
      <c r="O219" s="24"/>
      <c r="P219" s="24"/>
      <c r="Q219" s="24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4"/>
      <c r="O220" s="24"/>
      <c r="P220" s="24"/>
      <c r="Q220" s="24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U300"/>
  <sheetViews>
    <sheetView showGridLines="0" workbookViewId="0">
      <selection sqref="A1:Q1"/>
    </sheetView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44" t="s">
        <v>428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45" t="s">
        <v>429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4" t="s">
        <v>35</v>
      </c>
      <c r="M5" s="4" t="s">
        <v>36</v>
      </c>
      <c r="N5" s="14" t="s">
        <v>37</v>
      </c>
      <c r="O5" s="14" t="s">
        <v>38</v>
      </c>
      <c r="P5" s="14" t="s">
        <v>39</v>
      </c>
      <c r="Q5" s="14" t="s">
        <v>40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4"/>
      <c r="O6" s="24"/>
      <c r="P6" s="24"/>
      <c r="Q6" s="2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301</v>
      </c>
      <c r="B7" s="1" t="s">
        <v>42</v>
      </c>
      <c r="C7" s="17">
        <f>'Raw Financials'!C55</f>
        <v>6495.2</v>
      </c>
      <c r="D7" s="17">
        <f>'Raw Financials'!D55</f>
        <v>6979.4</v>
      </c>
      <c r="E7" s="17">
        <f>'Raw Financials'!E55</f>
        <v>6444.3</v>
      </c>
      <c r="F7" s="17">
        <f>'Raw Financials'!F55</f>
        <v>7060.1</v>
      </c>
      <c r="G7" s="17">
        <f>'Raw Financials'!G55</f>
        <v>8112</v>
      </c>
      <c r="H7" s="17">
        <f>'Raw Financials'!H55</f>
        <v>8519.2000000000007</v>
      </c>
      <c r="I7" s="17">
        <f>'Raw Financials'!I55</f>
        <v>9089.7999999999993</v>
      </c>
      <c r="J7" s="17">
        <f>'Raw Financials'!J55</f>
        <v>8865.9</v>
      </c>
      <c r="K7" s="17">
        <f>'Raw Financials'!K55</f>
        <v>8160.8</v>
      </c>
      <c r="L7" s="17">
        <f>'Raw Financials'!L55</f>
        <v>8068.4</v>
      </c>
      <c r="M7" s="17">
        <f>'Raw Financials'!M55</f>
        <v>8178.7</v>
      </c>
      <c r="N7" s="29">
        <f>'BS Forecast Schedules'!D17</f>
        <v>8221.6420335324237</v>
      </c>
      <c r="O7" s="29">
        <f>'BS Forecast Schedules'!E17</f>
        <v>8312.6927262159679</v>
      </c>
      <c r="P7" s="29">
        <f>'BS Forecast Schedules'!F17</f>
        <v>8459.9738434012907</v>
      </c>
      <c r="Q7" s="29">
        <f>'BS Forecast Schedules'!G17</f>
        <v>8673.0630941405216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302</v>
      </c>
      <c r="B8" s="1" t="s">
        <v>42</v>
      </c>
      <c r="C8" s="17">
        <f>'Raw Financials'!C56</f>
        <v>0</v>
      </c>
      <c r="D8" s="17">
        <f>'Raw Financials'!D56</f>
        <v>0</v>
      </c>
      <c r="E8" s="17">
        <f>'Raw Financials'!E56</f>
        <v>0</v>
      </c>
      <c r="F8" s="17">
        <f>'Raw Financials'!F56</f>
        <v>1326.6</v>
      </c>
      <c r="G8" s="17">
        <f>'Raw Financials'!G56</f>
        <v>1674.8</v>
      </c>
      <c r="H8" s="17">
        <f>'Raw Financials'!H56</f>
        <v>1642</v>
      </c>
      <c r="I8" s="17">
        <f>'Raw Financials'!I56</f>
        <v>1887</v>
      </c>
      <c r="J8" s="17">
        <f>'Raw Financials'!J56</f>
        <v>1870.2</v>
      </c>
      <c r="K8" s="17">
        <f>'Raw Financials'!K56</f>
        <v>1795.5</v>
      </c>
      <c r="L8" s="17">
        <f>'Raw Financials'!L56</f>
        <v>2559.8000000000002</v>
      </c>
      <c r="M8" s="17">
        <f>'Raw Financials'!M56</f>
        <v>2828.7</v>
      </c>
      <c r="N8" s="29">
        <f>'BS Forecast Schedules'!D25</f>
        <v>3086.3522011945479</v>
      </c>
      <c r="O8" s="29">
        <f>'BS Forecast Schedules'!E25</f>
        <v>3389.8545101396935</v>
      </c>
      <c r="P8" s="29">
        <f>'BS Forecast Schedules'!F25</f>
        <v>3749.8750188149302</v>
      </c>
      <c r="Q8" s="29">
        <f>'BS Forecast Schedules'!G25</f>
        <v>4176.0535202933916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303</v>
      </c>
      <c r="B9" s="1" t="s">
        <v>42</v>
      </c>
      <c r="C9" s="17">
        <f>'Raw Financials'!C57</f>
        <v>10199.1</v>
      </c>
      <c r="D9" s="17">
        <f>'Raw Financials'!D57</f>
        <v>12579.6</v>
      </c>
      <c r="E9" s="17">
        <f>'Raw Financials'!E57</f>
        <v>11758.4</v>
      </c>
      <c r="F9" s="17">
        <f>'Raw Financials'!F57</f>
        <v>11698</v>
      </c>
      <c r="G9" s="17">
        <f>'Raw Financials'!G57</f>
        <v>13101.2</v>
      </c>
      <c r="H9" s="17">
        <f>'Raw Financials'!H57</f>
        <v>13912.7</v>
      </c>
      <c r="I9" s="17">
        <f>'Raw Financials'!I57</f>
        <v>24698.9</v>
      </c>
      <c r="J9" s="17">
        <f>'Raw Financials'!J57</f>
        <v>30797</v>
      </c>
      <c r="K9" s="17">
        <f>'Raw Financials'!K57</f>
        <v>31600.2</v>
      </c>
      <c r="L9" s="17">
        <f>'Raw Financials'!L57</f>
        <v>32501.4</v>
      </c>
      <c r="M9" s="17">
        <f>'Raw Financials'!M57</f>
        <v>38739.9</v>
      </c>
      <c r="N9" s="29">
        <f>M9</f>
        <v>38739.9</v>
      </c>
      <c r="O9" s="29">
        <f>N9</f>
        <v>38739.9</v>
      </c>
      <c r="P9" s="29">
        <f>O9</f>
        <v>38739.9</v>
      </c>
      <c r="Q9" s="29">
        <f>P9</f>
        <v>38739.9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304</v>
      </c>
      <c r="B10" s="1" t="s">
        <v>42</v>
      </c>
      <c r="C10" s="17">
        <f>'Raw Financials'!C58</f>
        <v>1584.1</v>
      </c>
      <c r="D10" s="17">
        <f>'Raw Financials'!D58</f>
        <v>1592.2</v>
      </c>
      <c r="E10" s="17">
        <f>'Raw Financials'!E58</f>
        <v>1811.3</v>
      </c>
      <c r="F10" s="17">
        <f>'Raw Financials'!F58</f>
        <v>1376.2</v>
      </c>
      <c r="G10" s="17">
        <f>'Raw Financials'!G58</f>
        <v>1636.2</v>
      </c>
      <c r="H10" s="17">
        <f>'Raw Financials'!H58</f>
        <v>1308.5</v>
      </c>
      <c r="I10" s="17">
        <f>'Raw Financials'!I58</f>
        <v>4355.5</v>
      </c>
      <c r="J10" s="17">
        <f>'Raw Financials'!J58</f>
        <v>4304.5</v>
      </c>
      <c r="K10" s="17">
        <f>'Raw Financials'!K58</f>
        <v>3274.8</v>
      </c>
      <c r="L10" s="17">
        <f>'Raw Financials'!L58</f>
        <v>2745</v>
      </c>
      <c r="M10" s="17">
        <f>'Raw Financials'!M58</f>
        <v>2917.6</v>
      </c>
      <c r="N10" s="29">
        <f>'BS Forecast Schedules'!D18</f>
        <v>2521.5790240898609</v>
      </c>
      <c r="O10" s="29">
        <f>'BS Forecast Schedules'!E18</f>
        <v>2127.026022461172</v>
      </c>
      <c r="P10" s="29">
        <f>'BS Forecast Schedules'!F18</f>
        <v>1728.8215204415924</v>
      </c>
      <c r="Q10" s="29">
        <f>'BS Forecast Schedules'!G18</f>
        <v>1326.3196023786013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305</v>
      </c>
      <c r="B11" s="1" t="s">
        <v>42</v>
      </c>
      <c r="C11" s="17">
        <f>'Raw Financials'!C59</f>
        <v>490.7</v>
      </c>
      <c r="D11" s="17">
        <f>'Raw Financials'!D59</f>
        <v>0</v>
      </c>
      <c r="E11" s="17">
        <f>'Raw Financials'!E59</f>
        <v>0</v>
      </c>
      <c r="F11" s="17">
        <f>'Raw Financials'!F59</f>
        <v>0</v>
      </c>
      <c r="G11" s="17">
        <f>'Raw Financials'!G59</f>
        <v>0</v>
      </c>
      <c r="H11" s="17">
        <f>'Raw Financials'!H59</f>
        <v>0</v>
      </c>
      <c r="I11" s="17">
        <f>'Raw Financials'!I59</f>
        <v>0</v>
      </c>
      <c r="J11" s="17">
        <f>'Raw Financials'!J59</f>
        <v>0</v>
      </c>
      <c r="K11" s="17">
        <f>'Raw Financials'!K59</f>
        <v>0</v>
      </c>
      <c r="L11" s="17">
        <f>'Raw Financials'!L59</f>
        <v>0</v>
      </c>
      <c r="M11" s="17">
        <f>'Raw Financials'!M59</f>
        <v>2805.3</v>
      </c>
      <c r="N11" s="29">
        <f t="shared" ref="N11:Q13" si="0">M11</f>
        <v>2805.3</v>
      </c>
      <c r="O11" s="29">
        <f t="shared" si="0"/>
        <v>2805.3</v>
      </c>
      <c r="P11" s="29">
        <f t="shared" si="0"/>
        <v>2805.3</v>
      </c>
      <c r="Q11" s="29">
        <f t="shared" si="0"/>
        <v>2805.3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306</v>
      </c>
      <c r="B12" s="1" t="s">
        <v>42</v>
      </c>
      <c r="C12" s="17">
        <f>'Raw Financials'!C60</f>
        <v>0</v>
      </c>
      <c r="D12" s="17">
        <f>'Raw Financials'!D60</f>
        <v>0</v>
      </c>
      <c r="E12" s="17">
        <f>'Raw Financials'!E60</f>
        <v>0</v>
      </c>
      <c r="F12" s="17">
        <f>'Raw Financials'!F60</f>
        <v>0</v>
      </c>
      <c r="G12" s="17">
        <f>'Raw Financials'!G60</f>
        <v>0</v>
      </c>
      <c r="H12" s="17">
        <f>'Raw Financials'!H60</f>
        <v>0</v>
      </c>
      <c r="I12" s="17">
        <f>'Raw Financials'!I60</f>
        <v>0</v>
      </c>
      <c r="J12" s="17">
        <f>'Raw Financials'!J60</f>
        <v>0</v>
      </c>
      <c r="K12" s="17">
        <f>'Raw Financials'!K60</f>
        <v>0</v>
      </c>
      <c r="L12" s="17">
        <f>'Raw Financials'!L60</f>
        <v>0</v>
      </c>
      <c r="M12" s="17">
        <f>'Raw Financials'!M60</f>
        <v>212.6</v>
      </c>
      <c r="N12" s="29">
        <f t="shared" si="0"/>
        <v>212.6</v>
      </c>
      <c r="O12" s="29">
        <f t="shared" si="0"/>
        <v>212.6</v>
      </c>
      <c r="P12" s="29">
        <f t="shared" si="0"/>
        <v>212.6</v>
      </c>
      <c r="Q12" s="29">
        <f t="shared" si="0"/>
        <v>212.6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430</v>
      </c>
      <c r="B13" s="1" t="s">
        <v>42</v>
      </c>
      <c r="C13" s="17">
        <f>SUM('Raw Financials'!C61,'Raw Financials'!C62)</f>
        <v>0</v>
      </c>
      <c r="D13" s="17">
        <f>SUM('Raw Financials'!D61,'Raw Financials'!D62)</f>
        <v>399.8</v>
      </c>
      <c r="E13" s="17">
        <f>SUM('Raw Financials'!E61,'Raw Financials'!E62)</f>
        <v>444.6</v>
      </c>
      <c r="F13" s="17">
        <f>SUM('Raw Financials'!F61,'Raw Financials'!F62)</f>
        <v>437.3</v>
      </c>
      <c r="G13" s="17">
        <f>SUM('Raw Financials'!G61,'Raw Financials'!G62)</f>
        <v>604.9</v>
      </c>
      <c r="H13" s="17">
        <f>SUM('Raw Financials'!H61,'Raw Financials'!H62)</f>
        <v>435.8</v>
      </c>
      <c r="I13" s="17">
        <f>SUM('Raw Financials'!I61,'Raw Financials'!I62)</f>
        <v>476.5</v>
      </c>
      <c r="J13" s="17">
        <f>SUM('Raw Financials'!J61,'Raw Financials'!J62)</f>
        <v>86.3</v>
      </c>
      <c r="K13" s="17">
        <f>SUM('Raw Financials'!K61,'Raw Financials'!K62)</f>
        <v>404.5</v>
      </c>
      <c r="L13" s="17">
        <f>SUM('Raw Financials'!L61,'Raw Financials'!L62)</f>
        <v>29.9</v>
      </c>
      <c r="M13" s="17">
        <f>SUM('Raw Financials'!M61,'Raw Financials'!M62)</f>
        <v>778.19999999999993</v>
      </c>
      <c r="N13" s="29">
        <f t="shared" si="0"/>
        <v>778.19999999999993</v>
      </c>
      <c r="O13" s="29">
        <f t="shared" si="0"/>
        <v>778.19999999999993</v>
      </c>
      <c r="P13" s="29">
        <f t="shared" si="0"/>
        <v>778.19999999999993</v>
      </c>
      <c r="Q13" s="29">
        <f t="shared" si="0"/>
        <v>778.19999999999993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309</v>
      </c>
      <c r="B14" s="1" t="s">
        <v>42</v>
      </c>
      <c r="C14" s="17">
        <f>'Raw Financials'!C63</f>
        <v>0</v>
      </c>
      <c r="D14" s="17">
        <f>'Raw Financials'!D63</f>
        <v>2.6</v>
      </c>
      <c r="E14" s="17">
        <f>'Raw Financials'!E63</f>
        <v>418.6</v>
      </c>
      <c r="F14" s="17">
        <f>'Raw Financials'!F63</f>
        <v>514.6</v>
      </c>
      <c r="G14" s="17">
        <f>'Raw Financials'!G63</f>
        <v>588.1</v>
      </c>
      <c r="H14" s="17">
        <f>'Raw Financials'!H63</f>
        <v>608.79999999999995</v>
      </c>
      <c r="I14" s="17">
        <f>'Raw Financials'!I63</f>
        <v>608.4</v>
      </c>
      <c r="J14" s="17">
        <f>'Raw Financials'!J63</f>
        <v>633</v>
      </c>
      <c r="K14" s="17">
        <f>'Raw Financials'!K63</f>
        <v>555</v>
      </c>
      <c r="L14" s="17">
        <f>'Raw Financials'!L63</f>
        <v>466.4</v>
      </c>
      <c r="M14" s="17">
        <f>'Raw Financials'!M63</f>
        <v>625.9</v>
      </c>
      <c r="N14" s="29">
        <f>'Annual P&amp;L'!N7*Assumptions!C33*0.25</f>
        <v>596.41713239478736</v>
      </c>
      <c r="O14" s="29">
        <f>'Annual P&amp;L'!O7*Assumptions!D33*0.25</f>
        <v>607.00461789029066</v>
      </c>
      <c r="P14" s="29">
        <f>'Annual P&amp;L'!P7*Assumptions!E33*0.25</f>
        <v>627.30846208563935</v>
      </c>
      <c r="Q14" s="29">
        <f>'Annual P&amp;L'!Q7*Assumptions!F33*0.25</f>
        <v>651.10604392542689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310</v>
      </c>
      <c r="B15" s="1" t="s">
        <v>42</v>
      </c>
      <c r="C15" s="17">
        <f>'Raw Financials'!C64</f>
        <v>380</v>
      </c>
      <c r="D15" s="17">
        <f>'Raw Financials'!D64</f>
        <v>309.8</v>
      </c>
      <c r="E15" s="17">
        <f>'Raw Financials'!E64</f>
        <v>690.8</v>
      </c>
      <c r="F15" s="17">
        <f>'Raw Financials'!F64</f>
        <v>560.4</v>
      </c>
      <c r="G15" s="17">
        <f>'Raw Financials'!G64</f>
        <v>600.5</v>
      </c>
      <c r="H15" s="17">
        <f>'Raw Financials'!H64</f>
        <v>166.4</v>
      </c>
      <c r="I15" s="17">
        <f>'Raw Financials'!I64</f>
        <v>229.8</v>
      </c>
      <c r="J15" s="17">
        <f>'Raw Financials'!J64</f>
        <v>210</v>
      </c>
      <c r="K15" s="17">
        <f>'Raw Financials'!K64</f>
        <v>181.7</v>
      </c>
      <c r="L15" s="17">
        <f>'Raw Financials'!L64</f>
        <v>256.10000000000002</v>
      </c>
      <c r="M15" s="17">
        <f>'Raw Financials'!M64</f>
        <v>524.20000000000005</v>
      </c>
      <c r="N15" s="29">
        <f t="shared" ref="N15:Q16" si="1">M15</f>
        <v>524.20000000000005</v>
      </c>
      <c r="O15" s="29">
        <f t="shared" si="1"/>
        <v>524.20000000000005</v>
      </c>
      <c r="P15" s="29">
        <f t="shared" si="1"/>
        <v>524.20000000000005</v>
      </c>
      <c r="Q15" s="29">
        <f t="shared" si="1"/>
        <v>524.20000000000005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311</v>
      </c>
      <c r="B16" s="1" t="s">
        <v>42</v>
      </c>
      <c r="C16" s="17">
        <f>'Raw Financials'!C65</f>
        <v>1175.0999999999999</v>
      </c>
      <c r="D16" s="17">
        <f>'Raw Financials'!D65</f>
        <v>1200.8</v>
      </c>
      <c r="E16" s="17">
        <f>'Raw Financials'!E65</f>
        <v>1834.9</v>
      </c>
      <c r="F16" s="17">
        <f>'Raw Financials'!F65</f>
        <v>2060.3000000000002</v>
      </c>
      <c r="G16" s="17">
        <f>'Raw Financials'!G65</f>
        <v>1141.4000000000001</v>
      </c>
      <c r="H16" s="17">
        <f>'Raw Financials'!H65</f>
        <v>1432.3</v>
      </c>
      <c r="I16" s="17">
        <f>'Raw Financials'!I65</f>
        <v>1025.5999999999999</v>
      </c>
      <c r="J16" s="17">
        <f>'Raw Financials'!J65</f>
        <v>1192.2</v>
      </c>
      <c r="K16" s="17">
        <f>'Raw Financials'!K65</f>
        <v>904.3</v>
      </c>
      <c r="L16" s="17">
        <f>'Raw Financials'!L65</f>
        <v>723</v>
      </c>
      <c r="M16" s="17">
        <f>'Raw Financials'!M65</f>
        <v>778.7</v>
      </c>
      <c r="N16" s="29">
        <f t="shared" si="1"/>
        <v>778.7</v>
      </c>
      <c r="O16" s="29">
        <f t="shared" si="1"/>
        <v>778.7</v>
      </c>
      <c r="P16" s="29">
        <f t="shared" si="1"/>
        <v>778.7</v>
      </c>
      <c r="Q16" s="29">
        <f t="shared" si="1"/>
        <v>778.7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312</v>
      </c>
      <c r="B17" s="1" t="s">
        <v>42</v>
      </c>
      <c r="C17" s="17">
        <f>'Raw Financials'!C66</f>
        <v>1582.8</v>
      </c>
      <c r="D17" s="17">
        <f>'Raw Financials'!D66</f>
        <v>1679.3</v>
      </c>
      <c r="E17" s="17">
        <f>'Raw Financials'!E66</f>
        <v>1572.6</v>
      </c>
      <c r="F17" s="17">
        <f>'Raw Financials'!F66</f>
        <v>2101.8000000000002</v>
      </c>
      <c r="G17" s="17">
        <f>'Raw Financials'!G66</f>
        <v>0</v>
      </c>
      <c r="H17" s="17">
        <f>'Raw Financials'!H66</f>
        <v>0</v>
      </c>
      <c r="I17" s="17">
        <f>'Raw Financials'!I66</f>
        <v>0</v>
      </c>
      <c r="J17" s="17">
        <f>'Raw Financials'!J66</f>
        <v>0</v>
      </c>
      <c r="K17" s="17">
        <f>'Raw Financials'!K66</f>
        <v>0</v>
      </c>
      <c r="L17" s="17">
        <f>'Raw Financials'!L66</f>
        <v>0</v>
      </c>
      <c r="M17" s="17">
        <f>'Raw Financials'!M66</f>
        <v>901</v>
      </c>
      <c r="N17" s="29">
        <f>'Annual P&amp;L'!N7*Assumptions!C33*0.75</f>
        <v>1789.2513971843621</v>
      </c>
      <c r="O17" s="29">
        <f>'Annual P&amp;L'!O7*Assumptions!D33*0.75</f>
        <v>1821.0138536708719</v>
      </c>
      <c r="P17" s="29">
        <f>'Annual P&amp;L'!P7*Assumptions!E33*0.75</f>
        <v>1881.925386256918</v>
      </c>
      <c r="Q17" s="29">
        <f>'Annual P&amp;L'!Q7*Assumptions!F33*0.75</f>
        <v>1953.3181317762806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21" t="s">
        <v>313</v>
      </c>
      <c r="B18" s="19" t="s">
        <v>42</v>
      </c>
      <c r="C18" s="20">
        <f>'Raw Financials'!C67</f>
        <v>21933</v>
      </c>
      <c r="D18" s="20">
        <f>'Raw Financials'!D67</f>
        <v>25461.8</v>
      </c>
      <c r="E18" s="20">
        <f>'Raw Financials'!E67</f>
        <v>25448.400000000001</v>
      </c>
      <c r="F18" s="20">
        <f>'Raw Financials'!F67</f>
        <v>26126.5</v>
      </c>
      <c r="G18" s="20">
        <f>'Raw Financials'!G67</f>
        <v>29721.1</v>
      </c>
      <c r="H18" s="20">
        <f>'Raw Financials'!H67</f>
        <v>30824.799999999999</v>
      </c>
      <c r="I18" s="20">
        <f>'Raw Financials'!I67</f>
        <v>45843</v>
      </c>
      <c r="J18" s="20">
        <f>'Raw Financials'!J67</f>
        <v>51472.6</v>
      </c>
      <c r="K18" s="20">
        <f>'Raw Financials'!K67</f>
        <v>50179.7</v>
      </c>
      <c r="L18" s="20">
        <f>'Raw Financials'!L67</f>
        <v>50874.5</v>
      </c>
      <c r="M18" s="20">
        <f>'Raw Financials'!M67</f>
        <v>59290.8</v>
      </c>
      <c r="N18" s="27">
        <f>SUM(N7:N17)</f>
        <v>60054.141788395988</v>
      </c>
      <c r="O18" s="27">
        <f>SUM(O7:O17)</f>
        <v>60096.491730377988</v>
      </c>
      <c r="P18" s="27">
        <f>SUM(P7:P17)</f>
        <v>60286.804231000358</v>
      </c>
      <c r="Q18" s="27">
        <f>SUM(Q7:Q17)</f>
        <v>60618.760392514218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314</v>
      </c>
      <c r="B19" s="1" t="s">
        <v>42</v>
      </c>
      <c r="C19" s="17">
        <f>'Raw Financials'!C68</f>
        <v>539</v>
      </c>
      <c r="D19" s="17">
        <f>'Raw Financials'!D68</f>
        <v>391.5</v>
      </c>
      <c r="E19" s="17">
        <f>'Raw Financials'!E68</f>
        <v>337</v>
      </c>
      <c r="F19" s="17">
        <f>'Raw Financials'!F68</f>
        <v>395.1</v>
      </c>
      <c r="G19" s="17">
        <f>'Raw Financials'!G68</f>
        <v>186.5</v>
      </c>
      <c r="H19" s="17">
        <f>'Raw Financials'!H68</f>
        <v>106.4</v>
      </c>
      <c r="I19" s="17">
        <f>'Raw Financials'!I68</f>
        <v>133.4</v>
      </c>
      <c r="J19" s="17">
        <f>'Raw Financials'!J68</f>
        <v>118.8</v>
      </c>
      <c r="K19" s="17">
        <f>'Raw Financials'!K68</f>
        <v>90.7</v>
      </c>
      <c r="L19" s="17">
        <f>'Raw Financials'!L68</f>
        <v>69.400000000000006</v>
      </c>
      <c r="M19" s="17">
        <f>'Raw Financials'!M68</f>
        <v>51.7</v>
      </c>
      <c r="N19" s="29">
        <f>'Annual P&amp;L'!N7*Assumptions!C29</f>
        <v>57.256044709899577</v>
      </c>
      <c r="O19" s="29">
        <f>'Annual P&amp;L'!O7*Assumptions!D29</f>
        <v>60.700461789029063</v>
      </c>
      <c r="P19" s="29">
        <f>'Annual P&amp;L'!P7*Assumptions!E29</f>
        <v>65.458274304588443</v>
      </c>
      <c r="Q19" s="29">
        <f>'Annual P&amp;L'!Q7*Assumptions!F29</f>
        <v>71.029750246410202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431</v>
      </c>
      <c r="B20" s="1" t="s">
        <v>42</v>
      </c>
      <c r="C20" s="17">
        <f>'Raw Financials'!C69</f>
        <v>567.5</v>
      </c>
      <c r="D20" s="17">
        <f>'Raw Financials'!D69</f>
        <v>974.7</v>
      </c>
      <c r="E20" s="17">
        <f>'Raw Financials'!E69</f>
        <v>123.2</v>
      </c>
      <c r="F20" s="17">
        <f>'Raw Financials'!F69</f>
        <v>493.1</v>
      </c>
      <c r="G20" s="17">
        <f>'Raw Financials'!G69</f>
        <v>302.5</v>
      </c>
      <c r="H20" s="17">
        <f>'Raw Financials'!H69</f>
        <v>406.4</v>
      </c>
      <c r="I20" s="17">
        <f>'Raw Financials'!I69</f>
        <v>303.2</v>
      </c>
      <c r="J20" s="17">
        <f>'Raw Financials'!J69</f>
        <v>184.4</v>
      </c>
      <c r="K20" s="17">
        <f>'Raw Financials'!K69</f>
        <v>133.30000000000001</v>
      </c>
      <c r="L20" s="17">
        <f>'Raw Financials'!L69</f>
        <v>182</v>
      </c>
      <c r="M20" s="17">
        <f>'Raw Financials'!M69</f>
        <v>88.8</v>
      </c>
      <c r="N20" s="29">
        <f>M20</f>
        <v>88.8</v>
      </c>
      <c r="O20" s="29">
        <f>N20</f>
        <v>88.8</v>
      </c>
      <c r="P20" s="29">
        <f>O20</f>
        <v>88.8</v>
      </c>
      <c r="Q20" s="29">
        <f>P20</f>
        <v>88.8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316</v>
      </c>
      <c r="B21" s="1" t="s">
        <v>42</v>
      </c>
      <c r="C21" s="17">
        <f>'Raw Financials'!C70</f>
        <v>13294.4</v>
      </c>
      <c r="D21" s="17">
        <f>'Raw Financials'!D70</f>
        <v>29203</v>
      </c>
      <c r="E21" s="17">
        <f>'Raw Financials'!E70</f>
        <v>24909.4</v>
      </c>
      <c r="F21" s="17">
        <f>'Raw Financials'!F70</f>
        <v>22071.599999999999</v>
      </c>
      <c r="G21" s="17">
        <f>'Raw Financials'!G70</f>
        <v>18963.5</v>
      </c>
      <c r="H21" s="17">
        <f>'Raw Financials'!H70</f>
        <v>17570.7</v>
      </c>
      <c r="I21" s="17">
        <f>'Raw Financials'!I70</f>
        <v>24165.5</v>
      </c>
      <c r="J21" s="17">
        <f>'Raw Financials'!J70</f>
        <v>30923.200000000001</v>
      </c>
      <c r="K21" s="17">
        <f>'Raw Financials'!K70</f>
        <v>31117.1</v>
      </c>
      <c r="L21" s="17">
        <f>'Raw Financials'!L70</f>
        <v>41147.4</v>
      </c>
      <c r="M21" s="17">
        <f>'Raw Financials'!M70</f>
        <v>43768</v>
      </c>
      <c r="N21" s="29">
        <f>'Annual P&amp;L'!N7*Assumptions!C32</f>
        <v>41987.766120593027</v>
      </c>
      <c r="O21" s="29">
        <f>'Annual P&amp;L'!O7*Assumptions!D32</f>
        <v>42490.323252320348</v>
      </c>
      <c r="P21" s="29">
        <f>'Annual P&amp;L'!P7*Assumptions!E32</f>
        <v>43638.849536392307</v>
      </c>
      <c r="Q21" s="29">
        <f>'Annual P&amp;L'!Q7*Assumptions!F32</f>
        <v>44985.508489393134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317</v>
      </c>
      <c r="B22" s="1" t="s">
        <v>42</v>
      </c>
      <c r="C22" s="17">
        <f>'Raw Financials'!C71</f>
        <v>9904.9</v>
      </c>
      <c r="D22" s="17">
        <f>'Raw Financials'!D71</f>
        <v>5271</v>
      </c>
      <c r="E22" s="17">
        <f>'Raw Financials'!E71</f>
        <v>4492.5</v>
      </c>
      <c r="F22" s="17">
        <f>'Raw Financials'!F71</f>
        <v>15852.9</v>
      </c>
      <c r="G22" s="17">
        <f>'Raw Financials'!G71</f>
        <v>14449.9</v>
      </c>
      <c r="H22" s="17">
        <f>'Raw Financials'!H71</f>
        <v>16979.3</v>
      </c>
      <c r="I22" s="17">
        <f>'Raw Financials'!I71</f>
        <v>10383.6</v>
      </c>
      <c r="J22" s="17">
        <f>'Raw Financials'!J71</f>
        <v>9188</v>
      </c>
      <c r="K22" s="17">
        <f>'Raw Financials'!K71</f>
        <v>9695.2999999999993</v>
      </c>
      <c r="L22" s="17">
        <f>'Raw Financials'!L71</f>
        <v>12197.4</v>
      </c>
      <c r="M22" s="17">
        <f>'Raw Financials'!M71</f>
        <v>10555.5</v>
      </c>
      <c r="N22" s="29">
        <f>'BS Forecast Schedules'!D58</f>
        <v>5964.9826447254745</v>
      </c>
      <c r="O22" s="29">
        <f>'BS Forecast Schedules'!E58</f>
        <v>10405.149431872267</v>
      </c>
      <c r="P22" s="29">
        <f>'BS Forecast Schedules'!F58</f>
        <v>15047.599567574838</v>
      </c>
      <c r="Q22" s="29">
        <f>'BS Forecast Schedules'!G58</f>
        <v>19893.038441714161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318</v>
      </c>
      <c r="B23" s="1" t="s">
        <v>42</v>
      </c>
      <c r="C23" s="17">
        <f>'Raw Financials'!C72</f>
        <v>10238</v>
      </c>
      <c r="D23" s="17">
        <f>'Raw Financials'!D72</f>
        <v>9484.6</v>
      </c>
      <c r="E23" s="17">
        <f>'Raw Financials'!E72</f>
        <v>10099</v>
      </c>
      <c r="F23" s="17">
        <f>'Raw Financials'!F72</f>
        <v>10048.9</v>
      </c>
      <c r="G23" s="17">
        <f>'Raw Financials'!G72</f>
        <v>10447.4</v>
      </c>
      <c r="H23" s="17">
        <f>'Raw Financials'!H72</f>
        <v>9429.7999999999993</v>
      </c>
      <c r="I23" s="17">
        <f>'Raw Financials'!I72</f>
        <v>11521.9</v>
      </c>
      <c r="J23" s="17">
        <f>'Raw Financials'!J72</f>
        <v>12635</v>
      </c>
      <c r="K23" s="17">
        <f>'Raw Financials'!K72</f>
        <v>11547.7</v>
      </c>
      <c r="L23" s="17">
        <f>'Raw Financials'!L72</f>
        <v>11774.5</v>
      </c>
      <c r="M23" s="17">
        <f>'Raw Financials'!M72</f>
        <v>13590.1</v>
      </c>
      <c r="N23" s="29">
        <f>'Annual P&amp;L'!N7/365*Assumptions!C27</f>
        <v>14379.371959107202</v>
      </c>
      <c r="O23" s="29">
        <f>'Annual P&amp;L'!O7/365*Assumptions!D27</f>
        <v>14967.23715345922</v>
      </c>
      <c r="P23" s="29">
        <f>'Annual P&amp;L'!P7/365*Assumptions!E27</f>
        <v>15841.500174169807</v>
      </c>
      <c r="Q23" s="29">
        <f>'Annual P&amp;L'!Q7/365*Assumptions!F27</f>
        <v>16865.511474033476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432</v>
      </c>
      <c r="B24" s="1" t="s">
        <v>42</v>
      </c>
      <c r="C24" s="17">
        <f>SUM('Raw Financials'!C73,'Raw Financials'!C75)</f>
        <v>4827.3</v>
      </c>
      <c r="D24" s="17">
        <f>SUM('Raw Financials'!D73,'Raw Financials'!D75)</f>
        <v>0</v>
      </c>
      <c r="E24" s="17">
        <f>SUM('Raw Financials'!E73,'Raw Financials'!E75)</f>
        <v>0</v>
      </c>
      <c r="F24" s="17">
        <f>SUM('Raw Financials'!F73,'Raw Financials'!F75)</f>
        <v>0</v>
      </c>
      <c r="G24" s="17">
        <f>SUM('Raw Financials'!G73,'Raw Financials'!G75)</f>
        <v>0</v>
      </c>
      <c r="H24" s="17">
        <f>SUM('Raw Financials'!H73,'Raw Financials'!H75)</f>
        <v>0</v>
      </c>
      <c r="I24" s="17">
        <f>SUM('Raw Financials'!I73,'Raw Financials'!I75)</f>
        <v>0</v>
      </c>
      <c r="J24" s="17">
        <f>SUM('Raw Financials'!J73,'Raw Financials'!J75)</f>
        <v>0</v>
      </c>
      <c r="K24" s="17">
        <f>SUM('Raw Financials'!K73,'Raw Financials'!K75)</f>
        <v>0</v>
      </c>
      <c r="L24" s="17">
        <f>SUM('Raw Financials'!L73,'Raw Financials'!L75)</f>
        <v>0</v>
      </c>
      <c r="M24" s="17">
        <f>SUM('Raw Financials'!M73,'Raw Financials'!M75)</f>
        <v>9164.2000000000007</v>
      </c>
      <c r="N24" s="29">
        <f>'Annual P&amp;L'!N7/365*Assumptions!C28</f>
        <v>9411.9525550519866</v>
      </c>
      <c r="O24" s="29">
        <f>'Annual P&amp;L'!O7/365*Assumptions!D28</f>
        <v>9700.9870439087535</v>
      </c>
      <c r="P24" s="29">
        <f>'Annual P&amp;L'!P7/365*Assumptions!E28</f>
        <v>10162.471809844781</v>
      </c>
      <c r="Q24" s="29">
        <f>'Annual P&amp;L'!Q7/365*Assumptions!F28</f>
        <v>10703.113050828935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320</v>
      </c>
      <c r="B25" s="1" t="s">
        <v>42</v>
      </c>
      <c r="C25" s="17">
        <f>'Raw Financials'!C74</f>
        <v>0</v>
      </c>
      <c r="D25" s="17">
        <f>'Raw Financials'!D74</f>
        <v>517.70000000000005</v>
      </c>
      <c r="E25" s="17">
        <f>'Raw Financials'!E74</f>
        <v>742.9</v>
      </c>
      <c r="F25" s="17">
        <f>'Raw Financials'!F74</f>
        <v>1461.1</v>
      </c>
      <c r="G25" s="17">
        <f>'Raw Financials'!G74</f>
        <v>861.4</v>
      </c>
      <c r="H25" s="17">
        <f>'Raw Financials'!H74</f>
        <v>724.5</v>
      </c>
      <c r="I25" s="17">
        <f>'Raw Financials'!I74</f>
        <v>4291.3999999999996</v>
      </c>
      <c r="J25" s="17">
        <f>'Raw Financials'!J74</f>
        <v>909.6</v>
      </c>
      <c r="K25" s="17">
        <f>'Raw Financials'!K74</f>
        <v>1053.5999999999999</v>
      </c>
      <c r="L25" s="17">
        <f>'Raw Financials'!L74</f>
        <v>844.8</v>
      </c>
      <c r="M25" s="17">
        <f>'Raw Financials'!M74</f>
        <v>1024.5</v>
      </c>
      <c r="N25" s="29">
        <f>'Annual P&amp;L'!N7*Assumptions!C30</f>
        <v>1049.6941530148256</v>
      </c>
      <c r="O25" s="29">
        <f>'Annual P&amp;L'!O7*Assumptions!D30</f>
        <v>1112.8417994655329</v>
      </c>
      <c r="P25" s="29">
        <f>'Annual P&amp;L'!P7*Assumptions!E30</f>
        <v>1090.9712384098075</v>
      </c>
      <c r="Q25" s="29">
        <f>'Annual P&amp;L'!Q7*Assumptions!F30</f>
        <v>1183.8291707735034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322</v>
      </c>
      <c r="B26" s="1" t="s">
        <v>42</v>
      </c>
      <c r="C26" s="17">
        <f>'Raw Financials'!C76</f>
        <v>781.2</v>
      </c>
      <c r="D26" s="17">
        <f>'Raw Financials'!D76</f>
        <v>980.4</v>
      </c>
      <c r="E26" s="17">
        <f>'Raw Financials'!E76</f>
        <v>626.20000000000005</v>
      </c>
      <c r="F26" s="17">
        <f>'Raw Financials'!F76</f>
        <v>743.5</v>
      </c>
      <c r="G26" s="17">
        <f>'Raw Financials'!G76</f>
        <v>288.2</v>
      </c>
      <c r="H26" s="17">
        <f>'Raw Financials'!H76</f>
        <v>246.1</v>
      </c>
      <c r="I26" s="17">
        <f>'Raw Financials'!I76</f>
        <v>237.3</v>
      </c>
      <c r="J26" s="17">
        <f>'Raw Financials'!J76</f>
        <v>509.1</v>
      </c>
      <c r="K26" s="17">
        <f>'Raw Financials'!K76</f>
        <v>648.4</v>
      </c>
      <c r="L26" s="17">
        <f>'Raw Financials'!L76</f>
        <v>641.70000000000005</v>
      </c>
      <c r="M26" s="17">
        <f>'Raw Financials'!M76</f>
        <v>1076.2</v>
      </c>
      <c r="N26" s="29">
        <f>M26</f>
        <v>1076.2</v>
      </c>
      <c r="O26" s="29">
        <f>N26</f>
        <v>1076.2</v>
      </c>
      <c r="P26" s="29">
        <f>O26</f>
        <v>1076.2</v>
      </c>
      <c r="Q26" s="29">
        <f>P26</f>
        <v>1076.2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323</v>
      </c>
      <c r="B27" s="1" t="s">
        <v>42</v>
      </c>
      <c r="C27" s="17">
        <f>'Raw Financials'!C77</f>
        <v>10406.799999999999</v>
      </c>
      <c r="D27" s="17">
        <f>'Raw Financials'!D77</f>
        <v>3075.1</v>
      </c>
      <c r="E27" s="17">
        <f>'Raw Financials'!E77</f>
        <v>3059.6</v>
      </c>
      <c r="F27" s="17">
        <f>'Raw Financials'!F77</f>
        <v>3769.7</v>
      </c>
      <c r="G27" s="17">
        <f>'Raw Financials'!G77</f>
        <v>0</v>
      </c>
      <c r="H27" s="17">
        <f>'Raw Financials'!H77</f>
        <v>0</v>
      </c>
      <c r="I27" s="17">
        <f>'Raw Financials'!I77</f>
        <v>0</v>
      </c>
      <c r="J27" s="17">
        <f>'Raw Financials'!J77</f>
        <v>0</v>
      </c>
      <c r="K27" s="17">
        <f>'Raw Financials'!K77</f>
        <v>0</v>
      </c>
      <c r="L27" s="17">
        <f>'Raw Financials'!L77</f>
        <v>0</v>
      </c>
      <c r="M27" s="17">
        <f>'Raw Financials'!M77</f>
        <v>3316.4</v>
      </c>
      <c r="N27" s="29">
        <f>'Annual P&amp;L'!N7*Assumptions!C31</f>
        <v>3435.3626825939746</v>
      </c>
      <c r="O27" s="29">
        <f>'Annual P&amp;L'!O7*Assumptions!D31</f>
        <v>3540.860271026696</v>
      </c>
      <c r="P27" s="29">
        <f>'Annual P&amp;L'!P7*Assumptions!E31</f>
        <v>3709.302210593346</v>
      </c>
      <c r="Q27" s="29">
        <f>'Annual P&amp;L'!Q7*Assumptions!F31</f>
        <v>3906.6362635525616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21" t="s">
        <v>324</v>
      </c>
      <c r="B28" s="19" t="s">
        <v>42</v>
      </c>
      <c r="C28" s="20">
        <f>'Raw Financials'!C78</f>
        <v>50559.1</v>
      </c>
      <c r="D28" s="20">
        <f>'Raw Financials'!D78</f>
        <v>53889.8</v>
      </c>
      <c r="E28" s="20">
        <f>'Raw Financials'!E78</f>
        <v>50615.6</v>
      </c>
      <c r="F28" s="20">
        <f>'Raw Financials'!F78</f>
        <v>57190.6</v>
      </c>
      <c r="G28" s="20">
        <f>'Raw Financials'!G78</f>
        <v>51985.1</v>
      </c>
      <c r="H28" s="20">
        <f>'Raw Financials'!H78</f>
        <v>52318.6</v>
      </c>
      <c r="I28" s="20">
        <f>'Raw Financials'!I78</f>
        <v>62075.199999999997</v>
      </c>
      <c r="J28" s="20">
        <f>'Raw Financials'!J78</f>
        <v>66109.600000000006</v>
      </c>
      <c r="K28" s="20">
        <f>'Raw Financials'!K78</f>
        <v>65066.2</v>
      </c>
      <c r="L28" s="20">
        <f>'Raw Financials'!L78</f>
        <v>77777.5</v>
      </c>
      <c r="M28" s="20">
        <f>'Raw Financials'!M78</f>
        <v>82635.399999999994</v>
      </c>
      <c r="N28" s="27">
        <f>SUM(N19:N27)</f>
        <v>77451.386159796384</v>
      </c>
      <c r="O28" s="27">
        <f>SUM(O19:O27)</f>
        <v>83443.099413841846</v>
      </c>
      <c r="P28" s="27">
        <f>SUM(P19:P27)</f>
        <v>90721.152811289474</v>
      </c>
      <c r="Q28" s="27">
        <f>SUM(Q19:Q27)</f>
        <v>98773.666640542186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21" t="s">
        <v>325</v>
      </c>
      <c r="B29" s="19" t="s">
        <v>42</v>
      </c>
      <c r="C29" s="20">
        <f>'Raw Financials'!C79</f>
        <v>72492.100000000006</v>
      </c>
      <c r="D29" s="20">
        <f>'Raw Financials'!D79</f>
        <v>79351.600000000006</v>
      </c>
      <c r="E29" s="20">
        <f>'Raw Financials'!E79</f>
        <v>76064</v>
      </c>
      <c r="F29" s="20">
        <f>'Raw Financials'!F79</f>
        <v>83317.100000000006</v>
      </c>
      <c r="G29" s="20">
        <f>'Raw Financials'!G79</f>
        <v>81706.2</v>
      </c>
      <c r="H29" s="20">
        <f>'Raw Financials'!H79</f>
        <v>83143.399999999994</v>
      </c>
      <c r="I29" s="20">
        <f>'Raw Financials'!I79</f>
        <v>107918.2</v>
      </c>
      <c r="J29" s="20">
        <f>'Raw Financials'!J79</f>
        <v>117582.2</v>
      </c>
      <c r="K29" s="20">
        <f>'Raw Financials'!K79</f>
        <v>115245.9</v>
      </c>
      <c r="L29" s="20">
        <f>'Raw Financials'!L79</f>
        <v>128652</v>
      </c>
      <c r="M29" s="20">
        <f>'Raw Financials'!M79</f>
        <v>141926.20000000001</v>
      </c>
      <c r="N29" s="27">
        <f>SUM(N18,N28)</f>
        <v>137505.52794819238</v>
      </c>
      <c r="O29" s="27">
        <f>SUM(O18,O28)</f>
        <v>143539.59114421983</v>
      </c>
      <c r="P29" s="27">
        <f>SUM(P18,P28)</f>
        <v>151007.95704228984</v>
      </c>
      <c r="Q29" s="27">
        <f>SUM(Q18,Q28)</f>
        <v>159392.42703305639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326</v>
      </c>
      <c r="B31" s="1" t="s">
        <v>42</v>
      </c>
      <c r="C31" s="17">
        <f>'Raw Financials'!C80</f>
        <v>494.1</v>
      </c>
      <c r="D31" s="17">
        <f>'Raw Financials'!D80</f>
        <v>486.1</v>
      </c>
      <c r="E31" s="17">
        <f>'Raw Financials'!E80</f>
        <v>904.8</v>
      </c>
      <c r="F31" s="17">
        <f>'Raw Financials'!F80</f>
        <v>1206.8</v>
      </c>
      <c r="G31" s="17">
        <f>'Raw Financials'!G80</f>
        <v>1142.7</v>
      </c>
      <c r="H31" s="17">
        <f>'Raw Financials'!H80</f>
        <v>1095.8</v>
      </c>
      <c r="I31" s="17">
        <f>'Raw Financials'!I80</f>
        <v>1096.4000000000001</v>
      </c>
      <c r="J31" s="17">
        <f>'Raw Financials'!J80</f>
        <v>1097.5999999999999</v>
      </c>
      <c r="K31" s="17">
        <f>'Raw Financials'!K80</f>
        <v>1045</v>
      </c>
      <c r="L31" s="17">
        <f>'Raw Financials'!L80</f>
        <v>2094.4</v>
      </c>
      <c r="M31" s="17">
        <f>'Raw Financials'!M80</f>
        <v>2097.6999999999998</v>
      </c>
      <c r="N31" s="29">
        <f t="shared" ref="N31:Q32" si="2">M31</f>
        <v>2097.6999999999998</v>
      </c>
      <c r="O31" s="29">
        <f t="shared" si="2"/>
        <v>2097.6999999999998</v>
      </c>
      <c r="P31" s="29">
        <f t="shared" si="2"/>
        <v>2097.6999999999998</v>
      </c>
      <c r="Q31" s="29">
        <f t="shared" si="2"/>
        <v>2097.6999999999998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327</v>
      </c>
      <c r="B32" s="1" t="s">
        <v>42</v>
      </c>
      <c r="C32" s="17">
        <f>'Raw Financials'!C81</f>
        <v>1464.2</v>
      </c>
      <c r="D32" s="17">
        <f>'Raw Financials'!D81</f>
        <v>46.9</v>
      </c>
      <c r="E32" s="17">
        <f>'Raw Financials'!E81</f>
        <v>80</v>
      </c>
      <c r="F32" s="17">
        <f>'Raw Financials'!F81</f>
        <v>53.3</v>
      </c>
      <c r="G32" s="17">
        <f>'Raw Financials'!G81</f>
        <v>127.5</v>
      </c>
      <c r="H32" s="17">
        <f>'Raw Financials'!H81</f>
        <v>71.400000000000006</v>
      </c>
      <c r="I32" s="17">
        <f>'Raw Financials'!I81</f>
        <v>156.6</v>
      </c>
      <c r="J32" s="17">
        <f>'Raw Financials'!J81</f>
        <v>368.9</v>
      </c>
      <c r="K32" s="17">
        <f>'Raw Financials'!K81</f>
        <v>329.1</v>
      </c>
      <c r="L32" s="17">
        <f>'Raw Financials'!L81</f>
        <v>262.8</v>
      </c>
      <c r="M32" s="17">
        <f>'Raw Financials'!M81</f>
        <v>615.79999999999995</v>
      </c>
      <c r="N32" s="29">
        <f t="shared" si="2"/>
        <v>615.79999999999995</v>
      </c>
      <c r="O32" s="29">
        <f t="shared" si="2"/>
        <v>615.79999999999995</v>
      </c>
      <c r="P32" s="29">
        <f t="shared" si="2"/>
        <v>615.79999999999995</v>
      </c>
      <c r="Q32" s="29">
        <f t="shared" si="2"/>
        <v>615.79999999999995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433</v>
      </c>
      <c r="B33" s="1" t="s">
        <v>42</v>
      </c>
      <c r="C33" s="17">
        <f t="shared" ref="C33:Q33" si="3">C34-C31-C32</f>
        <v>44649.500000000007</v>
      </c>
      <c r="D33" s="17">
        <f t="shared" si="3"/>
        <v>51497.4</v>
      </c>
      <c r="E33" s="17">
        <f t="shared" si="3"/>
        <v>47308.799999999996</v>
      </c>
      <c r="F33" s="17">
        <f t="shared" si="3"/>
        <v>55551.499999999993</v>
      </c>
      <c r="G33" s="17">
        <f t="shared" si="3"/>
        <v>54475.600000000006</v>
      </c>
      <c r="H33" s="17">
        <f t="shared" si="3"/>
        <v>54142.299999999996</v>
      </c>
      <c r="I33" s="17">
        <f t="shared" si="3"/>
        <v>64562.8</v>
      </c>
      <c r="J33" s="17">
        <f t="shared" si="3"/>
        <v>76649.899999999994</v>
      </c>
      <c r="K33" s="17">
        <f t="shared" si="3"/>
        <v>73614.2</v>
      </c>
      <c r="L33" s="17">
        <f t="shared" si="3"/>
        <v>80473.7</v>
      </c>
      <c r="M33" s="17">
        <f t="shared" si="3"/>
        <v>85823.3</v>
      </c>
      <c r="N33" s="29">
        <f t="shared" si="3"/>
        <v>74655.32898118328</v>
      </c>
      <c r="O33" s="29">
        <f t="shared" si="3"/>
        <v>79119.681999084976</v>
      </c>
      <c r="P33" s="29">
        <f t="shared" si="3"/>
        <v>84359.293247262438</v>
      </c>
      <c r="Q33" s="29">
        <f t="shared" si="3"/>
        <v>90147.482941405033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21" t="s">
        <v>329</v>
      </c>
      <c r="B34" s="19" t="s">
        <v>42</v>
      </c>
      <c r="C34" s="20">
        <f>'Raw Financials'!C83</f>
        <v>46607.8</v>
      </c>
      <c r="D34" s="20">
        <f>'Raw Financials'!D83</f>
        <v>52030.400000000001</v>
      </c>
      <c r="E34" s="20">
        <f>'Raw Financials'!E83</f>
        <v>48293.599999999999</v>
      </c>
      <c r="F34" s="20">
        <f>'Raw Financials'!F83</f>
        <v>56811.6</v>
      </c>
      <c r="G34" s="20">
        <f>'Raw Financials'!G83</f>
        <v>55745.8</v>
      </c>
      <c r="H34" s="20">
        <f>'Raw Financials'!H83</f>
        <v>55309.5</v>
      </c>
      <c r="I34" s="20">
        <f>'Raw Financials'!I83</f>
        <v>65815.8</v>
      </c>
      <c r="J34" s="20">
        <f>'Raw Financials'!J83</f>
        <v>78116.399999999994</v>
      </c>
      <c r="K34" s="20">
        <f>'Raw Financials'!K83</f>
        <v>74988.3</v>
      </c>
      <c r="L34" s="20">
        <f>'Raw Financials'!L83</f>
        <v>82830.899999999994</v>
      </c>
      <c r="M34" s="20">
        <f>'Raw Financials'!M83</f>
        <v>88536.8</v>
      </c>
      <c r="N34" s="27">
        <f>'BS Forecast Schedules'!D47</f>
        <v>77368.82898118328</v>
      </c>
      <c r="O34" s="27">
        <f>'BS Forecast Schedules'!E47</f>
        <v>81833.181999084976</v>
      </c>
      <c r="P34" s="27">
        <f>'BS Forecast Schedules'!F47</f>
        <v>87072.793247262438</v>
      </c>
      <c r="Q34" s="27">
        <f>'BS Forecast Schedules'!G47</f>
        <v>92860.982941405033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248</v>
      </c>
      <c r="B35" s="1" t="s">
        <v>42</v>
      </c>
      <c r="C35" s="17">
        <f>'Raw Financials'!C84</f>
        <v>222.4</v>
      </c>
      <c r="D35" s="17">
        <f>'Raw Financials'!D84</f>
        <v>239.1</v>
      </c>
      <c r="E35" s="17">
        <f>'Raw Financials'!E84</f>
        <v>241</v>
      </c>
      <c r="F35" s="17">
        <f>'Raw Financials'!F84</f>
        <v>263.7</v>
      </c>
      <c r="G35" s="17">
        <f>'Raw Financials'!G84</f>
        <v>187.5</v>
      </c>
      <c r="H35" s="17">
        <f>'Raw Financials'!H84</f>
        <v>149.80000000000001</v>
      </c>
      <c r="I35" s="17">
        <f>'Raw Financials'!I84</f>
        <v>51.5</v>
      </c>
      <c r="J35" s="17">
        <f>'Raw Financials'!J84</f>
        <v>58.9</v>
      </c>
      <c r="K35" s="17">
        <f>'Raw Financials'!K84</f>
        <v>134</v>
      </c>
      <c r="L35" s="17">
        <f>'Raw Financials'!L84</f>
        <v>213.8</v>
      </c>
      <c r="M35" s="17">
        <f>'Raw Financials'!M84</f>
        <v>250.9</v>
      </c>
      <c r="N35" s="29">
        <f>'BS Forecast Schedules'!D48</f>
        <v>250.9</v>
      </c>
      <c r="O35" s="29">
        <f>'BS Forecast Schedules'!E48</f>
        <v>250.9</v>
      </c>
      <c r="P35" s="29">
        <f>'BS Forecast Schedules'!F48</f>
        <v>250.9</v>
      </c>
      <c r="Q35" s="29">
        <f>'BS Forecast Schedules'!G48</f>
        <v>250.9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21" t="s">
        <v>330</v>
      </c>
      <c r="B36" s="19" t="s">
        <v>42</v>
      </c>
      <c r="C36" s="20">
        <f>'Raw Financials'!C85</f>
        <v>46830.2</v>
      </c>
      <c r="D36" s="20">
        <f>'Raw Financials'!D85</f>
        <v>52269.5</v>
      </c>
      <c r="E36" s="20">
        <f>'Raw Financials'!E85</f>
        <v>48534.6</v>
      </c>
      <c r="F36" s="20">
        <f>'Raw Financials'!F85</f>
        <v>57075.3</v>
      </c>
      <c r="G36" s="20">
        <f>'Raw Financials'!G85</f>
        <v>55933.3</v>
      </c>
      <c r="H36" s="20">
        <f>'Raw Financials'!H85</f>
        <v>55459.3</v>
      </c>
      <c r="I36" s="20">
        <f>'Raw Financials'!I85</f>
        <v>65867.3</v>
      </c>
      <c r="J36" s="20">
        <f>'Raw Financials'!J85</f>
        <v>78175.3</v>
      </c>
      <c r="K36" s="20">
        <f>'Raw Financials'!K85</f>
        <v>75122.3</v>
      </c>
      <c r="L36" s="20">
        <f>'Raw Financials'!L85</f>
        <v>83044.7</v>
      </c>
      <c r="M36" s="20">
        <f>'Raw Financials'!M85</f>
        <v>88787.7</v>
      </c>
      <c r="N36" s="27">
        <f>'BS Forecast Schedules'!D49</f>
        <v>77619.728981183274</v>
      </c>
      <c r="O36" s="27">
        <f>'BS Forecast Schedules'!E49</f>
        <v>82084.08199908497</v>
      </c>
      <c r="P36" s="27">
        <f>'BS Forecast Schedules'!F49</f>
        <v>87323.693247262432</v>
      </c>
      <c r="Q36" s="27">
        <f>'BS Forecast Schedules'!G49</f>
        <v>93111.882941405027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 t="s">
        <v>331</v>
      </c>
      <c r="B38" s="1" t="s">
        <v>42</v>
      </c>
      <c r="C38" s="17">
        <f>'Raw Financials'!C86</f>
        <v>1736.1</v>
      </c>
      <c r="D38" s="17">
        <f>'Raw Financials'!D86</f>
        <v>1961.1</v>
      </c>
      <c r="E38" s="17">
        <f>'Raw Financials'!E86</f>
        <v>4526.8</v>
      </c>
      <c r="F38" s="17">
        <f>'Raw Financials'!F86</f>
        <v>2836.8</v>
      </c>
      <c r="G38" s="17">
        <f>'Raw Financials'!G86</f>
        <v>484</v>
      </c>
      <c r="H38" s="17">
        <f>'Raw Financials'!H86</f>
        <v>745.8</v>
      </c>
      <c r="I38" s="17">
        <f>'Raw Financials'!I86</f>
        <v>5646.3</v>
      </c>
      <c r="J38" s="17">
        <f>'Raw Financials'!J86</f>
        <v>6127.2</v>
      </c>
      <c r="K38" s="17">
        <f>'Raw Financials'!K86</f>
        <v>6230</v>
      </c>
      <c r="L38" s="17">
        <f>'Raw Financials'!L86</f>
        <v>6395.4</v>
      </c>
      <c r="M38" s="17">
        <f>'Raw Financials'!M86</f>
        <v>196.2</v>
      </c>
      <c r="N38" s="29">
        <f>'BS Forecast Schedules'!D37</f>
        <v>335.74799999999959</v>
      </c>
      <c r="O38" s="29">
        <f>'BS Forecast Schedules'!E37</f>
        <v>335.74799999999959</v>
      </c>
      <c r="P38" s="29">
        <f>'BS Forecast Schedules'!F37</f>
        <v>335.74799999999959</v>
      </c>
      <c r="Q38" s="29">
        <f>'BS Forecast Schedules'!G37</f>
        <v>335.74799999999959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332</v>
      </c>
      <c r="B39" s="1" t="s">
        <v>42</v>
      </c>
      <c r="C39" s="17">
        <f>'Raw Financials'!C87</f>
        <v>0</v>
      </c>
      <c r="D39" s="17">
        <f>'Raw Financials'!D87</f>
        <v>0</v>
      </c>
      <c r="E39" s="17">
        <f>'Raw Financials'!E87</f>
        <v>0</v>
      </c>
      <c r="F39" s="17">
        <f>'Raw Financials'!F87</f>
        <v>0</v>
      </c>
      <c r="G39" s="17">
        <f>'Raw Financials'!G87</f>
        <v>656</v>
      </c>
      <c r="H39" s="17">
        <f>'Raw Financials'!H87</f>
        <v>1351.3</v>
      </c>
      <c r="I39" s="17">
        <f>'Raw Financials'!I87</f>
        <v>1517.7</v>
      </c>
      <c r="J39" s="17">
        <f>'Raw Financials'!J87</f>
        <v>1595.3</v>
      </c>
      <c r="K39" s="17">
        <f>'Raw Financials'!K87</f>
        <v>1396.2</v>
      </c>
      <c r="L39" s="17">
        <f>'Raw Financials'!L87</f>
        <v>2219.3000000000002</v>
      </c>
      <c r="M39" s="17">
        <f>'Raw Financials'!M87</f>
        <v>2632.7</v>
      </c>
      <c r="N39" s="29">
        <f>'BS Forecast Schedules'!D29*(1-Assumptions!C45)</f>
        <v>75.456417883959901</v>
      </c>
      <c r="O39" s="29">
        <f>'BS Forecast Schedules'!E29*(1-Assumptions!D45)</f>
        <v>80.872498128581569</v>
      </c>
      <c r="P39" s="29">
        <f>'BS Forecast Schedules'!F29*(1-Assumptions!E45)</f>
        <v>86.837683318271573</v>
      </c>
      <c r="Q39" s="29">
        <f>'BS Forecast Schedules'!G29*(1-Assumptions!F45)</f>
        <v>93.540162587267801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333</v>
      </c>
      <c r="B40" s="1" t="s">
        <v>42</v>
      </c>
      <c r="C40" s="17">
        <f>'Raw Financials'!C88</f>
        <v>0</v>
      </c>
      <c r="D40" s="17">
        <f>'Raw Financials'!D88</f>
        <v>0</v>
      </c>
      <c r="E40" s="17">
        <f>'Raw Financials'!E88</f>
        <v>0.7</v>
      </c>
      <c r="F40" s="17">
        <f>'Raw Financials'!F88</f>
        <v>0</v>
      </c>
      <c r="G40" s="17">
        <f>'Raw Financials'!G88</f>
        <v>15.1</v>
      </c>
      <c r="H40" s="17">
        <f>'Raw Financials'!H88</f>
        <v>229.1</v>
      </c>
      <c r="I40" s="17">
        <f>'Raw Financials'!I88</f>
        <v>296.10000000000002</v>
      </c>
      <c r="J40" s="17">
        <f>'Raw Financials'!J88</f>
        <v>264.89999999999998</v>
      </c>
      <c r="K40" s="17">
        <f>'Raw Financials'!K88</f>
        <v>498.5</v>
      </c>
      <c r="L40" s="17">
        <f>'Raw Financials'!L88</f>
        <v>779.3</v>
      </c>
      <c r="M40" s="17">
        <f>'Raw Financials'!M88</f>
        <v>674.3</v>
      </c>
      <c r="N40" s="29">
        <f>'Annual P&amp;L'!N7*Assumptions!C36*0.08</f>
        <v>610.73114357226223</v>
      </c>
      <c r="O40" s="29">
        <f>'Annual P&amp;L'!O7*Assumptions!D36*0.08</f>
        <v>631.28480260590231</v>
      </c>
      <c r="P40" s="29">
        <f>'Annual P&amp;L'!P7*Assumptions!E36*0.08</f>
        <v>663.31051295316297</v>
      </c>
      <c r="Q40" s="29">
        <f>'Annual P&amp;L'!Q7*Assumptions!F36*0.08</f>
        <v>700.82686909791403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 t="s">
        <v>334</v>
      </c>
      <c r="B41" s="1" t="s">
        <v>42</v>
      </c>
      <c r="C41" s="17">
        <f>'Raw Financials'!C89</f>
        <v>510.8</v>
      </c>
      <c r="D41" s="17">
        <f>'Raw Financials'!D89</f>
        <v>661.4</v>
      </c>
      <c r="E41" s="17">
        <f>'Raw Financials'!E89</f>
        <v>305.89999999999998</v>
      </c>
      <c r="F41" s="17">
        <f>'Raw Financials'!F89</f>
        <v>341.7</v>
      </c>
      <c r="G41" s="17">
        <f>'Raw Financials'!G89</f>
        <v>282.5</v>
      </c>
      <c r="H41" s="17">
        <f>'Raw Financials'!H89</f>
        <v>463.3</v>
      </c>
      <c r="I41" s="17">
        <f>'Raw Financials'!I89</f>
        <v>1214.0999999999999</v>
      </c>
      <c r="J41" s="17">
        <f>'Raw Financials'!J89</f>
        <v>1515.3</v>
      </c>
      <c r="K41" s="17">
        <f>'Raw Financials'!K89</f>
        <v>1746.7</v>
      </c>
      <c r="L41" s="17">
        <f>'Raw Financials'!L89</f>
        <v>1644.3</v>
      </c>
      <c r="M41" s="17">
        <f>'Raw Financials'!M89</f>
        <v>1726.6</v>
      </c>
      <c r="N41" s="29">
        <f t="shared" ref="N41:Q42" si="4">M41</f>
        <v>1726.6</v>
      </c>
      <c r="O41" s="29">
        <f t="shared" si="4"/>
        <v>1726.6</v>
      </c>
      <c r="P41" s="29">
        <f t="shared" si="4"/>
        <v>1726.6</v>
      </c>
      <c r="Q41" s="29">
        <f t="shared" si="4"/>
        <v>1726.6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335</v>
      </c>
      <c r="B42" s="1" t="s">
        <v>42</v>
      </c>
      <c r="C42" s="17">
        <f>'Raw Financials'!C90</f>
        <v>823.1</v>
      </c>
      <c r="D42" s="17">
        <f>'Raw Financials'!D90</f>
        <v>954.7</v>
      </c>
      <c r="E42" s="17">
        <f>'Raw Financials'!E90</f>
        <v>922</v>
      </c>
      <c r="F42" s="17">
        <f>'Raw Financials'!F90</f>
        <v>1102.3</v>
      </c>
      <c r="G42" s="17">
        <f>'Raw Financials'!G90</f>
        <v>1320.5</v>
      </c>
      <c r="H42" s="17">
        <f>'Raw Financials'!H90</f>
        <v>1106.9000000000001</v>
      </c>
      <c r="I42" s="17">
        <f>'Raw Financials'!I90</f>
        <v>1781.8</v>
      </c>
      <c r="J42" s="17">
        <f>'Raw Financials'!J90</f>
        <v>2177.6999999999998</v>
      </c>
      <c r="K42" s="17">
        <f>'Raw Financials'!K90</f>
        <v>3709</v>
      </c>
      <c r="L42" s="17">
        <f>'Raw Financials'!L90</f>
        <v>4202.3999999999996</v>
      </c>
      <c r="M42" s="17">
        <f>'Raw Financials'!M90</f>
        <v>4819.5</v>
      </c>
      <c r="N42" s="29">
        <f t="shared" si="4"/>
        <v>4819.5</v>
      </c>
      <c r="O42" s="29">
        <f t="shared" si="4"/>
        <v>4819.5</v>
      </c>
      <c r="P42" s="29">
        <f t="shared" si="4"/>
        <v>4819.5</v>
      </c>
      <c r="Q42" s="29">
        <f t="shared" si="4"/>
        <v>4819.5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336</v>
      </c>
      <c r="B43" s="1" t="s">
        <v>42</v>
      </c>
      <c r="C43" s="17">
        <f>'Raw Financials'!C93-SUM(C38:C42,C44)</f>
        <v>734.40000000000009</v>
      </c>
      <c r="D43" s="17">
        <f>'Raw Financials'!D93-SUM(D38:D42,D44)</f>
        <v>550.20000000000027</v>
      </c>
      <c r="E43" s="17">
        <f>'Raw Financials'!E93-SUM(E38:E42,E44)</f>
        <v>423</v>
      </c>
      <c r="F43" s="17">
        <f>'Raw Financials'!F93-SUM(F38:F42,F44)</f>
        <v>525.80000000000018</v>
      </c>
      <c r="G43" s="17">
        <f>'Raw Financials'!G93-SUM(G38:G42,G44)</f>
        <v>1375.3000000000006</v>
      </c>
      <c r="H43" s="17">
        <f>'Raw Financials'!H93-SUM(H38:H42,H44)</f>
        <v>783.50000000000045</v>
      </c>
      <c r="I43" s="17">
        <f>'Raw Financials'!I93-SUM(I38:I42,I44)</f>
        <v>761.89999999999964</v>
      </c>
      <c r="J43" s="17">
        <f>'Raw Financials'!J93-SUM(J38:J42,J44)</f>
        <v>951.20000000000255</v>
      </c>
      <c r="K43" s="17">
        <f>'Raw Financials'!K93-SUM(K38:K42,K44)</f>
        <v>1297.3999999999996</v>
      </c>
      <c r="L43" s="17">
        <f>'Raw Financials'!L93-SUM(L38:L42,L44)</f>
        <v>1711.9000000000015</v>
      </c>
      <c r="M43" s="17">
        <f>'Raw Financials'!M93-SUM(M38:M42,M44)</f>
        <v>2743.6000000000004</v>
      </c>
      <c r="N43" s="29">
        <f>'Annual P&amp;L'!N7*Assumptions!C36-N40-N44</f>
        <v>6947.0667581344824</v>
      </c>
      <c r="O43" s="29">
        <f>'Annual P&amp;L'!O7*Assumptions!D36-O40-O44</f>
        <v>7180.8646296421384</v>
      </c>
      <c r="P43" s="29">
        <f>'Annual P&amp;L'!P7*Assumptions!E36-P40-P44</f>
        <v>7545.1570848422289</v>
      </c>
      <c r="Q43" s="29">
        <f>'Annual P&amp;L'!Q7*Assumptions!F36-Q40-Q44</f>
        <v>7971.9056359887718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 t="s">
        <v>337</v>
      </c>
      <c r="B44" s="1" t="s">
        <v>42</v>
      </c>
      <c r="C44" s="17">
        <f>'Raw Financials'!C92</f>
        <v>1.4</v>
      </c>
      <c r="D44" s="17">
        <f>'Raw Financials'!D92</f>
        <v>0.4</v>
      </c>
      <c r="E44" s="17">
        <f>'Raw Financials'!E92</f>
        <v>0.3</v>
      </c>
      <c r="F44" s="17">
        <f>'Raw Financials'!F92</f>
        <v>0.2</v>
      </c>
      <c r="G44" s="17">
        <f>'Raw Financials'!G92</f>
        <v>0.2</v>
      </c>
      <c r="H44" s="17">
        <f>'Raw Financials'!H92</f>
        <v>0.2</v>
      </c>
      <c r="I44" s="17">
        <f>'Raw Financials'!I92</f>
        <v>0.1</v>
      </c>
      <c r="J44" s="17">
        <f>'Raw Financials'!J92</f>
        <v>0</v>
      </c>
      <c r="K44" s="17">
        <f>'Raw Financials'!K92</f>
        <v>0</v>
      </c>
      <c r="L44" s="17">
        <f>'Raw Financials'!L92</f>
        <v>29.4</v>
      </c>
      <c r="M44" s="17">
        <f>'Raw Financials'!M92</f>
        <v>22.4</v>
      </c>
      <c r="N44" s="29">
        <f>'Annual P&amp;L'!N7*Assumptions!C36*Assumptions!C56</f>
        <v>76.341392946532778</v>
      </c>
      <c r="O44" s="29">
        <f>'Annual P&amp;L'!O7*Assumptions!D36*Assumptions!D56</f>
        <v>78.910600325737789</v>
      </c>
      <c r="P44" s="29">
        <f>'Annual P&amp;L'!P7*Assumptions!E36*Assumptions!E56</f>
        <v>82.913814119145371</v>
      </c>
      <c r="Q44" s="29">
        <f>'Annual P&amp;L'!Q7*Assumptions!F36*Assumptions!F56</f>
        <v>87.603358637239253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21" t="s">
        <v>338</v>
      </c>
      <c r="B45" s="19" t="s">
        <v>42</v>
      </c>
      <c r="C45" s="20">
        <f>'Raw Financials'!C93</f>
        <v>3805.8</v>
      </c>
      <c r="D45" s="20">
        <f>'Raw Financials'!D93</f>
        <v>4127.8</v>
      </c>
      <c r="E45" s="20">
        <f>'Raw Financials'!E93</f>
        <v>6178.7</v>
      </c>
      <c r="F45" s="20">
        <f>'Raw Financials'!F93</f>
        <v>4806.8</v>
      </c>
      <c r="G45" s="20">
        <f>'Raw Financials'!G93</f>
        <v>4133.6000000000004</v>
      </c>
      <c r="H45" s="20">
        <f>'Raw Financials'!H93</f>
        <v>4680.1000000000004</v>
      </c>
      <c r="I45" s="20">
        <f>'Raw Financials'!I93</f>
        <v>11218</v>
      </c>
      <c r="J45" s="20">
        <f>'Raw Financials'!J93</f>
        <v>12631.6</v>
      </c>
      <c r="K45" s="20">
        <f>'Raw Financials'!K93</f>
        <v>14877.8</v>
      </c>
      <c r="L45" s="20">
        <f>'Raw Financials'!L93</f>
        <v>16982</v>
      </c>
      <c r="M45" s="20">
        <f>'Raw Financials'!M93</f>
        <v>12815.3</v>
      </c>
      <c r="N45" s="27">
        <f>SUM(N38:N44)</f>
        <v>14591.443712537237</v>
      </c>
      <c r="O45" s="27">
        <f>SUM(O38:O44)</f>
        <v>14853.780530702361</v>
      </c>
      <c r="P45" s="27">
        <f>SUM(P38:P44)</f>
        <v>15260.067095232809</v>
      </c>
      <c r="Q45" s="27">
        <f>SUM(Q38:Q44)</f>
        <v>15735.724026311193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 t="s">
        <v>339</v>
      </c>
      <c r="B47" s="1" t="s">
        <v>42</v>
      </c>
      <c r="C47" s="17">
        <f>'Raw Financials'!C94</f>
        <v>10786</v>
      </c>
      <c r="D47" s="17">
        <f>'Raw Financials'!D94</f>
        <v>12280.1</v>
      </c>
      <c r="E47" s="17">
        <f>'Raw Financials'!E94</f>
        <v>9299.1</v>
      </c>
      <c r="F47" s="17">
        <f>'Raw Financials'!F94</f>
        <v>7109.9</v>
      </c>
      <c r="G47" s="17">
        <f>'Raw Financials'!G94</f>
        <v>7320.2</v>
      </c>
      <c r="H47" s="17">
        <f>'Raw Financials'!H94</f>
        <v>7587.4</v>
      </c>
      <c r="I47" s="17">
        <f>'Raw Financials'!I94</f>
        <v>9523.2999999999993</v>
      </c>
      <c r="J47" s="17">
        <f>'Raw Financials'!J94</f>
        <v>8882.1</v>
      </c>
      <c r="K47" s="17">
        <f>'Raw Financials'!K94</f>
        <v>7916.6</v>
      </c>
      <c r="L47" s="17">
        <f>'Raw Financials'!L94</f>
        <v>9786.2999999999993</v>
      </c>
      <c r="M47" s="17">
        <f>'Raw Financials'!M94</f>
        <v>16591.2</v>
      </c>
      <c r="N47" s="29">
        <f>'BS Forecast Schedules'!D36</f>
        <v>16451.652000000002</v>
      </c>
      <c r="O47" s="29">
        <f>'BS Forecast Schedules'!E36</f>
        <v>16451.652000000002</v>
      </c>
      <c r="P47" s="29">
        <f>'BS Forecast Schedules'!F36</f>
        <v>16451.652000000002</v>
      </c>
      <c r="Q47" s="29">
        <f>'BS Forecast Schedules'!G36</f>
        <v>16451.652000000002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 t="s">
        <v>340</v>
      </c>
      <c r="B48" s="1" t="s">
        <v>42</v>
      </c>
      <c r="C48" s="17">
        <f>'Raw Financials'!C95</f>
        <v>0</v>
      </c>
      <c r="D48" s="17">
        <f>'Raw Financials'!D95</f>
        <v>0</v>
      </c>
      <c r="E48" s="17">
        <f>'Raw Financials'!E95</f>
        <v>0</v>
      </c>
      <c r="F48" s="17">
        <f>'Raw Financials'!F95</f>
        <v>0</v>
      </c>
      <c r="G48" s="17">
        <f>'Raw Financials'!G95</f>
        <v>1263.8</v>
      </c>
      <c r="H48" s="17">
        <f>'Raw Financials'!H95</f>
        <v>766.9</v>
      </c>
      <c r="I48" s="17">
        <f>'Raw Financials'!I95</f>
        <v>905.6</v>
      </c>
      <c r="J48" s="17">
        <f>'Raw Financials'!J95</f>
        <v>862</v>
      </c>
      <c r="K48" s="17">
        <f>'Raw Financials'!K95</f>
        <v>922.1</v>
      </c>
      <c r="L48" s="17">
        <f>'Raw Financials'!L95</f>
        <v>802.5</v>
      </c>
      <c r="M48" s="17">
        <f>'Raw Financials'!M95</f>
        <v>870.9</v>
      </c>
      <c r="N48" s="29">
        <f>'BS Forecast Schedules'!D29*Assumptions!C45</f>
        <v>3697.3644763140314</v>
      </c>
      <c r="O48" s="29">
        <f>'BS Forecast Schedules'!E29*Assumptions!D45</f>
        <v>3962.7524083004932</v>
      </c>
      <c r="P48" s="29">
        <f>'BS Forecast Schedules'!F29*Assumptions!E45</f>
        <v>4255.0464825953031</v>
      </c>
      <c r="Q48" s="29">
        <f>'BS Forecast Schedules'!G29*Assumptions!F45</f>
        <v>4583.4679667761175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 t="s">
        <v>341</v>
      </c>
      <c r="B49" s="1" t="s">
        <v>42</v>
      </c>
      <c r="C49" s="17">
        <f>'Raw Financials'!C96</f>
        <v>234</v>
      </c>
      <c r="D49" s="17">
        <f>'Raw Financials'!D96</f>
        <v>270.8</v>
      </c>
      <c r="E49" s="17">
        <f>'Raw Financials'!E96</f>
        <v>221</v>
      </c>
      <c r="F49" s="17">
        <f>'Raw Financials'!F96</f>
        <v>131</v>
      </c>
      <c r="G49" s="17">
        <f>'Raw Financials'!G96</f>
        <v>723.1</v>
      </c>
      <c r="H49" s="17">
        <f>'Raw Financials'!H96</f>
        <v>107</v>
      </c>
      <c r="I49" s="17">
        <f>'Raw Financials'!I96</f>
        <v>58.5</v>
      </c>
      <c r="J49" s="17">
        <f>'Raw Financials'!J96</f>
        <v>282.5</v>
      </c>
      <c r="K49" s="17">
        <f>'Raw Financials'!K96</f>
        <v>55.8</v>
      </c>
      <c r="L49" s="17">
        <f>'Raw Financials'!L96</f>
        <v>96.8</v>
      </c>
      <c r="M49" s="17">
        <f>'Raw Financials'!M96</f>
        <v>1097.8</v>
      </c>
      <c r="N49" s="29">
        <f>M49</f>
        <v>1097.8</v>
      </c>
      <c r="O49" s="29">
        <f>N49</f>
        <v>1097.8</v>
      </c>
      <c r="P49" s="29">
        <f>O49</f>
        <v>1097.8</v>
      </c>
      <c r="Q49" s="29">
        <f>P49</f>
        <v>1097.8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 t="s">
        <v>342</v>
      </c>
      <c r="B50" s="1" t="s">
        <v>42</v>
      </c>
      <c r="C50" s="17">
        <f>'Raw Financials'!C97</f>
        <v>6818.7</v>
      </c>
      <c r="D50" s="17">
        <f>'Raw Financials'!D97</f>
        <v>6548.6</v>
      </c>
      <c r="E50" s="17">
        <f>'Raw Financials'!E97</f>
        <v>6812.9</v>
      </c>
      <c r="F50" s="17">
        <f>'Raw Financials'!F97</f>
        <v>8830.4</v>
      </c>
      <c r="G50" s="17">
        <f>'Raw Financials'!G97</f>
        <v>7812.9</v>
      </c>
      <c r="H50" s="17">
        <f>'Raw Financials'!H97</f>
        <v>7651.2</v>
      </c>
      <c r="I50" s="17">
        <f>'Raw Financials'!I97</f>
        <v>9447.7000000000007</v>
      </c>
      <c r="J50" s="17">
        <f>'Raw Financials'!J97</f>
        <v>8905.4</v>
      </c>
      <c r="K50" s="17">
        <f>'Raw Financials'!K97</f>
        <v>8856.6</v>
      </c>
      <c r="L50" s="17">
        <f>'Raw Financials'!L97</f>
        <v>8825.2000000000007</v>
      </c>
      <c r="M50" s="17">
        <f>'Raw Financials'!M97</f>
        <v>9492.4</v>
      </c>
      <c r="N50" s="29">
        <f>'Annual P&amp;L'!N7*Assumptions!C34</f>
        <v>9733.5276006829281</v>
      </c>
      <c r="O50" s="29">
        <f>'Annual P&amp;L'!O7*Assumptions!D34</f>
        <v>10217.911067819894</v>
      </c>
      <c r="P50" s="29">
        <f>'Annual P&amp;L'!P7*Assumptions!E34</f>
        <v>10909.712384098077</v>
      </c>
      <c r="Q50" s="29">
        <f>'Annual P&amp;L'!Q7*Assumptions!F34</f>
        <v>11719.908790657684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 t="s">
        <v>343</v>
      </c>
      <c r="B51" s="1" t="s">
        <v>42</v>
      </c>
      <c r="C51" s="17">
        <f>'Raw Financials'!C98</f>
        <v>0</v>
      </c>
      <c r="D51" s="17">
        <f>'Raw Financials'!D98</f>
        <v>0</v>
      </c>
      <c r="E51" s="17">
        <f>'Raw Financials'!E98</f>
        <v>105</v>
      </c>
      <c r="F51" s="17">
        <f>'Raw Financials'!F98</f>
        <v>64.400000000000006</v>
      </c>
      <c r="G51" s="17">
        <f>'Raw Financials'!G98</f>
        <v>89.9</v>
      </c>
      <c r="H51" s="17">
        <f>'Raw Financials'!H98</f>
        <v>147</v>
      </c>
      <c r="I51" s="17">
        <f>'Raw Financials'!I98</f>
        <v>3311</v>
      </c>
      <c r="J51" s="17">
        <f>'Raw Financials'!J98</f>
        <v>414.1</v>
      </c>
      <c r="K51" s="17">
        <f>'Raw Financials'!K98</f>
        <v>227.2</v>
      </c>
      <c r="L51" s="17">
        <f>'Raw Financials'!L98</f>
        <v>387.8</v>
      </c>
      <c r="M51" s="17">
        <f>'Raw Financials'!M98</f>
        <v>1135.7</v>
      </c>
      <c r="N51" s="29">
        <f>'Annual P&amp;L'!N7*Assumptions!C35*(1-Assumptions!C53-Assumptions!C54-Assumptions!C55-24%)</f>
        <v>5725.6044709899579</v>
      </c>
      <c r="O51" s="29">
        <f>'Annual P&amp;L'!O7*Assumptions!D35*(1-Assumptions!D53-Assumptions!D54-Assumptions!D55-24%)</f>
        <v>5948.6452553248491</v>
      </c>
      <c r="P51" s="29">
        <f>'Annual P&amp;L'!P7*Assumptions!E35*(1-Assumptions!E53-Assumptions!E54-Assumptions!E55-24%)</f>
        <v>6283.994333240491</v>
      </c>
      <c r="Q51" s="29">
        <f>'Annual P&amp;L'!Q7*Assumptions!F35*(1-Assumptions!F53-Assumptions!F54-Assumptions!F55-24%)</f>
        <v>6676.7965231625585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 t="s">
        <v>344</v>
      </c>
      <c r="B52" s="1" t="s">
        <v>42</v>
      </c>
      <c r="C52" s="17">
        <f>'Raw Financials'!C99</f>
        <v>1807.6</v>
      </c>
      <c r="D52" s="17">
        <f>'Raw Financials'!D99</f>
        <v>0</v>
      </c>
      <c r="E52" s="17">
        <f>'Raw Financials'!E99</f>
        <v>0</v>
      </c>
      <c r="F52" s="17">
        <f>'Raw Financials'!F99</f>
        <v>0</v>
      </c>
      <c r="G52" s="17">
        <f>'Raw Financials'!G99</f>
        <v>0</v>
      </c>
      <c r="H52" s="17">
        <f>'Raw Financials'!H99</f>
        <v>0</v>
      </c>
      <c r="I52" s="17">
        <f>'Raw Financials'!I99</f>
        <v>0</v>
      </c>
      <c r="J52" s="17">
        <f>'Raw Financials'!J99</f>
        <v>0</v>
      </c>
      <c r="K52" s="17">
        <f>'Raw Financials'!K99</f>
        <v>0</v>
      </c>
      <c r="L52" s="17">
        <f>'Raw Financials'!L99</f>
        <v>0</v>
      </c>
      <c r="M52" s="17">
        <f>'Raw Financials'!M99</f>
        <v>2543.4</v>
      </c>
      <c r="N52" s="29">
        <f>'Annual P&amp;L'!N7*Assumptions!C35*Assumptions!C53</f>
        <v>1717.6813412969873</v>
      </c>
      <c r="O52" s="29">
        <f>'Annual P&amp;L'!O7*Assumptions!D35*Assumptions!D53</f>
        <v>1784.5935765974546</v>
      </c>
      <c r="P52" s="29">
        <f>'Annual P&amp;L'!P7*Assumptions!E35*Assumptions!E53</f>
        <v>1885.1982999721472</v>
      </c>
      <c r="Q52" s="29">
        <f>'Annual P&amp;L'!Q7*Assumptions!F35*Assumptions!F53</f>
        <v>2003.0389569487675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 t="s">
        <v>345</v>
      </c>
      <c r="B53" s="1" t="s">
        <v>42</v>
      </c>
      <c r="C53" s="17">
        <f>'Raw Financials'!C100</f>
        <v>701.5</v>
      </c>
      <c r="D53" s="17">
        <f>'Raw Financials'!D100</f>
        <v>810.1</v>
      </c>
      <c r="E53" s="17">
        <f>'Raw Financials'!E100</f>
        <v>941.7</v>
      </c>
      <c r="F53" s="17">
        <f>'Raw Financials'!F100</f>
        <v>954.1</v>
      </c>
      <c r="G53" s="17">
        <f>'Raw Financials'!G100</f>
        <v>1173.0999999999999</v>
      </c>
      <c r="H53" s="17">
        <f>'Raw Financials'!H100</f>
        <v>1732.4</v>
      </c>
      <c r="I53" s="17">
        <f>'Raw Financials'!I100</f>
        <v>1323.1</v>
      </c>
      <c r="J53" s="17">
        <f>'Raw Financials'!J100</f>
        <v>1884.6</v>
      </c>
      <c r="K53" s="17">
        <f>'Raw Financials'!K100</f>
        <v>2175.6</v>
      </c>
      <c r="L53" s="17">
        <f>'Raw Financials'!L100</f>
        <v>3448.1</v>
      </c>
      <c r="M53" s="17">
        <f>'Raw Financials'!M100</f>
        <v>4962.1000000000004</v>
      </c>
      <c r="N53" s="29">
        <f>'Annual P&amp;L'!N7*Assumptions!C35*Assumptions!C54</f>
        <v>3292.2225708192259</v>
      </c>
      <c r="O53" s="29">
        <f>'Annual P&amp;L'!O7*Assumptions!D35*Assumptions!D54</f>
        <v>3420.471021811788</v>
      </c>
      <c r="P53" s="29">
        <f>'Annual P&amp;L'!P7*Assumptions!E35*Assumptions!E54</f>
        <v>3613.2967416132824</v>
      </c>
      <c r="Q53" s="29">
        <f>'Annual P&amp;L'!Q7*Assumptions!F35*Assumptions!F54</f>
        <v>3839.158000818471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 t="s">
        <v>346</v>
      </c>
      <c r="B54" s="1" t="s">
        <v>42</v>
      </c>
      <c r="C54" s="17">
        <f>'Raw Financials'!C101</f>
        <v>1382.1</v>
      </c>
      <c r="D54" s="17">
        <f>'Raw Financials'!D101</f>
        <v>1302.7</v>
      </c>
      <c r="E54" s="17">
        <f>'Raw Financials'!E101</f>
        <v>1661.3</v>
      </c>
      <c r="F54" s="17">
        <f>'Raw Financials'!F101</f>
        <v>1869</v>
      </c>
      <c r="G54" s="17">
        <f>'Raw Financials'!G101</f>
        <v>0</v>
      </c>
      <c r="H54" s="17">
        <f>'Raw Financials'!H101</f>
        <v>0</v>
      </c>
      <c r="I54" s="17">
        <f>'Raw Financials'!I101</f>
        <v>0</v>
      </c>
      <c r="J54" s="17">
        <f>'Raw Financials'!J101</f>
        <v>0</v>
      </c>
      <c r="K54" s="17">
        <f>'Raw Financials'!K101</f>
        <v>0</v>
      </c>
      <c r="L54" s="17">
        <f>'Raw Financials'!L101</f>
        <v>23.4</v>
      </c>
      <c r="M54" s="17">
        <f>'Raw Financials'!M101</f>
        <v>3480.1</v>
      </c>
      <c r="N54" s="29">
        <f>'Annual P&amp;L'!N7*Assumptions!C35*0.24</f>
        <v>3435.3626825939746</v>
      </c>
      <c r="O54" s="29">
        <f>'Annual P&amp;L'!O7*Assumptions!D35*0.24</f>
        <v>3569.1871531949091</v>
      </c>
      <c r="P54" s="29">
        <f>'Annual P&amp;L'!P7*Assumptions!E35*0.24</f>
        <v>3770.3965999442944</v>
      </c>
      <c r="Q54" s="29">
        <f>'Annual P&amp;L'!Q7*Assumptions!F35*0.24</f>
        <v>4006.0779138975349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 t="s">
        <v>347</v>
      </c>
      <c r="B55" s="1" t="s">
        <v>42</v>
      </c>
      <c r="C55" s="17">
        <f>'Raw Financials'!C102</f>
        <v>126.2</v>
      </c>
      <c r="D55" s="17">
        <f>'Raw Financials'!D102</f>
        <v>127</v>
      </c>
      <c r="E55" s="17">
        <f>'Raw Financials'!E102</f>
        <v>79.599999999999994</v>
      </c>
      <c r="F55" s="17">
        <f>'Raw Financials'!F102</f>
        <v>63.8</v>
      </c>
      <c r="G55" s="17">
        <f>'Raw Financials'!G102</f>
        <v>61.2</v>
      </c>
      <c r="H55" s="17">
        <f>'Raw Financials'!H102</f>
        <v>303.39999999999998</v>
      </c>
      <c r="I55" s="17">
        <f>'Raw Financials'!I102</f>
        <v>277.10000000000002</v>
      </c>
      <c r="J55" s="17">
        <f>'Raw Financials'!J102</f>
        <v>254.9</v>
      </c>
      <c r="K55" s="17">
        <f>'Raw Financials'!K102</f>
        <v>197.1</v>
      </c>
      <c r="L55" s="17">
        <f>'Raw Financials'!L102</f>
        <v>163.69999999999999</v>
      </c>
      <c r="M55" s="17">
        <f>'Raw Financials'!M102</f>
        <v>149.6</v>
      </c>
      <c r="N55" s="29">
        <f>'Annual P&amp;L'!N7*Assumptions!C35*Assumptions!C55</f>
        <v>143.14011177474896</v>
      </c>
      <c r="O55" s="29">
        <f>'Annual P&amp;L'!O7*Assumptions!D35*Assumptions!D55</f>
        <v>148.71613138312122</v>
      </c>
      <c r="P55" s="29">
        <f>'Annual P&amp;L'!P7*Assumptions!E35*Assumptions!E55</f>
        <v>157.09985833101229</v>
      </c>
      <c r="Q55" s="29">
        <f>'Annual P&amp;L'!Q7*Assumptions!F35*Assumptions!F55</f>
        <v>166.91991307906395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21" t="s">
        <v>348</v>
      </c>
      <c r="B56" s="19" t="s">
        <v>42</v>
      </c>
      <c r="C56" s="20">
        <f>'Raw Financials'!C103</f>
        <v>21856.1</v>
      </c>
      <c r="D56" s="20">
        <f>'Raw Financials'!D103</f>
        <v>22954.3</v>
      </c>
      <c r="E56" s="20">
        <f>'Raw Financials'!E103</f>
        <v>21350.7</v>
      </c>
      <c r="F56" s="20">
        <f>'Raw Financials'!F103</f>
        <v>21435</v>
      </c>
      <c r="G56" s="20">
        <f>'Raw Financials'!G103</f>
        <v>21639.3</v>
      </c>
      <c r="H56" s="20">
        <f>'Raw Financials'!H103</f>
        <v>23004</v>
      </c>
      <c r="I56" s="20">
        <f>'Raw Financials'!I103</f>
        <v>30832.9</v>
      </c>
      <c r="J56" s="20">
        <f>'Raw Financials'!J103</f>
        <v>26775.3</v>
      </c>
      <c r="K56" s="20">
        <f>'Raw Financials'!K103</f>
        <v>25245.8</v>
      </c>
      <c r="L56" s="20">
        <f>'Raw Financials'!L103</f>
        <v>28625.3</v>
      </c>
      <c r="M56" s="20">
        <f>'Raw Financials'!M103</f>
        <v>40323.199999999997</v>
      </c>
      <c r="N56" s="27">
        <f>SUM(N47:N55)</f>
        <v>45294.355254471855</v>
      </c>
      <c r="O56" s="27">
        <f>SUM(O47:O55)</f>
        <v>46601.728614432512</v>
      </c>
      <c r="P56" s="27">
        <f>SUM(P47:P55)</f>
        <v>48424.196699794607</v>
      </c>
      <c r="Q56" s="27">
        <f>SUM(Q47:Q55)</f>
        <v>50544.820065340195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21" t="s">
        <v>349</v>
      </c>
      <c r="B57" s="19" t="s">
        <v>42</v>
      </c>
      <c r="C57" s="20">
        <f>'Raw Financials'!C104</f>
        <v>25661.9</v>
      </c>
      <c r="D57" s="20">
        <f>'Raw Financials'!D104</f>
        <v>27082.1</v>
      </c>
      <c r="E57" s="20">
        <f>'Raw Financials'!E104</f>
        <v>27529.4</v>
      </c>
      <c r="F57" s="20">
        <f>'Raw Financials'!F104</f>
        <v>26241.8</v>
      </c>
      <c r="G57" s="20">
        <f>'Raw Financials'!G104</f>
        <v>25772.9</v>
      </c>
      <c r="H57" s="20">
        <f>'Raw Financials'!H104</f>
        <v>27684.1</v>
      </c>
      <c r="I57" s="20">
        <f>'Raw Financials'!I104</f>
        <v>42050.9</v>
      </c>
      <c r="J57" s="20">
        <f>'Raw Financials'!J104</f>
        <v>39406.9</v>
      </c>
      <c r="K57" s="20">
        <f>'Raw Financials'!K104</f>
        <v>40123.599999999999</v>
      </c>
      <c r="L57" s="20">
        <f>'Raw Financials'!L104</f>
        <v>45607.3</v>
      </c>
      <c r="M57" s="20">
        <f>'Raw Financials'!M104</f>
        <v>53138.5</v>
      </c>
      <c r="N57" s="27">
        <f>SUM(N45,N56)</f>
        <v>59885.79896700909</v>
      </c>
      <c r="O57" s="27">
        <f>SUM(O45,O56)</f>
        <v>61455.509145134871</v>
      </c>
      <c r="P57" s="27">
        <f>SUM(P45,P56)</f>
        <v>63684.263795027415</v>
      </c>
      <c r="Q57" s="27">
        <f>SUM(Q45,Q56)</f>
        <v>66280.544091651391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21" t="s">
        <v>434</v>
      </c>
      <c r="B58" s="19" t="s">
        <v>42</v>
      </c>
      <c r="C58" s="20">
        <f t="shared" ref="C58:Q58" si="5">SUM(C36,C57)</f>
        <v>72492.100000000006</v>
      </c>
      <c r="D58" s="20">
        <f t="shared" si="5"/>
        <v>79351.600000000006</v>
      </c>
      <c r="E58" s="20">
        <f t="shared" si="5"/>
        <v>76064</v>
      </c>
      <c r="F58" s="20">
        <f t="shared" si="5"/>
        <v>83317.100000000006</v>
      </c>
      <c r="G58" s="20">
        <f t="shared" si="5"/>
        <v>81706.200000000012</v>
      </c>
      <c r="H58" s="20">
        <f t="shared" si="5"/>
        <v>83143.399999999994</v>
      </c>
      <c r="I58" s="20">
        <f t="shared" si="5"/>
        <v>107918.20000000001</v>
      </c>
      <c r="J58" s="20">
        <f t="shared" si="5"/>
        <v>117582.20000000001</v>
      </c>
      <c r="K58" s="20">
        <f t="shared" si="5"/>
        <v>115245.9</v>
      </c>
      <c r="L58" s="20">
        <f t="shared" si="5"/>
        <v>128652</v>
      </c>
      <c r="M58" s="20">
        <f t="shared" si="5"/>
        <v>141926.20000000001</v>
      </c>
      <c r="N58" s="27">
        <f t="shared" si="5"/>
        <v>137505.52794819238</v>
      </c>
      <c r="O58" s="27">
        <f t="shared" si="5"/>
        <v>143539.59114421986</v>
      </c>
      <c r="P58" s="27">
        <f t="shared" si="5"/>
        <v>151007.95704228984</v>
      </c>
      <c r="Q58" s="27">
        <f t="shared" si="5"/>
        <v>159392.42703305642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 t="s">
        <v>435</v>
      </c>
      <c r="B59" s="1" t="s">
        <v>42</v>
      </c>
      <c r="C59" s="17">
        <f t="shared" ref="C59:Q59" si="6">C29-C58</f>
        <v>0</v>
      </c>
      <c r="D59" s="17">
        <f t="shared" si="6"/>
        <v>0</v>
      </c>
      <c r="E59" s="17">
        <f t="shared" si="6"/>
        <v>0</v>
      </c>
      <c r="F59" s="17">
        <f t="shared" si="6"/>
        <v>0</v>
      </c>
      <c r="G59" s="17">
        <f t="shared" si="6"/>
        <v>0</v>
      </c>
      <c r="H59" s="17">
        <f t="shared" si="6"/>
        <v>0</v>
      </c>
      <c r="I59" s="17">
        <f t="shared" si="6"/>
        <v>0</v>
      </c>
      <c r="J59" s="17">
        <f t="shared" si="6"/>
        <v>0</v>
      </c>
      <c r="K59" s="17">
        <f t="shared" si="6"/>
        <v>0</v>
      </c>
      <c r="L59" s="17">
        <f t="shared" si="6"/>
        <v>0</v>
      </c>
      <c r="M59" s="17">
        <f t="shared" si="6"/>
        <v>0</v>
      </c>
      <c r="N59" s="29">
        <f t="shared" si="6"/>
        <v>0</v>
      </c>
      <c r="O59" s="29">
        <f t="shared" si="6"/>
        <v>0</v>
      </c>
      <c r="P59" s="29">
        <f t="shared" si="6"/>
        <v>0</v>
      </c>
      <c r="Q59" s="29">
        <f t="shared" si="6"/>
        <v>0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21" t="s">
        <v>436</v>
      </c>
      <c r="B60" s="19" t="s">
        <v>42</v>
      </c>
      <c r="C60" s="20">
        <f t="shared" ref="C60:Q60" si="7">SUM(C38,C47)</f>
        <v>12522.1</v>
      </c>
      <c r="D60" s="20">
        <f t="shared" si="7"/>
        <v>14241.2</v>
      </c>
      <c r="E60" s="20">
        <f t="shared" si="7"/>
        <v>13825.900000000001</v>
      </c>
      <c r="F60" s="20">
        <f t="shared" si="7"/>
        <v>9946.7000000000007</v>
      </c>
      <c r="G60" s="20">
        <f t="shared" si="7"/>
        <v>7804.2</v>
      </c>
      <c r="H60" s="20">
        <f t="shared" si="7"/>
        <v>8333.1999999999989</v>
      </c>
      <c r="I60" s="20">
        <f t="shared" si="7"/>
        <v>15169.599999999999</v>
      </c>
      <c r="J60" s="20">
        <f t="shared" si="7"/>
        <v>15009.3</v>
      </c>
      <c r="K60" s="20">
        <f t="shared" si="7"/>
        <v>14146.6</v>
      </c>
      <c r="L60" s="20">
        <f t="shared" si="7"/>
        <v>16181.699999999999</v>
      </c>
      <c r="M60" s="20">
        <f t="shared" si="7"/>
        <v>16787.400000000001</v>
      </c>
      <c r="N60" s="27">
        <f t="shared" si="7"/>
        <v>16787.400000000001</v>
      </c>
      <c r="O60" s="27">
        <f t="shared" si="7"/>
        <v>16787.400000000001</v>
      </c>
      <c r="P60" s="27">
        <f t="shared" si="7"/>
        <v>16787.400000000001</v>
      </c>
      <c r="Q60" s="27">
        <f t="shared" si="7"/>
        <v>16787.400000000001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21" t="s">
        <v>437</v>
      </c>
      <c r="B61" s="19" t="s">
        <v>42</v>
      </c>
      <c r="C61" s="20">
        <f t="shared" ref="C61:Q61" si="8">SUM(C39,C48)</f>
        <v>0</v>
      </c>
      <c r="D61" s="20">
        <f t="shared" si="8"/>
        <v>0</v>
      </c>
      <c r="E61" s="20">
        <f t="shared" si="8"/>
        <v>0</v>
      </c>
      <c r="F61" s="20">
        <f t="shared" si="8"/>
        <v>0</v>
      </c>
      <c r="G61" s="20">
        <f t="shared" si="8"/>
        <v>1919.8</v>
      </c>
      <c r="H61" s="20">
        <f t="shared" si="8"/>
        <v>2118.1999999999998</v>
      </c>
      <c r="I61" s="20">
        <f t="shared" si="8"/>
        <v>2423.3000000000002</v>
      </c>
      <c r="J61" s="20">
        <f t="shared" si="8"/>
        <v>2457.3000000000002</v>
      </c>
      <c r="K61" s="20">
        <f t="shared" si="8"/>
        <v>2318.3000000000002</v>
      </c>
      <c r="L61" s="20">
        <f t="shared" si="8"/>
        <v>3021.8</v>
      </c>
      <c r="M61" s="20">
        <f t="shared" si="8"/>
        <v>3503.6</v>
      </c>
      <c r="N61" s="27">
        <f t="shared" si="8"/>
        <v>3772.8208941979915</v>
      </c>
      <c r="O61" s="27">
        <f t="shared" si="8"/>
        <v>4043.6249064290746</v>
      </c>
      <c r="P61" s="27">
        <f t="shared" si="8"/>
        <v>4341.8841659135751</v>
      </c>
      <c r="Q61" s="27">
        <f t="shared" si="8"/>
        <v>4677.0081293633857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21" t="s">
        <v>438</v>
      </c>
      <c r="B62" s="19" t="s">
        <v>42</v>
      </c>
      <c r="C62" s="20">
        <f t="shared" ref="C62:Q62" si="9">SUM(C21:C22,C11)-C60-C61</f>
        <v>11167.9</v>
      </c>
      <c r="D62" s="20">
        <f t="shared" si="9"/>
        <v>20232.8</v>
      </c>
      <c r="E62" s="20">
        <f t="shared" si="9"/>
        <v>15576</v>
      </c>
      <c r="F62" s="20">
        <f t="shared" si="9"/>
        <v>27977.8</v>
      </c>
      <c r="G62" s="20">
        <f t="shared" si="9"/>
        <v>23689.4</v>
      </c>
      <c r="H62" s="20">
        <f t="shared" si="9"/>
        <v>24098.600000000002</v>
      </c>
      <c r="I62" s="20">
        <f t="shared" si="9"/>
        <v>16956.2</v>
      </c>
      <c r="J62" s="20">
        <f t="shared" si="9"/>
        <v>22644.6</v>
      </c>
      <c r="K62" s="20">
        <f t="shared" si="9"/>
        <v>24347.499999999996</v>
      </c>
      <c r="L62" s="20">
        <f t="shared" si="9"/>
        <v>34141.300000000003</v>
      </c>
      <c r="M62" s="20">
        <f t="shared" si="9"/>
        <v>36837.800000000003</v>
      </c>
      <c r="N62" s="27">
        <f t="shared" si="9"/>
        <v>30197.827871120513</v>
      </c>
      <c r="O62" s="27">
        <f t="shared" si="9"/>
        <v>34869.747777763543</v>
      </c>
      <c r="P62" s="27">
        <f t="shared" si="9"/>
        <v>40362.46493805357</v>
      </c>
      <c r="Q62" s="27">
        <f t="shared" si="9"/>
        <v>46219.438801743912</v>
      </c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4"/>
      <c r="O63" s="24"/>
      <c r="P63" s="24"/>
      <c r="Q63" s="24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4"/>
      <c r="O64" s="24"/>
      <c r="P64" s="24"/>
      <c r="Q64" s="24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4"/>
      <c r="O65" s="24"/>
      <c r="P65" s="24"/>
      <c r="Q65" s="24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4"/>
      <c r="O66" s="24"/>
      <c r="P66" s="24"/>
      <c r="Q66" s="2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4"/>
      <c r="O67" s="24"/>
      <c r="P67" s="24"/>
      <c r="Q67" s="2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4"/>
      <c r="O68" s="24"/>
      <c r="P68" s="24"/>
      <c r="Q68" s="24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4"/>
      <c r="O69" s="24"/>
      <c r="P69" s="24"/>
      <c r="Q69" s="24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4"/>
      <c r="O70" s="24"/>
      <c r="P70" s="24"/>
      <c r="Q70" s="24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4"/>
      <c r="O71" s="24"/>
      <c r="P71" s="24"/>
      <c r="Q71" s="24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4"/>
      <c r="O72" s="24"/>
      <c r="P72" s="24"/>
      <c r="Q72" s="24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4"/>
      <c r="O73" s="24"/>
      <c r="P73" s="24"/>
      <c r="Q73" s="24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4"/>
      <c r="O74" s="24"/>
      <c r="P74" s="24"/>
      <c r="Q74" s="24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4"/>
      <c r="O75" s="24"/>
      <c r="P75" s="24"/>
      <c r="Q75" s="24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4"/>
      <c r="O76" s="24"/>
      <c r="P76" s="24"/>
      <c r="Q76" s="24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4"/>
      <c r="O77" s="24"/>
      <c r="P77" s="24"/>
      <c r="Q77" s="24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4"/>
      <c r="O78" s="24"/>
      <c r="P78" s="24"/>
      <c r="Q78" s="24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4"/>
      <c r="O79" s="24"/>
      <c r="P79" s="24"/>
      <c r="Q79" s="24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4"/>
      <c r="O80" s="24"/>
      <c r="P80" s="24"/>
      <c r="Q80" s="24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4"/>
      <c r="O81" s="24"/>
      <c r="P81" s="24"/>
      <c r="Q81" s="24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4"/>
      <c r="O82" s="24"/>
      <c r="P82" s="24"/>
      <c r="Q82" s="24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4"/>
      <c r="O83" s="24"/>
      <c r="P83" s="24"/>
      <c r="Q83" s="24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4"/>
      <c r="O88" s="24"/>
      <c r="P88" s="24"/>
      <c r="Q88" s="24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4"/>
      <c r="O89" s="24"/>
      <c r="P89" s="24"/>
      <c r="Q89" s="24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4"/>
      <c r="O90" s="24"/>
      <c r="P90" s="24"/>
      <c r="Q90" s="24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4"/>
      <c r="O91" s="24"/>
      <c r="P91" s="24"/>
      <c r="Q91" s="24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4"/>
      <c r="O92" s="24"/>
      <c r="P92" s="24"/>
      <c r="Q92" s="24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4"/>
      <c r="O93" s="24"/>
      <c r="P93" s="24"/>
      <c r="Q93" s="24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4"/>
      <c r="O94" s="24"/>
      <c r="P94" s="24"/>
      <c r="Q94" s="24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4"/>
      <c r="O95" s="24"/>
      <c r="P95" s="24"/>
      <c r="Q95" s="24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4"/>
      <c r="O96" s="24"/>
      <c r="P96" s="24"/>
      <c r="Q96" s="24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4"/>
      <c r="O97" s="24"/>
      <c r="P97" s="24"/>
      <c r="Q97" s="24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4"/>
      <c r="O98" s="24"/>
      <c r="P98" s="24"/>
      <c r="Q98" s="24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4"/>
      <c r="O99" s="24"/>
      <c r="P99" s="24"/>
      <c r="Q99" s="24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4"/>
      <c r="O100" s="24"/>
      <c r="P100" s="24"/>
      <c r="Q100" s="24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4"/>
      <c r="O101" s="24"/>
      <c r="P101" s="24"/>
      <c r="Q101" s="24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4"/>
      <c r="O102" s="24"/>
      <c r="P102" s="24"/>
      <c r="Q102" s="24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4"/>
      <c r="O103" s="24"/>
      <c r="P103" s="24"/>
      <c r="Q103" s="24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4"/>
      <c r="O104" s="24"/>
      <c r="P104" s="24"/>
      <c r="Q104" s="24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4"/>
      <c r="O105" s="24"/>
      <c r="P105" s="24"/>
      <c r="Q105" s="24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4"/>
      <c r="O106" s="24"/>
      <c r="P106" s="24"/>
      <c r="Q106" s="24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4"/>
      <c r="O107" s="24"/>
      <c r="P107" s="24"/>
      <c r="Q107" s="24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4"/>
      <c r="O108" s="24"/>
      <c r="P108" s="24"/>
      <c r="Q108" s="24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4"/>
      <c r="O109" s="24"/>
      <c r="P109" s="24"/>
      <c r="Q109" s="24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4"/>
      <c r="O110" s="24"/>
      <c r="P110" s="24"/>
      <c r="Q110" s="24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4"/>
      <c r="O111" s="24"/>
      <c r="P111" s="24"/>
      <c r="Q111" s="24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4"/>
      <c r="O112" s="24"/>
      <c r="P112" s="24"/>
      <c r="Q112" s="24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4"/>
      <c r="O113" s="24"/>
      <c r="P113" s="24"/>
      <c r="Q113" s="24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4"/>
      <c r="O114" s="24"/>
      <c r="P114" s="24"/>
      <c r="Q114" s="24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4"/>
      <c r="O115" s="24"/>
      <c r="P115" s="24"/>
      <c r="Q115" s="24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4"/>
      <c r="O116" s="24"/>
      <c r="P116" s="24"/>
      <c r="Q116" s="24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4"/>
      <c r="O117" s="24"/>
      <c r="P117" s="24"/>
      <c r="Q117" s="24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4"/>
      <c r="O118" s="24"/>
      <c r="P118" s="24"/>
      <c r="Q118" s="24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4"/>
      <c r="O119" s="24"/>
      <c r="P119" s="24"/>
      <c r="Q119" s="24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4"/>
      <c r="O120" s="24"/>
      <c r="P120" s="24"/>
      <c r="Q120" s="24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4"/>
      <c r="O121" s="24"/>
      <c r="P121" s="24"/>
      <c r="Q121" s="24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4"/>
      <c r="O122" s="24"/>
      <c r="P122" s="24"/>
      <c r="Q122" s="24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4"/>
      <c r="O123" s="24"/>
      <c r="P123" s="24"/>
      <c r="Q123" s="24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4"/>
      <c r="O124" s="24"/>
      <c r="P124" s="24"/>
      <c r="Q124" s="24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4"/>
      <c r="O125" s="24"/>
      <c r="P125" s="24"/>
      <c r="Q125" s="24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4"/>
      <c r="O126" s="24"/>
      <c r="P126" s="24"/>
      <c r="Q126" s="24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4"/>
      <c r="O127" s="24"/>
      <c r="P127" s="24"/>
      <c r="Q127" s="24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4"/>
      <c r="O128" s="24"/>
      <c r="P128" s="24"/>
      <c r="Q128" s="24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4"/>
      <c r="O129" s="24"/>
      <c r="P129" s="24"/>
      <c r="Q129" s="24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4"/>
      <c r="O130" s="24"/>
      <c r="P130" s="24"/>
      <c r="Q130" s="24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4"/>
      <c r="O131" s="24"/>
      <c r="P131" s="24"/>
      <c r="Q131" s="24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4"/>
      <c r="O132" s="24"/>
      <c r="P132" s="24"/>
      <c r="Q132" s="24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4"/>
      <c r="O133" s="24"/>
      <c r="P133" s="24"/>
      <c r="Q133" s="24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4"/>
      <c r="O134" s="24"/>
      <c r="P134" s="24"/>
      <c r="Q134" s="24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4"/>
      <c r="O135" s="24"/>
      <c r="P135" s="24"/>
      <c r="Q135" s="24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4"/>
      <c r="O136" s="24"/>
      <c r="P136" s="24"/>
      <c r="Q136" s="24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4"/>
      <c r="O137" s="24"/>
      <c r="P137" s="24"/>
      <c r="Q137" s="24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4"/>
      <c r="O138" s="24"/>
      <c r="P138" s="24"/>
      <c r="Q138" s="24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4"/>
      <c r="O139" s="24"/>
      <c r="P139" s="24"/>
      <c r="Q139" s="24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4"/>
      <c r="O140" s="24"/>
      <c r="P140" s="24"/>
      <c r="Q140" s="24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4"/>
      <c r="O141" s="24"/>
      <c r="P141" s="24"/>
      <c r="Q141" s="24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4"/>
      <c r="O142" s="24"/>
      <c r="P142" s="24"/>
      <c r="Q142" s="24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4"/>
      <c r="O143" s="24"/>
      <c r="P143" s="24"/>
      <c r="Q143" s="24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4"/>
      <c r="O144" s="24"/>
      <c r="P144" s="24"/>
      <c r="Q144" s="24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4"/>
      <c r="O145" s="24"/>
      <c r="P145" s="24"/>
      <c r="Q145" s="24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4"/>
      <c r="O146" s="24"/>
      <c r="P146" s="24"/>
      <c r="Q146" s="24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4"/>
      <c r="O147" s="24"/>
      <c r="P147" s="24"/>
      <c r="Q147" s="24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4"/>
      <c r="O148" s="24"/>
      <c r="P148" s="24"/>
      <c r="Q148" s="24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4"/>
      <c r="O149" s="24"/>
      <c r="P149" s="24"/>
      <c r="Q149" s="24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4"/>
      <c r="O150" s="24"/>
      <c r="P150" s="24"/>
      <c r="Q150" s="24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4"/>
      <c r="O151" s="24"/>
      <c r="P151" s="24"/>
      <c r="Q151" s="24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4"/>
      <c r="O152" s="24"/>
      <c r="P152" s="24"/>
      <c r="Q152" s="24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4"/>
      <c r="O153" s="24"/>
      <c r="P153" s="24"/>
      <c r="Q153" s="24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4"/>
      <c r="O154" s="24"/>
      <c r="P154" s="24"/>
      <c r="Q154" s="24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4"/>
      <c r="O155" s="24"/>
      <c r="P155" s="24"/>
      <c r="Q155" s="24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4"/>
      <c r="O156" s="24"/>
      <c r="P156" s="24"/>
      <c r="Q156" s="24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4"/>
      <c r="O157" s="24"/>
      <c r="P157" s="24"/>
      <c r="Q157" s="24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4"/>
      <c r="O158" s="24"/>
      <c r="P158" s="24"/>
      <c r="Q158" s="24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4"/>
      <c r="O159" s="24"/>
      <c r="P159" s="24"/>
      <c r="Q159" s="24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4"/>
      <c r="O160" s="24"/>
      <c r="P160" s="24"/>
      <c r="Q160" s="24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4"/>
      <c r="O161" s="24"/>
      <c r="P161" s="24"/>
      <c r="Q161" s="24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4"/>
      <c r="O162" s="24"/>
      <c r="P162" s="24"/>
      <c r="Q162" s="24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4"/>
      <c r="O163" s="24"/>
      <c r="P163" s="24"/>
      <c r="Q163" s="24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4"/>
      <c r="O164" s="24"/>
      <c r="P164" s="24"/>
      <c r="Q164" s="24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4"/>
      <c r="O165" s="24"/>
      <c r="P165" s="24"/>
      <c r="Q165" s="24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4"/>
      <c r="O166" s="24"/>
      <c r="P166" s="24"/>
      <c r="Q166" s="24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4"/>
      <c r="O167" s="24"/>
      <c r="P167" s="24"/>
      <c r="Q167" s="24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4"/>
      <c r="O168" s="24"/>
      <c r="P168" s="24"/>
      <c r="Q168" s="24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4"/>
      <c r="O169" s="24"/>
      <c r="P169" s="24"/>
      <c r="Q169" s="24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4"/>
      <c r="O170" s="24"/>
      <c r="P170" s="24"/>
      <c r="Q170" s="24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4"/>
      <c r="O171" s="24"/>
      <c r="P171" s="24"/>
      <c r="Q171" s="24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4"/>
      <c r="O172" s="24"/>
      <c r="P172" s="24"/>
      <c r="Q172" s="24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4"/>
      <c r="O173" s="24"/>
      <c r="P173" s="24"/>
      <c r="Q173" s="24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4"/>
      <c r="O174" s="24"/>
      <c r="P174" s="24"/>
      <c r="Q174" s="24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4"/>
      <c r="O175" s="24"/>
      <c r="P175" s="24"/>
      <c r="Q175" s="24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4"/>
      <c r="O176" s="24"/>
      <c r="P176" s="24"/>
      <c r="Q176" s="24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4"/>
      <c r="O177" s="24"/>
      <c r="P177" s="24"/>
      <c r="Q177" s="24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4"/>
      <c r="O178" s="24"/>
      <c r="P178" s="24"/>
      <c r="Q178" s="24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4"/>
      <c r="O179" s="24"/>
      <c r="P179" s="24"/>
      <c r="Q179" s="24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4"/>
      <c r="O180" s="24"/>
      <c r="P180" s="24"/>
      <c r="Q180" s="24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4"/>
      <c r="O181" s="24"/>
      <c r="P181" s="24"/>
      <c r="Q181" s="24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4"/>
      <c r="O182" s="24"/>
      <c r="P182" s="24"/>
      <c r="Q182" s="24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4"/>
      <c r="O183" s="24"/>
      <c r="P183" s="24"/>
      <c r="Q183" s="24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4"/>
      <c r="O184" s="24"/>
      <c r="P184" s="24"/>
      <c r="Q184" s="24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4"/>
      <c r="O185" s="24"/>
      <c r="P185" s="24"/>
      <c r="Q185" s="24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4"/>
      <c r="O186" s="24"/>
      <c r="P186" s="24"/>
      <c r="Q186" s="24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4"/>
      <c r="O187" s="24"/>
      <c r="P187" s="24"/>
      <c r="Q187" s="24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4"/>
      <c r="O188" s="24"/>
      <c r="P188" s="24"/>
      <c r="Q188" s="24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4"/>
      <c r="O189" s="24"/>
      <c r="P189" s="24"/>
      <c r="Q189" s="24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4"/>
      <c r="O190" s="24"/>
      <c r="P190" s="24"/>
      <c r="Q190" s="24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4"/>
      <c r="O191" s="24"/>
      <c r="P191" s="24"/>
      <c r="Q191" s="24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4"/>
      <c r="O192" s="24"/>
      <c r="P192" s="24"/>
      <c r="Q192" s="24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4"/>
      <c r="O193" s="24"/>
      <c r="P193" s="24"/>
      <c r="Q193" s="24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4"/>
      <c r="O194" s="24"/>
      <c r="P194" s="24"/>
      <c r="Q194" s="24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4"/>
      <c r="O195" s="24"/>
      <c r="P195" s="24"/>
      <c r="Q195" s="24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4"/>
      <c r="O196" s="24"/>
      <c r="P196" s="24"/>
      <c r="Q196" s="24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4"/>
      <c r="O197" s="24"/>
      <c r="P197" s="24"/>
      <c r="Q197" s="24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4"/>
      <c r="O198" s="24"/>
      <c r="P198" s="24"/>
      <c r="Q198" s="24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4"/>
      <c r="O199" s="24"/>
      <c r="P199" s="24"/>
      <c r="Q199" s="24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4"/>
      <c r="O200" s="24"/>
      <c r="P200" s="24"/>
      <c r="Q200" s="24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4"/>
      <c r="O201" s="24"/>
      <c r="P201" s="24"/>
      <c r="Q201" s="24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4"/>
      <c r="O202" s="24"/>
      <c r="P202" s="24"/>
      <c r="Q202" s="24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4"/>
      <c r="O203" s="24"/>
      <c r="P203" s="24"/>
      <c r="Q203" s="24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4"/>
      <c r="O204" s="24"/>
      <c r="P204" s="24"/>
      <c r="Q204" s="24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4"/>
      <c r="O205" s="24"/>
      <c r="P205" s="24"/>
      <c r="Q205" s="24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4"/>
      <c r="O206" s="24"/>
      <c r="P206" s="24"/>
      <c r="Q206" s="24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4"/>
      <c r="O207" s="24"/>
      <c r="P207" s="24"/>
      <c r="Q207" s="24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4"/>
      <c r="O208" s="24"/>
      <c r="P208" s="24"/>
      <c r="Q208" s="24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4"/>
      <c r="O209" s="24"/>
      <c r="P209" s="24"/>
      <c r="Q209" s="24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4"/>
      <c r="O210" s="24"/>
      <c r="P210" s="24"/>
      <c r="Q210" s="24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4"/>
      <c r="O211" s="24"/>
      <c r="P211" s="24"/>
      <c r="Q211" s="24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4"/>
      <c r="O212" s="24"/>
      <c r="P212" s="24"/>
      <c r="Q212" s="24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4"/>
      <c r="O213" s="24"/>
      <c r="P213" s="24"/>
      <c r="Q213" s="24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4"/>
      <c r="O214" s="24"/>
      <c r="P214" s="24"/>
      <c r="Q214" s="24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4"/>
      <c r="O215" s="24"/>
      <c r="P215" s="24"/>
      <c r="Q215" s="24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4"/>
      <c r="O216" s="24"/>
      <c r="P216" s="24"/>
      <c r="Q216" s="24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4"/>
      <c r="O217" s="24"/>
      <c r="P217" s="24"/>
      <c r="Q217" s="24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4"/>
      <c r="O218" s="24"/>
      <c r="P218" s="24"/>
      <c r="Q218" s="24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4"/>
      <c r="O219" s="24"/>
      <c r="P219" s="24"/>
      <c r="Q219" s="24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4"/>
      <c r="O220" s="24"/>
      <c r="P220" s="24"/>
      <c r="Q220" s="24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U300"/>
  <sheetViews>
    <sheetView showGridLines="0" topLeftCell="A56" workbookViewId="0">
      <selection sqref="A1:Q1"/>
    </sheetView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44" t="s">
        <v>439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45" t="s">
        <v>440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4" t="s">
        <v>35</v>
      </c>
      <c r="M5" s="4" t="s">
        <v>36</v>
      </c>
      <c r="N5" s="14" t="s">
        <v>37</v>
      </c>
      <c r="O5" s="14" t="s">
        <v>38</v>
      </c>
      <c r="P5" s="14" t="s">
        <v>39</v>
      </c>
      <c r="Q5" s="14" t="s">
        <v>40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4"/>
      <c r="O6" s="24"/>
      <c r="P6" s="24"/>
      <c r="Q6" s="2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351</v>
      </c>
      <c r="B7" s="1" t="s">
        <v>42</v>
      </c>
      <c r="C7" s="17">
        <f>'Raw Financials'!C110</f>
        <v>11493.3</v>
      </c>
      <c r="D7" s="17">
        <f>'Raw Financials'!D110</f>
        <v>11035.6</v>
      </c>
      <c r="E7" s="17">
        <f>'Raw Financials'!E110</f>
        <v>10247.4</v>
      </c>
      <c r="F7" s="17">
        <f>'Raw Financials'!F110</f>
        <v>11541.5</v>
      </c>
      <c r="G7" s="17">
        <f>'Raw Financials'!G110</f>
        <v>12251.2</v>
      </c>
      <c r="H7" s="17">
        <f>'Raw Financials'!H110</f>
        <v>13900.7</v>
      </c>
      <c r="I7" s="17">
        <f>'Raw Financials'!I110</f>
        <v>15127.5</v>
      </c>
      <c r="J7" s="17">
        <f>'Raw Financials'!J110</f>
        <v>14765.7</v>
      </c>
      <c r="K7" s="17">
        <f>'Raw Financials'!K110</f>
        <v>14721</v>
      </c>
      <c r="L7" s="17">
        <f>'Raw Financials'!L110</f>
        <v>17495.7</v>
      </c>
      <c r="M7" s="17">
        <f>'Raw Financials'!M110</f>
        <v>17342.2</v>
      </c>
      <c r="N7" s="29">
        <f>'Annual P&amp;L'!N23</f>
        <v>17657.343554039217</v>
      </c>
      <c r="O7" s="29">
        <f>'Annual P&amp;L'!O23</f>
        <v>18602.0481030378</v>
      </c>
      <c r="P7" s="29">
        <f>'Annual P&amp;L'!P23</f>
        <v>20588.27030251121</v>
      </c>
      <c r="Q7" s="29">
        <f>'Annual P&amp;L'!Q23</f>
        <v>22790.680301560697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241</v>
      </c>
      <c r="B8" s="1" t="s">
        <v>42</v>
      </c>
      <c r="C8" s="17">
        <f>'Raw Financials'!C111</f>
        <v>0</v>
      </c>
      <c r="D8" s="17">
        <f>'Raw Financials'!D111</f>
        <v>0</v>
      </c>
      <c r="E8" s="17">
        <f>'Raw Financials'!E111</f>
        <v>0</v>
      </c>
      <c r="F8" s="17">
        <f>'Raw Financials'!F111</f>
        <v>0</v>
      </c>
      <c r="G8" s="17">
        <f>'Raw Financials'!G111</f>
        <v>0</v>
      </c>
      <c r="H8" s="17">
        <f>'Raw Financials'!H111</f>
        <v>0</v>
      </c>
      <c r="I8" s="17">
        <f>'Raw Financials'!I111</f>
        <v>0</v>
      </c>
      <c r="J8" s="17">
        <f>'Raw Financials'!J111</f>
        <v>0</v>
      </c>
      <c r="K8" s="17">
        <f>'Raw Financials'!K111</f>
        <v>0</v>
      </c>
      <c r="L8" s="17">
        <f>'Raw Financials'!L111</f>
        <v>0</v>
      </c>
      <c r="M8" s="17">
        <f>'Raw Financials'!M111</f>
        <v>2910.7</v>
      </c>
      <c r="N8" s="29">
        <f>'Annual P&amp;L'!N17</f>
        <v>2958.228976678145</v>
      </c>
      <c r="O8" s="29">
        <f>'Annual P&amp;L'!O17</f>
        <v>3035.023089451453</v>
      </c>
      <c r="P8" s="29">
        <f>'Annual P&amp;L'!P17</f>
        <v>3163.8165913884422</v>
      </c>
      <c r="Q8" s="29">
        <f>'Annual P&amp;L'!Q17</f>
        <v>3314.7216781658099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441</v>
      </c>
      <c r="B9" s="1" t="s">
        <v>42</v>
      </c>
      <c r="C9" s="17">
        <f>'Raw Financials'!C112</f>
        <v>153.4</v>
      </c>
      <c r="D9" s="17">
        <f>'Raw Financials'!D112</f>
        <v>174.2</v>
      </c>
      <c r="E9" s="17">
        <f>'Raw Financials'!E112</f>
        <v>134.69999999999999</v>
      </c>
      <c r="F9" s="17">
        <f>'Raw Financials'!F112</f>
        <v>193.8</v>
      </c>
      <c r="G9" s="17">
        <f>'Raw Financials'!G112</f>
        <v>126.2</v>
      </c>
      <c r="H9" s="17">
        <f>'Raw Financials'!H112</f>
        <v>231</v>
      </c>
      <c r="I9" s="17">
        <f>'Raw Financials'!I112</f>
        <v>411</v>
      </c>
      <c r="J9" s="17">
        <f>'Raw Financials'!J112</f>
        <v>396.9</v>
      </c>
      <c r="K9" s="17">
        <f>'Raw Financials'!K112</f>
        <v>558.4</v>
      </c>
      <c r="L9" s="17">
        <f>'Raw Financials'!L112</f>
        <v>555.1</v>
      </c>
      <c r="M9" s="17">
        <f>'Raw Financials'!M112</f>
        <v>446.5</v>
      </c>
      <c r="N9" s="29">
        <f>'Annual P&amp;L'!N7*Assumptions!C48</f>
        <v>477.13370591582986</v>
      </c>
      <c r="O9" s="29">
        <f>'Annual P&amp;L'!O7*Assumptions!D48</f>
        <v>505.8371815752422</v>
      </c>
      <c r="P9" s="29">
        <f>'Annual P&amp;L'!P7*Assumptions!E48</f>
        <v>545.48561920490374</v>
      </c>
      <c r="Q9" s="29">
        <f>'Annual P&amp;L'!Q7*Assumptions!F48</f>
        <v>591.9145853867517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442</v>
      </c>
      <c r="B10" s="1" t="s">
        <v>42</v>
      </c>
      <c r="C10" s="17">
        <f>'Raw Financials'!C113</f>
        <v>0</v>
      </c>
      <c r="D10" s="17">
        <f>'Raw Financials'!D113</f>
        <v>0</v>
      </c>
      <c r="E10" s="17">
        <f>'Raw Financials'!E113</f>
        <v>0</v>
      </c>
      <c r="F10" s="17">
        <f>'Raw Financials'!F113</f>
        <v>0</v>
      </c>
      <c r="G10" s="17">
        <f>'Raw Financials'!G113</f>
        <v>0</v>
      </c>
      <c r="H10" s="17">
        <f>'Raw Financials'!H113</f>
        <v>0</v>
      </c>
      <c r="I10" s="17">
        <f>'Raw Financials'!I113</f>
        <v>0</v>
      </c>
      <c r="J10" s="17">
        <f>'Raw Financials'!J113</f>
        <v>0</v>
      </c>
      <c r="K10" s="17">
        <f>'Raw Financials'!K113</f>
        <v>0</v>
      </c>
      <c r="L10" s="17">
        <f>'Raw Financials'!L113</f>
        <v>0</v>
      </c>
      <c r="M10" s="17">
        <f>'Raw Financials'!M113</f>
        <v>-39.299999999999997</v>
      </c>
      <c r="N10" s="29">
        <f>0</f>
        <v>0</v>
      </c>
      <c r="O10" s="29">
        <f>0</f>
        <v>0</v>
      </c>
      <c r="P10" s="29">
        <f>0</f>
        <v>0</v>
      </c>
      <c r="Q10" s="29">
        <f>0</f>
        <v>0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443</v>
      </c>
      <c r="B11" s="1" t="s">
        <v>42</v>
      </c>
      <c r="C11" s="17">
        <f>'Raw Financials'!C114</f>
        <v>0</v>
      </c>
      <c r="D11" s="17">
        <f>'Raw Financials'!D114</f>
        <v>0</v>
      </c>
      <c r="E11" s="17">
        <f>'Raw Financials'!E114</f>
        <v>0</v>
      </c>
      <c r="F11" s="17">
        <f>'Raw Financials'!F114</f>
        <v>0</v>
      </c>
      <c r="G11" s="17">
        <f>'Raw Financials'!G114</f>
        <v>0</v>
      </c>
      <c r="H11" s="17">
        <f>'Raw Financials'!H114</f>
        <v>0</v>
      </c>
      <c r="I11" s="17">
        <f>'Raw Financials'!I114</f>
        <v>0</v>
      </c>
      <c r="J11" s="17">
        <f>'Raw Financials'!J114</f>
        <v>0</v>
      </c>
      <c r="K11" s="17">
        <f>'Raw Financials'!K114</f>
        <v>0</v>
      </c>
      <c r="L11" s="17">
        <f>'Raw Financials'!L114</f>
        <v>0</v>
      </c>
      <c r="M11" s="17">
        <f>'Raw Financials'!M114</f>
        <v>-2191.4</v>
      </c>
      <c r="N11" s="29">
        <f>'Annual P&amp;L'!N20</f>
        <v>1420.3700000000001</v>
      </c>
      <c r="O11" s="29">
        <f>'Annual P&amp;L'!O20</f>
        <v>1439.2154625938595</v>
      </c>
      <c r="P11" s="29">
        <f>'Annual P&amp;L'!P20</f>
        <v>1458.1717434500356</v>
      </c>
      <c r="Q11" s="29">
        <f>'Annual P&amp;L'!Q20</f>
        <v>1479.0498916139506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444</v>
      </c>
      <c r="B12" s="1" t="s">
        <v>42</v>
      </c>
      <c r="C12" s="17">
        <f>0</f>
        <v>0</v>
      </c>
      <c r="D12" s="17">
        <f>0</f>
        <v>0</v>
      </c>
      <c r="E12" s="17">
        <f>0</f>
        <v>0</v>
      </c>
      <c r="F12" s="17">
        <f>0</f>
        <v>0</v>
      </c>
      <c r="G12" s="17">
        <f>0</f>
        <v>0</v>
      </c>
      <c r="H12" s="17">
        <f>0</f>
        <v>0</v>
      </c>
      <c r="I12" s="17">
        <f>0</f>
        <v>0</v>
      </c>
      <c r="J12" s="17">
        <f>0</f>
        <v>0</v>
      </c>
      <c r="K12" s="17">
        <f>0</f>
        <v>0</v>
      </c>
      <c r="L12" s="17">
        <f>0</f>
        <v>0</v>
      </c>
      <c r="M12" s="17">
        <f>0</f>
        <v>0</v>
      </c>
      <c r="N12" s="29">
        <f>-'Annual P&amp;L'!N21</f>
        <v>-3427.7280000000001</v>
      </c>
      <c r="O12" s="29">
        <f>-'Annual P&amp;L'!O21</f>
        <v>-2943.9668283884735</v>
      </c>
      <c r="P12" s="29">
        <f>-'Annual P&amp;L'!P21</f>
        <v>-3063.542497630594</v>
      </c>
      <c r="Q12" s="29">
        <f>-'Annual P&amp;L'!Q21</f>
        <v>-3197.5709534062912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445</v>
      </c>
      <c r="B13" s="1" t="s">
        <v>42</v>
      </c>
      <c r="C13" s="17">
        <f>0</f>
        <v>0</v>
      </c>
      <c r="D13" s="17">
        <f>0</f>
        <v>0</v>
      </c>
      <c r="E13" s="17">
        <f>0</f>
        <v>0</v>
      </c>
      <c r="F13" s="17">
        <f>0</f>
        <v>0</v>
      </c>
      <c r="G13" s="17">
        <f>0</f>
        <v>0</v>
      </c>
      <c r="H13" s="17">
        <f>0</f>
        <v>0</v>
      </c>
      <c r="I13" s="17">
        <f>0</f>
        <v>0</v>
      </c>
      <c r="J13" s="17">
        <f>0</f>
        <v>0</v>
      </c>
      <c r="K13" s="17">
        <f>0</f>
        <v>0</v>
      </c>
      <c r="L13" s="17">
        <f>0</f>
        <v>0</v>
      </c>
      <c r="M13" s="17">
        <f>0</f>
        <v>0</v>
      </c>
      <c r="N13" s="29">
        <f>-'Annual P&amp;L'!N22</f>
        <v>0</v>
      </c>
      <c r="O13" s="29">
        <f>-'Annual P&amp;L'!O22</f>
        <v>0</v>
      </c>
      <c r="P13" s="29">
        <f>-'Annual P&amp;L'!P22</f>
        <v>0</v>
      </c>
      <c r="Q13" s="29">
        <f>-'Annual P&amp;L'!Q22</f>
        <v>0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446</v>
      </c>
      <c r="B14" s="1" t="s">
        <v>42</v>
      </c>
      <c r="C14" s="17">
        <f t="shared" ref="C14:M14" si="0">C29-SUM(C7:C13,C15:C26,C28)</f>
        <v>-478.89999999999873</v>
      </c>
      <c r="D14" s="17">
        <f t="shared" si="0"/>
        <v>86.299999999999272</v>
      </c>
      <c r="E14" s="17">
        <f t="shared" si="0"/>
        <v>577.99999999999818</v>
      </c>
      <c r="F14" s="17">
        <f t="shared" si="0"/>
        <v>2467.8000000000011</v>
      </c>
      <c r="G14" s="17">
        <f t="shared" si="0"/>
        <v>-1883.2000000000025</v>
      </c>
      <c r="H14" s="17">
        <f t="shared" si="0"/>
        <v>3034.5</v>
      </c>
      <c r="I14" s="17">
        <f t="shared" si="0"/>
        <v>-1864.5999999999985</v>
      </c>
      <c r="J14" s="17">
        <f t="shared" si="0"/>
        <v>903.10000000000036</v>
      </c>
      <c r="K14" s="17">
        <f t="shared" si="0"/>
        <v>3849.4999999999982</v>
      </c>
      <c r="L14" s="17">
        <f t="shared" si="0"/>
        <v>1488</v>
      </c>
      <c r="M14" s="17">
        <f t="shared" si="0"/>
        <v>835.30000000000109</v>
      </c>
      <c r="N14" s="29">
        <f>0</f>
        <v>0</v>
      </c>
      <c r="O14" s="29">
        <f>0</f>
        <v>0</v>
      </c>
      <c r="P14" s="29">
        <f>0</f>
        <v>0</v>
      </c>
      <c r="Q14" s="29">
        <f>0</f>
        <v>0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447</v>
      </c>
      <c r="B15" s="1" t="s">
        <v>42</v>
      </c>
      <c r="C15" s="17">
        <f>'Raw Financials'!C116</f>
        <v>0</v>
      </c>
      <c r="D15" s="17">
        <f>'Raw Financials'!D116</f>
        <v>0</v>
      </c>
      <c r="E15" s="17">
        <f>'Raw Financials'!E116</f>
        <v>0</v>
      </c>
      <c r="F15" s="17">
        <f>'Raw Financials'!F116</f>
        <v>0</v>
      </c>
      <c r="G15" s="17">
        <f>'Raw Financials'!G116</f>
        <v>0</v>
      </c>
      <c r="H15" s="17">
        <f>'Raw Financials'!H116</f>
        <v>0</v>
      </c>
      <c r="I15" s="17">
        <f>'Raw Financials'!I116</f>
        <v>0</v>
      </c>
      <c r="J15" s="17">
        <f>'Raw Financials'!J116</f>
        <v>0</v>
      </c>
      <c r="K15" s="17">
        <f>'Raw Financials'!K116</f>
        <v>0</v>
      </c>
      <c r="L15" s="17">
        <f>'Raw Financials'!L116</f>
        <v>0</v>
      </c>
      <c r="M15" s="17">
        <f>'Raw Financials'!M116</f>
        <v>-1144.2</v>
      </c>
      <c r="N15" s="29">
        <f>-('Annual Balance Sheet'!N23-'Annual Balance Sheet'!M23)</f>
        <v>-789.27195910720184</v>
      </c>
      <c r="O15" s="29">
        <f>-('Annual Balance Sheet'!O23-'Annual Balance Sheet'!N23)</f>
        <v>-587.86519435201808</v>
      </c>
      <c r="P15" s="29">
        <f>-('Annual Balance Sheet'!P23-'Annual Balance Sheet'!O23)</f>
        <v>-874.26302071058672</v>
      </c>
      <c r="Q15" s="29">
        <f>-('Annual Balance Sheet'!Q23-'Annual Balance Sheet'!P23)</f>
        <v>-1024.0112998636687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357</v>
      </c>
      <c r="B16" s="1" t="s">
        <v>42</v>
      </c>
      <c r="C16" s="17">
        <f>'Raw Financials'!C117</f>
        <v>-532.9</v>
      </c>
      <c r="D16" s="17">
        <f>'Raw Financials'!D117</f>
        <v>381.3</v>
      </c>
      <c r="E16" s="17">
        <f>'Raw Financials'!E117</f>
        <v>219.2</v>
      </c>
      <c r="F16" s="17">
        <f>'Raw Financials'!F117</f>
        <v>0</v>
      </c>
      <c r="G16" s="17">
        <f>'Raw Financials'!G117</f>
        <v>0</v>
      </c>
      <c r="H16" s="17">
        <f>'Raw Financials'!H117</f>
        <v>0</v>
      </c>
      <c r="I16" s="17">
        <f>'Raw Financials'!I117</f>
        <v>0</v>
      </c>
      <c r="J16" s="17">
        <f>'Raw Financials'!J117</f>
        <v>0</v>
      </c>
      <c r="K16" s="17">
        <f>'Raw Financials'!K117</f>
        <v>0</v>
      </c>
      <c r="L16" s="17">
        <f>'Raw Financials'!L117</f>
        <v>0</v>
      </c>
      <c r="M16" s="17">
        <f>'Raw Financials'!M117</f>
        <v>-1449.8</v>
      </c>
      <c r="N16" s="29">
        <f>-('Annual Balance Sheet'!N24-'Annual Balance Sheet'!M24)</f>
        <v>-247.75255505198584</v>
      </c>
      <c r="O16" s="29">
        <f>-('Annual Balance Sheet'!O24-'Annual Balance Sheet'!N24)</f>
        <v>-289.03448885676698</v>
      </c>
      <c r="P16" s="29">
        <f>-('Annual Balance Sheet'!P24-'Annual Balance Sheet'!O24)</f>
        <v>-461.48476593602754</v>
      </c>
      <c r="Q16" s="29">
        <f>-('Annual Balance Sheet'!Q24-'Annual Balance Sheet'!P24)</f>
        <v>-540.64124098415414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448</v>
      </c>
      <c r="B17" s="1" t="s">
        <v>42</v>
      </c>
      <c r="C17" s="17">
        <f>'Raw Financials'!C118</f>
        <v>-54.1</v>
      </c>
      <c r="D17" s="17">
        <f>'Raw Financials'!D118</f>
        <v>147.5</v>
      </c>
      <c r="E17" s="17">
        <f>'Raw Financials'!E118</f>
        <v>54.5</v>
      </c>
      <c r="F17" s="17">
        <f>'Raw Financials'!F118</f>
        <v>-56.6</v>
      </c>
      <c r="G17" s="17">
        <f>'Raw Financials'!G118</f>
        <v>208.5</v>
      </c>
      <c r="H17" s="17">
        <f>'Raw Financials'!H118</f>
        <v>80.3</v>
      </c>
      <c r="I17" s="17">
        <f>'Raw Financials'!I118</f>
        <v>-25.6</v>
      </c>
      <c r="J17" s="17">
        <f>'Raw Financials'!J118</f>
        <v>16.2</v>
      </c>
      <c r="K17" s="17">
        <f>'Raw Financials'!K118</f>
        <v>28.7</v>
      </c>
      <c r="L17" s="17">
        <f>'Raw Financials'!L118</f>
        <v>21.3</v>
      </c>
      <c r="M17" s="17">
        <f>'Raw Financials'!M118</f>
        <v>18.399999999999999</v>
      </c>
      <c r="N17" s="29">
        <f>-('Annual Balance Sheet'!N19-'Annual Balance Sheet'!M19)</f>
        <v>-5.5560447098995738</v>
      </c>
      <c r="O17" s="29">
        <f>-('Annual Balance Sheet'!O19-'Annual Balance Sheet'!N19)</f>
        <v>-3.4444170791294866</v>
      </c>
      <c r="P17" s="29">
        <f>-('Annual Balance Sheet'!P19-'Annual Balance Sheet'!O19)</f>
        <v>-4.7578125155593796</v>
      </c>
      <c r="Q17" s="29">
        <f>-('Annual Balance Sheet'!Q19-'Annual Balance Sheet'!P19)</f>
        <v>-5.5714759418217596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449</v>
      </c>
      <c r="B18" s="1" t="s">
        <v>42</v>
      </c>
      <c r="C18" s="17">
        <f>0</f>
        <v>0</v>
      </c>
      <c r="D18" s="17">
        <f>0</f>
        <v>0</v>
      </c>
      <c r="E18" s="17">
        <f>0</f>
        <v>0</v>
      </c>
      <c r="F18" s="17">
        <f>0</f>
        <v>0</v>
      </c>
      <c r="G18" s="17">
        <f>0</f>
        <v>0</v>
      </c>
      <c r="H18" s="17">
        <f>0</f>
        <v>0</v>
      </c>
      <c r="I18" s="17">
        <f>0</f>
        <v>0</v>
      </c>
      <c r="J18" s="17">
        <f>0</f>
        <v>0</v>
      </c>
      <c r="K18" s="17">
        <f>0</f>
        <v>0</v>
      </c>
      <c r="L18" s="17">
        <f>0</f>
        <v>0</v>
      </c>
      <c r="M18" s="17">
        <f>0</f>
        <v>0</v>
      </c>
      <c r="N18" s="29">
        <f>-('Annual Balance Sheet'!N25-'Annual Balance Sheet'!M25)</f>
        <v>-25.194153014825588</v>
      </c>
      <c r="O18" s="29">
        <f>-('Annual Balance Sheet'!O25-'Annual Balance Sheet'!N25)</f>
        <v>-63.147646450707271</v>
      </c>
      <c r="P18" s="29">
        <f>-('Annual Balance Sheet'!P25-'Annual Balance Sheet'!O25)</f>
        <v>21.870561055725375</v>
      </c>
      <c r="Q18" s="29">
        <f>-('Annual Balance Sheet'!Q25-'Annual Balance Sheet'!P25)</f>
        <v>-92.857932363695909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450</v>
      </c>
      <c r="B19" s="1" t="s">
        <v>42</v>
      </c>
      <c r="C19" s="17">
        <f>'Raw Financials'!C119</f>
        <v>0</v>
      </c>
      <c r="D19" s="17">
        <f>'Raw Financials'!D119</f>
        <v>0</v>
      </c>
      <c r="E19" s="17">
        <f>'Raw Financials'!E119</f>
        <v>0</v>
      </c>
      <c r="F19" s="17">
        <f>'Raw Financials'!F119</f>
        <v>0</v>
      </c>
      <c r="G19" s="17">
        <f>'Raw Financials'!G119</f>
        <v>0</v>
      </c>
      <c r="H19" s="17">
        <f>'Raw Financials'!H119</f>
        <v>0</v>
      </c>
      <c r="I19" s="17">
        <f>'Raw Financials'!I119</f>
        <v>0</v>
      </c>
      <c r="J19" s="17">
        <f>'Raw Financials'!J119</f>
        <v>0</v>
      </c>
      <c r="K19" s="17">
        <f>'Raw Financials'!K119</f>
        <v>0</v>
      </c>
      <c r="L19" s="17">
        <f>'Raw Financials'!L119</f>
        <v>0</v>
      </c>
      <c r="M19" s="17">
        <f>'Raw Financials'!M119</f>
        <v>-20.5</v>
      </c>
      <c r="N19" s="29">
        <f>-('Annual Balance Sheet'!N27-'Annual Balance Sheet'!M27)</f>
        <v>-118.96268259397448</v>
      </c>
      <c r="O19" s="29">
        <f>-('Annual Balance Sheet'!O27-'Annual Balance Sheet'!N27)</f>
        <v>-105.49758843272139</v>
      </c>
      <c r="P19" s="29">
        <f>-('Annual Balance Sheet'!P27-'Annual Balance Sheet'!O27)</f>
        <v>-168.44193956665003</v>
      </c>
      <c r="Q19" s="29">
        <f>-('Annual Balance Sheet'!Q27-'Annual Balance Sheet'!P27)</f>
        <v>-197.33405295921557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451</v>
      </c>
      <c r="B20" s="1" t="s">
        <v>42</v>
      </c>
      <c r="C20" s="17">
        <f>0</f>
        <v>0</v>
      </c>
      <c r="D20" s="17">
        <f>0</f>
        <v>0</v>
      </c>
      <c r="E20" s="17">
        <f>0</f>
        <v>0</v>
      </c>
      <c r="F20" s="17">
        <f>0</f>
        <v>0</v>
      </c>
      <c r="G20" s="17">
        <f>0</f>
        <v>0</v>
      </c>
      <c r="H20" s="17">
        <f>0</f>
        <v>0</v>
      </c>
      <c r="I20" s="17">
        <f>0</f>
        <v>0</v>
      </c>
      <c r="J20" s="17">
        <f>0</f>
        <v>0</v>
      </c>
      <c r="K20" s="17">
        <f>0</f>
        <v>0</v>
      </c>
      <c r="L20" s="17">
        <f>0</f>
        <v>0</v>
      </c>
      <c r="M20" s="17">
        <f>0</f>
        <v>0</v>
      </c>
      <c r="N20" s="29">
        <f>-SUM('Annual Balance Sheet'!N13-'Annual Balance Sheet'!M13,'Annual Balance Sheet'!N14-'Annual Balance Sheet'!M14,'Annual Balance Sheet'!N17-'Annual Balance Sheet'!M17)</f>
        <v>-858.76852957914946</v>
      </c>
      <c r="O20" s="29">
        <f>-SUM('Annual Balance Sheet'!O13-'Annual Balance Sheet'!N13,'Annual Balance Sheet'!O14-'Annual Balance Sheet'!N14,'Annual Balance Sheet'!O17-'Annual Balance Sheet'!N17)</f>
        <v>-42.349941982013092</v>
      </c>
      <c r="P20" s="29">
        <f>-SUM('Annual Balance Sheet'!P13-'Annual Balance Sheet'!O13,'Annual Balance Sheet'!P14-'Annual Balance Sheet'!O14,'Annual Balance Sheet'!P17-'Annual Balance Sheet'!O17)</f>
        <v>-81.215376781394866</v>
      </c>
      <c r="Q20" s="29">
        <f>-SUM('Annual Balance Sheet'!Q13-'Annual Balance Sheet'!P13,'Annual Balance Sheet'!Q14-'Annual Balance Sheet'!P14,'Annual Balance Sheet'!Q17-'Annual Balance Sheet'!P17)</f>
        <v>-95.190327359150047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452</v>
      </c>
      <c r="B21" s="1" t="s">
        <v>42</v>
      </c>
      <c r="C21" s="17">
        <f>'Raw Financials'!C120</f>
        <v>0</v>
      </c>
      <c r="D21" s="17">
        <f>'Raw Financials'!D120</f>
        <v>0</v>
      </c>
      <c r="E21" s="17">
        <f>'Raw Financials'!E120</f>
        <v>0</v>
      </c>
      <c r="F21" s="17">
        <f>'Raw Financials'!F120</f>
        <v>0</v>
      </c>
      <c r="G21" s="17">
        <f>'Raw Financials'!G120</f>
        <v>0</v>
      </c>
      <c r="H21" s="17">
        <f>'Raw Financials'!H120</f>
        <v>0</v>
      </c>
      <c r="I21" s="17">
        <f>'Raw Financials'!I120</f>
        <v>0</v>
      </c>
      <c r="J21" s="17">
        <f>'Raw Financials'!J120</f>
        <v>0</v>
      </c>
      <c r="K21" s="17">
        <f>'Raw Financials'!K120</f>
        <v>0</v>
      </c>
      <c r="L21" s="17">
        <f>'Raw Financials'!L120</f>
        <v>0</v>
      </c>
      <c r="M21" s="17">
        <f>'Raw Financials'!M120</f>
        <v>848.2</v>
      </c>
      <c r="N21" s="29">
        <f>'Annual Balance Sheet'!N50-'Annual Balance Sheet'!M50</f>
        <v>241.12760068292846</v>
      </c>
      <c r="O21" s="29">
        <f>'Annual Balance Sheet'!O50-'Annual Balance Sheet'!N50</f>
        <v>484.38346713696592</v>
      </c>
      <c r="P21" s="29">
        <f>'Annual Balance Sheet'!P50-'Annual Balance Sheet'!O50</f>
        <v>691.80131627818264</v>
      </c>
      <c r="Q21" s="29">
        <f>'Annual Balance Sheet'!Q50-'Annual Balance Sheet'!P50</f>
        <v>810.19640655960757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453</v>
      </c>
      <c r="B22" s="1" t="s">
        <v>42</v>
      </c>
      <c r="C22" s="17">
        <f>0</f>
        <v>0</v>
      </c>
      <c r="D22" s="17">
        <f>0</f>
        <v>0</v>
      </c>
      <c r="E22" s="17">
        <f>0</f>
        <v>0</v>
      </c>
      <c r="F22" s="17">
        <f>0</f>
        <v>0</v>
      </c>
      <c r="G22" s="17">
        <f>0</f>
        <v>0</v>
      </c>
      <c r="H22" s="17">
        <f>0</f>
        <v>0</v>
      </c>
      <c r="I22" s="17">
        <f>0</f>
        <v>0</v>
      </c>
      <c r="J22" s="17">
        <f>0</f>
        <v>0</v>
      </c>
      <c r="K22" s="17">
        <f>0</f>
        <v>0</v>
      </c>
      <c r="L22" s="17">
        <f>0</f>
        <v>0</v>
      </c>
      <c r="M22" s="17">
        <f>0</f>
        <v>0</v>
      </c>
      <c r="N22" s="29">
        <f>'Annual Balance Sheet'!N51-'Annual Balance Sheet'!M51</f>
        <v>4589.9044709899581</v>
      </c>
      <c r="O22" s="29">
        <f>'Annual Balance Sheet'!O51-'Annual Balance Sheet'!N51</f>
        <v>223.04078433489121</v>
      </c>
      <c r="P22" s="29">
        <f>'Annual Balance Sheet'!P51-'Annual Balance Sheet'!O51</f>
        <v>335.34907791564183</v>
      </c>
      <c r="Q22" s="29">
        <f>'Annual Balance Sheet'!Q51-'Annual Balance Sheet'!P51</f>
        <v>392.80218992206756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454</v>
      </c>
      <c r="B23" s="1" t="s">
        <v>42</v>
      </c>
      <c r="C23" s="17">
        <f>0</f>
        <v>0</v>
      </c>
      <c r="D23" s="17">
        <f>0</f>
        <v>0</v>
      </c>
      <c r="E23" s="17">
        <f>0</f>
        <v>0</v>
      </c>
      <c r="F23" s="17">
        <f>0</f>
        <v>0</v>
      </c>
      <c r="G23" s="17">
        <f>0</f>
        <v>0</v>
      </c>
      <c r="H23" s="17">
        <f>0</f>
        <v>0</v>
      </c>
      <c r="I23" s="17">
        <f>0</f>
        <v>0</v>
      </c>
      <c r="J23" s="17">
        <f>0</f>
        <v>0</v>
      </c>
      <c r="K23" s="17">
        <f>0</f>
        <v>0</v>
      </c>
      <c r="L23" s="17">
        <f>0</f>
        <v>0</v>
      </c>
      <c r="M23" s="17">
        <f>0</f>
        <v>0</v>
      </c>
      <c r="N23" s="29">
        <f>'Annual Balance Sheet'!N52-'Annual Balance Sheet'!M52</f>
        <v>-825.71865870301281</v>
      </c>
      <c r="O23" s="29">
        <f>'Annual Balance Sheet'!O52-'Annual Balance Sheet'!N52</f>
        <v>66.912235300467273</v>
      </c>
      <c r="P23" s="29">
        <f>'Annual Balance Sheet'!P52-'Annual Balance Sheet'!O52</f>
        <v>100.60472337469264</v>
      </c>
      <c r="Q23" s="29">
        <f>'Annual Balance Sheet'!Q52-'Annual Balance Sheet'!P52</f>
        <v>117.84065697662027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455</v>
      </c>
      <c r="B24" s="1" t="s">
        <v>42</v>
      </c>
      <c r="C24" s="17">
        <f>0</f>
        <v>0</v>
      </c>
      <c r="D24" s="17">
        <f>0</f>
        <v>0</v>
      </c>
      <c r="E24" s="17">
        <f>0</f>
        <v>0</v>
      </c>
      <c r="F24" s="17">
        <f>0</f>
        <v>0</v>
      </c>
      <c r="G24" s="17">
        <f>0</f>
        <v>0</v>
      </c>
      <c r="H24" s="17">
        <f>0</f>
        <v>0</v>
      </c>
      <c r="I24" s="17">
        <f>0</f>
        <v>0</v>
      </c>
      <c r="J24" s="17">
        <f>0</f>
        <v>0</v>
      </c>
      <c r="K24" s="17">
        <f>0</f>
        <v>0</v>
      </c>
      <c r="L24" s="17">
        <f>0</f>
        <v>0</v>
      </c>
      <c r="M24" s="17">
        <f>0</f>
        <v>0</v>
      </c>
      <c r="N24" s="29">
        <f>('Annual Balance Sheet'!N53-'Annual Balance Sheet'!M53)-('Annual Balance Sheet'!N26-'Annual Balance Sheet'!M26)</f>
        <v>-1669.8774291807745</v>
      </c>
      <c r="O24" s="29">
        <f>('Annual Balance Sheet'!O53-'Annual Balance Sheet'!N53)-('Annual Balance Sheet'!O26-'Annual Balance Sheet'!N26)</f>
        <v>128.24845099256208</v>
      </c>
      <c r="P24" s="29">
        <f>('Annual Balance Sheet'!P53-'Annual Balance Sheet'!O53)-('Annual Balance Sheet'!P26-'Annual Balance Sheet'!O26)</f>
        <v>192.82571980149442</v>
      </c>
      <c r="Q24" s="29">
        <f>('Annual Balance Sheet'!Q53-'Annual Balance Sheet'!P53)-('Annual Balance Sheet'!Q26-'Annual Balance Sheet'!P26)</f>
        <v>225.86125920518862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456</v>
      </c>
      <c r="B25" s="1" t="s">
        <v>42</v>
      </c>
      <c r="C25" s="17">
        <f>0</f>
        <v>0</v>
      </c>
      <c r="D25" s="17">
        <f>0</f>
        <v>0</v>
      </c>
      <c r="E25" s="17">
        <f>0</f>
        <v>0</v>
      </c>
      <c r="F25" s="17">
        <f>0</f>
        <v>0</v>
      </c>
      <c r="G25" s="17">
        <f>0</f>
        <v>0</v>
      </c>
      <c r="H25" s="17">
        <f>0</f>
        <v>0</v>
      </c>
      <c r="I25" s="17">
        <f>0</f>
        <v>0</v>
      </c>
      <c r="J25" s="17">
        <f>0</f>
        <v>0</v>
      </c>
      <c r="K25" s="17">
        <f>0</f>
        <v>0</v>
      </c>
      <c r="L25" s="17">
        <f>0</f>
        <v>0</v>
      </c>
      <c r="M25" s="17">
        <f>0</f>
        <v>0</v>
      </c>
      <c r="N25" s="29">
        <f>'Annual Balance Sheet'!N54-'Annual Balance Sheet'!M54</f>
        <v>-44.73731740602534</v>
      </c>
      <c r="O25" s="29">
        <f>'Annual Balance Sheet'!O54-'Annual Balance Sheet'!N54</f>
        <v>133.82447060093455</v>
      </c>
      <c r="P25" s="29">
        <f>'Annual Balance Sheet'!P54-'Annual Balance Sheet'!O54</f>
        <v>201.20944674938528</v>
      </c>
      <c r="Q25" s="29">
        <f>'Annual Balance Sheet'!Q54-'Annual Balance Sheet'!P54</f>
        <v>235.68131395324053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457</v>
      </c>
      <c r="B26" s="1" t="s">
        <v>42</v>
      </c>
      <c r="C26" s="17">
        <f>0</f>
        <v>0</v>
      </c>
      <c r="D26" s="17">
        <f>0</f>
        <v>0</v>
      </c>
      <c r="E26" s="17">
        <f>0</f>
        <v>0</v>
      </c>
      <c r="F26" s="17">
        <f>0</f>
        <v>0</v>
      </c>
      <c r="G26" s="17">
        <f>0</f>
        <v>0</v>
      </c>
      <c r="H26" s="17">
        <f>0</f>
        <v>0</v>
      </c>
      <c r="I26" s="17">
        <f>0</f>
        <v>0</v>
      </c>
      <c r="J26" s="17">
        <f>0</f>
        <v>0</v>
      </c>
      <c r="K26" s="17">
        <f>0</f>
        <v>0</v>
      </c>
      <c r="L26" s="17">
        <f>0</f>
        <v>0</v>
      </c>
      <c r="M26" s="17">
        <f>0</f>
        <v>0</v>
      </c>
      <c r="N26" s="29">
        <f>SUM('Annual Balance Sheet'!N40-'Annual Balance Sheet'!M40,'Annual Balance Sheet'!N43-'Annual Balance Sheet'!M43,'Annual Balance Sheet'!N44-'Annual Balance Sheet'!M44,'Annual Balance Sheet'!N55-'Annual Balance Sheet'!M55)</f>
        <v>4187.3794064280255</v>
      </c>
      <c r="O26" s="29">
        <f>SUM('Annual Balance Sheet'!O40-'Annual Balance Sheet'!N40,'Annual Balance Sheet'!O43-'Annual Balance Sheet'!N43,'Annual Balance Sheet'!O44-'Annual Balance Sheet'!N44,'Annual Balance Sheet'!O55-'Annual Balance Sheet'!N55)</f>
        <v>262.49675752887345</v>
      </c>
      <c r="P26" s="29">
        <f>SUM('Annual Balance Sheet'!P40-'Annual Balance Sheet'!O40,'Annual Balance Sheet'!P43-'Annual Balance Sheet'!O43,'Annual Balance Sheet'!P44-'Annual Balance Sheet'!O44,'Annual Balance Sheet'!P55-'Annual Balance Sheet'!O55)</f>
        <v>408.70510628864974</v>
      </c>
      <c r="Q26" s="29">
        <f>SUM('Annual Balance Sheet'!Q40-'Annual Balance Sheet'!P40,'Annual Balance Sheet'!Q43-'Annual Balance Sheet'!P43,'Annual Balance Sheet'!Q44-'Annual Balance Sheet'!P44,'Annual Balance Sheet'!Q55-'Annual Balance Sheet'!P55)</f>
        <v>478.77450655743951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21" t="s">
        <v>361</v>
      </c>
      <c r="B27" s="19" t="s">
        <v>42</v>
      </c>
      <c r="C27" s="20">
        <f t="shared" ref="C27:M27" si="1">C29-C28</f>
        <v>10580.8</v>
      </c>
      <c r="D27" s="20">
        <f t="shared" si="1"/>
        <v>11824.9</v>
      </c>
      <c r="E27" s="20">
        <f t="shared" si="1"/>
        <v>11233.8</v>
      </c>
      <c r="F27" s="20">
        <f t="shared" si="1"/>
        <v>14146.5</v>
      </c>
      <c r="G27" s="20">
        <f t="shared" si="1"/>
        <v>10702.699999999999</v>
      </c>
      <c r="H27" s="20">
        <f t="shared" si="1"/>
        <v>17246.5</v>
      </c>
      <c r="I27" s="20">
        <f t="shared" si="1"/>
        <v>13648.300000000001</v>
      </c>
      <c r="J27" s="20">
        <f t="shared" si="1"/>
        <v>16081.900000000001</v>
      </c>
      <c r="K27" s="20">
        <f t="shared" si="1"/>
        <v>19157.599999999999</v>
      </c>
      <c r="L27" s="20">
        <f t="shared" si="1"/>
        <v>19560.099999999999</v>
      </c>
      <c r="M27" s="20">
        <f t="shared" si="1"/>
        <v>17556.099999999999</v>
      </c>
      <c r="N27" s="27">
        <f>SUM(N7:N26)</f>
        <v>23517.920385387257</v>
      </c>
      <c r="O27" s="27">
        <f>SUM(O7:O26)</f>
        <v>20845.723897011223</v>
      </c>
      <c r="P27" s="27">
        <f>SUM(P7:P26)</f>
        <v>23054.404794877548</v>
      </c>
      <c r="Q27" s="27">
        <f>SUM(Q7:Q26)</f>
        <v>25284.345507023372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458</v>
      </c>
      <c r="B28" s="1" t="s">
        <v>42</v>
      </c>
      <c r="C28" s="17">
        <f>'Raw Financials'!C122</f>
        <v>-2693.5</v>
      </c>
      <c r="D28" s="17">
        <f>'Raw Financials'!D122</f>
        <v>-2547.6</v>
      </c>
      <c r="E28" s="17">
        <f>'Raw Financials'!E122</f>
        <v>-2810.5</v>
      </c>
      <c r="F28" s="17">
        <f>'Raw Financials'!F122</f>
        <v>-2514.9</v>
      </c>
      <c r="G28" s="17">
        <f>'Raw Financials'!G122</f>
        <v>-638.4</v>
      </c>
      <c r="H28" s="17">
        <f>'Raw Financials'!H122</f>
        <v>-2491.5</v>
      </c>
      <c r="I28" s="17">
        <f>'Raw Financials'!I122</f>
        <v>-2568.6</v>
      </c>
      <c r="J28" s="17">
        <f>'Raw Financials'!J122</f>
        <v>-3021.8</v>
      </c>
      <c r="K28" s="17">
        <f>'Raw Financials'!K122</f>
        <v>-1536</v>
      </c>
      <c r="L28" s="17">
        <f>'Raw Financials'!L122</f>
        <v>-2617.5</v>
      </c>
      <c r="M28" s="17">
        <f>'Raw Financials'!M122</f>
        <v>-2624.5</v>
      </c>
      <c r="N28" s="29">
        <f>-'Annual P&amp;L'!N25</f>
        <v>-4237.7624529694122</v>
      </c>
      <c r="O28" s="29">
        <f>-'Annual P&amp;L'!O25</f>
        <v>-4464.4915447290714</v>
      </c>
      <c r="P28" s="29">
        <f>-'Annual P&amp;L'!P25</f>
        <v>-4941.1848726026901</v>
      </c>
      <c r="Q28" s="29">
        <f>-'Annual P&amp;L'!Q25</f>
        <v>-5469.7632723745674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21" t="s">
        <v>459</v>
      </c>
      <c r="B29" s="19" t="s">
        <v>42</v>
      </c>
      <c r="C29" s="20">
        <f>'Raw Financials'!C123</f>
        <v>7887.3</v>
      </c>
      <c r="D29" s="20">
        <f>'Raw Financials'!D123</f>
        <v>9277.2999999999993</v>
      </c>
      <c r="E29" s="20">
        <f>'Raw Financials'!E123</f>
        <v>8423.2999999999993</v>
      </c>
      <c r="F29" s="20">
        <f>'Raw Financials'!F123</f>
        <v>11631.6</v>
      </c>
      <c r="G29" s="20">
        <f>'Raw Financials'!G123</f>
        <v>10064.299999999999</v>
      </c>
      <c r="H29" s="20">
        <f>'Raw Financials'!H123</f>
        <v>14755</v>
      </c>
      <c r="I29" s="20">
        <f>'Raw Financials'!I123</f>
        <v>11079.7</v>
      </c>
      <c r="J29" s="20">
        <f>'Raw Financials'!J123</f>
        <v>13060.1</v>
      </c>
      <c r="K29" s="20">
        <f>'Raw Financials'!K123</f>
        <v>17621.599999999999</v>
      </c>
      <c r="L29" s="20">
        <f>'Raw Financials'!L123</f>
        <v>16942.599999999999</v>
      </c>
      <c r="M29" s="20">
        <f>'Raw Financials'!M123</f>
        <v>14931.6</v>
      </c>
      <c r="N29" s="27">
        <f>SUM(N27:N28)</f>
        <v>19280.157932417846</v>
      </c>
      <c r="O29" s="27">
        <f>SUM(O27:O28)</f>
        <v>16381.232352282152</v>
      </c>
      <c r="P29" s="27">
        <f>SUM(P27:P28)</f>
        <v>18113.219922274857</v>
      </c>
      <c r="Q29" s="27">
        <f>SUM(Q27:Q28)</f>
        <v>19814.582234648806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460</v>
      </c>
      <c r="B30" s="1" t="s">
        <v>68</v>
      </c>
      <c r="C30" s="33">
        <f>IFERROR(C29/'Annual P&amp;L'!C29,"")</f>
        <v>0.88546730283468988</v>
      </c>
      <c r="D30" s="33">
        <f>IFERROR(D29/'Annual P&amp;L'!D29,"")</f>
        <v>1.0927969845102774</v>
      </c>
      <c r="E30" s="33">
        <f>IFERROR(E29/'Annual P&amp;L'!E29,"")</f>
        <v>1.051847504401793</v>
      </c>
      <c r="F30" s="33">
        <f>IFERROR(F29/'Annual P&amp;L'!F29,"")</f>
        <v>1.2919549932800924</v>
      </c>
      <c r="G30" s="33">
        <f>IFERROR(G29/'Annual P&amp;L'!G29,"")</f>
        <v>1.0352301014215475</v>
      </c>
      <c r="H30" s="33">
        <f>IFERROR(H29/'Annual P&amp;L'!H29,"")</f>
        <v>1.3668871472773423</v>
      </c>
      <c r="I30" s="33">
        <f>IFERROR(I29/'Annual P&amp;L'!I29,"")</f>
        <v>0.90675254314965914</v>
      </c>
      <c r="J30" s="33">
        <f>IFERROR(J29/'Annual P&amp;L'!J29,"")</f>
        <v>1.1506696035242292</v>
      </c>
      <c r="K30" s="33">
        <f>IFERROR(K29/'Annual P&amp;L'!K29,"")</f>
        <v>1.5954079600188316</v>
      </c>
      <c r="L30" s="33">
        <f>IFERROR(L29/'Annual P&amp;L'!L29,"")</f>
        <v>1.2898427151057448</v>
      </c>
      <c r="M30" s="33">
        <f>IFERROR(M29/'Annual P&amp;L'!M29,"")</f>
        <v>1.1314046706169398</v>
      </c>
      <c r="N30" s="34">
        <f>IFERROR(N29/'Annual P&amp;L'!N29,"")</f>
        <v>1.4367183138735111</v>
      </c>
      <c r="O30" s="34">
        <f>IFERROR(O29/'Annual P&amp;L'!O29,"")</f>
        <v>1.1587032231998253</v>
      </c>
      <c r="P30" s="34">
        <f>IFERROR(P29/'Annual P&amp;L'!P29,"")</f>
        <v>1.1576098311352261</v>
      </c>
      <c r="Q30" s="34">
        <f>IFERROR(Q29/'Annual P&amp;L'!Q29,"")</f>
        <v>1.1439684285341702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363</v>
      </c>
      <c r="B31" s="1" t="s">
        <v>42</v>
      </c>
      <c r="C31" s="17">
        <f>'Raw Financials'!C124</f>
        <v>-1395.1</v>
      </c>
      <c r="D31" s="17">
        <f>'Raw Financials'!D124</f>
        <v>-2085.3000000000002</v>
      </c>
      <c r="E31" s="17">
        <f>'Raw Financials'!E124</f>
        <v>-2187</v>
      </c>
      <c r="F31" s="17">
        <f>'Raw Financials'!F124</f>
        <v>-2278.1</v>
      </c>
      <c r="G31" s="17">
        <f>'Raw Financials'!G124</f>
        <v>-2349.6999999999998</v>
      </c>
      <c r="H31" s="17">
        <f>'Raw Financials'!H124</f>
        <v>-1957.7</v>
      </c>
      <c r="I31" s="17">
        <f>'Raw Financials'!I124</f>
        <v>-2015.3</v>
      </c>
      <c r="J31" s="17">
        <f>'Raw Financials'!J124</f>
        <v>-1483.4</v>
      </c>
      <c r="K31" s="17">
        <f>'Raw Financials'!K124</f>
        <v>-1051</v>
      </c>
      <c r="L31" s="17">
        <f>'Raw Financials'!L124</f>
        <v>-1473.7</v>
      </c>
      <c r="M31" s="17">
        <f>'Raw Financials'!M124</f>
        <v>-1560.3</v>
      </c>
      <c r="N31" s="29">
        <f>-'BS Forecast Schedules'!D10</f>
        <v>-1717.6813412969873</v>
      </c>
      <c r="O31" s="29">
        <f>-'BS Forecast Schedules'!E10</f>
        <v>-1821.0138536708719</v>
      </c>
      <c r="P31" s="29">
        <f>-'BS Forecast Schedules'!F10</f>
        <v>-1963.7482291376534</v>
      </c>
      <c r="Q31" s="29">
        <f>-'BS Forecast Schedules'!G10</f>
        <v>-2130.892507392306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364</v>
      </c>
      <c r="B32" s="1" t="s">
        <v>42</v>
      </c>
      <c r="C32" s="17">
        <f>'Raw Financials'!C125</f>
        <v>77.900000000000006</v>
      </c>
      <c r="D32" s="17">
        <f>'Raw Financials'!D125</f>
        <v>120.7</v>
      </c>
      <c r="E32" s="17">
        <f>'Raw Financials'!E125</f>
        <v>117.1</v>
      </c>
      <c r="F32" s="17">
        <f>'Raw Financials'!F125</f>
        <v>194</v>
      </c>
      <c r="G32" s="17">
        <f>'Raw Financials'!G125</f>
        <v>127</v>
      </c>
      <c r="H32" s="17">
        <f>'Raw Financials'!H125</f>
        <v>75.3</v>
      </c>
      <c r="I32" s="17">
        <f>'Raw Financials'!I125</f>
        <v>73.599999999999994</v>
      </c>
      <c r="J32" s="17">
        <f>'Raw Financials'!J125</f>
        <v>54.6</v>
      </c>
      <c r="K32" s="17">
        <f>'Raw Financials'!K125</f>
        <v>402.2</v>
      </c>
      <c r="L32" s="17">
        <f>'Raw Financials'!L125</f>
        <v>182.2</v>
      </c>
      <c r="M32" s="17">
        <f>'Raw Financials'!M125</f>
        <v>75.8</v>
      </c>
      <c r="N32" s="29">
        <f>0</f>
        <v>0</v>
      </c>
      <c r="O32" s="29">
        <f>0</f>
        <v>0</v>
      </c>
      <c r="P32" s="29">
        <f>0</f>
        <v>0</v>
      </c>
      <c r="Q32" s="29">
        <f>0</f>
        <v>0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367</v>
      </c>
      <c r="B33" s="1" t="s">
        <v>42</v>
      </c>
      <c r="C33" s="17">
        <f>'Raw Financials'!C128</f>
        <v>-3937.3</v>
      </c>
      <c r="D33" s="17">
        <f>'Raw Financials'!D128</f>
        <v>-3360.8</v>
      </c>
      <c r="E33" s="17">
        <f>'Raw Financials'!E128</f>
        <v>-665.2</v>
      </c>
      <c r="F33" s="17">
        <f>'Raw Financials'!F128</f>
        <v>0</v>
      </c>
      <c r="G33" s="17">
        <f>'Raw Financials'!G128</f>
        <v>-1000.3</v>
      </c>
      <c r="H33" s="17">
        <f>'Raw Financials'!H128</f>
        <v>-987.3</v>
      </c>
      <c r="I33" s="17">
        <f>'Raw Financials'!I128</f>
        <v>-12984.6</v>
      </c>
      <c r="J33" s="17">
        <f>'Raw Financials'!J128</f>
        <v>-4556.6000000000004</v>
      </c>
      <c r="K33" s="17">
        <f>'Raw Financials'!K128</f>
        <v>-529.1</v>
      </c>
      <c r="L33" s="17">
        <f>'Raw Financials'!L128</f>
        <v>-96.4</v>
      </c>
      <c r="M33" s="17">
        <f>'Raw Financials'!M128</f>
        <v>-2603.3000000000002</v>
      </c>
      <c r="N33" s="29">
        <f>0</f>
        <v>0</v>
      </c>
      <c r="O33" s="29">
        <f>0</f>
        <v>0</v>
      </c>
      <c r="P33" s="29">
        <f>0</f>
        <v>0</v>
      </c>
      <c r="Q33" s="29">
        <f>0</f>
        <v>0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365</v>
      </c>
      <c r="B34" s="1" t="s">
        <v>42</v>
      </c>
      <c r="C34" s="17">
        <f>'Raw Financials'!C126</f>
        <v>0</v>
      </c>
      <c r="D34" s="17">
        <f>'Raw Financials'!D126</f>
        <v>0</v>
      </c>
      <c r="E34" s="17">
        <f>'Raw Financials'!E126</f>
        <v>0</v>
      </c>
      <c r="F34" s="17">
        <f>'Raw Financials'!F126</f>
        <v>0</v>
      </c>
      <c r="G34" s="17">
        <f>'Raw Financials'!G126</f>
        <v>0</v>
      </c>
      <c r="H34" s="17">
        <f>'Raw Financials'!H126</f>
        <v>0</v>
      </c>
      <c r="I34" s="17">
        <f>'Raw Financials'!I126</f>
        <v>0</v>
      </c>
      <c r="J34" s="17">
        <f>'Raw Financials'!J126</f>
        <v>0</v>
      </c>
      <c r="K34" s="17">
        <f>'Raw Financials'!K126</f>
        <v>0</v>
      </c>
      <c r="L34" s="17">
        <f>'Raw Financials'!L126</f>
        <v>0</v>
      </c>
      <c r="M34" s="17">
        <f>'Raw Financials'!M126</f>
        <v>-83780.600000000006</v>
      </c>
      <c r="N34" s="29">
        <f>MIN(0,-('Annual Balance Sheet'!N21-'Annual Balance Sheet'!M21))</f>
        <v>0</v>
      </c>
      <c r="O34" s="29">
        <f>MIN(0,-('Annual Balance Sheet'!O21-'Annual Balance Sheet'!N21))</f>
        <v>-502.55713172732067</v>
      </c>
      <c r="P34" s="29">
        <f>MIN(0,-('Annual Balance Sheet'!P21-'Annual Balance Sheet'!O21))</f>
        <v>-1148.5262840719588</v>
      </c>
      <c r="Q34" s="29">
        <f>MIN(0,-('Annual Balance Sheet'!Q21-'Annual Balance Sheet'!P21))</f>
        <v>-1346.6589530008278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366</v>
      </c>
      <c r="B35" s="1" t="s">
        <v>42</v>
      </c>
      <c r="C35" s="17">
        <f>'Raw Financials'!C127</f>
        <v>0</v>
      </c>
      <c r="D35" s="17">
        <f>'Raw Financials'!D127</f>
        <v>0</v>
      </c>
      <c r="E35" s="17">
        <f>'Raw Financials'!E127</f>
        <v>0</v>
      </c>
      <c r="F35" s="17">
        <f>'Raw Financials'!F127</f>
        <v>0</v>
      </c>
      <c r="G35" s="17">
        <f>'Raw Financials'!G127</f>
        <v>0</v>
      </c>
      <c r="H35" s="17">
        <f>'Raw Financials'!H127</f>
        <v>0</v>
      </c>
      <c r="I35" s="17">
        <f>'Raw Financials'!I127</f>
        <v>0</v>
      </c>
      <c r="J35" s="17">
        <f>'Raw Financials'!J127</f>
        <v>0</v>
      </c>
      <c r="K35" s="17">
        <f>'Raw Financials'!K127</f>
        <v>0</v>
      </c>
      <c r="L35" s="17">
        <f>'Raw Financials'!L127</f>
        <v>0</v>
      </c>
      <c r="M35" s="17">
        <f>'Raw Financials'!M127</f>
        <v>81673.2</v>
      </c>
      <c r="N35" s="29">
        <f>MAX(0,-('Annual Balance Sheet'!N21-'Annual Balance Sheet'!M21))</f>
        <v>1780.2338794069728</v>
      </c>
      <c r="O35" s="29">
        <f>MAX(0,-('Annual Balance Sheet'!O21-'Annual Balance Sheet'!N21))</f>
        <v>0</v>
      </c>
      <c r="P35" s="29">
        <f>MAX(0,-('Annual Balance Sheet'!P21-'Annual Balance Sheet'!O21))</f>
        <v>0</v>
      </c>
      <c r="Q35" s="29">
        <f>MAX(0,-('Annual Balance Sheet'!Q21-'Annual Balance Sheet'!P21))</f>
        <v>0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368</v>
      </c>
      <c r="B36" s="1" t="s">
        <v>42</v>
      </c>
      <c r="C36" s="17">
        <f>'Raw Financials'!C129</f>
        <v>1836.8</v>
      </c>
      <c r="D36" s="17">
        <f>'Raw Financials'!D129</f>
        <v>1706.9</v>
      </c>
      <c r="E36" s="17">
        <f>'Raw Financials'!E129</f>
        <v>1434.7</v>
      </c>
      <c r="F36" s="17">
        <f>'Raw Financials'!F129</f>
        <v>2016.3</v>
      </c>
      <c r="G36" s="17">
        <f>'Raw Financials'!G129</f>
        <v>2383.6999999999998</v>
      </c>
      <c r="H36" s="17">
        <f>'Raw Financials'!H129</f>
        <v>1962.4</v>
      </c>
      <c r="I36" s="17">
        <f>'Raw Financials'!I129</f>
        <v>1227.5</v>
      </c>
      <c r="J36" s="17">
        <f>'Raw Financials'!J129</f>
        <v>1411.2</v>
      </c>
      <c r="K36" s="17">
        <f>'Raw Financials'!K129</f>
        <v>2011.1</v>
      </c>
      <c r="L36" s="17">
        <f>'Raw Financials'!L129</f>
        <v>2621.1999999999998</v>
      </c>
      <c r="M36" s="17">
        <f>'Raw Financials'!M129</f>
        <v>2887.8</v>
      </c>
      <c r="N36" s="29">
        <f>'Annual P&amp;L'!N21</f>
        <v>3427.7280000000001</v>
      </c>
      <c r="O36" s="29">
        <f>'Annual P&amp;L'!O21</f>
        <v>2943.9668283884735</v>
      </c>
      <c r="P36" s="29">
        <f>'Annual P&amp;L'!P21</f>
        <v>3063.542497630594</v>
      </c>
      <c r="Q36" s="29">
        <f>'Annual P&amp;L'!Q21</f>
        <v>3197.5709534062912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369</v>
      </c>
      <c r="B37" s="1" t="s">
        <v>42</v>
      </c>
      <c r="C37" s="17">
        <f>'Raw Financials'!C130</f>
        <v>6.6</v>
      </c>
      <c r="D37" s="17">
        <f>'Raw Financials'!D130</f>
        <v>31.1</v>
      </c>
      <c r="E37" s="17">
        <f>'Raw Financials'!E130</f>
        <v>60.9</v>
      </c>
      <c r="F37" s="17">
        <f>'Raw Financials'!F130</f>
        <v>36.1</v>
      </c>
      <c r="G37" s="17">
        <f>'Raw Financials'!G130</f>
        <v>36.700000000000003</v>
      </c>
      <c r="H37" s="17">
        <f>'Raw Financials'!H130</f>
        <v>0.4</v>
      </c>
      <c r="I37" s="17">
        <f>'Raw Financials'!I130</f>
        <v>0.2</v>
      </c>
      <c r="J37" s="17">
        <f>'Raw Financials'!J130</f>
        <v>0.3</v>
      </c>
      <c r="K37" s="17">
        <f>'Raw Financials'!K130</f>
        <v>0.3</v>
      </c>
      <c r="L37" s="17">
        <f>'Raw Financials'!L130</f>
        <v>229.9</v>
      </c>
      <c r="M37" s="17">
        <f>'Raw Financials'!M130</f>
        <v>0.3</v>
      </c>
      <c r="N37" s="29">
        <f>0</f>
        <v>0</v>
      </c>
      <c r="O37" s="29">
        <f>0</f>
        <v>0</v>
      </c>
      <c r="P37" s="29">
        <f>0</f>
        <v>0</v>
      </c>
      <c r="Q37" s="29">
        <f>0</f>
        <v>0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 t="s">
        <v>461</v>
      </c>
      <c r="B38" s="1" t="s">
        <v>42</v>
      </c>
      <c r="C38" s="17">
        <f t="shared" ref="C38:M38" si="2">C39-SUM(C31:C37)</f>
        <v>-10404.5</v>
      </c>
      <c r="D38" s="17">
        <f t="shared" si="2"/>
        <v>-8040.8999999999987</v>
      </c>
      <c r="E38" s="17">
        <f t="shared" si="2"/>
        <v>4797.3</v>
      </c>
      <c r="F38" s="17">
        <f t="shared" si="2"/>
        <v>5044.3</v>
      </c>
      <c r="G38" s="17">
        <f t="shared" si="2"/>
        <v>4203.8</v>
      </c>
      <c r="H38" s="17">
        <f t="shared" si="2"/>
        <v>1680.7999999999997</v>
      </c>
      <c r="I38" s="17">
        <f t="shared" si="2"/>
        <v>-8750.9</v>
      </c>
      <c r="J38" s="17">
        <f t="shared" si="2"/>
        <v>-3832.5999999999995</v>
      </c>
      <c r="K38" s="17">
        <f t="shared" si="2"/>
        <v>334.50000000000023</v>
      </c>
      <c r="L38" s="17">
        <f t="shared" si="2"/>
        <v>-9536.2000000000007</v>
      </c>
      <c r="M38" s="17">
        <f t="shared" si="2"/>
        <v>-35.199999999988904</v>
      </c>
      <c r="N38" s="29">
        <f>0</f>
        <v>0</v>
      </c>
      <c r="O38" s="29">
        <f>0</f>
        <v>0</v>
      </c>
      <c r="P38" s="29">
        <f>0</f>
        <v>0</v>
      </c>
      <c r="Q38" s="29">
        <f>0</f>
        <v>0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21" t="s">
        <v>462</v>
      </c>
      <c r="B39" s="19" t="s">
        <v>42</v>
      </c>
      <c r="C39" s="20">
        <f>'Raw Financials'!C131</f>
        <v>-13815.6</v>
      </c>
      <c r="D39" s="20">
        <f>'Raw Financials'!D131</f>
        <v>-11628.3</v>
      </c>
      <c r="E39" s="20">
        <f>'Raw Financials'!E131</f>
        <v>3557.8</v>
      </c>
      <c r="F39" s="20">
        <f>'Raw Financials'!F131</f>
        <v>5012.6000000000004</v>
      </c>
      <c r="G39" s="20">
        <f>'Raw Financials'!G131</f>
        <v>3401.2</v>
      </c>
      <c r="H39" s="20">
        <f>'Raw Financials'!H131</f>
        <v>773.9</v>
      </c>
      <c r="I39" s="20">
        <f>'Raw Financials'!I131</f>
        <v>-22449.5</v>
      </c>
      <c r="J39" s="20">
        <f>'Raw Financials'!J131</f>
        <v>-8406.5</v>
      </c>
      <c r="K39" s="20">
        <f>'Raw Financials'!K131</f>
        <v>1168</v>
      </c>
      <c r="L39" s="20">
        <f>'Raw Financials'!L131</f>
        <v>-8073</v>
      </c>
      <c r="M39" s="20">
        <f>'Raw Financials'!M131</f>
        <v>-3342.3</v>
      </c>
      <c r="N39" s="27">
        <f>SUM(N31:N38)</f>
        <v>3490.2805381099856</v>
      </c>
      <c r="O39" s="27">
        <f>SUM(O31:O38)</f>
        <v>620.39584299028093</v>
      </c>
      <c r="P39" s="27">
        <f>SUM(P31:P38)</f>
        <v>-48.73201557901848</v>
      </c>
      <c r="Q39" s="27">
        <f>SUM(Q31:Q38)</f>
        <v>-279.98050698684256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371</v>
      </c>
      <c r="B40" s="1" t="s">
        <v>42</v>
      </c>
      <c r="C40" s="17">
        <f>'Raw Financials'!C132</f>
        <v>0.4</v>
      </c>
      <c r="D40" s="17">
        <f>'Raw Financials'!D132</f>
        <v>0</v>
      </c>
      <c r="E40" s="17">
        <f>'Raw Financials'!E132</f>
        <v>2.4</v>
      </c>
      <c r="F40" s="17">
        <f>'Raw Financials'!F132</f>
        <v>0.4</v>
      </c>
      <c r="G40" s="17">
        <f>'Raw Financials'!G132</f>
        <v>1.4</v>
      </c>
      <c r="H40" s="17">
        <f>'Raw Financials'!H132</f>
        <v>0.6</v>
      </c>
      <c r="I40" s="17">
        <f>'Raw Financials'!I132</f>
        <v>0.6</v>
      </c>
      <c r="J40" s="17">
        <f>'Raw Financials'!J132</f>
        <v>1.2</v>
      </c>
      <c r="K40" s="17">
        <f>'Raw Financials'!K132</f>
        <v>1.3</v>
      </c>
      <c r="L40" s="17">
        <f>'Raw Financials'!L132</f>
        <v>2.7</v>
      </c>
      <c r="M40" s="17">
        <f>'Raw Financials'!M132</f>
        <v>3.3</v>
      </c>
      <c r="N40" s="29">
        <f>0</f>
        <v>0</v>
      </c>
      <c r="O40" s="29">
        <f>0</f>
        <v>0</v>
      </c>
      <c r="P40" s="29">
        <f>0</f>
        <v>0</v>
      </c>
      <c r="Q40" s="29">
        <f>0</f>
        <v>0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 t="s">
        <v>372</v>
      </c>
      <c r="B41" s="1" t="s">
        <v>42</v>
      </c>
      <c r="C41" s="17">
        <f>'Raw Financials'!C133</f>
        <v>17254.900000000001</v>
      </c>
      <c r="D41" s="17">
        <f>'Raw Financials'!D133</f>
        <v>12592.2</v>
      </c>
      <c r="E41" s="17">
        <f>'Raw Financials'!E133</f>
        <v>14427.1</v>
      </c>
      <c r="F41" s="17">
        <f>'Raw Financials'!F133</f>
        <v>6516.1</v>
      </c>
      <c r="G41" s="17">
        <f>'Raw Financials'!G133</f>
        <v>10634.2</v>
      </c>
      <c r="H41" s="17">
        <f>'Raw Financials'!H133</f>
        <v>10341.799999999999</v>
      </c>
      <c r="I41" s="17">
        <f>'Raw Financials'!I133</f>
        <v>26012</v>
      </c>
      <c r="J41" s="17">
        <f>'Raw Financials'!J133</f>
        <v>16103.4</v>
      </c>
      <c r="K41" s="17">
        <f>'Raw Financials'!K133</f>
        <v>12050</v>
      </c>
      <c r="L41" s="17">
        <f>'Raw Financials'!L133</f>
        <v>19559.5</v>
      </c>
      <c r="M41" s="17">
        <f>'Raw Financials'!M133</f>
        <v>25308.9</v>
      </c>
      <c r="N41" s="29">
        <f>MAX(0,'BS Forecast Schedules'!D34)</f>
        <v>0</v>
      </c>
      <c r="O41" s="29">
        <f>MAX(0,'BS Forecast Schedules'!E34)</f>
        <v>0</v>
      </c>
      <c r="P41" s="29">
        <f>MAX(0,'BS Forecast Schedules'!F34)</f>
        <v>0</v>
      </c>
      <c r="Q41" s="29">
        <f>MAX(0,'BS Forecast Schedules'!G34)</f>
        <v>0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373</v>
      </c>
      <c r="B42" s="1" t="s">
        <v>42</v>
      </c>
      <c r="C42" s="17">
        <f>'Raw Financials'!C134</f>
        <v>-13729.8</v>
      </c>
      <c r="D42" s="17">
        <f>'Raw Financials'!D134</f>
        <v>-11280.3</v>
      </c>
      <c r="E42" s="17">
        <f>'Raw Financials'!E134</f>
        <v>-15525.4</v>
      </c>
      <c r="F42" s="17">
        <f>'Raw Financials'!F134</f>
        <v>-10403.9</v>
      </c>
      <c r="G42" s="17">
        <f>'Raw Financials'!G134</f>
        <v>-13238</v>
      </c>
      <c r="H42" s="17">
        <f>'Raw Financials'!H134</f>
        <v>-9720.6</v>
      </c>
      <c r="I42" s="17">
        <f>'Raw Financials'!I134</f>
        <v>-19181</v>
      </c>
      <c r="J42" s="17">
        <f>'Raw Financials'!J134</f>
        <v>-16891</v>
      </c>
      <c r="K42" s="17">
        <f>'Raw Financials'!K134</f>
        <v>-13055.7</v>
      </c>
      <c r="L42" s="17">
        <f>'Raw Financials'!L134</f>
        <v>-17767.2</v>
      </c>
      <c r="M42" s="17">
        <f>'Raw Financials'!M134</f>
        <v>-25984.1</v>
      </c>
      <c r="N42" s="29">
        <f>MIN(0,'BS Forecast Schedules'!D34)</f>
        <v>0</v>
      </c>
      <c r="O42" s="29">
        <f>MIN(0,'BS Forecast Schedules'!E34)</f>
        <v>0</v>
      </c>
      <c r="P42" s="29">
        <f>MIN(0,'BS Forecast Schedules'!F34)</f>
        <v>0</v>
      </c>
      <c r="Q42" s="29">
        <f>MIN(0,'BS Forecast Schedules'!G34)</f>
        <v>0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463</v>
      </c>
      <c r="B43" s="1" t="s">
        <v>42</v>
      </c>
      <c r="C43" s="17">
        <f>0</f>
        <v>0</v>
      </c>
      <c r="D43" s="17">
        <f>0</f>
        <v>0</v>
      </c>
      <c r="E43" s="17">
        <f>0</f>
        <v>0</v>
      </c>
      <c r="F43" s="17">
        <f>0</f>
        <v>0</v>
      </c>
      <c r="G43" s="17">
        <f>0</f>
        <v>0</v>
      </c>
      <c r="H43" s="17">
        <f>0</f>
        <v>0</v>
      </c>
      <c r="I43" s="17">
        <f>0</f>
        <v>0</v>
      </c>
      <c r="J43" s="17">
        <f>0</f>
        <v>0</v>
      </c>
      <c r="K43" s="17">
        <f>0</f>
        <v>0</v>
      </c>
      <c r="L43" s="17">
        <f>0</f>
        <v>0</v>
      </c>
      <c r="M43" s="17">
        <f>0</f>
        <v>0</v>
      </c>
      <c r="N43" s="29">
        <f>0</f>
        <v>0</v>
      </c>
      <c r="O43" s="29">
        <f>0</f>
        <v>0</v>
      </c>
      <c r="P43" s="29">
        <f>0</f>
        <v>0</v>
      </c>
      <c r="Q43" s="29">
        <f>0</f>
        <v>0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 t="s">
        <v>464</v>
      </c>
      <c r="B44" s="1" t="s">
        <v>42</v>
      </c>
      <c r="C44" s="17">
        <f>'Raw Financials'!C135</f>
        <v>0</v>
      </c>
      <c r="D44" s="17">
        <f>'Raw Financials'!D135</f>
        <v>0</v>
      </c>
      <c r="E44" s="17">
        <f>'Raw Financials'!E135</f>
        <v>0</v>
      </c>
      <c r="F44" s="17">
        <f>'Raw Financials'!F135</f>
        <v>0</v>
      </c>
      <c r="G44" s="17">
        <f>'Raw Financials'!G135</f>
        <v>-678.4</v>
      </c>
      <c r="H44" s="17">
        <f>'Raw Financials'!H135</f>
        <v>-866</v>
      </c>
      <c r="I44" s="17">
        <f>'Raw Financials'!I135</f>
        <v>-973</v>
      </c>
      <c r="J44" s="17">
        <f>'Raw Financials'!J135</f>
        <v>-971.1</v>
      </c>
      <c r="K44" s="17">
        <f>'Raw Financials'!K135</f>
        <v>-1006</v>
      </c>
      <c r="L44" s="17">
        <f>'Raw Financials'!L135</f>
        <v>-1047.4000000000001</v>
      </c>
      <c r="M44" s="17">
        <f>'Raw Financials'!M135</f>
        <v>-1156.0999999999999</v>
      </c>
      <c r="N44" s="29">
        <f>'BS Forecast Schedules'!D28</f>
        <v>-875.9</v>
      </c>
      <c r="O44" s="29">
        <f>'BS Forecast Schedules'!E28</f>
        <v>-943.20522354949787</v>
      </c>
      <c r="P44" s="29">
        <f>'BS Forecast Schedules'!F28</f>
        <v>-1010.9062266072686</v>
      </c>
      <c r="Q44" s="29">
        <f>'BS Forecast Schedules'!G28</f>
        <v>-1085.4710414783938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375</v>
      </c>
      <c r="B45" s="1" t="s">
        <v>42</v>
      </c>
      <c r="C45" s="17">
        <f>'Raw Financials'!C136</f>
        <v>-134.80000000000001</v>
      </c>
      <c r="D45" s="17">
        <f>'Raw Financials'!D136</f>
        <v>-199.9</v>
      </c>
      <c r="E45" s="17">
        <f>'Raw Financials'!E136</f>
        <v>-312.3</v>
      </c>
      <c r="F45" s="17">
        <f>'Raw Financials'!F136</f>
        <v>-479.6</v>
      </c>
      <c r="G45" s="17">
        <f>'Raw Financials'!G136</f>
        <v>-460.1</v>
      </c>
      <c r="H45" s="17">
        <f>'Raw Financials'!H136</f>
        <v>-333.5</v>
      </c>
      <c r="I45" s="17">
        <f>'Raw Financials'!I136</f>
        <v>-508.9</v>
      </c>
      <c r="J45" s="17">
        <f>'Raw Financials'!J136</f>
        <v>-870.8</v>
      </c>
      <c r="K45" s="17">
        <f>'Raw Financials'!K136</f>
        <v>-1045.5999999999999</v>
      </c>
      <c r="L45" s="17">
        <f>'Raw Financials'!L136</f>
        <v>-868.9</v>
      </c>
      <c r="M45" s="17">
        <f>'Raw Financials'!M136</f>
        <v>-633.6</v>
      </c>
      <c r="N45" s="29">
        <f>-'Annual P&amp;L'!N20</f>
        <v>-1420.3700000000001</v>
      </c>
      <c r="O45" s="29">
        <f>-'Annual P&amp;L'!O20</f>
        <v>-1439.2154625938595</v>
      </c>
      <c r="P45" s="29">
        <f>-'Annual P&amp;L'!P20</f>
        <v>-1458.1717434500356</v>
      </c>
      <c r="Q45" s="29">
        <f>-'Annual P&amp;L'!Q20</f>
        <v>-1479.0498916139506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 t="s">
        <v>376</v>
      </c>
      <c r="B46" s="1" t="s">
        <v>42</v>
      </c>
      <c r="C46" s="17">
        <f>'Raw Financials'!C137</f>
        <v>-3549.4</v>
      </c>
      <c r="D46" s="17">
        <f>'Raw Financials'!D137</f>
        <v>-873.4</v>
      </c>
      <c r="E46" s="17">
        <f>'Raw Financials'!E137</f>
        <v>-542</v>
      </c>
      <c r="F46" s="17">
        <f>'Raw Financials'!F137</f>
        <v>-450.4</v>
      </c>
      <c r="G46" s="17">
        <f>'Raw Financials'!G137</f>
        <v>-568.9</v>
      </c>
      <c r="H46" s="17">
        <f>'Raw Financials'!H137</f>
        <v>-545.9</v>
      </c>
      <c r="I46" s="17">
        <f>'Raw Financials'!I137</f>
        <v>-546.70000000000005</v>
      </c>
      <c r="J46" s="17">
        <f>'Raw Financials'!J137</f>
        <v>-3281.4</v>
      </c>
      <c r="K46" s="17">
        <f>'Raw Financials'!K137</f>
        <v>-521.79999999999995</v>
      </c>
      <c r="L46" s="17">
        <f>'Raw Financials'!L137</f>
        <v>-6275</v>
      </c>
      <c r="M46" s="17">
        <f>'Raw Financials'!M137</f>
        <v>-11520.6</v>
      </c>
      <c r="N46" s="29">
        <f>-'Annual P&amp;L'!N29*Assumptions!C46</f>
        <v>-10064.685825802353</v>
      </c>
      <c r="O46" s="29">
        <f>-'Annual P&amp;L'!O29*Assumptions!D46</f>
        <v>-10179.040721982285</v>
      </c>
      <c r="P46" s="29">
        <f>-'Annual P&amp;L'!P29*Assumptions!E46</f>
        <v>-10952.959800935962</v>
      </c>
      <c r="Q46" s="29">
        <f>-'Annual P&amp;L'!Q29*Assumptions!F46</f>
        <v>-12124.641920430291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 t="s">
        <v>212</v>
      </c>
      <c r="B47" s="1" t="s">
        <v>42</v>
      </c>
      <c r="C47" s="17">
        <f>'Raw Financials'!C138</f>
        <v>0</v>
      </c>
      <c r="D47" s="17">
        <f>'Raw Financials'!D138</f>
        <v>0</v>
      </c>
      <c r="E47" s="17">
        <f>'Raw Financials'!E138</f>
        <v>0</v>
      </c>
      <c r="F47" s="17">
        <f>'Raw Financials'!F138</f>
        <v>0</v>
      </c>
      <c r="G47" s="17">
        <f>'Raw Financials'!G138</f>
        <v>0</v>
      </c>
      <c r="H47" s="17">
        <f>'Raw Financials'!H138</f>
        <v>0</v>
      </c>
      <c r="I47" s="17">
        <f>'Raw Financials'!I138</f>
        <v>0</v>
      </c>
      <c r="J47" s="17">
        <f>'Raw Financials'!J138</f>
        <v>0</v>
      </c>
      <c r="K47" s="17">
        <f>'Raw Financials'!K138</f>
        <v>0</v>
      </c>
      <c r="L47" s="17">
        <f>'Raw Financials'!L138</f>
        <v>0</v>
      </c>
      <c r="M47" s="17">
        <f>'Raw Financials'!M138</f>
        <v>0</v>
      </c>
      <c r="N47" s="29">
        <f>-Assumptions!C47</f>
        <v>-15000</v>
      </c>
      <c r="O47" s="29">
        <f>-Assumptions!D47</f>
        <v>0</v>
      </c>
      <c r="P47" s="29">
        <f>-Assumptions!E47</f>
        <v>0</v>
      </c>
      <c r="Q47" s="29">
        <f>-Assumptions!F47</f>
        <v>0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 t="s">
        <v>465</v>
      </c>
      <c r="B48" s="1" t="s">
        <v>42</v>
      </c>
      <c r="C48" s="17">
        <f>0</f>
        <v>0</v>
      </c>
      <c r="D48" s="17">
        <f>0</f>
        <v>0</v>
      </c>
      <c r="E48" s="17">
        <f>0</f>
        <v>0</v>
      </c>
      <c r="F48" s="17">
        <f>0</f>
        <v>0</v>
      </c>
      <c r="G48" s="17">
        <f>0</f>
        <v>0</v>
      </c>
      <c r="H48" s="17">
        <f>0</f>
        <v>0</v>
      </c>
      <c r="I48" s="17">
        <f>0</f>
        <v>0</v>
      </c>
      <c r="J48" s="17">
        <f>0</f>
        <v>0</v>
      </c>
      <c r="K48" s="17">
        <f>0</f>
        <v>0</v>
      </c>
      <c r="L48" s="17">
        <f>0</f>
        <v>0</v>
      </c>
      <c r="M48" s="17">
        <f>0</f>
        <v>0</v>
      </c>
      <c r="N48" s="29">
        <f>0</f>
        <v>0</v>
      </c>
      <c r="O48" s="29">
        <f>0</f>
        <v>0</v>
      </c>
      <c r="P48" s="29">
        <f>0</f>
        <v>0</v>
      </c>
      <c r="Q48" s="29">
        <f>0</f>
        <v>0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 t="s">
        <v>466</v>
      </c>
      <c r="B49" s="1" t="s">
        <v>42</v>
      </c>
      <c r="C49" s="17">
        <f t="shared" ref="C49:M49" si="3">C50-SUM(C40:C48)</f>
        <v>-3.3537617127876729E-12</v>
      </c>
      <c r="D49" s="17">
        <f t="shared" si="3"/>
        <v>-2513.8000000000011</v>
      </c>
      <c r="E49" s="17">
        <f t="shared" si="3"/>
        <v>-11047.6</v>
      </c>
      <c r="F49" s="17">
        <f t="shared" si="3"/>
        <v>-119.5</v>
      </c>
      <c r="G49" s="17">
        <f t="shared" si="3"/>
        <v>-10790</v>
      </c>
      <c r="H49" s="17">
        <f t="shared" si="3"/>
        <v>-11760.4</v>
      </c>
      <c r="I49" s="17">
        <f t="shared" si="3"/>
        <v>-144.39999999999873</v>
      </c>
      <c r="J49" s="17">
        <f t="shared" si="3"/>
        <v>-178.40000000000146</v>
      </c>
      <c r="K49" s="17">
        <f t="shared" si="3"/>
        <v>-14678.9</v>
      </c>
      <c r="L49" s="17">
        <f t="shared" si="3"/>
        <v>0</v>
      </c>
      <c r="M49" s="17">
        <f t="shared" si="3"/>
        <v>-143.80000000000291</v>
      </c>
      <c r="N49" s="29">
        <f>0</f>
        <v>0</v>
      </c>
      <c r="O49" s="29">
        <f>0</f>
        <v>0</v>
      </c>
      <c r="P49" s="29">
        <f>0</f>
        <v>0</v>
      </c>
      <c r="Q49" s="29">
        <f>0</f>
        <v>0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21" t="s">
        <v>467</v>
      </c>
      <c r="B50" s="19" t="s">
        <v>42</v>
      </c>
      <c r="C50" s="20">
        <f>'Raw Financials'!C139</f>
        <v>-158.69999999999999</v>
      </c>
      <c r="D50" s="20">
        <f>'Raw Financials'!D139</f>
        <v>-2275.1999999999998</v>
      </c>
      <c r="E50" s="20">
        <f>'Raw Financials'!E139</f>
        <v>-12997.8</v>
      </c>
      <c r="F50" s="20">
        <f>'Raw Financials'!F139</f>
        <v>-4936.8999999999996</v>
      </c>
      <c r="G50" s="20">
        <f>'Raw Financials'!G139</f>
        <v>-15099.8</v>
      </c>
      <c r="H50" s="20">
        <f>'Raw Financials'!H139</f>
        <v>-12884</v>
      </c>
      <c r="I50" s="20">
        <f>'Raw Financials'!I139</f>
        <v>4658.6000000000004</v>
      </c>
      <c r="J50" s="20">
        <f>'Raw Financials'!J139</f>
        <v>-6088.1</v>
      </c>
      <c r="K50" s="20">
        <f>'Raw Financials'!K139</f>
        <v>-18256.7</v>
      </c>
      <c r="L50" s="20">
        <f>'Raw Financials'!L139</f>
        <v>-6396.3</v>
      </c>
      <c r="M50" s="20">
        <f>'Raw Financials'!M139</f>
        <v>-14126</v>
      </c>
      <c r="N50" s="27">
        <f>SUM(N40:N49)</f>
        <v>-27360.955825802354</v>
      </c>
      <c r="O50" s="27">
        <f>SUM(O40:O49)</f>
        <v>-12561.461408125642</v>
      </c>
      <c r="P50" s="27">
        <f>SUM(P40:P49)</f>
        <v>-13422.037770993265</v>
      </c>
      <c r="Q50" s="27">
        <f>SUM(Q40:Q49)</f>
        <v>-14689.162853522635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21" t="s">
        <v>468</v>
      </c>
      <c r="B51" s="19" t="s">
        <v>42</v>
      </c>
      <c r="C51" s="20">
        <f t="shared" ref="C51:Q51" si="4">SUM(C29,C39,C50)</f>
        <v>-6087</v>
      </c>
      <c r="D51" s="20">
        <f t="shared" si="4"/>
        <v>-4626.2</v>
      </c>
      <c r="E51" s="20">
        <f t="shared" si="4"/>
        <v>-1016.7000000000007</v>
      </c>
      <c r="F51" s="20">
        <f t="shared" si="4"/>
        <v>11707.300000000001</v>
      </c>
      <c r="G51" s="20">
        <f t="shared" si="4"/>
        <v>-1634.2999999999993</v>
      </c>
      <c r="H51" s="20">
        <f t="shared" si="4"/>
        <v>2644.8999999999996</v>
      </c>
      <c r="I51" s="20">
        <f t="shared" si="4"/>
        <v>-6711.1999999999989</v>
      </c>
      <c r="J51" s="20">
        <f t="shared" si="4"/>
        <v>-1434.5</v>
      </c>
      <c r="K51" s="20">
        <f t="shared" si="4"/>
        <v>532.89999999999782</v>
      </c>
      <c r="L51" s="20">
        <f t="shared" si="4"/>
        <v>2473.2999999999984</v>
      </c>
      <c r="M51" s="20">
        <f t="shared" si="4"/>
        <v>-2536.7000000000007</v>
      </c>
      <c r="N51" s="27">
        <f t="shared" si="4"/>
        <v>-4590.5173552745218</v>
      </c>
      <c r="O51" s="27">
        <f t="shared" si="4"/>
        <v>4440.1667871467889</v>
      </c>
      <c r="P51" s="27">
        <f t="shared" si="4"/>
        <v>4642.4501357025729</v>
      </c>
      <c r="Q51" s="27">
        <f t="shared" si="4"/>
        <v>4845.4388741393286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 t="s">
        <v>378</v>
      </c>
      <c r="B52" s="1" t="s">
        <v>42</v>
      </c>
      <c r="C52" s="17">
        <f>'Raw Financials'!C140</f>
        <v>54.9</v>
      </c>
      <c r="D52" s="17">
        <f>'Raw Financials'!D140</f>
        <v>-141.19999999999999</v>
      </c>
      <c r="E52" s="17">
        <f>'Raw Financials'!E140</f>
        <v>37.5</v>
      </c>
      <c r="F52" s="17">
        <f>'Raw Financials'!F140</f>
        <v>52.6</v>
      </c>
      <c r="G52" s="17">
        <f>'Raw Financials'!G140</f>
        <v>192.2</v>
      </c>
      <c r="H52" s="17">
        <f>'Raw Financials'!H140</f>
        <v>-89</v>
      </c>
      <c r="I52" s="17">
        <f>'Raw Financials'!I140</f>
        <v>128.19999999999999</v>
      </c>
      <c r="J52" s="17">
        <f>'Raw Financials'!J140</f>
        <v>237.3</v>
      </c>
      <c r="K52" s="17">
        <f>'Raw Financials'!K140</f>
        <v>-23.9</v>
      </c>
      <c r="L52" s="17">
        <f>'Raw Financials'!L140</f>
        <v>29</v>
      </c>
      <c r="M52" s="17">
        <f>'Raw Financials'!M140</f>
        <v>894.8</v>
      </c>
      <c r="N52" s="29">
        <f>Assumptions!C57</f>
        <v>0</v>
      </c>
      <c r="O52" s="29">
        <f>Assumptions!D57</f>
        <v>0</v>
      </c>
      <c r="P52" s="29">
        <f>Assumptions!E57</f>
        <v>0</v>
      </c>
      <c r="Q52" s="29">
        <f>Assumptions!F57</f>
        <v>0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 t="s">
        <v>469</v>
      </c>
      <c r="B53" s="1" t="s">
        <v>42</v>
      </c>
      <c r="C53" s="17">
        <f t="shared" ref="C53:M53" si="5">C56-C55-C51-C52</f>
        <v>15937</v>
      </c>
      <c r="D53" s="17">
        <f t="shared" si="5"/>
        <v>133.50000000000017</v>
      </c>
      <c r="E53" s="17">
        <f t="shared" si="5"/>
        <v>200.70000000000073</v>
      </c>
      <c r="F53" s="17">
        <f t="shared" si="5"/>
        <v>-399.50000000000148</v>
      </c>
      <c r="G53" s="17">
        <f t="shared" si="5"/>
        <v>39.099999999999284</v>
      </c>
      <c r="H53" s="17">
        <f t="shared" si="5"/>
        <v>-26.5</v>
      </c>
      <c r="I53" s="17">
        <f t="shared" si="5"/>
        <v>-12.699999999999989</v>
      </c>
      <c r="J53" s="17">
        <f t="shared" si="5"/>
        <v>1.5999999999996248</v>
      </c>
      <c r="K53" s="17">
        <f t="shared" si="5"/>
        <v>-1.6999999999985462</v>
      </c>
      <c r="L53" s="17">
        <f t="shared" si="5"/>
        <v>-0.19999999999799911</v>
      </c>
      <c r="M53" s="17">
        <f t="shared" si="5"/>
        <v>1.1368683772161603E-12</v>
      </c>
      <c r="N53" s="29">
        <f>0</f>
        <v>0</v>
      </c>
      <c r="O53" s="29">
        <f>0</f>
        <v>0</v>
      </c>
      <c r="P53" s="29">
        <f>0</f>
        <v>0</v>
      </c>
      <c r="Q53" s="29">
        <f>0</f>
        <v>0</v>
      </c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21" t="s">
        <v>470</v>
      </c>
      <c r="B54" s="19" t="s">
        <v>42</v>
      </c>
      <c r="C54" s="20">
        <f t="shared" ref="C54:Q54" si="6">SUM(C51:C53)</f>
        <v>9904.9</v>
      </c>
      <c r="D54" s="20">
        <f t="shared" si="6"/>
        <v>-4633.8999999999996</v>
      </c>
      <c r="E54" s="20">
        <f t="shared" si="6"/>
        <v>-778.5</v>
      </c>
      <c r="F54" s="20">
        <f t="shared" si="6"/>
        <v>11360.4</v>
      </c>
      <c r="G54" s="20">
        <f t="shared" si="6"/>
        <v>-1403</v>
      </c>
      <c r="H54" s="20">
        <f t="shared" si="6"/>
        <v>2529.3999999999996</v>
      </c>
      <c r="I54" s="20">
        <f t="shared" si="6"/>
        <v>-6595.6999999999989</v>
      </c>
      <c r="J54" s="20">
        <f t="shared" si="6"/>
        <v>-1195.6000000000004</v>
      </c>
      <c r="K54" s="20">
        <f t="shared" si="6"/>
        <v>507.29999999999927</v>
      </c>
      <c r="L54" s="20">
        <f t="shared" si="6"/>
        <v>2502.1000000000004</v>
      </c>
      <c r="M54" s="20">
        <f t="shared" si="6"/>
        <v>-1641.8999999999996</v>
      </c>
      <c r="N54" s="27">
        <f t="shared" si="6"/>
        <v>-4590.5173552745218</v>
      </c>
      <c r="O54" s="27">
        <f t="shared" si="6"/>
        <v>4440.1667871467889</v>
      </c>
      <c r="P54" s="27">
        <f t="shared" si="6"/>
        <v>4642.4501357025729</v>
      </c>
      <c r="Q54" s="27">
        <f t="shared" si="6"/>
        <v>4845.4388741393286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 t="s">
        <v>379</v>
      </c>
      <c r="B55" s="1" t="s">
        <v>42</v>
      </c>
      <c r="C55" s="17">
        <f>'Raw Financials'!C141</f>
        <v>0</v>
      </c>
      <c r="D55" s="17">
        <f>'Raw Financials'!D141</f>
        <v>9904.9</v>
      </c>
      <c r="E55" s="17">
        <f>'Raw Financials'!E141</f>
        <v>5271</v>
      </c>
      <c r="F55" s="17">
        <f>'Raw Financials'!F141</f>
        <v>4492.5</v>
      </c>
      <c r="G55" s="17">
        <f>'Raw Financials'!G141</f>
        <v>15852.9</v>
      </c>
      <c r="H55" s="17">
        <f>'Raw Financials'!H141</f>
        <v>14449.9</v>
      </c>
      <c r="I55" s="17">
        <f>'Raw Financials'!I141</f>
        <v>16979.3</v>
      </c>
      <c r="J55" s="17">
        <f>'Raw Financials'!J141</f>
        <v>10383.6</v>
      </c>
      <c r="K55" s="17">
        <f>'Raw Financials'!K141</f>
        <v>9188</v>
      </c>
      <c r="L55" s="17">
        <f>'Raw Financials'!L141</f>
        <v>9695.2999999999993</v>
      </c>
      <c r="M55" s="17">
        <f>'Raw Financials'!M141</f>
        <v>12197.4</v>
      </c>
      <c r="N55" s="29">
        <f>M56</f>
        <v>10555.5</v>
      </c>
      <c r="O55" s="29">
        <f>N56</f>
        <v>5964.9826447254782</v>
      </c>
      <c r="P55" s="29">
        <f>O56</f>
        <v>10405.149431872267</v>
      </c>
      <c r="Q55" s="29">
        <f>P56</f>
        <v>15047.59956757484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21" t="s">
        <v>380</v>
      </c>
      <c r="B56" s="19" t="s">
        <v>42</v>
      </c>
      <c r="C56" s="20">
        <f>'Raw Financials'!C142</f>
        <v>9904.9</v>
      </c>
      <c r="D56" s="20">
        <f>'Raw Financials'!D142</f>
        <v>5271</v>
      </c>
      <c r="E56" s="20">
        <f>'Raw Financials'!E142</f>
        <v>4492.5</v>
      </c>
      <c r="F56" s="20">
        <f>'Raw Financials'!F142</f>
        <v>15852.9</v>
      </c>
      <c r="G56" s="20">
        <f>'Raw Financials'!G142</f>
        <v>14449.9</v>
      </c>
      <c r="H56" s="20">
        <f>'Raw Financials'!H142</f>
        <v>16979.3</v>
      </c>
      <c r="I56" s="20">
        <f>'Raw Financials'!I142</f>
        <v>10383.6</v>
      </c>
      <c r="J56" s="20">
        <f>'Raw Financials'!J142</f>
        <v>9188</v>
      </c>
      <c r="K56" s="20">
        <f>'Raw Financials'!K142</f>
        <v>9695.2999999999993</v>
      </c>
      <c r="L56" s="20">
        <f>'Raw Financials'!L142</f>
        <v>12197.4</v>
      </c>
      <c r="M56" s="20">
        <f>'Raw Financials'!M142</f>
        <v>10555.5</v>
      </c>
      <c r="N56" s="27">
        <f>N55+N54</f>
        <v>5964.9826447254782</v>
      </c>
      <c r="O56" s="27">
        <f>O55+O54</f>
        <v>10405.149431872267</v>
      </c>
      <c r="P56" s="27">
        <f>P55+P54</f>
        <v>15047.59956757484</v>
      </c>
      <c r="Q56" s="27">
        <f>Q55+Q54</f>
        <v>19893.038441714169</v>
      </c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 t="s">
        <v>471</v>
      </c>
      <c r="B57" s="1" t="s">
        <v>42</v>
      </c>
      <c r="C57" s="17">
        <f>'Annual Balance Sheet'!C22</f>
        <v>9904.9</v>
      </c>
      <c r="D57" s="17">
        <f>'Annual Balance Sheet'!D22</f>
        <v>5271</v>
      </c>
      <c r="E57" s="17">
        <f>'Annual Balance Sheet'!E22</f>
        <v>4492.5</v>
      </c>
      <c r="F57" s="17">
        <f>'Annual Balance Sheet'!F22</f>
        <v>15852.9</v>
      </c>
      <c r="G57" s="17">
        <f>'Annual Balance Sheet'!G22</f>
        <v>14449.9</v>
      </c>
      <c r="H57" s="17">
        <f>'Annual Balance Sheet'!H22</f>
        <v>16979.3</v>
      </c>
      <c r="I57" s="17">
        <f>'Annual Balance Sheet'!I22</f>
        <v>10383.6</v>
      </c>
      <c r="J57" s="17">
        <f>'Annual Balance Sheet'!J22</f>
        <v>9188</v>
      </c>
      <c r="K57" s="17">
        <f>'Annual Balance Sheet'!K22</f>
        <v>9695.2999999999993</v>
      </c>
      <c r="L57" s="17">
        <f>'Annual Balance Sheet'!L22</f>
        <v>12197.4</v>
      </c>
      <c r="M57" s="17">
        <f>'Annual Balance Sheet'!M22</f>
        <v>10555.5</v>
      </c>
      <c r="N57" s="29">
        <f>'Annual Balance Sheet'!N22</f>
        <v>5964.9826447254745</v>
      </c>
      <c r="O57" s="29">
        <f>'Annual Balance Sheet'!O22</f>
        <v>10405.149431872267</v>
      </c>
      <c r="P57" s="29">
        <f>'Annual Balance Sheet'!P22</f>
        <v>15047.599567574838</v>
      </c>
      <c r="Q57" s="29">
        <f>'Annual Balance Sheet'!Q22</f>
        <v>19893.038441714161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 t="s">
        <v>472</v>
      </c>
      <c r="B58" s="1" t="s">
        <v>42</v>
      </c>
      <c r="C58" s="17">
        <f t="shared" ref="C58:Q58" si="7">C56-C57</f>
        <v>0</v>
      </c>
      <c r="D58" s="17">
        <f t="shared" si="7"/>
        <v>0</v>
      </c>
      <c r="E58" s="17">
        <f t="shared" si="7"/>
        <v>0</v>
      </c>
      <c r="F58" s="17">
        <f t="shared" si="7"/>
        <v>0</v>
      </c>
      <c r="G58" s="17">
        <f t="shared" si="7"/>
        <v>0</v>
      </c>
      <c r="H58" s="17">
        <f t="shared" si="7"/>
        <v>0</v>
      </c>
      <c r="I58" s="17">
        <f t="shared" si="7"/>
        <v>0</v>
      </c>
      <c r="J58" s="17">
        <f t="shared" si="7"/>
        <v>0</v>
      </c>
      <c r="K58" s="17">
        <f t="shared" si="7"/>
        <v>0</v>
      </c>
      <c r="L58" s="17">
        <f t="shared" si="7"/>
        <v>0</v>
      </c>
      <c r="M58" s="17">
        <f t="shared" si="7"/>
        <v>0</v>
      </c>
      <c r="N58" s="29">
        <f t="shared" si="7"/>
        <v>0</v>
      </c>
      <c r="O58" s="29">
        <f t="shared" si="7"/>
        <v>0</v>
      </c>
      <c r="P58" s="29">
        <f t="shared" si="7"/>
        <v>0</v>
      </c>
      <c r="Q58" s="29">
        <f t="shared" si="7"/>
        <v>0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21" t="s">
        <v>55</v>
      </c>
      <c r="B59" s="19" t="s">
        <v>42</v>
      </c>
      <c r="C59" s="20">
        <f t="shared" ref="C59:Q59" si="8">C29+C31</f>
        <v>6492.2000000000007</v>
      </c>
      <c r="D59" s="20">
        <f t="shared" si="8"/>
        <v>7191.9999999999991</v>
      </c>
      <c r="E59" s="20">
        <f t="shared" si="8"/>
        <v>6236.2999999999993</v>
      </c>
      <c r="F59" s="20">
        <f t="shared" si="8"/>
        <v>9353.5</v>
      </c>
      <c r="G59" s="20">
        <f t="shared" si="8"/>
        <v>7714.5999999999995</v>
      </c>
      <c r="H59" s="20">
        <f t="shared" si="8"/>
        <v>12797.3</v>
      </c>
      <c r="I59" s="20">
        <f t="shared" si="8"/>
        <v>9064.4000000000015</v>
      </c>
      <c r="J59" s="20">
        <f t="shared" si="8"/>
        <v>11576.7</v>
      </c>
      <c r="K59" s="20">
        <f t="shared" si="8"/>
        <v>16570.599999999999</v>
      </c>
      <c r="L59" s="20">
        <f t="shared" si="8"/>
        <v>15468.899999999998</v>
      </c>
      <c r="M59" s="20">
        <f t="shared" si="8"/>
        <v>13371.300000000001</v>
      </c>
      <c r="N59" s="27">
        <f t="shared" si="8"/>
        <v>17562.47659112086</v>
      </c>
      <c r="O59" s="27">
        <f t="shared" si="8"/>
        <v>14560.218498611281</v>
      </c>
      <c r="P59" s="27">
        <f t="shared" si="8"/>
        <v>16149.471693137204</v>
      </c>
      <c r="Q59" s="27">
        <f t="shared" si="8"/>
        <v>17683.6897272565</v>
      </c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 t="s">
        <v>473</v>
      </c>
      <c r="B60" s="1" t="s">
        <v>44</v>
      </c>
      <c r="C60" s="18">
        <f>IFERROR(C59/'Annual P&amp;L'!C7,"")</f>
        <v>0.12669190539380221</v>
      </c>
      <c r="D60" s="18">
        <f>IFERROR(D59/'Annual P&amp;L'!D7,"")</f>
        <v>0.13066812983964446</v>
      </c>
      <c r="E60" s="18">
        <f>IFERROR(E59/'Annual P&amp;L'!E7,"")</f>
        <v>0.11445461402790752</v>
      </c>
      <c r="F60" s="18">
        <f>IFERROR(F59/'Annual P&amp;L'!F7,"")</f>
        <v>0.1596582713857761</v>
      </c>
      <c r="G60" s="18">
        <f>IFERROR(G59/'Annual P&amp;L'!G7,"")</f>
        <v>0.12642077111655894</v>
      </c>
      <c r="H60" s="18">
        <f>IFERROR(H59/'Annual P&amp;L'!H7,"")</f>
        <v>0.20659800138837317</v>
      </c>
      <c r="I60" s="18">
        <f>IFERROR(I59/'Annual P&amp;L'!I7,"")</f>
        <v>0.11460374696245201</v>
      </c>
      <c r="J60" s="18">
        <f>IFERROR(J59/'Annual P&amp;L'!J7,"")</f>
        <v>0.12793686648778396</v>
      </c>
      <c r="K60" s="18">
        <f>IFERROR(K59/'Annual P&amp;L'!K7,"")</f>
        <v>0.18460945429103956</v>
      </c>
      <c r="L60" s="18">
        <f>IFERROR(L59/'Annual P&amp;L'!L7,"")</f>
        <v>0.17363540034392805</v>
      </c>
      <c r="M60" s="18">
        <f>IFERROR(M59/'Annual P&amp;L'!M7,"")</f>
        <v>0.14436107272413198</v>
      </c>
      <c r="N60" s="26">
        <f>IFERROR(N59/'Annual P&amp;L'!N7,"")</f>
        <v>0.18404145812137426</v>
      </c>
      <c r="O60" s="26">
        <f>IFERROR(O59/'Annual P&amp;L'!O7,"")</f>
        <v>0.14392198743940574</v>
      </c>
      <c r="P60" s="26">
        <f>IFERROR(P59/'Annual P&amp;L'!P7,"")</f>
        <v>0.14802839089210607</v>
      </c>
      <c r="Q60" s="26">
        <f>IFERROR(Q59/'Annual P&amp;L'!Q7,"")</f>
        <v>0.14937703989590098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 t="s">
        <v>210</v>
      </c>
      <c r="B61" s="1" t="s">
        <v>44</v>
      </c>
      <c r="C61" s="18">
        <f>IFERROR(-C46/'Annual P&amp;L'!C29,"")</f>
        <v>0.39847319674431658</v>
      </c>
      <c r="D61" s="18">
        <f>IFERROR(-D46/'Annual P&amp;L'!D29,"")</f>
        <v>0.10288002827021615</v>
      </c>
      <c r="E61" s="18">
        <f>IFERROR(-E46/'Annual P&amp;L'!E29,"")</f>
        <v>6.7681472509084545E-2</v>
      </c>
      <c r="F61" s="18">
        <f>IFERROR(-F46/'Annual P&amp;L'!F29,"")</f>
        <v>5.0027212848907592E-2</v>
      </c>
      <c r="G61" s="18">
        <f>IFERROR(-G46/'Annual P&amp;L'!G29,"")</f>
        <v>5.8517969923265238E-2</v>
      </c>
      <c r="H61" s="18">
        <f>IFERROR(-H46/'Annual P&amp;L'!H29,"")</f>
        <v>5.0571582087339965E-2</v>
      </c>
      <c r="I61" s="18">
        <f>IFERROR(-I46/'Annual P&amp;L'!I29,"")</f>
        <v>4.4741429401510754E-2</v>
      </c>
      <c r="J61" s="18">
        <f>IFERROR(-J46/'Annual P&amp;L'!J29,"")</f>
        <v>0.28911013215859033</v>
      </c>
      <c r="K61" s="18">
        <f>IFERROR(-K46/'Annual P&amp;L'!K29,"")</f>
        <v>4.7242240973454523E-2</v>
      </c>
      <c r="L61" s="18">
        <f>IFERROR(-L46/'Annual P&amp;L'!L29,"")</f>
        <v>0.47771670447797554</v>
      </c>
      <c r="M61" s="18">
        <f>IFERROR(-M46/'Annual P&amp;L'!M29,"")</f>
        <v>0.87294467092002981</v>
      </c>
      <c r="N61" s="26">
        <f>IFERROR(-N46/'Annual P&amp;L'!N29,"")</f>
        <v>0.74999999999999989</v>
      </c>
      <c r="O61" s="26">
        <f>IFERROR(-O46/'Annual P&amp;L'!O29,"")</f>
        <v>0.72</v>
      </c>
      <c r="P61" s="26">
        <f>IFERROR(-P46/'Annual P&amp;L'!P29,"")</f>
        <v>0.7</v>
      </c>
      <c r="Q61" s="26">
        <f>IFERROR(-Q46/'Annual P&amp;L'!Q29,"")</f>
        <v>0.7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4"/>
      <c r="O62" s="24"/>
      <c r="P62" s="24"/>
      <c r="Q62" s="24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4"/>
      <c r="O63" s="24"/>
      <c r="P63" s="24"/>
      <c r="Q63" s="24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4"/>
      <c r="O64" s="24"/>
      <c r="P64" s="24"/>
      <c r="Q64" s="24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4"/>
      <c r="O65" s="24"/>
      <c r="P65" s="24"/>
      <c r="Q65" s="24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4"/>
      <c r="O66" s="24"/>
      <c r="P66" s="24"/>
      <c r="Q66" s="2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4"/>
      <c r="O67" s="24"/>
      <c r="P67" s="24"/>
      <c r="Q67" s="2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4"/>
      <c r="O68" s="24"/>
      <c r="P68" s="24"/>
      <c r="Q68" s="24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4"/>
      <c r="O69" s="24"/>
      <c r="P69" s="24"/>
      <c r="Q69" s="24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4"/>
      <c r="O70" s="24"/>
      <c r="P70" s="24"/>
      <c r="Q70" s="24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4"/>
      <c r="O71" s="24"/>
      <c r="P71" s="24"/>
      <c r="Q71" s="24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4"/>
      <c r="O72" s="24"/>
      <c r="P72" s="24"/>
      <c r="Q72" s="24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4"/>
      <c r="O73" s="24"/>
      <c r="P73" s="24"/>
      <c r="Q73" s="24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4"/>
      <c r="O74" s="24"/>
      <c r="P74" s="24"/>
      <c r="Q74" s="24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4"/>
      <c r="O75" s="24"/>
      <c r="P75" s="24"/>
      <c r="Q75" s="24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4"/>
      <c r="O76" s="24"/>
      <c r="P76" s="24"/>
      <c r="Q76" s="24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4"/>
      <c r="O77" s="24"/>
      <c r="P77" s="24"/>
      <c r="Q77" s="24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4"/>
      <c r="O78" s="24"/>
      <c r="P78" s="24"/>
      <c r="Q78" s="24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4"/>
      <c r="O79" s="24"/>
      <c r="P79" s="24"/>
      <c r="Q79" s="24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4"/>
      <c r="O80" s="24"/>
      <c r="P80" s="24"/>
      <c r="Q80" s="24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4"/>
      <c r="O81" s="24"/>
      <c r="P81" s="24"/>
      <c r="Q81" s="24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4"/>
      <c r="O82" s="24"/>
      <c r="P82" s="24"/>
      <c r="Q82" s="24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4"/>
      <c r="O83" s="24"/>
      <c r="P83" s="24"/>
      <c r="Q83" s="24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4"/>
      <c r="O88" s="24"/>
      <c r="P88" s="24"/>
      <c r="Q88" s="24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4"/>
      <c r="O89" s="24"/>
      <c r="P89" s="24"/>
      <c r="Q89" s="24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4"/>
      <c r="O90" s="24"/>
      <c r="P90" s="24"/>
      <c r="Q90" s="24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4"/>
      <c r="O91" s="24"/>
      <c r="P91" s="24"/>
      <c r="Q91" s="24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4"/>
      <c r="O92" s="24"/>
      <c r="P92" s="24"/>
      <c r="Q92" s="24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4"/>
      <c r="O93" s="24"/>
      <c r="P93" s="24"/>
      <c r="Q93" s="24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4"/>
      <c r="O94" s="24"/>
      <c r="P94" s="24"/>
      <c r="Q94" s="24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4"/>
      <c r="O95" s="24"/>
      <c r="P95" s="24"/>
      <c r="Q95" s="24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4"/>
      <c r="O96" s="24"/>
      <c r="P96" s="24"/>
      <c r="Q96" s="24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4"/>
      <c r="O97" s="24"/>
      <c r="P97" s="24"/>
      <c r="Q97" s="24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4"/>
      <c r="O98" s="24"/>
      <c r="P98" s="24"/>
      <c r="Q98" s="24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4"/>
      <c r="O99" s="24"/>
      <c r="P99" s="24"/>
      <c r="Q99" s="24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4"/>
      <c r="O100" s="24"/>
      <c r="P100" s="24"/>
      <c r="Q100" s="24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4"/>
      <c r="O101" s="24"/>
      <c r="P101" s="24"/>
      <c r="Q101" s="24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4"/>
      <c r="O102" s="24"/>
      <c r="P102" s="24"/>
      <c r="Q102" s="24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4"/>
      <c r="O103" s="24"/>
      <c r="P103" s="24"/>
      <c r="Q103" s="24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4"/>
      <c r="O104" s="24"/>
      <c r="P104" s="24"/>
      <c r="Q104" s="24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4"/>
      <c r="O105" s="24"/>
      <c r="P105" s="24"/>
      <c r="Q105" s="24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4"/>
      <c r="O106" s="24"/>
      <c r="P106" s="24"/>
      <c r="Q106" s="24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4"/>
      <c r="O107" s="24"/>
      <c r="P107" s="24"/>
      <c r="Q107" s="24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4"/>
      <c r="O108" s="24"/>
      <c r="P108" s="24"/>
      <c r="Q108" s="24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4"/>
      <c r="O109" s="24"/>
      <c r="P109" s="24"/>
      <c r="Q109" s="24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4"/>
      <c r="O110" s="24"/>
      <c r="P110" s="24"/>
      <c r="Q110" s="24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4"/>
      <c r="O111" s="24"/>
      <c r="P111" s="24"/>
      <c r="Q111" s="24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4"/>
      <c r="O112" s="24"/>
      <c r="P112" s="24"/>
      <c r="Q112" s="24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4"/>
      <c r="O113" s="24"/>
      <c r="P113" s="24"/>
      <c r="Q113" s="24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4"/>
      <c r="O114" s="24"/>
      <c r="P114" s="24"/>
      <c r="Q114" s="24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4"/>
      <c r="O115" s="24"/>
      <c r="P115" s="24"/>
      <c r="Q115" s="24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4"/>
      <c r="O116" s="24"/>
      <c r="P116" s="24"/>
      <c r="Q116" s="24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4"/>
      <c r="O117" s="24"/>
      <c r="P117" s="24"/>
      <c r="Q117" s="24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4"/>
      <c r="O118" s="24"/>
      <c r="P118" s="24"/>
      <c r="Q118" s="24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4"/>
      <c r="O119" s="24"/>
      <c r="P119" s="24"/>
      <c r="Q119" s="24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4"/>
      <c r="O120" s="24"/>
      <c r="P120" s="24"/>
      <c r="Q120" s="24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4"/>
      <c r="O121" s="24"/>
      <c r="P121" s="24"/>
      <c r="Q121" s="24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4"/>
      <c r="O122" s="24"/>
      <c r="P122" s="24"/>
      <c r="Q122" s="24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4"/>
      <c r="O123" s="24"/>
      <c r="P123" s="24"/>
      <c r="Q123" s="24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4"/>
      <c r="O124" s="24"/>
      <c r="P124" s="24"/>
      <c r="Q124" s="24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4"/>
      <c r="O125" s="24"/>
      <c r="P125" s="24"/>
      <c r="Q125" s="24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4"/>
      <c r="O126" s="24"/>
      <c r="P126" s="24"/>
      <c r="Q126" s="24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4"/>
      <c r="O127" s="24"/>
      <c r="P127" s="24"/>
      <c r="Q127" s="24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4"/>
      <c r="O128" s="24"/>
      <c r="P128" s="24"/>
      <c r="Q128" s="24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4"/>
      <c r="O129" s="24"/>
      <c r="P129" s="24"/>
      <c r="Q129" s="24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4"/>
      <c r="O130" s="24"/>
      <c r="P130" s="24"/>
      <c r="Q130" s="24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4"/>
      <c r="O131" s="24"/>
      <c r="P131" s="24"/>
      <c r="Q131" s="24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4"/>
      <c r="O132" s="24"/>
      <c r="P132" s="24"/>
      <c r="Q132" s="24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4"/>
      <c r="O133" s="24"/>
      <c r="P133" s="24"/>
      <c r="Q133" s="24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4"/>
      <c r="O134" s="24"/>
      <c r="P134" s="24"/>
      <c r="Q134" s="24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4"/>
      <c r="O135" s="24"/>
      <c r="P135" s="24"/>
      <c r="Q135" s="24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4"/>
      <c r="O136" s="24"/>
      <c r="P136" s="24"/>
      <c r="Q136" s="24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4"/>
      <c r="O137" s="24"/>
      <c r="P137" s="24"/>
      <c r="Q137" s="24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4"/>
      <c r="O138" s="24"/>
      <c r="P138" s="24"/>
      <c r="Q138" s="24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4"/>
      <c r="O139" s="24"/>
      <c r="P139" s="24"/>
      <c r="Q139" s="24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4"/>
      <c r="O140" s="24"/>
      <c r="P140" s="24"/>
      <c r="Q140" s="24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4"/>
      <c r="O141" s="24"/>
      <c r="P141" s="24"/>
      <c r="Q141" s="24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4"/>
      <c r="O142" s="24"/>
      <c r="P142" s="24"/>
      <c r="Q142" s="24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4"/>
      <c r="O143" s="24"/>
      <c r="P143" s="24"/>
      <c r="Q143" s="24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4"/>
      <c r="O144" s="24"/>
      <c r="P144" s="24"/>
      <c r="Q144" s="24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4"/>
      <c r="O145" s="24"/>
      <c r="P145" s="24"/>
      <c r="Q145" s="24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4"/>
      <c r="O146" s="24"/>
      <c r="P146" s="24"/>
      <c r="Q146" s="24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4"/>
      <c r="O147" s="24"/>
      <c r="P147" s="24"/>
      <c r="Q147" s="24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4"/>
      <c r="O148" s="24"/>
      <c r="P148" s="24"/>
      <c r="Q148" s="24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4"/>
      <c r="O149" s="24"/>
      <c r="P149" s="24"/>
      <c r="Q149" s="24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4"/>
      <c r="O150" s="24"/>
      <c r="P150" s="24"/>
      <c r="Q150" s="24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4"/>
      <c r="O151" s="24"/>
      <c r="P151" s="24"/>
      <c r="Q151" s="24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4"/>
      <c r="O152" s="24"/>
      <c r="P152" s="24"/>
      <c r="Q152" s="24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4"/>
      <c r="O153" s="24"/>
      <c r="P153" s="24"/>
      <c r="Q153" s="24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4"/>
      <c r="O154" s="24"/>
      <c r="P154" s="24"/>
      <c r="Q154" s="24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4"/>
      <c r="O155" s="24"/>
      <c r="P155" s="24"/>
      <c r="Q155" s="24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4"/>
      <c r="O156" s="24"/>
      <c r="P156" s="24"/>
      <c r="Q156" s="24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4"/>
      <c r="O157" s="24"/>
      <c r="P157" s="24"/>
      <c r="Q157" s="24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4"/>
      <c r="O158" s="24"/>
      <c r="P158" s="24"/>
      <c r="Q158" s="24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4"/>
      <c r="O159" s="24"/>
      <c r="P159" s="24"/>
      <c r="Q159" s="24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4"/>
      <c r="O160" s="24"/>
      <c r="P160" s="24"/>
      <c r="Q160" s="24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4"/>
      <c r="O161" s="24"/>
      <c r="P161" s="24"/>
      <c r="Q161" s="24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4"/>
      <c r="O162" s="24"/>
      <c r="P162" s="24"/>
      <c r="Q162" s="24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4"/>
      <c r="O163" s="24"/>
      <c r="P163" s="24"/>
      <c r="Q163" s="24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4"/>
      <c r="O164" s="24"/>
      <c r="P164" s="24"/>
      <c r="Q164" s="24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4"/>
      <c r="O165" s="24"/>
      <c r="P165" s="24"/>
      <c r="Q165" s="24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4"/>
      <c r="O166" s="24"/>
      <c r="P166" s="24"/>
      <c r="Q166" s="24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4"/>
      <c r="O167" s="24"/>
      <c r="P167" s="24"/>
      <c r="Q167" s="24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4"/>
      <c r="O168" s="24"/>
      <c r="P168" s="24"/>
      <c r="Q168" s="24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4"/>
      <c r="O169" s="24"/>
      <c r="P169" s="24"/>
      <c r="Q169" s="24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4"/>
      <c r="O170" s="24"/>
      <c r="P170" s="24"/>
      <c r="Q170" s="24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4"/>
      <c r="O171" s="24"/>
      <c r="P171" s="24"/>
      <c r="Q171" s="24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4"/>
      <c r="O172" s="24"/>
      <c r="P172" s="24"/>
      <c r="Q172" s="24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4"/>
      <c r="O173" s="24"/>
      <c r="P173" s="24"/>
      <c r="Q173" s="24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4"/>
      <c r="O174" s="24"/>
      <c r="P174" s="24"/>
      <c r="Q174" s="24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4"/>
      <c r="O175" s="24"/>
      <c r="P175" s="24"/>
      <c r="Q175" s="24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4"/>
      <c r="O176" s="24"/>
      <c r="P176" s="24"/>
      <c r="Q176" s="24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4"/>
      <c r="O177" s="24"/>
      <c r="P177" s="24"/>
      <c r="Q177" s="24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4"/>
      <c r="O178" s="24"/>
      <c r="P178" s="24"/>
      <c r="Q178" s="24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4"/>
      <c r="O179" s="24"/>
      <c r="P179" s="24"/>
      <c r="Q179" s="24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4"/>
      <c r="O180" s="24"/>
      <c r="P180" s="24"/>
      <c r="Q180" s="24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4"/>
      <c r="O181" s="24"/>
      <c r="P181" s="24"/>
      <c r="Q181" s="24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4"/>
      <c r="O182" s="24"/>
      <c r="P182" s="24"/>
      <c r="Q182" s="24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4"/>
      <c r="O183" s="24"/>
      <c r="P183" s="24"/>
      <c r="Q183" s="24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4"/>
      <c r="O184" s="24"/>
      <c r="P184" s="24"/>
      <c r="Q184" s="24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4"/>
      <c r="O185" s="24"/>
      <c r="P185" s="24"/>
      <c r="Q185" s="24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4"/>
      <c r="O186" s="24"/>
      <c r="P186" s="24"/>
      <c r="Q186" s="24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4"/>
      <c r="O187" s="24"/>
      <c r="P187" s="24"/>
      <c r="Q187" s="24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4"/>
      <c r="O188" s="24"/>
      <c r="P188" s="24"/>
      <c r="Q188" s="24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4"/>
      <c r="O189" s="24"/>
      <c r="P189" s="24"/>
      <c r="Q189" s="24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4"/>
      <c r="O190" s="24"/>
      <c r="P190" s="24"/>
      <c r="Q190" s="24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4"/>
      <c r="O191" s="24"/>
      <c r="P191" s="24"/>
      <c r="Q191" s="24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4"/>
      <c r="O192" s="24"/>
      <c r="P192" s="24"/>
      <c r="Q192" s="24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4"/>
      <c r="O193" s="24"/>
      <c r="P193" s="24"/>
      <c r="Q193" s="24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4"/>
      <c r="O194" s="24"/>
      <c r="P194" s="24"/>
      <c r="Q194" s="24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4"/>
      <c r="O195" s="24"/>
      <c r="P195" s="24"/>
      <c r="Q195" s="24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4"/>
      <c r="O196" s="24"/>
      <c r="P196" s="24"/>
      <c r="Q196" s="24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4"/>
      <c r="O197" s="24"/>
      <c r="P197" s="24"/>
      <c r="Q197" s="24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4"/>
      <c r="O198" s="24"/>
      <c r="P198" s="24"/>
      <c r="Q198" s="24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4"/>
      <c r="O199" s="24"/>
      <c r="P199" s="24"/>
      <c r="Q199" s="24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4"/>
      <c r="O200" s="24"/>
      <c r="P200" s="24"/>
      <c r="Q200" s="24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4"/>
      <c r="O201" s="24"/>
      <c r="P201" s="24"/>
      <c r="Q201" s="24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4"/>
      <c r="O202" s="24"/>
      <c r="P202" s="24"/>
      <c r="Q202" s="24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4"/>
      <c r="O203" s="24"/>
      <c r="P203" s="24"/>
      <c r="Q203" s="24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4"/>
      <c r="O204" s="24"/>
      <c r="P204" s="24"/>
      <c r="Q204" s="24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4"/>
      <c r="O205" s="24"/>
      <c r="P205" s="24"/>
      <c r="Q205" s="24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4"/>
      <c r="O206" s="24"/>
      <c r="P206" s="24"/>
      <c r="Q206" s="24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4"/>
      <c r="O207" s="24"/>
      <c r="P207" s="24"/>
      <c r="Q207" s="24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4"/>
      <c r="O208" s="24"/>
      <c r="P208" s="24"/>
      <c r="Q208" s="24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4"/>
      <c r="O209" s="24"/>
      <c r="P209" s="24"/>
      <c r="Q209" s="24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4"/>
      <c r="O210" s="24"/>
      <c r="P210" s="24"/>
      <c r="Q210" s="24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4"/>
      <c r="O211" s="24"/>
      <c r="P211" s="24"/>
      <c r="Q211" s="24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4"/>
      <c r="O212" s="24"/>
      <c r="P212" s="24"/>
      <c r="Q212" s="24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4"/>
      <c r="O213" s="24"/>
      <c r="P213" s="24"/>
      <c r="Q213" s="24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4"/>
      <c r="O214" s="24"/>
      <c r="P214" s="24"/>
      <c r="Q214" s="24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4"/>
      <c r="O215" s="24"/>
      <c r="P215" s="24"/>
      <c r="Q215" s="24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4"/>
      <c r="O216" s="24"/>
      <c r="P216" s="24"/>
      <c r="Q216" s="24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4"/>
      <c r="O217" s="24"/>
      <c r="P217" s="24"/>
      <c r="Q217" s="24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4"/>
      <c r="O218" s="24"/>
      <c r="P218" s="24"/>
      <c r="Q218" s="24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4"/>
      <c r="O219" s="24"/>
      <c r="P219" s="24"/>
      <c r="Q219" s="24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4"/>
      <c r="O220" s="24"/>
      <c r="P220" s="24"/>
      <c r="Q220" s="24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U300"/>
  <sheetViews>
    <sheetView showGridLines="0" workbookViewId="0">
      <selection sqref="A1:G1"/>
    </sheetView>
  </sheetViews>
  <sheetFormatPr defaultRowHeight="13.8"/>
  <cols>
    <col min="1" max="1" width="43" customWidth="1"/>
    <col min="2" max="2" width="12" customWidth="1"/>
    <col min="3" max="7" width="14" customWidth="1"/>
  </cols>
  <sheetData>
    <row r="1" spans="1:47" ht="25.95" customHeight="1">
      <c r="A1" s="44" t="s">
        <v>474</v>
      </c>
      <c r="B1" s="44"/>
      <c r="C1" s="44"/>
      <c r="D1" s="44"/>
      <c r="E1" s="44"/>
      <c r="F1" s="44"/>
      <c r="G1" s="4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45" t="s">
        <v>475</v>
      </c>
      <c r="B2" s="45"/>
      <c r="C2" s="45"/>
      <c r="D2" s="45"/>
      <c r="E2" s="45"/>
      <c r="F2" s="45"/>
      <c r="G2" s="45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24</v>
      </c>
      <c r="B5" s="4" t="s">
        <v>25</v>
      </c>
      <c r="C5" s="4" t="s">
        <v>36</v>
      </c>
      <c r="D5" s="14" t="s">
        <v>37</v>
      </c>
      <c r="E5" s="14" t="s">
        <v>38</v>
      </c>
      <c r="F5" s="14" t="s">
        <v>39</v>
      </c>
      <c r="G5" s="14" t="s">
        <v>40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24"/>
      <c r="E6" s="24"/>
      <c r="F6" s="24"/>
      <c r="G6" s="2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8" customHeight="1">
      <c r="A7" s="47" t="s">
        <v>476</v>
      </c>
      <c r="B7" s="47"/>
      <c r="C7" s="47"/>
      <c r="D7" s="47"/>
      <c r="E7" s="47"/>
      <c r="F7" s="47"/>
      <c r="G7" s="47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41</v>
      </c>
      <c r="B8" s="1" t="s">
        <v>42</v>
      </c>
      <c r="C8" s="17">
        <f>'Annual P&amp;L'!M7</f>
        <v>92624</v>
      </c>
      <c r="D8" s="29">
        <f>'Annual P&amp;L'!N7</f>
        <v>95426.74118316597</v>
      </c>
      <c r="E8" s="29">
        <f>'Annual P&amp;L'!O7</f>
        <v>101167.43631504844</v>
      </c>
      <c r="F8" s="29">
        <f>'Annual P&amp;L'!P7</f>
        <v>109097.12384098076</v>
      </c>
      <c r="G8" s="29">
        <f>'Annual P&amp;L'!Q7</f>
        <v>118382.91707735034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170</v>
      </c>
      <c r="B9" s="1" t="s">
        <v>42</v>
      </c>
      <c r="C9" s="17">
        <f>'Annual P&amp;L'!M17</f>
        <v>2910.7</v>
      </c>
      <c r="D9" s="29">
        <f>'Annual P&amp;L'!N17</f>
        <v>2958.228976678145</v>
      </c>
      <c r="E9" s="29">
        <f>'Annual P&amp;L'!O17</f>
        <v>3035.023089451453</v>
      </c>
      <c r="F9" s="29">
        <f>'Annual P&amp;L'!P17</f>
        <v>3163.8165913884422</v>
      </c>
      <c r="G9" s="29">
        <f>'Annual P&amp;L'!Q17</f>
        <v>3314.7216781658099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477</v>
      </c>
      <c r="B10" s="1" t="s">
        <v>42</v>
      </c>
      <c r="C10" s="11"/>
      <c r="D10" s="29">
        <f>D8*Assumptions!C37</f>
        <v>1717.6813412969873</v>
      </c>
      <c r="E10" s="29">
        <f>E8*Assumptions!D37</f>
        <v>1821.0138536708719</v>
      </c>
      <c r="F10" s="29">
        <f>F8*Assumptions!E37</f>
        <v>1963.7482291376534</v>
      </c>
      <c r="G10" s="29">
        <f>G8*Assumptions!F37</f>
        <v>2130.892507392306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478</v>
      </c>
      <c r="B11" s="1" t="s">
        <v>42</v>
      </c>
      <c r="C11" s="11"/>
      <c r="D11" s="29">
        <f>D10*Assumptions!C38</f>
        <v>343.5362682593975</v>
      </c>
      <c r="E11" s="29">
        <f>E10*Assumptions!D38</f>
        <v>364.20277073417441</v>
      </c>
      <c r="F11" s="29">
        <f>F10*Assumptions!E38</f>
        <v>392.74964582753068</v>
      </c>
      <c r="G11" s="29">
        <f>G10*Assumptions!F38</f>
        <v>426.17850147846121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479</v>
      </c>
      <c r="B12" s="1" t="s">
        <v>42</v>
      </c>
      <c r="C12" s="11"/>
      <c r="D12" s="29">
        <f>D10-D11</f>
        <v>1374.1450730375898</v>
      </c>
      <c r="E12" s="29">
        <f>E10-E11</f>
        <v>1456.8110829366974</v>
      </c>
      <c r="F12" s="29">
        <f>F10-F11</f>
        <v>1570.9985833101227</v>
      </c>
      <c r="G12" s="29">
        <f>G10-G11</f>
        <v>1704.7140059138449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480</v>
      </c>
      <c r="B13" s="1" t="s">
        <v>42</v>
      </c>
      <c r="C13" s="11"/>
      <c r="D13" s="29">
        <f>D9*Assumptions!C40</f>
        <v>1331.2030395051654</v>
      </c>
      <c r="E13" s="29">
        <f>E9*Assumptions!D40</f>
        <v>1365.7603902531539</v>
      </c>
      <c r="F13" s="29">
        <f>F9*Assumptions!E40</f>
        <v>1423.7174661247991</v>
      </c>
      <c r="G13" s="29">
        <f>G9*Assumptions!F40</f>
        <v>1491.6247551746144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481</v>
      </c>
      <c r="B14" s="1" t="s">
        <v>42</v>
      </c>
      <c r="C14" s="11"/>
      <c r="D14" s="29">
        <f>D9*Assumptions!C41</f>
        <v>887.46869300344349</v>
      </c>
      <c r="E14" s="29">
        <f>E9*Assumptions!D41</f>
        <v>910.50692683543582</v>
      </c>
      <c r="F14" s="29">
        <f>F9*Assumptions!E41</f>
        <v>949.14497741653258</v>
      </c>
      <c r="G14" s="29">
        <f>G9*Assumptions!F41</f>
        <v>994.41650344974289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482</v>
      </c>
      <c r="B15" s="1" t="s">
        <v>42</v>
      </c>
      <c r="C15" s="11"/>
      <c r="D15" s="29">
        <f>D9*Assumptions!C42</f>
        <v>739.55724416953626</v>
      </c>
      <c r="E15" s="29">
        <f>E9*Assumptions!D42</f>
        <v>758.75577236286324</v>
      </c>
      <c r="F15" s="29">
        <f>F9*Assumptions!E42</f>
        <v>790.95414784711056</v>
      </c>
      <c r="G15" s="29">
        <f>G9*Assumptions!F42</f>
        <v>828.68041954145247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21" t="s">
        <v>483</v>
      </c>
      <c r="B16" s="19" t="s">
        <v>42</v>
      </c>
      <c r="C16" s="32"/>
      <c r="D16" s="27">
        <f>SUM(D13:D15)-D9</f>
        <v>0</v>
      </c>
      <c r="E16" s="27">
        <f>SUM(E13:E15)-E9</f>
        <v>0</v>
      </c>
      <c r="F16" s="27">
        <f>SUM(F13:F15)-F9</f>
        <v>0</v>
      </c>
      <c r="G16" s="27">
        <f>SUM(G13:G15)-G9</f>
        <v>0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21" t="s">
        <v>484</v>
      </c>
      <c r="B17" s="19" t="s">
        <v>42</v>
      </c>
      <c r="C17" s="20">
        <f>'Annual Balance Sheet'!M7</f>
        <v>8178.7</v>
      </c>
      <c r="D17" s="27">
        <f>MAX(0,C17+D12-D13)</f>
        <v>8221.6420335324237</v>
      </c>
      <c r="E17" s="27">
        <f>MAX(0,D17+E12-E13)</f>
        <v>8312.6927262159679</v>
      </c>
      <c r="F17" s="27">
        <f>MAX(0,E17+F12-F13)</f>
        <v>8459.9738434012907</v>
      </c>
      <c r="G17" s="27">
        <f>MAX(0,F17+G12-G13)</f>
        <v>8673.0630941405216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21" t="s">
        <v>485</v>
      </c>
      <c r="B18" s="19" t="s">
        <v>42</v>
      </c>
      <c r="C18" s="20">
        <f>'Annual Balance Sheet'!M10</f>
        <v>2917.6</v>
      </c>
      <c r="D18" s="27">
        <f>MAX(0,C18+D11-D15)</f>
        <v>2521.5790240898609</v>
      </c>
      <c r="E18" s="27">
        <f>MAX(0,D18+E11-E15)</f>
        <v>2127.026022461172</v>
      </c>
      <c r="F18" s="27">
        <f>MAX(0,E18+F11-F15)</f>
        <v>1728.8215204415924</v>
      </c>
      <c r="G18" s="27">
        <f>MAX(0,F18+G11-G15)</f>
        <v>1326.3196023786013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/>
      <c r="B19" s="1"/>
      <c r="C19" s="1"/>
      <c r="D19" s="24"/>
      <c r="E19" s="24"/>
      <c r="F19" s="24"/>
      <c r="G19" s="24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/>
      <c r="B20" s="1"/>
      <c r="C20" s="1"/>
      <c r="D20" s="24"/>
      <c r="E20" s="24"/>
      <c r="F20" s="24"/>
      <c r="G20" s="24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8" customHeight="1">
      <c r="A21" s="47" t="s">
        <v>486</v>
      </c>
      <c r="B21" s="47"/>
      <c r="C21" s="47"/>
      <c r="D21" s="47"/>
      <c r="E21" s="47"/>
      <c r="F21" s="47"/>
      <c r="G21" s="47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487</v>
      </c>
      <c r="B22" s="1" t="s">
        <v>42</v>
      </c>
      <c r="C22" s="11"/>
      <c r="D22" s="29">
        <f>C25</f>
        <v>2828.7</v>
      </c>
      <c r="E22" s="29">
        <f>D25</f>
        <v>3086.3522011945479</v>
      </c>
      <c r="F22" s="29">
        <f>E25</f>
        <v>3389.8545101396935</v>
      </c>
      <c r="G22" s="29">
        <f>F25</f>
        <v>3749.8750188149302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488</v>
      </c>
      <c r="B23" s="1" t="s">
        <v>42</v>
      </c>
      <c r="C23" s="11"/>
      <c r="D23" s="29">
        <f>D8*Assumptions!C39</f>
        <v>1145.1208941979917</v>
      </c>
      <c r="E23" s="29">
        <f>E8*Assumptions!D39</f>
        <v>1214.0092357805813</v>
      </c>
      <c r="F23" s="29">
        <f>F8*Assumptions!E39</f>
        <v>1309.165486091769</v>
      </c>
      <c r="G23" s="29">
        <f>G8*Assumptions!F39</f>
        <v>1420.5950049282042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481</v>
      </c>
      <c r="B24" s="1" t="s">
        <v>42</v>
      </c>
      <c r="C24" s="11"/>
      <c r="D24" s="29">
        <f>D14</f>
        <v>887.46869300344349</v>
      </c>
      <c r="E24" s="29">
        <f>E14</f>
        <v>910.50692683543582</v>
      </c>
      <c r="F24" s="29">
        <f>F14</f>
        <v>949.14497741653258</v>
      </c>
      <c r="G24" s="29">
        <f>G14</f>
        <v>994.41650344974289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21" t="s">
        <v>489</v>
      </c>
      <c r="B25" s="19" t="s">
        <v>42</v>
      </c>
      <c r="C25" s="20">
        <f>'Annual Balance Sheet'!M8</f>
        <v>2828.7</v>
      </c>
      <c r="D25" s="27">
        <f>MAX(0,D22+D23-D24)</f>
        <v>3086.3522011945479</v>
      </c>
      <c r="E25" s="27">
        <f>MAX(0,E22+E23-E24)</f>
        <v>3389.8545101396935</v>
      </c>
      <c r="F25" s="27">
        <f>MAX(0,F22+F23-F24)</f>
        <v>3749.8750188149302</v>
      </c>
      <c r="G25" s="27">
        <f>MAX(0,G22+G23-G24)</f>
        <v>4176.0535202933916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490</v>
      </c>
      <c r="B26" s="1" t="s">
        <v>42</v>
      </c>
      <c r="C26" s="11"/>
      <c r="D26" s="29">
        <f>C29</f>
        <v>3503.6</v>
      </c>
      <c r="E26" s="29">
        <f>D29</f>
        <v>3772.8208941979915</v>
      </c>
      <c r="F26" s="29">
        <f>E29</f>
        <v>4043.6249064290746</v>
      </c>
      <c r="G26" s="29">
        <f>F29</f>
        <v>4341.8841659135751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491</v>
      </c>
      <c r="B27" s="1" t="s">
        <v>42</v>
      </c>
      <c r="C27" s="11"/>
      <c r="D27" s="29">
        <f>D23</f>
        <v>1145.1208941979917</v>
      </c>
      <c r="E27" s="29">
        <f>E23</f>
        <v>1214.0092357805813</v>
      </c>
      <c r="F27" s="29">
        <f>F23</f>
        <v>1309.165486091769</v>
      </c>
      <c r="G27" s="29">
        <f>G23</f>
        <v>1420.5950049282042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464</v>
      </c>
      <c r="B28" s="1" t="s">
        <v>42</v>
      </c>
      <c r="C28" s="11"/>
      <c r="D28" s="29">
        <f>-D26*Assumptions!C43</f>
        <v>-875.9</v>
      </c>
      <c r="E28" s="29">
        <f>-E26*Assumptions!D43</f>
        <v>-943.20522354949787</v>
      </c>
      <c r="F28" s="29">
        <f>-F26*Assumptions!E43</f>
        <v>-1010.9062266072686</v>
      </c>
      <c r="G28" s="29">
        <f>-G26*Assumptions!F43</f>
        <v>-1085.4710414783938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21" t="s">
        <v>492</v>
      </c>
      <c r="B29" s="19" t="s">
        <v>42</v>
      </c>
      <c r="C29" s="20">
        <f>'Annual Balance Sheet'!M61</f>
        <v>3503.6</v>
      </c>
      <c r="D29" s="27">
        <f>MAX(0,D26+D27+D28)</f>
        <v>3772.8208941979915</v>
      </c>
      <c r="E29" s="27">
        <f>MAX(0,E26+E27+E28)</f>
        <v>4043.6249064290746</v>
      </c>
      <c r="F29" s="27">
        <f>MAX(0,F26+F27+F28)</f>
        <v>4341.8841659135751</v>
      </c>
      <c r="G29" s="27">
        <f>MAX(0,G26+G27+G28)</f>
        <v>4677.0081293633857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24"/>
      <c r="E30" s="24"/>
      <c r="F30" s="24"/>
      <c r="G30" s="24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24"/>
      <c r="E31" s="24"/>
      <c r="F31" s="24"/>
      <c r="G31" s="24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8" customHeight="1">
      <c r="A32" s="47" t="s">
        <v>493</v>
      </c>
      <c r="B32" s="47"/>
      <c r="C32" s="47"/>
      <c r="D32" s="47"/>
      <c r="E32" s="47"/>
      <c r="F32" s="47"/>
      <c r="G32" s="47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494</v>
      </c>
      <c r="B33" s="1" t="s">
        <v>42</v>
      </c>
      <c r="C33" s="11"/>
      <c r="D33" s="29">
        <f>C35</f>
        <v>16787.400000000001</v>
      </c>
      <c r="E33" s="29">
        <f>D35</f>
        <v>16787.400000000001</v>
      </c>
      <c r="F33" s="29">
        <f>E35</f>
        <v>16787.400000000001</v>
      </c>
      <c r="G33" s="29">
        <f>F35</f>
        <v>16787.400000000001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206</v>
      </c>
      <c r="B34" s="1" t="s">
        <v>42</v>
      </c>
      <c r="C34" s="11"/>
      <c r="D34" s="29">
        <f>Assumptions!C44</f>
        <v>0</v>
      </c>
      <c r="E34" s="29">
        <f>Assumptions!D44</f>
        <v>0</v>
      </c>
      <c r="F34" s="29">
        <f>Assumptions!E44</f>
        <v>0</v>
      </c>
      <c r="G34" s="29">
        <f>Assumptions!F44</f>
        <v>0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21" t="s">
        <v>495</v>
      </c>
      <c r="B35" s="19" t="s">
        <v>42</v>
      </c>
      <c r="C35" s="20">
        <f>'Annual Balance Sheet'!M60</f>
        <v>16787.400000000001</v>
      </c>
      <c r="D35" s="27">
        <f>MAX(0,D33+D34)</f>
        <v>16787.400000000001</v>
      </c>
      <c r="E35" s="27">
        <f>MAX(0,E33+E34)</f>
        <v>16787.400000000001</v>
      </c>
      <c r="F35" s="27">
        <f>MAX(0,F33+F34)</f>
        <v>16787.400000000001</v>
      </c>
      <c r="G35" s="27">
        <f>MAX(0,G33+G34)</f>
        <v>16787.400000000001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496</v>
      </c>
      <c r="B36" s="1" t="s">
        <v>42</v>
      </c>
      <c r="C36" s="11"/>
      <c r="D36" s="29">
        <f>D35*Assumptions!C45</f>
        <v>16451.652000000002</v>
      </c>
      <c r="E36" s="29">
        <f>E35*Assumptions!D45</f>
        <v>16451.652000000002</v>
      </c>
      <c r="F36" s="29">
        <f>F35*Assumptions!E45</f>
        <v>16451.652000000002</v>
      </c>
      <c r="G36" s="29">
        <f>G35*Assumptions!F45</f>
        <v>16451.652000000002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331</v>
      </c>
      <c r="B37" s="1" t="s">
        <v>42</v>
      </c>
      <c r="C37" s="11"/>
      <c r="D37" s="29">
        <f>D35-D36</f>
        <v>335.74799999999959</v>
      </c>
      <c r="E37" s="29">
        <f>E35-E36</f>
        <v>335.74799999999959</v>
      </c>
      <c r="F37" s="29">
        <f>F35-F36</f>
        <v>335.74799999999959</v>
      </c>
      <c r="G37" s="29">
        <f>G35-G36</f>
        <v>335.74799999999959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24"/>
      <c r="E38" s="24"/>
      <c r="F38" s="24"/>
      <c r="G38" s="24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24"/>
      <c r="E39" s="24"/>
      <c r="F39" s="24"/>
      <c r="G39" s="24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8" customHeight="1">
      <c r="A40" s="47" t="s">
        <v>497</v>
      </c>
      <c r="B40" s="47"/>
      <c r="C40" s="47"/>
      <c r="D40" s="47"/>
      <c r="E40" s="47"/>
      <c r="F40" s="47"/>
      <c r="G40" s="47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 t="s">
        <v>498</v>
      </c>
      <c r="B41" s="1" t="s">
        <v>42</v>
      </c>
      <c r="C41" s="11"/>
      <c r="D41" s="29">
        <f>C47</f>
        <v>88536.8</v>
      </c>
      <c r="E41" s="29">
        <f>D47</f>
        <v>77368.82898118328</v>
      </c>
      <c r="F41" s="29">
        <f>E47</f>
        <v>81833.181999084976</v>
      </c>
      <c r="G41" s="29">
        <f>F47</f>
        <v>87072.793247262438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249</v>
      </c>
      <c r="B42" s="1" t="s">
        <v>42</v>
      </c>
      <c r="C42" s="11"/>
      <c r="D42" s="29">
        <f>'Annual P&amp;L'!N29</f>
        <v>13419.581101069805</v>
      </c>
      <c r="E42" s="29">
        <f>'Annual P&amp;L'!O29</f>
        <v>14137.556558308728</v>
      </c>
      <c r="F42" s="29">
        <f>'Annual P&amp;L'!P29</f>
        <v>15647.085429908519</v>
      </c>
      <c r="G42" s="29">
        <f>'Annual P&amp;L'!Q29</f>
        <v>17320.91702918613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376</v>
      </c>
      <c r="B43" s="1" t="s">
        <v>42</v>
      </c>
      <c r="C43" s="11"/>
      <c r="D43" s="29">
        <f>-'Annual P&amp;L'!N29*Assumptions!C46</f>
        <v>-10064.685825802353</v>
      </c>
      <c r="E43" s="29">
        <f>-'Annual P&amp;L'!O29*Assumptions!D46</f>
        <v>-10179.040721982285</v>
      </c>
      <c r="F43" s="29">
        <f>-'Annual P&amp;L'!P29*Assumptions!E46</f>
        <v>-10952.959800935962</v>
      </c>
      <c r="G43" s="29">
        <f>-'Annual P&amp;L'!Q29*Assumptions!F46</f>
        <v>-12124.641920430291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 t="s">
        <v>212</v>
      </c>
      <c r="B44" s="1" t="s">
        <v>42</v>
      </c>
      <c r="C44" s="11"/>
      <c r="D44" s="29">
        <f>-Assumptions!C47</f>
        <v>-15000</v>
      </c>
      <c r="E44" s="29">
        <f>-Assumptions!D47</f>
        <v>0</v>
      </c>
      <c r="F44" s="29">
        <f>-Assumptions!E47</f>
        <v>0</v>
      </c>
      <c r="G44" s="29">
        <f>-Assumptions!F47</f>
        <v>0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441</v>
      </c>
      <c r="B45" s="1" t="s">
        <v>42</v>
      </c>
      <c r="C45" s="11"/>
      <c r="D45" s="29">
        <f>'Annual P&amp;L'!N7*Assumptions!C48</f>
        <v>477.13370591582986</v>
      </c>
      <c r="E45" s="29">
        <f>'Annual P&amp;L'!O7*Assumptions!D48</f>
        <v>505.8371815752422</v>
      </c>
      <c r="F45" s="29">
        <f>'Annual P&amp;L'!P7*Assumptions!E48</f>
        <v>545.48561920490374</v>
      </c>
      <c r="G45" s="29">
        <f>'Annual P&amp;L'!Q7*Assumptions!F48</f>
        <v>591.9145853867517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 t="s">
        <v>499</v>
      </c>
      <c r="B46" s="1" t="s">
        <v>42</v>
      </c>
      <c r="C46" s="11"/>
      <c r="D46" s="29">
        <f>Assumptions!C49</f>
        <v>0</v>
      </c>
      <c r="E46" s="29">
        <f>Assumptions!D49</f>
        <v>0</v>
      </c>
      <c r="F46" s="29">
        <f>Assumptions!E49</f>
        <v>0</v>
      </c>
      <c r="G46" s="29">
        <f>Assumptions!F49</f>
        <v>0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21" t="s">
        <v>500</v>
      </c>
      <c r="B47" s="19" t="s">
        <v>42</v>
      </c>
      <c r="C47" s="20">
        <f>'Annual Balance Sheet'!M34</f>
        <v>88536.8</v>
      </c>
      <c r="D47" s="27">
        <f>SUM(D41:D46)</f>
        <v>77368.82898118328</v>
      </c>
      <c r="E47" s="27">
        <f>SUM(E41:E46)</f>
        <v>81833.181999084976</v>
      </c>
      <c r="F47" s="27">
        <f>SUM(F41:F46)</f>
        <v>87072.793247262438</v>
      </c>
      <c r="G47" s="27">
        <f>SUM(G41:G46)</f>
        <v>92860.982941405033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 t="s">
        <v>248</v>
      </c>
      <c r="B48" s="1" t="s">
        <v>42</v>
      </c>
      <c r="C48" s="17">
        <f>'Annual Balance Sheet'!M35</f>
        <v>250.9</v>
      </c>
      <c r="D48" s="29">
        <f>C48</f>
        <v>250.9</v>
      </c>
      <c r="E48" s="29">
        <f>D48</f>
        <v>250.9</v>
      </c>
      <c r="F48" s="29">
        <f>E48</f>
        <v>250.9</v>
      </c>
      <c r="G48" s="29">
        <f>F48</f>
        <v>250.9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21" t="s">
        <v>330</v>
      </c>
      <c r="B49" s="19" t="s">
        <v>42</v>
      </c>
      <c r="C49" s="20">
        <f>'Annual Balance Sheet'!M36</f>
        <v>88787.7</v>
      </c>
      <c r="D49" s="27">
        <f>SUM(D47:D48)</f>
        <v>77619.728981183274</v>
      </c>
      <c r="E49" s="27">
        <f>SUM(E47:E48)</f>
        <v>82084.08199908497</v>
      </c>
      <c r="F49" s="27">
        <f>SUM(F47:F48)</f>
        <v>87323.693247262432</v>
      </c>
      <c r="G49" s="27">
        <f>SUM(G47:G48)</f>
        <v>93111.882941405027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24"/>
      <c r="E50" s="24"/>
      <c r="F50" s="24"/>
      <c r="G50" s="2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24"/>
      <c r="E51" s="24"/>
      <c r="F51" s="24"/>
      <c r="G51" s="2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8" customHeight="1">
      <c r="A52" s="47" t="s">
        <v>501</v>
      </c>
      <c r="B52" s="47"/>
      <c r="C52" s="47"/>
      <c r="D52" s="47"/>
      <c r="E52" s="47"/>
      <c r="F52" s="47"/>
      <c r="G52" s="4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 t="s">
        <v>379</v>
      </c>
      <c r="B53" s="1" t="s">
        <v>42</v>
      </c>
      <c r="C53" s="11"/>
      <c r="D53" s="29">
        <f>C58</f>
        <v>10555.5</v>
      </c>
      <c r="E53" s="29">
        <f>D58</f>
        <v>5964.9826447254745</v>
      </c>
      <c r="F53" s="29">
        <f>E58</f>
        <v>10405.149431872267</v>
      </c>
      <c r="G53" s="29">
        <f>F58</f>
        <v>15047.599567574838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 t="s">
        <v>54</v>
      </c>
      <c r="B54" s="1" t="s">
        <v>42</v>
      </c>
      <c r="C54" s="11"/>
      <c r="D54" s="29">
        <f>'Annual Cash Flow'!N29</f>
        <v>19280.157932417846</v>
      </c>
      <c r="E54" s="29">
        <f>'Annual Cash Flow'!O29</f>
        <v>16381.232352282152</v>
      </c>
      <c r="F54" s="29">
        <f>'Annual Cash Flow'!P29</f>
        <v>18113.219922274857</v>
      </c>
      <c r="G54" s="29">
        <f>'Annual Cash Flow'!Q29</f>
        <v>19814.582234648806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 t="s">
        <v>370</v>
      </c>
      <c r="B55" s="1" t="s">
        <v>42</v>
      </c>
      <c r="C55" s="11"/>
      <c r="D55" s="29">
        <f>'Annual Cash Flow'!N39</f>
        <v>3490.2805381099856</v>
      </c>
      <c r="E55" s="29">
        <f>'Annual Cash Flow'!O39</f>
        <v>620.39584299028093</v>
      </c>
      <c r="F55" s="29">
        <f>'Annual Cash Flow'!P39</f>
        <v>-48.73201557901848</v>
      </c>
      <c r="G55" s="29">
        <f>'Annual Cash Flow'!Q39</f>
        <v>-279.98050698684256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 t="s">
        <v>377</v>
      </c>
      <c r="B56" s="1" t="s">
        <v>42</v>
      </c>
      <c r="C56" s="11"/>
      <c r="D56" s="29">
        <f>'Annual Cash Flow'!N50</f>
        <v>-27360.955825802354</v>
      </c>
      <c r="E56" s="29">
        <f>'Annual Cash Flow'!O50</f>
        <v>-12561.461408125642</v>
      </c>
      <c r="F56" s="29">
        <f>'Annual Cash Flow'!P50</f>
        <v>-13422.037770993265</v>
      </c>
      <c r="G56" s="29">
        <f>'Annual Cash Flow'!Q50</f>
        <v>-14689.162853522635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 t="s">
        <v>378</v>
      </c>
      <c r="B57" s="1" t="s">
        <v>42</v>
      </c>
      <c r="C57" s="11"/>
      <c r="D57" s="29">
        <f>'Annual Cash Flow'!N52</f>
        <v>0</v>
      </c>
      <c r="E57" s="29">
        <f>'Annual Cash Flow'!O52</f>
        <v>0</v>
      </c>
      <c r="F57" s="29">
        <f>'Annual Cash Flow'!P52</f>
        <v>0</v>
      </c>
      <c r="G57" s="29">
        <f>'Annual Cash Flow'!Q52</f>
        <v>0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21" t="s">
        <v>56</v>
      </c>
      <c r="B58" s="19" t="s">
        <v>42</v>
      </c>
      <c r="C58" s="20">
        <f>'Annual Balance Sheet'!M22</f>
        <v>10555.5</v>
      </c>
      <c r="D58" s="27">
        <f>SUM(D53:D57)</f>
        <v>5964.9826447254745</v>
      </c>
      <c r="E58" s="27">
        <f>SUM(E53:E57)</f>
        <v>10405.149431872267</v>
      </c>
      <c r="F58" s="27">
        <f>SUM(F53:F57)</f>
        <v>15047.599567574838</v>
      </c>
      <c r="G58" s="27">
        <f>SUM(G53:G57)</f>
        <v>19893.038441714161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 t="s">
        <v>502</v>
      </c>
      <c r="B59" s="1" t="s">
        <v>42</v>
      </c>
      <c r="C59" s="17">
        <f>'Annual Balance Sheet'!M22</f>
        <v>10555.5</v>
      </c>
      <c r="D59" s="29">
        <f>'Annual Balance Sheet'!N22</f>
        <v>5964.9826447254745</v>
      </c>
      <c r="E59" s="29">
        <f>'Annual Balance Sheet'!O22</f>
        <v>10405.149431872267</v>
      </c>
      <c r="F59" s="29">
        <f>'Annual Balance Sheet'!P22</f>
        <v>15047.599567574838</v>
      </c>
      <c r="G59" s="29">
        <f>'Annual Balance Sheet'!Q22</f>
        <v>19893.038441714161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21" t="s">
        <v>472</v>
      </c>
      <c r="B60" s="19" t="s">
        <v>42</v>
      </c>
      <c r="C60" s="32"/>
      <c r="D60" s="27">
        <f>D58-D59</f>
        <v>0</v>
      </c>
      <c r="E60" s="27">
        <f>E58-E59</f>
        <v>0</v>
      </c>
      <c r="F60" s="27">
        <f>F58-F59</f>
        <v>0</v>
      </c>
      <c r="G60" s="27">
        <f>G58-G59</f>
        <v>0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</sheetData>
  <mergeCells count="7">
    <mergeCell ref="A40:G40"/>
    <mergeCell ref="A52:G52"/>
    <mergeCell ref="A1:G1"/>
    <mergeCell ref="A2:G2"/>
    <mergeCell ref="A7:G7"/>
    <mergeCell ref="A21:G21"/>
    <mergeCell ref="A32:G3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U300"/>
  <sheetViews>
    <sheetView showGridLines="0" workbookViewId="0">
      <selection sqref="A1:Q1"/>
    </sheetView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44" t="s">
        <v>503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45" t="s">
        <v>504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4" t="s">
        <v>35</v>
      </c>
      <c r="M5" s="4" t="s">
        <v>36</v>
      </c>
      <c r="N5" s="14" t="s">
        <v>37</v>
      </c>
      <c r="O5" s="14" t="s">
        <v>38</v>
      </c>
      <c r="P5" s="14" t="s">
        <v>39</v>
      </c>
      <c r="Q5" s="14" t="s">
        <v>40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4"/>
      <c r="O6" s="24"/>
      <c r="P6" s="24"/>
      <c r="Q6" s="2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8" customHeight="1">
      <c r="A7" s="47" t="s">
        <v>505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8"/>
      <c r="O7" s="48"/>
      <c r="P7" s="48"/>
      <c r="Q7" s="48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506</v>
      </c>
      <c r="B8" s="1" t="s">
        <v>44</v>
      </c>
      <c r="C8" s="18">
        <f>'Raw Operating'!C35</f>
        <v>0.26300000000000001</v>
      </c>
      <c r="D8" s="18">
        <f>'Raw Operating'!D35</f>
        <v>0.25700000000000001</v>
      </c>
      <c r="E8" s="18">
        <f>'Raw Operating'!E35</f>
        <v>0.28100000000000003</v>
      </c>
      <c r="F8" s="18">
        <f>'Raw Operating'!F35</f>
        <v>0.309</v>
      </c>
      <c r="G8" s="18">
        <f>'Raw Operating'!G35</f>
        <v>0.31</v>
      </c>
      <c r="H8" s="18">
        <f>'Raw Operating'!H35</f>
        <v>0.307</v>
      </c>
      <c r="I8" s="18">
        <f>'Raw Operating'!I35</f>
        <v>0.34700000000000003</v>
      </c>
      <c r="J8" s="18">
        <f>'Raw Operating'!J35</f>
        <v>0.34899999999999998</v>
      </c>
      <c r="K8" s="1"/>
      <c r="L8" s="1"/>
      <c r="M8" s="1"/>
      <c r="N8" s="24"/>
      <c r="O8" s="24"/>
      <c r="P8" s="24"/>
      <c r="Q8" s="24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507</v>
      </c>
      <c r="B9" s="1" t="s">
        <v>42</v>
      </c>
      <c r="C9" s="17">
        <f>IF(C8="","",C8*'Annual P&amp;L'!C7)</f>
        <v>13477.172</v>
      </c>
      <c r="D9" s="17">
        <f>IF(D8="","",D8*'Annual P&amp;L'!D7)</f>
        <v>14145.331399999999</v>
      </c>
      <c r="E9" s="17">
        <f>IF(E8="","",E8*'Annual P&amp;L'!E7)</f>
        <v>15310.875100000001</v>
      </c>
      <c r="F9" s="17">
        <f>IF(F8="","",F8*'Annual P&amp;L'!F7)</f>
        <v>18102.610499999999</v>
      </c>
      <c r="G9" s="17">
        <f>IF(G8="","",G8*'Annual P&amp;L'!G7)</f>
        <v>18917.191999999999</v>
      </c>
      <c r="H9" s="17">
        <f>IF(H8="","",H8*'Annual P&amp;L'!H7)</f>
        <v>19016.501</v>
      </c>
      <c r="I9" s="17">
        <f>IF(I8="","",I8*'Annual P&amp;L'!I7)</f>
        <v>27445.409800000001</v>
      </c>
      <c r="J9" s="17">
        <f>IF(J8="","",J8*'Annual P&amp;L'!J7)</f>
        <v>31580.172399999999</v>
      </c>
      <c r="K9" s="17" t="str">
        <f>IF(K8="","",K8*'Annual P&amp;L'!K7)</f>
        <v/>
      </c>
      <c r="L9" s="17" t="str">
        <f>IF(L8="","",L8*'Annual P&amp;L'!L7)</f>
        <v/>
      </c>
      <c r="M9" s="17" t="str">
        <f>IF(M8="","",M8*'Annual P&amp;L'!M7)</f>
        <v/>
      </c>
      <c r="N9" s="29" t="str">
        <f>IF(N8="","",N8*'Annual P&amp;L'!N7)</f>
        <v/>
      </c>
      <c r="O9" s="29" t="str">
        <f>IF(O8="","",O8*'Annual P&amp;L'!O7)</f>
        <v/>
      </c>
      <c r="P9" s="29" t="str">
        <f>IF(P8="","",P8*'Annual P&amp;L'!P7)</f>
        <v/>
      </c>
      <c r="Q9" s="29" t="str">
        <f>IF(Q8="","",Q8*'Annual P&amp;L'!Q7)</f>
        <v/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508</v>
      </c>
      <c r="B10" s="1" t="s">
        <v>44</v>
      </c>
      <c r="C10" s="18">
        <f>'Raw Operating'!C36</f>
        <v>0.13300000000000001</v>
      </c>
      <c r="D10" s="18">
        <f>'Raw Operating'!D36</f>
        <v>7.2999999999999995E-2</v>
      </c>
      <c r="E10" s="18">
        <f>'Raw Operating'!E36</f>
        <v>6.4000000000000001E-2</v>
      </c>
      <c r="F10" s="18">
        <f>'Raw Operating'!F36</f>
        <v>5.7000000000000002E-2</v>
      </c>
      <c r="G10" s="18">
        <f>'Raw Operating'!G36</f>
        <v>5.7000000000000002E-2</v>
      </c>
      <c r="H10" s="18">
        <f>'Raw Operating'!H36</f>
        <v>5.2000000000000005E-2</v>
      </c>
      <c r="I10" s="18">
        <f>'Raw Operating'!I36</f>
        <v>0.05</v>
      </c>
      <c r="J10" s="18">
        <f>'Raw Operating'!J36</f>
        <v>4.7E-2</v>
      </c>
      <c r="K10" s="1"/>
      <c r="L10" s="1"/>
      <c r="M10" s="1"/>
      <c r="N10" s="24"/>
      <c r="O10" s="24"/>
      <c r="P10" s="24"/>
      <c r="Q10" s="24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509</v>
      </c>
      <c r="B11" s="1" t="s">
        <v>42</v>
      </c>
      <c r="C11" s="17">
        <f>IF(C10="","",C10*'Annual P&amp;L'!C7)</f>
        <v>6815.4520000000002</v>
      </c>
      <c r="D11" s="17">
        <f>IF(D10="","",D10*'Annual P&amp;L'!D7)</f>
        <v>4017.9345999999996</v>
      </c>
      <c r="E11" s="17">
        <f>IF(E10="","",E10*'Annual P&amp;L'!E7)</f>
        <v>3487.1743999999999</v>
      </c>
      <c r="F11" s="17">
        <f>IF(F10="","",F10*'Annual P&amp;L'!F7)</f>
        <v>3339.3164999999999</v>
      </c>
      <c r="G11" s="17">
        <f>IF(G10="","",G10*'Annual P&amp;L'!G7)</f>
        <v>3478.3224</v>
      </c>
      <c r="H11" s="17">
        <f>IF(H10="","",H10*'Annual P&amp;L'!H7)</f>
        <v>3221.0360000000001</v>
      </c>
      <c r="I11" s="17">
        <f>IF(I10="","",I10*'Annual P&amp;L'!I7)</f>
        <v>3954.67</v>
      </c>
      <c r="J11" s="17">
        <f>IF(J10="","",J10*'Annual P&amp;L'!J7)</f>
        <v>4252.9171999999999</v>
      </c>
      <c r="K11" s="17" t="str">
        <f>IF(K10="","",K10*'Annual P&amp;L'!K7)</f>
        <v/>
      </c>
      <c r="L11" s="17" t="str">
        <f>IF(L10="","",L10*'Annual P&amp;L'!L7)</f>
        <v/>
      </c>
      <c r="M11" s="17" t="str">
        <f>IF(M10="","",M10*'Annual P&amp;L'!M7)</f>
        <v/>
      </c>
      <c r="N11" s="29" t="str">
        <f>IF(N10="","",N10*'Annual P&amp;L'!N7)</f>
        <v/>
      </c>
      <c r="O11" s="29" t="str">
        <f>IF(O10="","",O10*'Annual P&amp;L'!O7)</f>
        <v/>
      </c>
      <c r="P11" s="29" t="str">
        <f>IF(P10="","",P10*'Annual P&amp;L'!P7)</f>
        <v/>
      </c>
      <c r="Q11" s="29" t="str">
        <f>IF(Q10="","",Q10*'Annual P&amp;L'!Q7)</f>
        <v/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510</v>
      </c>
      <c r="B12" s="1" t="s">
        <v>44</v>
      </c>
      <c r="C12" s="18">
        <f>'Raw Operating'!C37</f>
        <v>0.18600000000000003</v>
      </c>
      <c r="D12" s="18">
        <f>'Raw Operating'!D37</f>
        <v>0</v>
      </c>
      <c r="E12" s="18">
        <f>'Raw Operating'!E37</f>
        <v>0</v>
      </c>
      <c r="F12" s="18">
        <f>'Raw Operating'!F37</f>
        <v>0</v>
      </c>
      <c r="G12" s="18">
        <f>'Raw Operating'!G37</f>
        <v>0</v>
      </c>
      <c r="H12" s="18">
        <f>'Raw Operating'!H37</f>
        <v>0</v>
      </c>
      <c r="I12" s="18">
        <f>'Raw Operating'!I37</f>
        <v>0</v>
      </c>
      <c r="J12" s="18">
        <f>'Raw Operating'!J37</f>
        <v>0</v>
      </c>
      <c r="K12" s="1"/>
      <c r="L12" s="1"/>
      <c r="M12" s="1"/>
      <c r="N12" s="24"/>
      <c r="O12" s="24"/>
      <c r="P12" s="24"/>
      <c r="Q12" s="24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511</v>
      </c>
      <c r="B13" s="1" t="s">
        <v>42</v>
      </c>
      <c r="C13" s="17">
        <f>IF(C12="","",C12*'Annual P&amp;L'!C7)</f>
        <v>9531.3840000000018</v>
      </c>
      <c r="D13" s="17">
        <f>IF(D12="","",D12*'Annual P&amp;L'!D7)</f>
        <v>0</v>
      </c>
      <c r="E13" s="17">
        <f>IF(E12="","",E12*'Annual P&amp;L'!E7)</f>
        <v>0</v>
      </c>
      <c r="F13" s="17">
        <f>IF(F12="","",F12*'Annual P&amp;L'!F7)</f>
        <v>0</v>
      </c>
      <c r="G13" s="17">
        <f>IF(G12="","",G12*'Annual P&amp;L'!G7)</f>
        <v>0</v>
      </c>
      <c r="H13" s="17">
        <f>IF(H12="","",H12*'Annual P&amp;L'!H7)</f>
        <v>0</v>
      </c>
      <c r="I13" s="17">
        <f>IF(I12="","",I12*'Annual P&amp;L'!I7)</f>
        <v>0</v>
      </c>
      <c r="J13" s="17">
        <f>IF(J12="","",J12*'Annual P&amp;L'!J7)</f>
        <v>0</v>
      </c>
      <c r="K13" s="17" t="str">
        <f>IF(K12="","",K12*'Annual P&amp;L'!K7)</f>
        <v/>
      </c>
      <c r="L13" s="17" t="str">
        <f>IF(L12="","",L12*'Annual P&amp;L'!L7)</f>
        <v/>
      </c>
      <c r="M13" s="17" t="str">
        <f>IF(M12="","",M12*'Annual P&amp;L'!M7)</f>
        <v/>
      </c>
      <c r="N13" s="29" t="str">
        <f>IF(N12="","",N12*'Annual P&amp;L'!N7)</f>
        <v/>
      </c>
      <c r="O13" s="29" t="str">
        <f>IF(O12="","",O12*'Annual P&amp;L'!O7)</f>
        <v/>
      </c>
      <c r="P13" s="29" t="str">
        <f>IF(P12="","",P12*'Annual P&amp;L'!P7)</f>
        <v/>
      </c>
      <c r="Q13" s="29" t="str">
        <f>IF(Q12="","",Q12*'Annual P&amp;L'!Q7)</f>
        <v/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512</v>
      </c>
      <c r="B14" s="1" t="s">
        <v>44</v>
      </c>
      <c r="C14" s="18">
        <f>'Raw Operating'!C38</f>
        <v>0.12</v>
      </c>
      <c r="D14" s="18">
        <f>'Raw Operating'!D38</f>
        <v>0.156</v>
      </c>
      <c r="E14" s="18">
        <f>'Raw Operating'!E38</f>
        <v>0</v>
      </c>
      <c r="F14" s="18">
        <f>'Raw Operating'!F38</f>
        <v>0.13200000000000001</v>
      </c>
      <c r="G14" s="18">
        <f>'Raw Operating'!G38</f>
        <v>0.13200000000000001</v>
      </c>
      <c r="H14" s="18">
        <f>'Raw Operating'!H38</f>
        <v>0.13</v>
      </c>
      <c r="I14" s="18">
        <f>'Raw Operating'!I38</f>
        <v>0.115</v>
      </c>
      <c r="J14" s="18">
        <f>'Raw Operating'!J38</f>
        <v>0.122</v>
      </c>
      <c r="K14" s="1"/>
      <c r="L14" s="1"/>
      <c r="M14" s="1"/>
      <c r="N14" s="24"/>
      <c r="O14" s="24"/>
      <c r="P14" s="24"/>
      <c r="Q14" s="24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513</v>
      </c>
      <c r="B15" s="1" t="s">
        <v>42</v>
      </c>
      <c r="C15" s="17">
        <f>IF(C14="","",C14*'Annual P&amp;L'!C7)</f>
        <v>6149.28</v>
      </c>
      <c r="D15" s="17">
        <f>IF(D14="","",D14*'Annual P&amp;L'!D7)</f>
        <v>8586.2711999999992</v>
      </c>
      <c r="E15" s="17">
        <f>IF(E14="","",E14*'Annual P&amp;L'!E7)</f>
        <v>0</v>
      </c>
      <c r="F15" s="17">
        <f>IF(F14="","",F14*'Annual P&amp;L'!F7)</f>
        <v>7733.1540000000005</v>
      </c>
      <c r="G15" s="17">
        <f>IF(G14="","",G14*'Annual P&amp;L'!G7)</f>
        <v>8055.0623999999998</v>
      </c>
      <c r="H15" s="17">
        <f>IF(H14="","",H14*'Annual P&amp;L'!H7)</f>
        <v>8052.59</v>
      </c>
      <c r="I15" s="17">
        <f>IF(I14="","",I14*'Annual P&amp;L'!I7)</f>
        <v>9095.741</v>
      </c>
      <c r="J15" s="17">
        <f>IF(J14="","",J14*'Annual P&amp;L'!J7)</f>
        <v>11039.4872</v>
      </c>
      <c r="K15" s="17" t="str">
        <f>IF(K14="","",K14*'Annual P&amp;L'!K7)</f>
        <v/>
      </c>
      <c r="L15" s="17" t="str">
        <f>IF(L14="","",L14*'Annual P&amp;L'!L7)</f>
        <v/>
      </c>
      <c r="M15" s="17" t="str">
        <f>IF(M14="","",M14*'Annual P&amp;L'!M7)</f>
        <v/>
      </c>
      <c r="N15" s="29" t="str">
        <f>IF(N14="","",N14*'Annual P&amp;L'!N7)</f>
        <v/>
      </c>
      <c r="O15" s="29" t="str">
        <f>IF(O14="","",O14*'Annual P&amp;L'!O7)</f>
        <v/>
      </c>
      <c r="P15" s="29" t="str">
        <f>IF(P14="","",P14*'Annual P&amp;L'!P7)</f>
        <v/>
      </c>
      <c r="Q15" s="29" t="str">
        <f>IF(Q14="","",Q14*'Annual P&amp;L'!Q7)</f>
        <v/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514</v>
      </c>
      <c r="B16" s="1" t="s">
        <v>44</v>
      </c>
      <c r="C16" s="18">
        <f>'Raw Operating'!C39</f>
        <v>0.152</v>
      </c>
      <c r="D16" s="18">
        <f>'Raw Operating'!D39</f>
        <v>0.158</v>
      </c>
      <c r="E16" s="18">
        <f>'Raw Operating'!E39</f>
        <v>0.158</v>
      </c>
      <c r="F16" s="18">
        <f>'Raw Operating'!F39</f>
        <v>0.157</v>
      </c>
      <c r="G16" s="18">
        <f>'Raw Operating'!G39</f>
        <v>0.16300000000000001</v>
      </c>
      <c r="H16" s="18">
        <f>'Raw Operating'!H39</f>
        <v>0.17</v>
      </c>
      <c r="I16" s="18">
        <f>'Raw Operating'!I39</f>
        <v>0.17899999999999999</v>
      </c>
      <c r="J16" s="18">
        <f>'Raw Operating'!J39</f>
        <v>0.188</v>
      </c>
      <c r="K16" s="1"/>
      <c r="L16" s="1"/>
      <c r="M16" s="1"/>
      <c r="N16" s="24"/>
      <c r="O16" s="24"/>
      <c r="P16" s="24"/>
      <c r="Q16" s="24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515</v>
      </c>
      <c r="B17" s="1" t="s">
        <v>42</v>
      </c>
      <c r="C17" s="17">
        <f>IF(C16="","",C16*'Annual P&amp;L'!C7)</f>
        <v>7789.0879999999997</v>
      </c>
      <c r="D17" s="17">
        <f>IF(D16="","",D16*'Annual P&amp;L'!D7)</f>
        <v>8696.3516</v>
      </c>
      <c r="E17" s="17">
        <f>IF(E16="","",E16*'Annual P&amp;L'!E7)</f>
        <v>8608.9617999999991</v>
      </c>
      <c r="F17" s="17">
        <f>IF(F16="","",F16*'Annual P&amp;L'!F7)</f>
        <v>9197.7664999999997</v>
      </c>
      <c r="G17" s="17">
        <f>IF(G16="","",G16*'Annual P&amp;L'!G7)</f>
        <v>9946.7816000000003</v>
      </c>
      <c r="H17" s="17">
        <f>IF(H16="","",H16*'Annual P&amp;L'!H7)</f>
        <v>10530.310000000001</v>
      </c>
      <c r="I17" s="17">
        <f>IF(I16="","",I16*'Annual P&amp;L'!I7)</f>
        <v>14157.718599999998</v>
      </c>
      <c r="J17" s="17">
        <f>IF(J16="","",J16*'Annual P&amp;L'!J7)</f>
        <v>17011.668799999999</v>
      </c>
      <c r="K17" s="17" t="str">
        <f>IF(K16="","",K16*'Annual P&amp;L'!K7)</f>
        <v/>
      </c>
      <c r="L17" s="17" t="str">
        <f>IF(L16="","",L16*'Annual P&amp;L'!L7)</f>
        <v/>
      </c>
      <c r="M17" s="17" t="str">
        <f>IF(M16="","",M16*'Annual P&amp;L'!M7)</f>
        <v/>
      </c>
      <c r="N17" s="29" t="str">
        <f>IF(N16="","",N16*'Annual P&amp;L'!N7)</f>
        <v/>
      </c>
      <c r="O17" s="29" t="str">
        <f>IF(O16="","",O16*'Annual P&amp;L'!O7)</f>
        <v/>
      </c>
      <c r="P17" s="29" t="str">
        <f>IF(P16="","",P16*'Annual P&amp;L'!P7)</f>
        <v/>
      </c>
      <c r="Q17" s="29" t="str">
        <f>IF(Q16="","",Q16*'Annual P&amp;L'!Q7)</f>
        <v/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516</v>
      </c>
      <c r="B18" s="1" t="s">
        <v>44</v>
      </c>
      <c r="C18" s="18">
        <f>'Raw Operating'!C40</f>
        <v>0.14599999999999999</v>
      </c>
      <c r="D18" s="18">
        <f>'Raw Operating'!D40</f>
        <v>0.13100000000000001</v>
      </c>
      <c r="E18" s="18">
        <f>'Raw Operating'!E40</f>
        <v>0</v>
      </c>
      <c r="F18" s="18">
        <f>'Raw Operating'!F40</f>
        <v>0</v>
      </c>
      <c r="G18" s="18">
        <f>'Raw Operating'!G40</f>
        <v>0</v>
      </c>
      <c r="H18" s="18">
        <f>'Raw Operating'!H40</f>
        <v>0</v>
      </c>
      <c r="I18" s="18">
        <f>'Raw Operating'!I40</f>
        <v>0</v>
      </c>
      <c r="J18" s="18">
        <f>'Raw Operating'!J40</f>
        <v>0</v>
      </c>
      <c r="K18" s="1"/>
      <c r="L18" s="1"/>
      <c r="M18" s="1"/>
      <c r="N18" s="24"/>
      <c r="O18" s="24"/>
      <c r="P18" s="24"/>
      <c r="Q18" s="24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517</v>
      </c>
      <c r="B19" s="1" t="s">
        <v>42</v>
      </c>
      <c r="C19" s="17">
        <f>IF(C18="","",C18*'Annual P&amp;L'!C7)</f>
        <v>7481.6239999999998</v>
      </c>
      <c r="D19" s="17">
        <f>IF(D18="","",D18*'Annual P&amp;L'!D7)</f>
        <v>7210.2662</v>
      </c>
      <c r="E19" s="17">
        <f>IF(E18="","",E18*'Annual P&amp;L'!E7)</f>
        <v>0</v>
      </c>
      <c r="F19" s="17">
        <f>IF(F18="","",F18*'Annual P&amp;L'!F7)</f>
        <v>0</v>
      </c>
      <c r="G19" s="17">
        <f>IF(G18="","",G18*'Annual P&amp;L'!G7)</f>
        <v>0</v>
      </c>
      <c r="H19" s="17">
        <f>IF(H18="","",H18*'Annual P&amp;L'!H7)</f>
        <v>0</v>
      </c>
      <c r="I19" s="17">
        <f>IF(I18="","",I18*'Annual P&amp;L'!I7)</f>
        <v>0</v>
      </c>
      <c r="J19" s="17">
        <f>IF(J18="","",J18*'Annual P&amp;L'!J7)</f>
        <v>0</v>
      </c>
      <c r="K19" s="17" t="str">
        <f>IF(K18="","",K18*'Annual P&amp;L'!K7)</f>
        <v/>
      </c>
      <c r="L19" s="17" t="str">
        <f>IF(L18="","",L18*'Annual P&amp;L'!L7)</f>
        <v/>
      </c>
      <c r="M19" s="17" t="str">
        <f>IF(M18="","",M18*'Annual P&amp;L'!M7)</f>
        <v/>
      </c>
      <c r="N19" s="29" t="str">
        <f>IF(N18="","",N18*'Annual P&amp;L'!N7)</f>
        <v/>
      </c>
      <c r="O19" s="29" t="str">
        <f>IF(O18="","",O18*'Annual P&amp;L'!O7)</f>
        <v/>
      </c>
      <c r="P19" s="29" t="str">
        <f>IF(P18="","",P18*'Annual P&amp;L'!P7)</f>
        <v/>
      </c>
      <c r="Q19" s="29" t="str">
        <f>IF(Q18="","",Q18*'Annual P&amp;L'!Q7)</f>
        <v/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518</v>
      </c>
      <c r="B20" s="1" t="s">
        <v>44</v>
      </c>
      <c r="C20" s="18">
        <f t="shared" ref="C20:Q20" si="0">IF(COUNT(C8,C10,C12,C14,C16,C18)=0,"",SUM(C8,C10,C12,C14,C16,C18))</f>
        <v>1</v>
      </c>
      <c r="D20" s="18">
        <f t="shared" si="0"/>
        <v>0.77500000000000002</v>
      </c>
      <c r="E20" s="18">
        <f t="shared" si="0"/>
        <v>0.503</v>
      </c>
      <c r="F20" s="18">
        <f t="shared" si="0"/>
        <v>0.65500000000000003</v>
      </c>
      <c r="G20" s="18">
        <f t="shared" si="0"/>
        <v>0.66200000000000003</v>
      </c>
      <c r="H20" s="18">
        <f t="shared" si="0"/>
        <v>0.65900000000000003</v>
      </c>
      <c r="I20" s="18">
        <f t="shared" si="0"/>
        <v>0.69100000000000006</v>
      </c>
      <c r="J20" s="18">
        <f t="shared" si="0"/>
        <v>0.70599999999999996</v>
      </c>
      <c r="K20" s="18" t="str">
        <f t="shared" si="0"/>
        <v/>
      </c>
      <c r="L20" s="18" t="str">
        <f t="shared" si="0"/>
        <v/>
      </c>
      <c r="M20" s="18" t="str">
        <f t="shared" si="0"/>
        <v/>
      </c>
      <c r="N20" s="26" t="str">
        <f t="shared" si="0"/>
        <v/>
      </c>
      <c r="O20" s="26" t="str">
        <f t="shared" si="0"/>
        <v/>
      </c>
      <c r="P20" s="26" t="str">
        <f t="shared" si="0"/>
        <v/>
      </c>
      <c r="Q20" s="26" t="str">
        <f t="shared" si="0"/>
        <v/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519</v>
      </c>
      <c r="B21" s="1" t="s">
        <v>42</v>
      </c>
      <c r="C21" s="17">
        <f t="shared" ref="C21:Q21" si="1">SUM(C9,C11,C13,C15,C17,C19)</f>
        <v>51244</v>
      </c>
      <c r="D21" s="17">
        <f t="shared" si="1"/>
        <v>42656.154999999999</v>
      </c>
      <c r="E21" s="17">
        <f t="shared" si="1"/>
        <v>27407.011299999998</v>
      </c>
      <c r="F21" s="17">
        <f t="shared" si="1"/>
        <v>38372.847499999996</v>
      </c>
      <c r="G21" s="17">
        <f t="shared" si="1"/>
        <v>40397.358399999997</v>
      </c>
      <c r="H21" s="17">
        <f t="shared" si="1"/>
        <v>40820.437000000005</v>
      </c>
      <c r="I21" s="17">
        <f t="shared" si="1"/>
        <v>54653.539400000001</v>
      </c>
      <c r="J21" s="17">
        <f t="shared" si="1"/>
        <v>63884.245599999995</v>
      </c>
      <c r="K21" s="17">
        <f t="shared" si="1"/>
        <v>0</v>
      </c>
      <c r="L21" s="17">
        <f t="shared" si="1"/>
        <v>0</v>
      </c>
      <c r="M21" s="17">
        <f t="shared" si="1"/>
        <v>0</v>
      </c>
      <c r="N21" s="29">
        <f t="shared" si="1"/>
        <v>0</v>
      </c>
      <c r="O21" s="29">
        <f t="shared" si="1"/>
        <v>0</v>
      </c>
      <c r="P21" s="29">
        <f t="shared" si="1"/>
        <v>0</v>
      </c>
      <c r="Q21" s="29">
        <f t="shared" si="1"/>
        <v>0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520</v>
      </c>
      <c r="B22" s="1" t="s">
        <v>42</v>
      </c>
      <c r="C22" s="17">
        <f>'Annual P&amp;L'!C7</f>
        <v>51244</v>
      </c>
      <c r="D22" s="17">
        <f>'Annual P&amp;L'!D7</f>
        <v>55040.2</v>
      </c>
      <c r="E22" s="17">
        <f>'Annual P&amp;L'!E7</f>
        <v>54487.1</v>
      </c>
      <c r="F22" s="17">
        <f>'Annual P&amp;L'!F7</f>
        <v>58584.5</v>
      </c>
      <c r="G22" s="17">
        <f>'Annual P&amp;L'!G7</f>
        <v>61023.199999999997</v>
      </c>
      <c r="H22" s="17">
        <f>'Annual P&amp;L'!H7</f>
        <v>61943</v>
      </c>
      <c r="I22" s="17">
        <f>'Annual P&amp;L'!I7</f>
        <v>79093.399999999994</v>
      </c>
      <c r="J22" s="17">
        <f>'Annual P&amp;L'!J7</f>
        <v>90487.6</v>
      </c>
      <c r="K22" s="17">
        <f>'Annual P&amp;L'!K7</f>
        <v>89760.3</v>
      </c>
      <c r="L22" s="17">
        <f>'Annual P&amp;L'!L7</f>
        <v>89088.4</v>
      </c>
      <c r="M22" s="17">
        <f>'Annual P&amp;L'!M7</f>
        <v>92624</v>
      </c>
      <c r="N22" s="29">
        <f>'Annual P&amp;L'!N7</f>
        <v>95426.74118316597</v>
      </c>
      <c r="O22" s="29">
        <f>'Annual P&amp;L'!O7</f>
        <v>101167.43631504844</v>
      </c>
      <c r="P22" s="29">
        <f>'Annual P&amp;L'!P7</f>
        <v>109097.12384098076</v>
      </c>
      <c r="Q22" s="29">
        <f>'Annual P&amp;L'!Q7</f>
        <v>118382.91707735034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521</v>
      </c>
      <c r="B23" s="1" t="s">
        <v>42</v>
      </c>
      <c r="C23" s="17">
        <f t="shared" ref="C23:Q23" si="2">IF(C20="","",C21-C22)</f>
        <v>0</v>
      </c>
      <c r="D23" s="17">
        <f t="shared" si="2"/>
        <v>-12384.044999999998</v>
      </c>
      <c r="E23" s="17">
        <f t="shared" si="2"/>
        <v>-27080.0887</v>
      </c>
      <c r="F23" s="17">
        <f t="shared" si="2"/>
        <v>-20211.652500000004</v>
      </c>
      <c r="G23" s="17">
        <f t="shared" si="2"/>
        <v>-20625.8416</v>
      </c>
      <c r="H23" s="17">
        <f t="shared" si="2"/>
        <v>-21122.562999999995</v>
      </c>
      <c r="I23" s="17">
        <f t="shared" si="2"/>
        <v>-24439.860599999993</v>
      </c>
      <c r="J23" s="17">
        <f t="shared" si="2"/>
        <v>-26603.354400000011</v>
      </c>
      <c r="K23" s="17" t="str">
        <f t="shared" si="2"/>
        <v/>
      </c>
      <c r="L23" s="17" t="str">
        <f t="shared" si="2"/>
        <v/>
      </c>
      <c r="M23" s="17" t="str">
        <f t="shared" si="2"/>
        <v/>
      </c>
      <c r="N23" s="29" t="str">
        <f t="shared" si="2"/>
        <v/>
      </c>
      <c r="O23" s="29" t="str">
        <f t="shared" si="2"/>
        <v/>
      </c>
      <c r="P23" s="29" t="str">
        <f t="shared" si="2"/>
        <v/>
      </c>
      <c r="Q23" s="29" t="str">
        <f t="shared" si="2"/>
        <v/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4"/>
      <c r="O24" s="24"/>
      <c r="P24" s="24"/>
      <c r="Q24" s="24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4"/>
      <c r="O25" s="24"/>
      <c r="P25" s="24"/>
      <c r="Q25" s="24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8" customHeight="1">
      <c r="A26" s="47" t="s">
        <v>522</v>
      </c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8"/>
      <c r="O26" s="48"/>
      <c r="P26" s="48"/>
      <c r="Q26" s="48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523</v>
      </c>
      <c r="B27" s="1" t="s">
        <v>44</v>
      </c>
      <c r="C27" s="1"/>
      <c r="D27" s="1"/>
      <c r="E27" s="1"/>
      <c r="F27" s="1"/>
      <c r="G27" s="1"/>
      <c r="H27" s="1"/>
      <c r="I27" s="1"/>
      <c r="J27" s="1"/>
      <c r="K27" s="18">
        <f>'Raw Operating'!K35</f>
        <v>0.33399999999999996</v>
      </c>
      <c r="L27" s="18">
        <f>'Raw Operating'!L35</f>
        <v>0.34299999999999997</v>
      </c>
      <c r="M27" s="18">
        <f>'Raw Operating'!M35</f>
        <v>0.34100000000000003</v>
      </c>
      <c r="N27" s="26">
        <f>M27</f>
        <v>0.34100000000000003</v>
      </c>
      <c r="O27" s="26">
        <f>N27</f>
        <v>0.34100000000000003</v>
      </c>
      <c r="P27" s="26">
        <f>O27</f>
        <v>0.34100000000000003</v>
      </c>
      <c r="Q27" s="26">
        <f>P27</f>
        <v>0.34100000000000003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524</v>
      </c>
      <c r="B28" s="1" t="s">
        <v>42</v>
      </c>
      <c r="C28" s="17" t="str">
        <f>IF(C27="","",C27*'Annual P&amp;L'!C7)</f>
        <v/>
      </c>
      <c r="D28" s="17" t="str">
        <f>IF(D27="","",D27*'Annual P&amp;L'!D7)</f>
        <v/>
      </c>
      <c r="E28" s="17" t="str">
        <f>IF(E27="","",E27*'Annual P&amp;L'!E7)</f>
        <v/>
      </c>
      <c r="F28" s="17" t="str">
        <f>IF(F27="","",F27*'Annual P&amp;L'!F7)</f>
        <v/>
      </c>
      <c r="G28" s="17" t="str">
        <f>IF(G27="","",G27*'Annual P&amp;L'!G7)</f>
        <v/>
      </c>
      <c r="H28" s="17" t="str">
        <f>IF(H27="","",H27*'Annual P&amp;L'!H7)</f>
        <v/>
      </c>
      <c r="I28" s="17" t="str">
        <f>IF(I27="","",I27*'Annual P&amp;L'!I7)</f>
        <v/>
      </c>
      <c r="J28" s="17" t="str">
        <f>IF(J27="","",J27*'Annual P&amp;L'!J7)</f>
        <v/>
      </c>
      <c r="K28" s="17">
        <f>IF(K27="","",K27*'Annual P&amp;L'!K7)</f>
        <v>29979.940199999997</v>
      </c>
      <c r="L28" s="17">
        <f>IF(L27="","",L27*'Annual P&amp;L'!L7)</f>
        <v>30557.321199999995</v>
      </c>
      <c r="M28" s="17">
        <f>IF(M27="","",M27*'Annual P&amp;L'!M7)</f>
        <v>31584.784000000003</v>
      </c>
      <c r="N28" s="29">
        <f>IF(N27="","",N27*'Annual P&amp;L'!N7)</f>
        <v>32540.518743459597</v>
      </c>
      <c r="O28" s="29">
        <f>IF(O27="","",O27*'Annual P&amp;L'!O7)</f>
        <v>34498.09578343152</v>
      </c>
      <c r="P28" s="29">
        <f>IF(P27="","",P27*'Annual P&amp;L'!P7)</f>
        <v>37202.119229774442</v>
      </c>
      <c r="Q28" s="29">
        <f>IF(Q27="","",Q27*'Annual P&amp;L'!Q7)</f>
        <v>40368.574723376471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525</v>
      </c>
      <c r="B29" s="1" t="s">
        <v>44</v>
      </c>
      <c r="C29" s="1"/>
      <c r="D29" s="1"/>
      <c r="E29" s="1"/>
      <c r="F29" s="1"/>
      <c r="G29" s="1"/>
      <c r="H29" s="1"/>
      <c r="I29" s="1"/>
      <c r="J29" s="1"/>
      <c r="K29" s="18">
        <f>'Raw Operating'!K39</f>
        <v>0.187</v>
      </c>
      <c r="L29" s="18">
        <f>'Raw Operating'!L39</f>
        <v>0.18899999999999997</v>
      </c>
      <c r="M29" s="18">
        <f>'Raw Operating'!M39</f>
        <v>0.184</v>
      </c>
      <c r="N29" s="26">
        <f>M29</f>
        <v>0.184</v>
      </c>
      <c r="O29" s="26">
        <f>N29</f>
        <v>0.184</v>
      </c>
      <c r="P29" s="26">
        <f>O29</f>
        <v>0.184</v>
      </c>
      <c r="Q29" s="26">
        <f>P29</f>
        <v>0.184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526</v>
      </c>
      <c r="B30" s="1" t="s">
        <v>42</v>
      </c>
      <c r="C30" s="17" t="str">
        <f>IF(C29="","",C29*'Annual P&amp;L'!C7)</f>
        <v/>
      </c>
      <c r="D30" s="17" t="str">
        <f>IF(D29="","",D29*'Annual P&amp;L'!D7)</f>
        <v/>
      </c>
      <c r="E30" s="17" t="str">
        <f>IF(E29="","",E29*'Annual P&amp;L'!E7)</f>
        <v/>
      </c>
      <c r="F30" s="17" t="str">
        <f>IF(F29="","",F29*'Annual P&amp;L'!F7)</f>
        <v/>
      </c>
      <c r="G30" s="17" t="str">
        <f>IF(G29="","",G29*'Annual P&amp;L'!G7)</f>
        <v/>
      </c>
      <c r="H30" s="17" t="str">
        <f>IF(H29="","",H29*'Annual P&amp;L'!H7)</f>
        <v/>
      </c>
      <c r="I30" s="17" t="str">
        <f>IF(I29="","",I29*'Annual P&amp;L'!I7)</f>
        <v/>
      </c>
      <c r="J30" s="17" t="str">
        <f>IF(J29="","",J29*'Annual P&amp;L'!J7)</f>
        <v/>
      </c>
      <c r="K30" s="17">
        <f>IF(K29="","",K29*'Annual P&amp;L'!K7)</f>
        <v>16785.176100000001</v>
      </c>
      <c r="L30" s="17">
        <f>IF(L29="","",L29*'Annual P&amp;L'!L7)</f>
        <v>16837.707599999998</v>
      </c>
      <c r="M30" s="17">
        <f>IF(M29="","",M29*'Annual P&amp;L'!M7)</f>
        <v>17042.815999999999</v>
      </c>
      <c r="N30" s="29">
        <f>IF(N29="","",N29*'Annual P&amp;L'!N7)</f>
        <v>17558.520377702538</v>
      </c>
      <c r="O30" s="29">
        <f>IF(O29="","",O29*'Annual P&amp;L'!O7)</f>
        <v>18614.808281968912</v>
      </c>
      <c r="P30" s="29">
        <f>IF(P29="","",P29*'Annual P&amp;L'!P7)</f>
        <v>20073.870786740459</v>
      </c>
      <c r="Q30" s="29">
        <f>IF(Q29="","",Q29*'Annual P&amp;L'!Q7)</f>
        <v>21782.456742232462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527</v>
      </c>
      <c r="B31" s="1" t="s">
        <v>44</v>
      </c>
      <c r="C31" s="1"/>
      <c r="D31" s="1"/>
      <c r="E31" s="1"/>
      <c r="F31" s="1"/>
      <c r="G31" s="1"/>
      <c r="H31" s="1"/>
      <c r="I31" s="1"/>
      <c r="J31" s="1"/>
      <c r="K31" s="18">
        <f>'Raw Operating'!K37</f>
        <v>0</v>
      </c>
      <c r="L31" s="18">
        <f>'Raw Operating'!L37</f>
        <v>0</v>
      </c>
      <c r="M31" s="18">
        <f>'Raw Operating'!M37</f>
        <v>0.17</v>
      </c>
      <c r="N31" s="26">
        <f>M31</f>
        <v>0.17</v>
      </c>
      <c r="O31" s="26">
        <f>N31</f>
        <v>0.17</v>
      </c>
      <c r="P31" s="26">
        <f>O31</f>
        <v>0.17</v>
      </c>
      <c r="Q31" s="26">
        <f>P31</f>
        <v>0.17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528</v>
      </c>
      <c r="B32" s="1" t="s">
        <v>42</v>
      </c>
      <c r="C32" s="17" t="str">
        <f>IF(C31="","",C31*'Annual P&amp;L'!C7)</f>
        <v/>
      </c>
      <c r="D32" s="17" t="str">
        <f>IF(D31="","",D31*'Annual P&amp;L'!D7)</f>
        <v/>
      </c>
      <c r="E32" s="17" t="str">
        <f>IF(E31="","",E31*'Annual P&amp;L'!E7)</f>
        <v/>
      </c>
      <c r="F32" s="17" t="str">
        <f>IF(F31="","",F31*'Annual P&amp;L'!F7)</f>
        <v/>
      </c>
      <c r="G32" s="17" t="str">
        <f>IF(G31="","",G31*'Annual P&amp;L'!G7)</f>
        <v/>
      </c>
      <c r="H32" s="17" t="str">
        <f>IF(H31="","",H31*'Annual P&amp;L'!H7)</f>
        <v/>
      </c>
      <c r="I32" s="17" t="str">
        <f>IF(I31="","",I31*'Annual P&amp;L'!I7)</f>
        <v/>
      </c>
      <c r="J32" s="17" t="str">
        <f>IF(J31="","",J31*'Annual P&amp;L'!J7)</f>
        <v/>
      </c>
      <c r="K32" s="17">
        <f>IF(K31="","",K31*'Annual P&amp;L'!K7)</f>
        <v>0</v>
      </c>
      <c r="L32" s="17">
        <f>IF(L31="","",L31*'Annual P&amp;L'!L7)</f>
        <v>0</v>
      </c>
      <c r="M32" s="17">
        <f>IF(M31="","",M31*'Annual P&amp;L'!M7)</f>
        <v>15746.080000000002</v>
      </c>
      <c r="N32" s="29">
        <f>IF(N31="","",N31*'Annual P&amp;L'!N7)</f>
        <v>16222.546001138217</v>
      </c>
      <c r="O32" s="29">
        <f>IF(O31="","",O31*'Annual P&amp;L'!O7)</f>
        <v>17198.464173558237</v>
      </c>
      <c r="P32" s="29">
        <f>IF(P31="","",P31*'Annual P&amp;L'!P7)</f>
        <v>18546.511052966729</v>
      </c>
      <c r="Q32" s="29">
        <f>IF(Q31="","",Q31*'Annual P&amp;L'!Q7)</f>
        <v>20125.095903149559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529</v>
      </c>
      <c r="B33" s="1" t="s">
        <v>44</v>
      </c>
      <c r="C33" s="1"/>
      <c r="D33" s="1"/>
      <c r="E33" s="1"/>
      <c r="F33" s="1"/>
      <c r="G33" s="1"/>
      <c r="H33" s="1"/>
      <c r="I33" s="1"/>
      <c r="J33" s="1"/>
      <c r="K33" s="18">
        <f>'Raw Operating'!K41</f>
        <v>0</v>
      </c>
      <c r="L33" s="18">
        <f>'Raw Operating'!L41</f>
        <v>0.153</v>
      </c>
      <c r="M33" s="18">
        <f>'Raw Operating'!M41</f>
        <v>0.16</v>
      </c>
      <c r="N33" s="26">
        <f>M33</f>
        <v>0.16</v>
      </c>
      <c r="O33" s="26">
        <f>N33</f>
        <v>0.16</v>
      </c>
      <c r="P33" s="26">
        <f>O33</f>
        <v>0.16</v>
      </c>
      <c r="Q33" s="26">
        <f>P33</f>
        <v>0.16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530</v>
      </c>
      <c r="B34" s="1" t="s">
        <v>42</v>
      </c>
      <c r="C34" s="17" t="str">
        <f>IF(C33="","",C33*'Annual P&amp;L'!C7)</f>
        <v/>
      </c>
      <c r="D34" s="17" t="str">
        <f>IF(D33="","",D33*'Annual P&amp;L'!D7)</f>
        <v/>
      </c>
      <c r="E34" s="17" t="str">
        <f>IF(E33="","",E33*'Annual P&amp;L'!E7)</f>
        <v/>
      </c>
      <c r="F34" s="17" t="str">
        <f>IF(F33="","",F33*'Annual P&amp;L'!F7)</f>
        <v/>
      </c>
      <c r="G34" s="17" t="str">
        <f>IF(G33="","",G33*'Annual P&amp;L'!G7)</f>
        <v/>
      </c>
      <c r="H34" s="17" t="str">
        <f>IF(H33="","",H33*'Annual P&amp;L'!H7)</f>
        <v/>
      </c>
      <c r="I34" s="17" t="str">
        <f>IF(I33="","",I33*'Annual P&amp;L'!I7)</f>
        <v/>
      </c>
      <c r="J34" s="17" t="str">
        <f>IF(J33="","",J33*'Annual P&amp;L'!J7)</f>
        <v/>
      </c>
      <c r="K34" s="17">
        <f>IF(K33="","",K33*'Annual P&amp;L'!K7)</f>
        <v>0</v>
      </c>
      <c r="L34" s="17">
        <f>IF(L33="","",L33*'Annual P&amp;L'!L7)</f>
        <v>13630.525199999998</v>
      </c>
      <c r="M34" s="17">
        <f>IF(M33="","",M33*'Annual P&amp;L'!M7)</f>
        <v>14819.84</v>
      </c>
      <c r="N34" s="29">
        <f>IF(N33="","",N33*'Annual P&amp;L'!N7)</f>
        <v>15268.278589306556</v>
      </c>
      <c r="O34" s="29">
        <f>IF(O33="","",O33*'Annual P&amp;L'!O7)</f>
        <v>16186.78981040775</v>
      </c>
      <c r="P34" s="29">
        <f>IF(P33="","",P33*'Annual P&amp;L'!P7)</f>
        <v>17455.53981455692</v>
      </c>
      <c r="Q34" s="29">
        <f>IF(Q33="","",Q33*'Annual P&amp;L'!Q7)</f>
        <v>18941.266732376054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531</v>
      </c>
      <c r="B35" s="1" t="s">
        <v>44</v>
      </c>
      <c r="C35" s="1"/>
      <c r="D35" s="1"/>
      <c r="E35" s="1"/>
      <c r="F35" s="1"/>
      <c r="G35" s="1"/>
      <c r="H35" s="1"/>
      <c r="I35" s="1"/>
      <c r="J35" s="1"/>
      <c r="K35" s="18">
        <f>'Raw Operating'!K38</f>
        <v>0.14099999999999999</v>
      </c>
      <c r="L35" s="18">
        <f>'Raw Operating'!L38</f>
        <v>0.14400000000000002</v>
      </c>
      <c r="M35" s="18">
        <f>'Raw Operating'!M38</f>
        <v>0.14199999999999999</v>
      </c>
      <c r="N35" s="26">
        <f>M35</f>
        <v>0.14199999999999999</v>
      </c>
      <c r="O35" s="26">
        <f>N35</f>
        <v>0.14199999999999999</v>
      </c>
      <c r="P35" s="26">
        <f>O35</f>
        <v>0.14199999999999999</v>
      </c>
      <c r="Q35" s="26">
        <f>P35</f>
        <v>0.14199999999999999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532</v>
      </c>
      <c r="B36" s="1" t="s">
        <v>42</v>
      </c>
      <c r="C36" s="17" t="str">
        <f>IF(C35="","",C35*'Annual P&amp;L'!C7)</f>
        <v/>
      </c>
      <c r="D36" s="17" t="str">
        <f>IF(D35="","",D35*'Annual P&amp;L'!D7)</f>
        <v/>
      </c>
      <c r="E36" s="17" t="str">
        <f>IF(E35="","",E35*'Annual P&amp;L'!E7)</f>
        <v/>
      </c>
      <c r="F36" s="17" t="str">
        <f>IF(F35="","",F35*'Annual P&amp;L'!F7)</f>
        <v/>
      </c>
      <c r="G36" s="17" t="str">
        <f>IF(G35="","",G35*'Annual P&amp;L'!G7)</f>
        <v/>
      </c>
      <c r="H36" s="17" t="str">
        <f>IF(H35="","",H35*'Annual P&amp;L'!H7)</f>
        <v/>
      </c>
      <c r="I36" s="17" t="str">
        <f>IF(I35="","",I35*'Annual P&amp;L'!I7)</f>
        <v/>
      </c>
      <c r="J36" s="17" t="str">
        <f>IF(J35="","",J35*'Annual P&amp;L'!J7)</f>
        <v/>
      </c>
      <c r="K36" s="17">
        <f>IF(K35="","",K35*'Annual P&amp;L'!K7)</f>
        <v>12656.202299999999</v>
      </c>
      <c r="L36" s="17">
        <f>IF(L35="","",L35*'Annual P&amp;L'!L7)</f>
        <v>12828.729600000001</v>
      </c>
      <c r="M36" s="17">
        <f>IF(M35="","",M35*'Annual P&amp;L'!M7)</f>
        <v>13152.607999999998</v>
      </c>
      <c r="N36" s="29">
        <f>IF(N35="","",N35*'Annual P&amp;L'!N7)</f>
        <v>13550.597248009566</v>
      </c>
      <c r="O36" s="29">
        <f>IF(O35="","",O35*'Annual P&amp;L'!O7)</f>
        <v>14365.775956736878</v>
      </c>
      <c r="P36" s="29">
        <f>IF(P35="","",P35*'Annual P&amp;L'!P7)</f>
        <v>15491.791585419265</v>
      </c>
      <c r="Q36" s="29">
        <f>IF(Q35="","",Q35*'Annual P&amp;L'!Q7)</f>
        <v>16810.374224983749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518</v>
      </c>
      <c r="B37" s="1" t="s">
        <v>44</v>
      </c>
      <c r="C37" s="18" t="str">
        <f t="shared" ref="C37:Q37" si="3">IF(COUNT(C27,C29,C31,C33,C35)=0,"",SUM(C27,C29,C31,C33,C35))</f>
        <v/>
      </c>
      <c r="D37" s="18" t="str">
        <f t="shared" si="3"/>
        <v/>
      </c>
      <c r="E37" s="18" t="str">
        <f t="shared" si="3"/>
        <v/>
      </c>
      <c r="F37" s="18" t="str">
        <f t="shared" si="3"/>
        <v/>
      </c>
      <c r="G37" s="18" t="str">
        <f t="shared" si="3"/>
        <v/>
      </c>
      <c r="H37" s="18" t="str">
        <f t="shared" si="3"/>
        <v/>
      </c>
      <c r="I37" s="18" t="str">
        <f t="shared" si="3"/>
        <v/>
      </c>
      <c r="J37" s="18" t="str">
        <f t="shared" si="3"/>
        <v/>
      </c>
      <c r="K37" s="18">
        <f t="shared" si="3"/>
        <v>0.66199999999999992</v>
      </c>
      <c r="L37" s="18">
        <f t="shared" si="3"/>
        <v>0.82899999999999996</v>
      </c>
      <c r="M37" s="18">
        <f t="shared" si="3"/>
        <v>0.99700000000000011</v>
      </c>
      <c r="N37" s="26">
        <f t="shared" si="3"/>
        <v>0.99700000000000011</v>
      </c>
      <c r="O37" s="26">
        <f t="shared" si="3"/>
        <v>0.99700000000000011</v>
      </c>
      <c r="P37" s="26">
        <f t="shared" si="3"/>
        <v>0.99700000000000011</v>
      </c>
      <c r="Q37" s="26">
        <f t="shared" si="3"/>
        <v>0.99700000000000011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 t="s">
        <v>519</v>
      </c>
      <c r="B38" s="1" t="s">
        <v>42</v>
      </c>
      <c r="C38" s="17">
        <f t="shared" ref="C38:Q38" si="4">SUM(C28,C30,C32,C34,C36)</f>
        <v>0</v>
      </c>
      <c r="D38" s="17">
        <f t="shared" si="4"/>
        <v>0</v>
      </c>
      <c r="E38" s="17">
        <f t="shared" si="4"/>
        <v>0</v>
      </c>
      <c r="F38" s="17">
        <f t="shared" si="4"/>
        <v>0</v>
      </c>
      <c r="G38" s="17">
        <f t="shared" si="4"/>
        <v>0</v>
      </c>
      <c r="H38" s="17">
        <f t="shared" si="4"/>
        <v>0</v>
      </c>
      <c r="I38" s="17">
        <f t="shared" si="4"/>
        <v>0</v>
      </c>
      <c r="J38" s="17">
        <f t="shared" si="4"/>
        <v>0</v>
      </c>
      <c r="K38" s="17">
        <f t="shared" si="4"/>
        <v>59421.318599999991</v>
      </c>
      <c r="L38" s="17">
        <f t="shared" si="4"/>
        <v>73854.283599999995</v>
      </c>
      <c r="M38" s="17">
        <f t="shared" si="4"/>
        <v>92346.127999999997</v>
      </c>
      <c r="N38" s="29">
        <f t="shared" si="4"/>
        <v>95140.460959616466</v>
      </c>
      <c r="O38" s="29">
        <f t="shared" si="4"/>
        <v>100863.9340061033</v>
      </c>
      <c r="P38" s="29">
        <f t="shared" si="4"/>
        <v>108769.83246945782</v>
      </c>
      <c r="Q38" s="29">
        <f t="shared" si="4"/>
        <v>118027.7683261183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520</v>
      </c>
      <c r="B39" s="1" t="s">
        <v>42</v>
      </c>
      <c r="C39" s="17">
        <f>'Annual P&amp;L'!C7</f>
        <v>51244</v>
      </c>
      <c r="D39" s="17">
        <f>'Annual P&amp;L'!D7</f>
        <v>55040.2</v>
      </c>
      <c r="E39" s="17">
        <f>'Annual P&amp;L'!E7</f>
        <v>54487.1</v>
      </c>
      <c r="F39" s="17">
        <f>'Annual P&amp;L'!F7</f>
        <v>58584.5</v>
      </c>
      <c r="G39" s="17">
        <f>'Annual P&amp;L'!G7</f>
        <v>61023.199999999997</v>
      </c>
      <c r="H39" s="17">
        <f>'Annual P&amp;L'!H7</f>
        <v>61943</v>
      </c>
      <c r="I39" s="17">
        <f>'Annual P&amp;L'!I7</f>
        <v>79093.399999999994</v>
      </c>
      <c r="J39" s="17">
        <f>'Annual P&amp;L'!J7</f>
        <v>90487.6</v>
      </c>
      <c r="K39" s="17">
        <f>'Annual P&amp;L'!K7</f>
        <v>89760.3</v>
      </c>
      <c r="L39" s="17">
        <f>'Annual P&amp;L'!L7</f>
        <v>89088.4</v>
      </c>
      <c r="M39" s="17">
        <f>'Annual P&amp;L'!M7</f>
        <v>92624</v>
      </c>
      <c r="N39" s="29">
        <f>'Annual P&amp;L'!N7</f>
        <v>95426.74118316597</v>
      </c>
      <c r="O39" s="29">
        <f>'Annual P&amp;L'!O7</f>
        <v>101167.43631504844</v>
      </c>
      <c r="P39" s="29">
        <f>'Annual P&amp;L'!P7</f>
        <v>109097.12384098076</v>
      </c>
      <c r="Q39" s="29">
        <f>'Annual P&amp;L'!Q7</f>
        <v>118382.91707735034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521</v>
      </c>
      <c r="B40" s="1" t="s">
        <v>42</v>
      </c>
      <c r="C40" s="17" t="str">
        <f t="shared" ref="C40:Q40" si="5">IF(C37="","",C38-C39)</f>
        <v/>
      </c>
      <c r="D40" s="17" t="str">
        <f t="shared" si="5"/>
        <v/>
      </c>
      <c r="E40" s="17" t="str">
        <f t="shared" si="5"/>
        <v/>
      </c>
      <c r="F40" s="17" t="str">
        <f t="shared" si="5"/>
        <v/>
      </c>
      <c r="G40" s="17" t="str">
        <f t="shared" si="5"/>
        <v/>
      </c>
      <c r="H40" s="17" t="str">
        <f t="shared" si="5"/>
        <v/>
      </c>
      <c r="I40" s="17" t="str">
        <f t="shared" si="5"/>
        <v/>
      </c>
      <c r="J40" s="17" t="str">
        <f t="shared" si="5"/>
        <v/>
      </c>
      <c r="K40" s="17">
        <f t="shared" si="5"/>
        <v>-30338.981400000011</v>
      </c>
      <c r="L40" s="17">
        <f t="shared" si="5"/>
        <v>-15234.116399999999</v>
      </c>
      <c r="M40" s="17">
        <f t="shared" si="5"/>
        <v>-277.87200000000303</v>
      </c>
      <c r="N40" s="29">
        <f t="shared" si="5"/>
        <v>-286.28022354950372</v>
      </c>
      <c r="O40" s="29">
        <f t="shared" si="5"/>
        <v>-303.50230894514243</v>
      </c>
      <c r="P40" s="29">
        <f t="shared" si="5"/>
        <v>-327.29137152293697</v>
      </c>
      <c r="Q40" s="29">
        <f t="shared" si="5"/>
        <v>-355.14875123204547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4"/>
      <c r="O41" s="24"/>
      <c r="P41" s="24"/>
      <c r="Q41" s="24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4"/>
      <c r="O42" s="24"/>
      <c r="P42" s="24"/>
      <c r="Q42" s="24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4"/>
      <c r="O43" s="24"/>
      <c r="P43" s="24"/>
      <c r="Q43" s="24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4"/>
      <c r="O44" s="24"/>
      <c r="P44" s="24"/>
      <c r="Q44" s="24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4"/>
      <c r="O45" s="24"/>
      <c r="P45" s="24"/>
      <c r="Q45" s="24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4"/>
      <c r="O46" s="24"/>
      <c r="P46" s="24"/>
      <c r="Q46" s="24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4"/>
      <c r="O47" s="24"/>
      <c r="P47" s="24"/>
      <c r="Q47" s="24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4"/>
      <c r="O48" s="24"/>
      <c r="P48" s="24"/>
      <c r="Q48" s="24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4"/>
      <c r="O49" s="24"/>
      <c r="P49" s="24"/>
      <c r="Q49" s="24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4"/>
      <c r="O50" s="24"/>
      <c r="P50" s="24"/>
      <c r="Q50" s="24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4"/>
      <c r="O51" s="24"/>
      <c r="P51" s="24"/>
      <c r="Q51" s="24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4"/>
      <c r="O52" s="24"/>
      <c r="P52" s="24"/>
      <c r="Q52" s="24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4"/>
      <c r="O53" s="24"/>
      <c r="P53" s="24"/>
      <c r="Q53" s="24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4"/>
      <c r="O54" s="24"/>
      <c r="P54" s="24"/>
      <c r="Q54" s="24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4"/>
      <c r="O55" s="24"/>
      <c r="P55" s="24"/>
      <c r="Q55" s="2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4"/>
      <c r="O56" s="24"/>
      <c r="P56" s="24"/>
      <c r="Q56" s="24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4"/>
      <c r="O57" s="24"/>
      <c r="P57" s="24"/>
      <c r="Q57" s="24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4"/>
      <c r="O58" s="24"/>
      <c r="P58" s="24"/>
      <c r="Q58" s="24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4"/>
      <c r="O59" s="24"/>
      <c r="P59" s="24"/>
      <c r="Q59" s="24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4"/>
      <c r="O60" s="24"/>
      <c r="P60" s="24"/>
      <c r="Q60" s="24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4"/>
      <c r="O61" s="24"/>
      <c r="P61" s="24"/>
      <c r="Q61" s="24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4"/>
      <c r="O62" s="24"/>
      <c r="P62" s="24"/>
      <c r="Q62" s="24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4"/>
      <c r="O63" s="24"/>
      <c r="P63" s="24"/>
      <c r="Q63" s="24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4"/>
      <c r="O64" s="24"/>
      <c r="P64" s="24"/>
      <c r="Q64" s="24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4"/>
      <c r="O65" s="24"/>
      <c r="P65" s="24"/>
      <c r="Q65" s="24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4"/>
      <c r="O66" s="24"/>
      <c r="P66" s="24"/>
      <c r="Q66" s="2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4"/>
      <c r="O67" s="24"/>
      <c r="P67" s="24"/>
      <c r="Q67" s="2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4"/>
      <c r="O68" s="24"/>
      <c r="P68" s="24"/>
      <c r="Q68" s="24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4"/>
      <c r="O69" s="24"/>
      <c r="P69" s="24"/>
      <c r="Q69" s="24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4"/>
      <c r="O70" s="24"/>
      <c r="P70" s="24"/>
      <c r="Q70" s="24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4"/>
      <c r="O71" s="24"/>
      <c r="P71" s="24"/>
      <c r="Q71" s="24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4"/>
      <c r="O72" s="24"/>
      <c r="P72" s="24"/>
      <c r="Q72" s="24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4"/>
      <c r="O73" s="24"/>
      <c r="P73" s="24"/>
      <c r="Q73" s="24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4"/>
      <c r="O74" s="24"/>
      <c r="P74" s="24"/>
      <c r="Q74" s="24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4"/>
      <c r="O75" s="24"/>
      <c r="P75" s="24"/>
      <c r="Q75" s="24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4"/>
      <c r="O76" s="24"/>
      <c r="P76" s="24"/>
      <c r="Q76" s="24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4"/>
      <c r="O77" s="24"/>
      <c r="P77" s="24"/>
      <c r="Q77" s="24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4"/>
      <c r="O78" s="24"/>
      <c r="P78" s="24"/>
      <c r="Q78" s="24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4"/>
      <c r="O79" s="24"/>
      <c r="P79" s="24"/>
      <c r="Q79" s="24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4"/>
      <c r="O80" s="24"/>
      <c r="P80" s="24"/>
      <c r="Q80" s="24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4"/>
      <c r="O81" s="24"/>
      <c r="P81" s="24"/>
      <c r="Q81" s="24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4"/>
      <c r="O82" s="24"/>
      <c r="P82" s="24"/>
      <c r="Q82" s="24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4"/>
      <c r="O83" s="24"/>
      <c r="P83" s="24"/>
      <c r="Q83" s="24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4"/>
      <c r="O88" s="24"/>
      <c r="P88" s="24"/>
      <c r="Q88" s="24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4"/>
      <c r="O89" s="24"/>
      <c r="P89" s="24"/>
      <c r="Q89" s="24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4"/>
      <c r="O90" s="24"/>
      <c r="P90" s="24"/>
      <c r="Q90" s="24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4"/>
      <c r="O91" s="24"/>
      <c r="P91" s="24"/>
      <c r="Q91" s="24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4"/>
      <c r="O92" s="24"/>
      <c r="P92" s="24"/>
      <c r="Q92" s="24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4"/>
      <c r="O93" s="24"/>
      <c r="P93" s="24"/>
      <c r="Q93" s="24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4"/>
      <c r="O94" s="24"/>
      <c r="P94" s="24"/>
      <c r="Q94" s="24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4"/>
      <c r="O95" s="24"/>
      <c r="P95" s="24"/>
      <c r="Q95" s="24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4"/>
      <c r="O96" s="24"/>
      <c r="P96" s="24"/>
      <c r="Q96" s="24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4"/>
      <c r="O97" s="24"/>
      <c r="P97" s="24"/>
      <c r="Q97" s="24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4"/>
      <c r="O98" s="24"/>
      <c r="P98" s="24"/>
      <c r="Q98" s="24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4"/>
      <c r="O99" s="24"/>
      <c r="P99" s="24"/>
      <c r="Q99" s="24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4"/>
      <c r="O100" s="24"/>
      <c r="P100" s="24"/>
      <c r="Q100" s="24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4"/>
      <c r="O101" s="24"/>
      <c r="P101" s="24"/>
      <c r="Q101" s="24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4"/>
      <c r="O102" s="24"/>
      <c r="P102" s="24"/>
      <c r="Q102" s="24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4"/>
      <c r="O103" s="24"/>
      <c r="P103" s="24"/>
      <c r="Q103" s="24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4"/>
      <c r="O104" s="24"/>
      <c r="P104" s="24"/>
      <c r="Q104" s="24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4"/>
      <c r="O105" s="24"/>
      <c r="P105" s="24"/>
      <c r="Q105" s="24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4"/>
      <c r="O106" s="24"/>
      <c r="P106" s="24"/>
      <c r="Q106" s="24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4"/>
      <c r="O107" s="24"/>
      <c r="P107" s="24"/>
      <c r="Q107" s="24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4"/>
      <c r="O108" s="24"/>
      <c r="P108" s="24"/>
      <c r="Q108" s="24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4"/>
      <c r="O109" s="24"/>
      <c r="P109" s="24"/>
      <c r="Q109" s="24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4"/>
      <c r="O110" s="24"/>
      <c r="P110" s="24"/>
      <c r="Q110" s="24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4"/>
      <c r="O111" s="24"/>
      <c r="P111" s="24"/>
      <c r="Q111" s="24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4"/>
      <c r="O112" s="24"/>
      <c r="P112" s="24"/>
      <c r="Q112" s="24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4"/>
      <c r="O113" s="24"/>
      <c r="P113" s="24"/>
      <c r="Q113" s="24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4"/>
      <c r="O114" s="24"/>
      <c r="P114" s="24"/>
      <c r="Q114" s="24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4"/>
      <c r="O115" s="24"/>
      <c r="P115" s="24"/>
      <c r="Q115" s="24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4"/>
      <c r="O116" s="24"/>
      <c r="P116" s="24"/>
      <c r="Q116" s="24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4"/>
      <c r="O117" s="24"/>
      <c r="P117" s="24"/>
      <c r="Q117" s="24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4"/>
      <c r="O118" s="24"/>
      <c r="P118" s="24"/>
      <c r="Q118" s="24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4"/>
      <c r="O119" s="24"/>
      <c r="P119" s="24"/>
      <c r="Q119" s="24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4"/>
      <c r="O120" s="24"/>
      <c r="P120" s="24"/>
      <c r="Q120" s="24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4"/>
      <c r="O121" s="24"/>
      <c r="P121" s="24"/>
      <c r="Q121" s="24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4"/>
      <c r="O122" s="24"/>
      <c r="P122" s="24"/>
      <c r="Q122" s="24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4"/>
      <c r="O123" s="24"/>
      <c r="P123" s="24"/>
      <c r="Q123" s="24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4"/>
      <c r="O124" s="24"/>
      <c r="P124" s="24"/>
      <c r="Q124" s="24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4"/>
      <c r="O125" s="24"/>
      <c r="P125" s="24"/>
      <c r="Q125" s="24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4"/>
      <c r="O126" s="24"/>
      <c r="P126" s="24"/>
      <c r="Q126" s="24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4"/>
      <c r="O127" s="24"/>
      <c r="P127" s="24"/>
      <c r="Q127" s="24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4"/>
      <c r="O128" s="24"/>
      <c r="P128" s="24"/>
      <c r="Q128" s="24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4"/>
      <c r="O129" s="24"/>
      <c r="P129" s="24"/>
      <c r="Q129" s="24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4"/>
      <c r="O130" s="24"/>
      <c r="P130" s="24"/>
      <c r="Q130" s="24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4"/>
      <c r="O131" s="24"/>
      <c r="P131" s="24"/>
      <c r="Q131" s="24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4"/>
      <c r="O132" s="24"/>
      <c r="P132" s="24"/>
      <c r="Q132" s="24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4"/>
      <c r="O133" s="24"/>
      <c r="P133" s="24"/>
      <c r="Q133" s="24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4"/>
      <c r="O134" s="24"/>
      <c r="P134" s="24"/>
      <c r="Q134" s="24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4"/>
      <c r="O135" s="24"/>
      <c r="P135" s="24"/>
      <c r="Q135" s="24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4"/>
      <c r="O136" s="24"/>
      <c r="P136" s="24"/>
      <c r="Q136" s="24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4"/>
      <c r="O137" s="24"/>
      <c r="P137" s="24"/>
      <c r="Q137" s="24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4"/>
      <c r="O138" s="24"/>
      <c r="P138" s="24"/>
      <c r="Q138" s="24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4"/>
      <c r="O139" s="24"/>
      <c r="P139" s="24"/>
      <c r="Q139" s="24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4"/>
      <c r="O140" s="24"/>
      <c r="P140" s="24"/>
      <c r="Q140" s="24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4"/>
      <c r="O141" s="24"/>
      <c r="P141" s="24"/>
      <c r="Q141" s="24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4"/>
      <c r="O142" s="24"/>
      <c r="P142" s="24"/>
      <c r="Q142" s="24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4"/>
      <c r="O143" s="24"/>
      <c r="P143" s="24"/>
      <c r="Q143" s="24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4"/>
      <c r="O144" s="24"/>
      <c r="P144" s="24"/>
      <c r="Q144" s="24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4"/>
      <c r="O145" s="24"/>
      <c r="P145" s="24"/>
      <c r="Q145" s="24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4"/>
      <c r="O146" s="24"/>
      <c r="P146" s="24"/>
      <c r="Q146" s="24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4"/>
      <c r="O147" s="24"/>
      <c r="P147" s="24"/>
      <c r="Q147" s="24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4"/>
      <c r="O148" s="24"/>
      <c r="P148" s="24"/>
      <c r="Q148" s="24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4"/>
      <c r="O149" s="24"/>
      <c r="P149" s="24"/>
      <c r="Q149" s="24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4"/>
      <c r="O150" s="24"/>
      <c r="P150" s="24"/>
      <c r="Q150" s="24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4"/>
      <c r="O151" s="24"/>
      <c r="P151" s="24"/>
      <c r="Q151" s="24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4"/>
      <c r="O152" s="24"/>
      <c r="P152" s="24"/>
      <c r="Q152" s="24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4"/>
      <c r="O153" s="24"/>
      <c r="P153" s="24"/>
      <c r="Q153" s="24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4"/>
      <c r="O154" s="24"/>
      <c r="P154" s="24"/>
      <c r="Q154" s="24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4"/>
      <c r="O155" s="24"/>
      <c r="P155" s="24"/>
      <c r="Q155" s="24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4"/>
      <c r="O156" s="24"/>
      <c r="P156" s="24"/>
      <c r="Q156" s="24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4"/>
      <c r="O157" s="24"/>
      <c r="P157" s="24"/>
      <c r="Q157" s="24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4"/>
      <c r="O158" s="24"/>
      <c r="P158" s="24"/>
      <c r="Q158" s="24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4"/>
      <c r="O159" s="24"/>
      <c r="P159" s="24"/>
      <c r="Q159" s="24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4"/>
      <c r="O160" s="24"/>
      <c r="P160" s="24"/>
      <c r="Q160" s="24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4"/>
      <c r="O161" s="24"/>
      <c r="P161" s="24"/>
      <c r="Q161" s="24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4"/>
      <c r="O162" s="24"/>
      <c r="P162" s="24"/>
      <c r="Q162" s="24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4"/>
      <c r="O163" s="24"/>
      <c r="P163" s="24"/>
      <c r="Q163" s="24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4"/>
      <c r="O164" s="24"/>
      <c r="P164" s="24"/>
      <c r="Q164" s="24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4"/>
      <c r="O165" s="24"/>
      <c r="P165" s="24"/>
      <c r="Q165" s="24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4"/>
      <c r="O166" s="24"/>
      <c r="P166" s="24"/>
      <c r="Q166" s="24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4"/>
      <c r="O167" s="24"/>
      <c r="P167" s="24"/>
      <c r="Q167" s="24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4"/>
      <c r="O168" s="24"/>
      <c r="P168" s="24"/>
      <c r="Q168" s="24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4"/>
      <c r="O169" s="24"/>
      <c r="P169" s="24"/>
      <c r="Q169" s="24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4"/>
      <c r="O170" s="24"/>
      <c r="P170" s="24"/>
      <c r="Q170" s="24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4"/>
      <c r="O171" s="24"/>
      <c r="P171" s="24"/>
      <c r="Q171" s="24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4"/>
      <c r="O172" s="24"/>
      <c r="P172" s="24"/>
      <c r="Q172" s="24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4"/>
      <c r="O173" s="24"/>
      <c r="P173" s="24"/>
      <c r="Q173" s="24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4"/>
      <c r="O174" s="24"/>
      <c r="P174" s="24"/>
      <c r="Q174" s="24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4"/>
      <c r="O175" s="24"/>
      <c r="P175" s="24"/>
      <c r="Q175" s="24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4"/>
      <c r="O176" s="24"/>
      <c r="P176" s="24"/>
      <c r="Q176" s="24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4"/>
      <c r="O177" s="24"/>
      <c r="P177" s="24"/>
      <c r="Q177" s="24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4"/>
      <c r="O178" s="24"/>
      <c r="P178" s="24"/>
      <c r="Q178" s="24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4"/>
      <c r="O179" s="24"/>
      <c r="P179" s="24"/>
      <c r="Q179" s="24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4"/>
      <c r="O180" s="24"/>
      <c r="P180" s="24"/>
      <c r="Q180" s="24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4"/>
      <c r="O181" s="24"/>
      <c r="P181" s="24"/>
      <c r="Q181" s="24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4"/>
      <c r="O182" s="24"/>
      <c r="P182" s="24"/>
      <c r="Q182" s="24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4"/>
      <c r="O183" s="24"/>
      <c r="P183" s="24"/>
      <c r="Q183" s="24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4"/>
      <c r="O184" s="24"/>
      <c r="P184" s="24"/>
      <c r="Q184" s="24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4"/>
      <c r="O185" s="24"/>
      <c r="P185" s="24"/>
      <c r="Q185" s="24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4"/>
      <c r="O186" s="24"/>
      <c r="P186" s="24"/>
      <c r="Q186" s="24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4"/>
      <c r="O187" s="24"/>
      <c r="P187" s="24"/>
      <c r="Q187" s="24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4"/>
      <c r="O188" s="24"/>
      <c r="P188" s="24"/>
      <c r="Q188" s="24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4"/>
      <c r="O189" s="24"/>
      <c r="P189" s="24"/>
      <c r="Q189" s="24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4"/>
      <c r="O190" s="24"/>
      <c r="P190" s="24"/>
      <c r="Q190" s="24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4"/>
      <c r="O191" s="24"/>
      <c r="P191" s="24"/>
      <c r="Q191" s="24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4"/>
      <c r="O192" s="24"/>
      <c r="P192" s="24"/>
      <c r="Q192" s="24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4"/>
      <c r="O193" s="24"/>
      <c r="P193" s="24"/>
      <c r="Q193" s="24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4"/>
      <c r="O194" s="24"/>
      <c r="P194" s="24"/>
      <c r="Q194" s="24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4"/>
      <c r="O195" s="24"/>
      <c r="P195" s="24"/>
      <c r="Q195" s="24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4"/>
      <c r="O196" s="24"/>
      <c r="P196" s="24"/>
      <c r="Q196" s="24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4"/>
      <c r="O197" s="24"/>
      <c r="P197" s="24"/>
      <c r="Q197" s="24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4"/>
      <c r="O198" s="24"/>
      <c r="P198" s="24"/>
      <c r="Q198" s="24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4"/>
      <c r="O199" s="24"/>
      <c r="P199" s="24"/>
      <c r="Q199" s="24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4"/>
      <c r="O200" s="24"/>
      <c r="P200" s="24"/>
      <c r="Q200" s="24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4"/>
      <c r="O201" s="24"/>
      <c r="P201" s="24"/>
      <c r="Q201" s="24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4"/>
      <c r="O202" s="24"/>
      <c r="P202" s="24"/>
      <c r="Q202" s="24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4"/>
      <c r="O203" s="24"/>
      <c r="P203" s="24"/>
      <c r="Q203" s="24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4"/>
      <c r="O204" s="24"/>
      <c r="P204" s="24"/>
      <c r="Q204" s="24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4"/>
      <c r="O205" s="24"/>
      <c r="P205" s="24"/>
      <c r="Q205" s="24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4"/>
      <c r="O206" s="24"/>
      <c r="P206" s="24"/>
      <c r="Q206" s="24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4"/>
      <c r="O207" s="24"/>
      <c r="P207" s="24"/>
      <c r="Q207" s="24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4"/>
      <c r="O208" s="24"/>
      <c r="P208" s="24"/>
      <c r="Q208" s="24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4"/>
      <c r="O209" s="24"/>
      <c r="P209" s="24"/>
      <c r="Q209" s="24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4"/>
      <c r="O210" s="24"/>
      <c r="P210" s="24"/>
      <c r="Q210" s="24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4"/>
      <c r="O211" s="24"/>
      <c r="P211" s="24"/>
      <c r="Q211" s="24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4"/>
      <c r="O212" s="24"/>
      <c r="P212" s="24"/>
      <c r="Q212" s="24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4"/>
      <c r="O213" s="24"/>
      <c r="P213" s="24"/>
      <c r="Q213" s="24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4"/>
      <c r="O214" s="24"/>
      <c r="P214" s="24"/>
      <c r="Q214" s="24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4"/>
      <c r="O215" s="24"/>
      <c r="P215" s="24"/>
      <c r="Q215" s="24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4"/>
      <c r="O216" s="24"/>
      <c r="P216" s="24"/>
      <c r="Q216" s="24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4"/>
      <c r="O217" s="24"/>
      <c r="P217" s="24"/>
      <c r="Q217" s="24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4"/>
      <c r="O218" s="24"/>
      <c r="P218" s="24"/>
      <c r="Q218" s="24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4"/>
      <c r="O219" s="24"/>
      <c r="P219" s="24"/>
      <c r="Q219" s="24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4"/>
      <c r="O220" s="24"/>
      <c r="P220" s="24"/>
      <c r="Q220" s="24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</sheetData>
  <mergeCells count="4">
    <mergeCell ref="A1:Q1"/>
    <mergeCell ref="A2:Q2"/>
    <mergeCell ref="A7:Q7"/>
    <mergeCell ref="A26:Q26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U300"/>
  <sheetViews>
    <sheetView showGridLines="0" tabSelected="1" topLeftCell="A11" workbookViewId="0">
      <selection sqref="A1:Q1"/>
    </sheetView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44" t="s">
        <v>533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45" t="s">
        <v>534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4" t="s">
        <v>35</v>
      </c>
      <c r="M5" s="4" t="s">
        <v>36</v>
      </c>
      <c r="N5" s="14" t="s">
        <v>37</v>
      </c>
      <c r="O5" s="14" t="s">
        <v>38</v>
      </c>
      <c r="P5" s="14" t="s">
        <v>39</v>
      </c>
      <c r="Q5" s="14" t="s">
        <v>40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4"/>
      <c r="O6" s="24"/>
      <c r="P6" s="24"/>
      <c r="Q6" s="2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8" customHeight="1">
      <c r="A7" s="47" t="s">
        <v>535</v>
      </c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8"/>
      <c r="O7" s="48"/>
      <c r="P7" s="48"/>
      <c r="Q7" s="48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536</v>
      </c>
      <c r="B8" s="1" t="s">
        <v>44</v>
      </c>
      <c r="C8" s="18">
        <f>'Raw Operating'!C42</f>
        <v>0.52700000000000002</v>
      </c>
      <c r="D8" s="18">
        <f>'Raw Operating'!D42</f>
        <v>0.54700000000000004</v>
      </c>
      <c r="E8" s="18">
        <f>'Raw Operating'!E42</f>
        <v>0.53400000000000003</v>
      </c>
      <c r="F8" s="18">
        <f>'Raw Operating'!F42</f>
        <v>0.56799999999999995</v>
      </c>
      <c r="G8" s="18">
        <f>'Raw Operating'!G42</f>
        <v>0.59099999999999997</v>
      </c>
      <c r="H8" s="18">
        <f>'Raw Operating'!H42</f>
        <v>0.29399999999999998</v>
      </c>
      <c r="I8" s="18">
        <f>'Raw Operating'!I42</f>
        <v>0.27899999999999997</v>
      </c>
      <c r="J8" s="18">
        <f>'Raw Operating'!J42</f>
        <v>0.29100000000000004</v>
      </c>
      <c r="K8" s="1"/>
      <c r="L8" s="1"/>
      <c r="M8" s="1"/>
      <c r="N8" s="24"/>
      <c r="O8" s="24"/>
      <c r="P8" s="24"/>
      <c r="Q8" s="24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537</v>
      </c>
      <c r="B9" s="1" t="s">
        <v>42</v>
      </c>
      <c r="C9" s="17">
        <f>IF(C8="","",C8*'Annual P&amp;L'!C7)</f>
        <v>27005.588</v>
      </c>
      <c r="D9" s="17">
        <f>IF(D8="","",D8*'Annual P&amp;L'!D7)</f>
        <v>30106.989400000002</v>
      </c>
      <c r="E9" s="17">
        <f>IF(E8="","",E8*'Annual P&amp;L'!E7)</f>
        <v>29096.111400000002</v>
      </c>
      <c r="F9" s="17">
        <f>IF(F8="","",F8*'Annual P&amp;L'!F7)</f>
        <v>33275.995999999999</v>
      </c>
      <c r="G9" s="17">
        <f>IF(G8="","",G8*'Annual P&amp;L'!G7)</f>
        <v>36064.711199999998</v>
      </c>
      <c r="H9" s="17">
        <f>IF(H8="","",H8*'Annual P&amp;L'!H7)</f>
        <v>18211.241999999998</v>
      </c>
      <c r="I9" s="17">
        <f>IF(I8="","",I8*'Annual P&amp;L'!I7)</f>
        <v>22067.058599999997</v>
      </c>
      <c r="J9" s="17">
        <f>IF(J8="","",J8*'Annual P&amp;L'!J7)</f>
        <v>26331.891600000006</v>
      </c>
      <c r="K9" s="17" t="str">
        <f>IF(K8="","",K8*'Annual P&amp;L'!K7)</f>
        <v/>
      </c>
      <c r="L9" s="17" t="str">
        <f>IF(L8="","",L8*'Annual P&amp;L'!L7)</f>
        <v/>
      </c>
      <c r="M9" s="17" t="str">
        <f>IF(M8="","",M8*'Annual P&amp;L'!M7)</f>
        <v/>
      </c>
      <c r="N9" s="29" t="str">
        <f>IF(N8="","",N8*'Annual P&amp;L'!N7)</f>
        <v/>
      </c>
      <c r="O9" s="29" t="str">
        <f>IF(O8="","",O8*'Annual P&amp;L'!O7)</f>
        <v/>
      </c>
      <c r="P9" s="29" t="str">
        <f>IF(P8="","",P8*'Annual P&amp;L'!P7)</f>
        <v/>
      </c>
      <c r="Q9" s="29" t="str">
        <f>IF(Q8="","",Q8*'Annual P&amp;L'!Q7)</f>
        <v/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538</v>
      </c>
      <c r="B10" s="1" t="s">
        <v>44</v>
      </c>
      <c r="C10" s="18">
        <f>'Raw Operating'!C43</f>
        <v>0.253</v>
      </c>
      <c r="D10" s="18">
        <f>'Raw Operating'!D43</f>
        <v>0.24399999999999999</v>
      </c>
      <c r="E10" s="18">
        <f>'Raw Operating'!E43</f>
        <v>0.25600000000000001</v>
      </c>
      <c r="F10" s="18">
        <f>'Raw Operating'!F43</f>
        <v>0.255</v>
      </c>
      <c r="G10" s="18">
        <f>'Raw Operating'!G43</f>
        <v>0.24</v>
      </c>
      <c r="H10" s="18">
        <f>'Raw Operating'!H43</f>
        <v>0.27300000000000002</v>
      </c>
      <c r="I10" s="18">
        <f>'Raw Operating'!I43</f>
        <v>0.29899999999999999</v>
      </c>
      <c r="J10" s="18">
        <f>'Raw Operating'!J43</f>
        <v>0.28600000000000003</v>
      </c>
      <c r="K10" s="1"/>
      <c r="L10" s="1"/>
      <c r="M10" s="1"/>
      <c r="N10" s="24"/>
      <c r="O10" s="24"/>
      <c r="P10" s="24"/>
      <c r="Q10" s="24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539</v>
      </c>
      <c r="B11" s="1" t="s">
        <v>42</v>
      </c>
      <c r="C11" s="17">
        <f>IF(C10="","",C10*'Annual P&amp;L'!C7)</f>
        <v>12964.732</v>
      </c>
      <c r="D11" s="17">
        <f>IF(D10="","",D10*'Annual P&amp;L'!D7)</f>
        <v>13429.808799999999</v>
      </c>
      <c r="E11" s="17">
        <f>IF(E10="","",E10*'Annual P&amp;L'!E7)</f>
        <v>13948.6976</v>
      </c>
      <c r="F11" s="17">
        <f>IF(F10="","",F10*'Annual P&amp;L'!F7)</f>
        <v>14939.047500000001</v>
      </c>
      <c r="G11" s="17">
        <f>IF(G10="","",G10*'Annual P&amp;L'!G7)</f>
        <v>14645.567999999999</v>
      </c>
      <c r="H11" s="17">
        <f>IF(H10="","",H10*'Annual P&amp;L'!H7)</f>
        <v>16910.439000000002</v>
      </c>
      <c r="I11" s="17">
        <f>IF(I10="","",I10*'Annual P&amp;L'!I7)</f>
        <v>23648.926599999999</v>
      </c>
      <c r="J11" s="17">
        <f>IF(J10="","",J10*'Annual P&amp;L'!J7)</f>
        <v>25879.453600000004</v>
      </c>
      <c r="K11" s="17" t="str">
        <f>IF(K10="","",K10*'Annual P&amp;L'!K7)</f>
        <v/>
      </c>
      <c r="L11" s="17" t="str">
        <f>IF(L10="","",L10*'Annual P&amp;L'!L7)</f>
        <v/>
      </c>
      <c r="M11" s="17" t="str">
        <f>IF(M10="","",M10*'Annual P&amp;L'!M7)</f>
        <v/>
      </c>
      <c r="N11" s="29" t="str">
        <f>IF(N10="","",N10*'Annual P&amp;L'!N7)</f>
        <v/>
      </c>
      <c r="O11" s="29" t="str">
        <f>IF(O10="","",O10*'Annual P&amp;L'!O7)</f>
        <v/>
      </c>
      <c r="P11" s="29" t="str">
        <f>IF(P10="","",P10*'Annual P&amp;L'!P7)</f>
        <v/>
      </c>
      <c r="Q11" s="29" t="str">
        <f>IF(Q10="","",Q10*'Annual P&amp;L'!Q7)</f>
        <v/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540</v>
      </c>
      <c r="B12" s="1" t="s">
        <v>44</v>
      </c>
      <c r="C12" s="18">
        <f>'Raw Operating'!C44</f>
        <v>0.10800000000000001</v>
      </c>
      <c r="D12" s="18">
        <f>'Raw Operating'!D44</f>
        <v>0.10099999999999999</v>
      </c>
      <c r="E12" s="18">
        <f>'Raw Operating'!E44</f>
        <v>9.9000000000000005E-2</v>
      </c>
      <c r="F12" s="18">
        <f>'Raw Operating'!F44</f>
        <v>0</v>
      </c>
      <c r="G12" s="18">
        <f>'Raw Operating'!G44</f>
        <v>0</v>
      </c>
      <c r="H12" s="18">
        <f>'Raw Operating'!H44</f>
        <v>0</v>
      </c>
      <c r="I12" s="18">
        <f>'Raw Operating'!I44</f>
        <v>0</v>
      </c>
      <c r="J12" s="18">
        <f>'Raw Operating'!J44</f>
        <v>0</v>
      </c>
      <c r="K12" s="1"/>
      <c r="L12" s="1"/>
      <c r="M12" s="1"/>
      <c r="N12" s="24"/>
      <c r="O12" s="24"/>
      <c r="P12" s="24"/>
      <c r="Q12" s="24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541</v>
      </c>
      <c r="B13" s="1" t="s">
        <v>42</v>
      </c>
      <c r="C13" s="17">
        <f>IF(C12="","",C12*'Annual P&amp;L'!C7)</f>
        <v>5534.3520000000008</v>
      </c>
      <c r="D13" s="17">
        <f>IF(D12="","",D12*'Annual P&amp;L'!D7)</f>
        <v>5559.060199999999</v>
      </c>
      <c r="E13" s="17">
        <f>IF(E12="","",E12*'Annual P&amp;L'!E7)</f>
        <v>5394.2228999999998</v>
      </c>
      <c r="F13" s="17">
        <f>IF(F12="","",F12*'Annual P&amp;L'!F7)</f>
        <v>0</v>
      </c>
      <c r="G13" s="17">
        <f>IF(G12="","",G12*'Annual P&amp;L'!G7)</f>
        <v>0</v>
      </c>
      <c r="H13" s="17">
        <f>IF(H12="","",H12*'Annual P&amp;L'!H7)</f>
        <v>0</v>
      </c>
      <c r="I13" s="17">
        <f>IF(I12="","",I12*'Annual P&amp;L'!I7)</f>
        <v>0</v>
      </c>
      <c r="J13" s="17">
        <f>IF(J12="","",J12*'Annual P&amp;L'!J7)</f>
        <v>0</v>
      </c>
      <c r="K13" s="17" t="str">
        <f>IF(K12="","",K12*'Annual P&amp;L'!K7)</f>
        <v/>
      </c>
      <c r="L13" s="17" t="str">
        <f>IF(L12="","",L12*'Annual P&amp;L'!L7)</f>
        <v/>
      </c>
      <c r="M13" s="17" t="str">
        <f>IF(M12="","",M12*'Annual P&amp;L'!M7)</f>
        <v/>
      </c>
      <c r="N13" s="29" t="str">
        <f>IF(N12="","",N12*'Annual P&amp;L'!N7)</f>
        <v/>
      </c>
      <c r="O13" s="29" t="str">
        <f>IF(O12="","",O12*'Annual P&amp;L'!O7)</f>
        <v/>
      </c>
      <c r="P13" s="29" t="str">
        <f>IF(P12="","",P12*'Annual P&amp;L'!P7)</f>
        <v/>
      </c>
      <c r="Q13" s="29" t="str">
        <f>IF(Q12="","",Q12*'Annual P&amp;L'!Q7)</f>
        <v/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542</v>
      </c>
      <c r="B14" s="1" t="s">
        <v>44</v>
      </c>
      <c r="C14" s="18">
        <f>'Raw Operating'!C45</f>
        <v>0.11199999999999999</v>
      </c>
      <c r="D14" s="18">
        <f>'Raw Operating'!D45</f>
        <v>0.10800000000000001</v>
      </c>
      <c r="E14" s="18">
        <f>'Raw Operating'!E45</f>
        <v>0.111</v>
      </c>
      <c r="F14" s="18">
        <f>'Raw Operating'!F45</f>
        <v>0</v>
      </c>
      <c r="G14" s="18">
        <f>'Raw Operating'!G45</f>
        <v>0</v>
      </c>
      <c r="H14" s="18">
        <f>'Raw Operating'!H45</f>
        <v>0</v>
      </c>
      <c r="I14" s="18">
        <f>'Raw Operating'!I45</f>
        <v>0</v>
      </c>
      <c r="J14" s="18">
        <f>'Raw Operating'!J45</f>
        <v>0</v>
      </c>
      <c r="K14" s="1"/>
      <c r="L14" s="1"/>
      <c r="M14" s="1"/>
      <c r="N14" s="24"/>
      <c r="O14" s="24"/>
      <c r="P14" s="24"/>
      <c r="Q14" s="24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543</v>
      </c>
      <c r="B15" s="1" t="s">
        <v>42</v>
      </c>
      <c r="C15" s="17">
        <f>IF(C14="","",C14*'Annual P&amp;L'!C7)</f>
        <v>5739.3279999999995</v>
      </c>
      <c r="D15" s="17">
        <f>IF(D14="","",D14*'Annual P&amp;L'!D7)</f>
        <v>5944.3416000000007</v>
      </c>
      <c r="E15" s="17">
        <f>IF(E14="","",E14*'Annual P&amp;L'!E7)</f>
        <v>6048.0680999999995</v>
      </c>
      <c r="F15" s="17">
        <f>IF(F14="","",F14*'Annual P&amp;L'!F7)</f>
        <v>0</v>
      </c>
      <c r="G15" s="17">
        <f>IF(G14="","",G14*'Annual P&amp;L'!G7)</f>
        <v>0</v>
      </c>
      <c r="H15" s="17">
        <f>IF(H14="","",H14*'Annual P&amp;L'!H7)</f>
        <v>0</v>
      </c>
      <c r="I15" s="17">
        <f>IF(I14="","",I14*'Annual P&amp;L'!I7)</f>
        <v>0</v>
      </c>
      <c r="J15" s="17">
        <f>IF(J14="","",J14*'Annual P&amp;L'!J7)</f>
        <v>0</v>
      </c>
      <c r="K15" s="17" t="str">
        <f>IF(K14="","",K14*'Annual P&amp;L'!K7)</f>
        <v/>
      </c>
      <c r="L15" s="17" t="str">
        <f>IF(L14="","",L14*'Annual P&amp;L'!L7)</f>
        <v/>
      </c>
      <c r="M15" s="17" t="str">
        <f>IF(M14="","",M14*'Annual P&amp;L'!M7)</f>
        <v/>
      </c>
      <c r="N15" s="29" t="str">
        <f>IF(N14="","",N14*'Annual P&amp;L'!N7)</f>
        <v/>
      </c>
      <c r="O15" s="29" t="str">
        <f>IF(O14="","",O14*'Annual P&amp;L'!O7)</f>
        <v/>
      </c>
      <c r="P15" s="29" t="str">
        <f>IF(P14="","",P14*'Annual P&amp;L'!P7)</f>
        <v/>
      </c>
      <c r="Q15" s="29" t="str">
        <f>IF(Q14="","",Q14*'Annual P&amp;L'!Q7)</f>
        <v/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518</v>
      </c>
      <c r="B16" s="1" t="s">
        <v>44</v>
      </c>
      <c r="C16" s="18">
        <f t="shared" ref="C16:Q16" si="0">IF(COUNT(C8,C10,C12,C14)=0,"",SUM(C8,C10,C12,C14))</f>
        <v>1</v>
      </c>
      <c r="D16" s="18">
        <f t="shared" si="0"/>
        <v>1</v>
      </c>
      <c r="E16" s="18">
        <f t="shared" si="0"/>
        <v>1</v>
      </c>
      <c r="F16" s="18">
        <f t="shared" si="0"/>
        <v>0.82299999999999995</v>
      </c>
      <c r="G16" s="18">
        <f t="shared" si="0"/>
        <v>0.83099999999999996</v>
      </c>
      <c r="H16" s="18">
        <f t="shared" si="0"/>
        <v>0.56699999999999995</v>
      </c>
      <c r="I16" s="18">
        <f t="shared" si="0"/>
        <v>0.57799999999999996</v>
      </c>
      <c r="J16" s="18">
        <f t="shared" si="0"/>
        <v>0.57700000000000007</v>
      </c>
      <c r="K16" s="18" t="str">
        <f t="shared" si="0"/>
        <v/>
      </c>
      <c r="L16" s="18" t="str">
        <f t="shared" si="0"/>
        <v/>
      </c>
      <c r="M16" s="18" t="str">
        <f t="shared" si="0"/>
        <v/>
      </c>
      <c r="N16" s="26" t="str">
        <f t="shared" si="0"/>
        <v/>
      </c>
      <c r="O16" s="26" t="str">
        <f t="shared" si="0"/>
        <v/>
      </c>
      <c r="P16" s="26" t="str">
        <f t="shared" si="0"/>
        <v/>
      </c>
      <c r="Q16" s="26" t="str">
        <f t="shared" si="0"/>
        <v/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24"/>
      <c r="O17" s="24"/>
      <c r="P17" s="24"/>
      <c r="Q17" s="24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24"/>
      <c r="O18" s="24"/>
      <c r="P18" s="24"/>
      <c r="Q18" s="24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8" customHeight="1">
      <c r="A19" s="47" t="s">
        <v>544</v>
      </c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8"/>
      <c r="O19" s="48"/>
      <c r="P19" s="48"/>
      <c r="Q19" s="48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545</v>
      </c>
      <c r="B20" s="1" t="s">
        <v>44</v>
      </c>
      <c r="C20" s="1"/>
      <c r="D20" s="1"/>
      <c r="E20" s="1"/>
      <c r="F20" s="1"/>
      <c r="G20" s="1"/>
      <c r="H20" s="18">
        <f>'Raw Operating'!H46</f>
        <v>0.29399999999999998</v>
      </c>
      <c r="I20" s="18">
        <f>'Raw Operating'!I46</f>
        <v>0.27899999999999997</v>
      </c>
      <c r="J20" s="18">
        <f>'Raw Operating'!J46</f>
        <v>0.29100000000000004</v>
      </c>
      <c r="K20" s="18">
        <f>'Raw Operating'!K46</f>
        <v>0.3</v>
      </c>
      <c r="L20" s="18">
        <f>'Raw Operating'!L46</f>
        <v>0.317</v>
      </c>
      <c r="M20" s="18">
        <f>'Raw Operating'!M46</f>
        <v>0.33200000000000002</v>
      </c>
      <c r="N20" s="26">
        <f>M20</f>
        <v>0.33200000000000002</v>
      </c>
      <c r="O20" s="26">
        <f>N20</f>
        <v>0.33200000000000002</v>
      </c>
      <c r="P20" s="26">
        <f>O20</f>
        <v>0.33200000000000002</v>
      </c>
      <c r="Q20" s="26">
        <f>P20</f>
        <v>0.33200000000000002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546</v>
      </c>
      <c r="B21" s="1" t="s">
        <v>42</v>
      </c>
      <c r="C21" s="17" t="str">
        <f>IF(C20="","",C20*'Annual P&amp;L'!C7)</f>
        <v/>
      </c>
      <c r="D21" s="17" t="str">
        <f>IF(D20="","",D20*'Annual P&amp;L'!D7)</f>
        <v/>
      </c>
      <c r="E21" s="17" t="str">
        <f>IF(E20="","",E20*'Annual P&amp;L'!E7)</f>
        <v/>
      </c>
      <c r="F21" s="17" t="str">
        <f>IF(F20="","",F20*'Annual P&amp;L'!F7)</f>
        <v/>
      </c>
      <c r="G21" s="17" t="str">
        <f>IF(G20="","",G20*'Annual P&amp;L'!G7)</f>
        <v/>
      </c>
      <c r="H21" s="17">
        <f>IF(H20="","",H20*'Annual P&amp;L'!H7)</f>
        <v>18211.241999999998</v>
      </c>
      <c r="I21" s="17">
        <f>IF(I20="","",I20*'Annual P&amp;L'!I7)</f>
        <v>22067.058599999997</v>
      </c>
      <c r="J21" s="17">
        <f>IF(J20="","",J20*'Annual P&amp;L'!J7)</f>
        <v>26331.891600000006</v>
      </c>
      <c r="K21" s="17">
        <f>IF(K20="","",K20*'Annual P&amp;L'!K7)</f>
        <v>26928.09</v>
      </c>
      <c r="L21" s="17">
        <f>IF(L20="","",L20*'Annual P&amp;L'!L7)</f>
        <v>28241.022799999999</v>
      </c>
      <c r="M21" s="17">
        <f>IF(M20="","",M20*'Annual P&amp;L'!M7)</f>
        <v>30751.168000000001</v>
      </c>
      <c r="N21" s="29">
        <f>IF(N20="","",N20*'Annual P&amp;L'!N7)</f>
        <v>31681.678072811104</v>
      </c>
      <c r="O21" s="29">
        <f>IF(O20="","",O20*'Annual P&amp;L'!O7)</f>
        <v>33587.588856596085</v>
      </c>
      <c r="P21" s="29">
        <f>IF(P20="","",P20*'Annual P&amp;L'!P7)</f>
        <v>36220.245115205609</v>
      </c>
      <c r="Q21" s="29">
        <f>IF(Q20="","",Q20*'Annual P&amp;L'!Q7)</f>
        <v>39303.128469680312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547</v>
      </c>
      <c r="B22" s="1" t="s">
        <v>44</v>
      </c>
      <c r="C22" s="1"/>
      <c r="D22" s="1"/>
      <c r="E22" s="1"/>
      <c r="F22" s="1"/>
      <c r="G22" s="1"/>
      <c r="H22" s="18">
        <f>'Raw Operating'!H47</f>
        <v>0.29699999999999999</v>
      </c>
      <c r="I22" s="18">
        <f>'Raw Operating'!I47</f>
        <v>0.30599999999999999</v>
      </c>
      <c r="J22" s="18">
        <f>'Raw Operating'!J47</f>
        <v>0.31</v>
      </c>
      <c r="K22" s="18">
        <f>'Raw Operating'!K47</f>
        <v>0.30099999999999999</v>
      </c>
      <c r="L22" s="18">
        <f>'Raw Operating'!L47</f>
        <v>0.30599999999999999</v>
      </c>
      <c r="M22" s="18">
        <f>'Raw Operating'!M47</f>
        <v>0.29199999999999998</v>
      </c>
      <c r="N22" s="26">
        <f>M22</f>
        <v>0.29199999999999998</v>
      </c>
      <c r="O22" s="26">
        <f>N22</f>
        <v>0.29199999999999998</v>
      </c>
      <c r="P22" s="26">
        <f>O22</f>
        <v>0.29199999999999998</v>
      </c>
      <c r="Q22" s="26">
        <f>P22</f>
        <v>0.29199999999999998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548</v>
      </c>
      <c r="B23" s="1" t="s">
        <v>42</v>
      </c>
      <c r="C23" s="17" t="str">
        <f>IF(C22="","",C22*'Annual P&amp;L'!C7)</f>
        <v/>
      </c>
      <c r="D23" s="17" t="str">
        <f>IF(D22="","",D22*'Annual P&amp;L'!D7)</f>
        <v/>
      </c>
      <c r="E23" s="17" t="str">
        <f>IF(E22="","",E22*'Annual P&amp;L'!E7)</f>
        <v/>
      </c>
      <c r="F23" s="17" t="str">
        <f>IF(F22="","",F22*'Annual P&amp;L'!F7)</f>
        <v/>
      </c>
      <c r="G23" s="17" t="str">
        <f>IF(G22="","",G22*'Annual P&amp;L'!G7)</f>
        <v/>
      </c>
      <c r="H23" s="17">
        <f>IF(H22="","",H22*'Annual P&amp;L'!H7)</f>
        <v>18397.071</v>
      </c>
      <c r="I23" s="17">
        <f>IF(I22="","",I22*'Annual P&amp;L'!I7)</f>
        <v>24202.580399999999</v>
      </c>
      <c r="J23" s="17">
        <f>IF(J22="","",J22*'Annual P&amp;L'!J7)</f>
        <v>28051.156000000003</v>
      </c>
      <c r="K23" s="17">
        <f>IF(K22="","",K22*'Annual P&amp;L'!K7)</f>
        <v>27017.850299999998</v>
      </c>
      <c r="L23" s="17">
        <f>IF(L22="","",L22*'Annual P&amp;L'!L7)</f>
        <v>27261.050399999996</v>
      </c>
      <c r="M23" s="17">
        <f>IF(M22="","",M22*'Annual P&amp;L'!M7)</f>
        <v>27046.207999999999</v>
      </c>
      <c r="N23" s="29">
        <f>IF(N22="","",N22*'Annual P&amp;L'!N7)</f>
        <v>27864.608425484461</v>
      </c>
      <c r="O23" s="29">
        <f>IF(O22="","",O22*'Annual P&amp;L'!O7)</f>
        <v>29540.891403994145</v>
      </c>
      <c r="P23" s="29">
        <f>IF(P22="","",P22*'Annual P&amp;L'!P7)</f>
        <v>31856.360161566379</v>
      </c>
      <c r="Q23" s="29">
        <f>IF(Q22="","",Q22*'Annual P&amp;L'!Q7)</f>
        <v>34567.811786586295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538</v>
      </c>
      <c r="B24" s="1" t="s">
        <v>44</v>
      </c>
      <c r="C24" s="18">
        <f>'Raw Operating'!C43</f>
        <v>0.253</v>
      </c>
      <c r="D24" s="18">
        <f>'Raw Operating'!D43</f>
        <v>0.24399999999999999</v>
      </c>
      <c r="E24" s="18">
        <f>'Raw Operating'!E43</f>
        <v>0.25600000000000001</v>
      </c>
      <c r="F24" s="18">
        <f>'Raw Operating'!F43</f>
        <v>0.255</v>
      </c>
      <c r="G24" s="18">
        <f>'Raw Operating'!G43</f>
        <v>0.24</v>
      </c>
      <c r="H24" s="18">
        <f>'Raw Operating'!H43</f>
        <v>0.27300000000000002</v>
      </c>
      <c r="I24" s="18">
        <f>'Raw Operating'!I43</f>
        <v>0.29899999999999999</v>
      </c>
      <c r="J24" s="18">
        <f>'Raw Operating'!J43</f>
        <v>0.28600000000000003</v>
      </c>
      <c r="K24" s="18">
        <f>'Raw Operating'!K43</f>
        <v>0.28399999999999997</v>
      </c>
      <c r="L24" s="18">
        <f>'Raw Operating'!L43</f>
        <v>0.27100000000000002</v>
      </c>
      <c r="M24" s="18">
        <f>'Raw Operating'!M43</f>
        <v>0.26500000000000001</v>
      </c>
      <c r="N24" s="26">
        <f>M24</f>
        <v>0.26500000000000001</v>
      </c>
      <c r="O24" s="26">
        <f>N24</f>
        <v>0.26500000000000001</v>
      </c>
      <c r="P24" s="26">
        <f>O24</f>
        <v>0.26500000000000001</v>
      </c>
      <c r="Q24" s="26">
        <f>P24</f>
        <v>0.26500000000000001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539</v>
      </c>
      <c r="B25" s="1" t="s">
        <v>42</v>
      </c>
      <c r="C25" s="17">
        <f>IF(C24="","",C24*'Annual P&amp;L'!C7)</f>
        <v>12964.732</v>
      </c>
      <c r="D25" s="17">
        <f>IF(D24="","",D24*'Annual P&amp;L'!D7)</f>
        <v>13429.808799999999</v>
      </c>
      <c r="E25" s="17">
        <f>IF(E24="","",E24*'Annual P&amp;L'!E7)</f>
        <v>13948.6976</v>
      </c>
      <c r="F25" s="17">
        <f>IF(F24="","",F24*'Annual P&amp;L'!F7)</f>
        <v>14939.047500000001</v>
      </c>
      <c r="G25" s="17">
        <f>IF(G24="","",G24*'Annual P&amp;L'!G7)</f>
        <v>14645.567999999999</v>
      </c>
      <c r="H25" s="17">
        <f>IF(H24="","",H24*'Annual P&amp;L'!H7)</f>
        <v>16910.439000000002</v>
      </c>
      <c r="I25" s="17">
        <f>IF(I24="","",I24*'Annual P&amp;L'!I7)</f>
        <v>23648.926599999999</v>
      </c>
      <c r="J25" s="17">
        <f>IF(J24="","",J24*'Annual P&amp;L'!J7)</f>
        <v>25879.453600000004</v>
      </c>
      <c r="K25" s="17">
        <f>IF(K24="","",K24*'Annual P&amp;L'!K7)</f>
        <v>25491.925199999998</v>
      </c>
      <c r="L25" s="17">
        <f>IF(L24="","",L24*'Annual P&amp;L'!L7)</f>
        <v>24142.956399999999</v>
      </c>
      <c r="M25" s="17">
        <f>IF(M24="","",M24*'Annual P&amp;L'!M7)</f>
        <v>24545.360000000001</v>
      </c>
      <c r="N25" s="29">
        <f>IF(N24="","",N24*'Annual P&amp;L'!N7)</f>
        <v>25288.086413538982</v>
      </c>
      <c r="O25" s="29">
        <f>IF(O24="","",O24*'Annual P&amp;L'!O7)</f>
        <v>26809.370623487837</v>
      </c>
      <c r="P25" s="29">
        <f>IF(P24="","",P24*'Annual P&amp;L'!P7)</f>
        <v>28910.737817859903</v>
      </c>
      <c r="Q25" s="29">
        <f>IF(Q24="","",Q24*'Annual P&amp;L'!Q7)</f>
        <v>31371.473025497842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549</v>
      </c>
      <c r="B26" s="1" t="s">
        <v>44</v>
      </c>
      <c r="C26" s="1"/>
      <c r="D26" s="1"/>
      <c r="E26" s="1"/>
      <c r="F26" s="1"/>
      <c r="G26" s="1"/>
      <c r="H26" s="18">
        <f>'Raw Operating'!H48</f>
        <v>0.13600000000000001</v>
      </c>
      <c r="I26" s="18">
        <f>'Raw Operating'!I48</f>
        <v>0.11599999999999999</v>
      </c>
      <c r="J26" s="18">
        <f>'Raw Operating'!J48</f>
        <v>0.113</v>
      </c>
      <c r="K26" s="18">
        <f>'Raw Operating'!K48</f>
        <v>0.115</v>
      </c>
      <c r="L26" s="18">
        <f>'Raw Operating'!L48</f>
        <v>0.106</v>
      </c>
      <c r="M26" s="18">
        <f>'Raw Operating'!M48</f>
        <v>0.111</v>
      </c>
      <c r="N26" s="26">
        <f>M26</f>
        <v>0.111</v>
      </c>
      <c r="O26" s="26">
        <f>N26</f>
        <v>0.111</v>
      </c>
      <c r="P26" s="26">
        <f>O26</f>
        <v>0.111</v>
      </c>
      <c r="Q26" s="26">
        <f>P26</f>
        <v>0.111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550</v>
      </c>
      <c r="B27" s="1" t="s">
        <v>42</v>
      </c>
      <c r="C27" s="17" t="str">
        <f>IF(C26="","",C26*'Annual P&amp;L'!C7)</f>
        <v/>
      </c>
      <c r="D27" s="17" t="str">
        <f>IF(D26="","",D26*'Annual P&amp;L'!D7)</f>
        <v/>
      </c>
      <c r="E27" s="17" t="str">
        <f>IF(E26="","",E26*'Annual P&amp;L'!E7)</f>
        <v/>
      </c>
      <c r="F27" s="17" t="str">
        <f>IF(F26="","",F26*'Annual P&amp;L'!F7)</f>
        <v/>
      </c>
      <c r="G27" s="17" t="str">
        <f>IF(G26="","",G26*'Annual P&amp;L'!G7)</f>
        <v/>
      </c>
      <c r="H27" s="17">
        <f>IF(H26="","",H26*'Annual P&amp;L'!H7)</f>
        <v>8424.2480000000014</v>
      </c>
      <c r="I27" s="17">
        <f>IF(I26="","",I26*'Annual P&amp;L'!I7)</f>
        <v>9174.8343999999979</v>
      </c>
      <c r="J27" s="17">
        <f>IF(J26="","",J26*'Annual P&amp;L'!J7)</f>
        <v>10225.098800000002</v>
      </c>
      <c r="K27" s="17">
        <f>IF(K26="","",K26*'Annual P&amp;L'!K7)</f>
        <v>10322.434500000001</v>
      </c>
      <c r="L27" s="17">
        <f>IF(L26="","",L26*'Annual P&amp;L'!L7)</f>
        <v>9443.3703999999998</v>
      </c>
      <c r="M27" s="17">
        <f>IF(M26="","",M26*'Annual P&amp;L'!M7)</f>
        <v>10281.264000000001</v>
      </c>
      <c r="N27" s="29">
        <f>IF(N26="","",N26*'Annual P&amp;L'!N7)</f>
        <v>10592.368271331423</v>
      </c>
      <c r="O27" s="29">
        <f>IF(O26="","",O26*'Annual P&amp;L'!O7)</f>
        <v>11229.585430970377</v>
      </c>
      <c r="P27" s="29">
        <f>IF(P26="","",P26*'Annual P&amp;L'!P7)</f>
        <v>12109.780746348864</v>
      </c>
      <c r="Q27" s="29">
        <f>IF(Q26="","",Q26*'Annual P&amp;L'!Q7)</f>
        <v>13140.503795585888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518</v>
      </c>
      <c r="B28" s="1" t="s">
        <v>44</v>
      </c>
      <c r="C28" s="18">
        <f t="shared" ref="C28:Q28" si="1">IF(COUNT(C20,C22,C24,C26)=0,"",SUM(C20,C22,C24,C26))</f>
        <v>0.253</v>
      </c>
      <c r="D28" s="18">
        <f t="shared" si="1"/>
        <v>0.24399999999999999</v>
      </c>
      <c r="E28" s="18">
        <f t="shared" si="1"/>
        <v>0.25600000000000001</v>
      </c>
      <c r="F28" s="18">
        <f t="shared" si="1"/>
        <v>0.255</v>
      </c>
      <c r="G28" s="18">
        <f t="shared" si="1"/>
        <v>0.24</v>
      </c>
      <c r="H28" s="18">
        <f t="shared" si="1"/>
        <v>1</v>
      </c>
      <c r="I28" s="18">
        <f t="shared" si="1"/>
        <v>0.99999999999999989</v>
      </c>
      <c r="J28" s="18">
        <f t="shared" si="1"/>
        <v>1</v>
      </c>
      <c r="K28" s="18">
        <f t="shared" si="1"/>
        <v>1</v>
      </c>
      <c r="L28" s="18">
        <f t="shared" si="1"/>
        <v>1</v>
      </c>
      <c r="M28" s="18">
        <f t="shared" si="1"/>
        <v>1</v>
      </c>
      <c r="N28" s="26">
        <f t="shared" si="1"/>
        <v>1</v>
      </c>
      <c r="O28" s="26">
        <f t="shared" si="1"/>
        <v>1</v>
      </c>
      <c r="P28" s="26">
        <f t="shared" si="1"/>
        <v>1</v>
      </c>
      <c r="Q28" s="26">
        <f t="shared" si="1"/>
        <v>1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4"/>
      <c r="O29" s="24"/>
      <c r="P29" s="24"/>
      <c r="Q29" s="24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4"/>
      <c r="O30" s="24"/>
      <c r="P30" s="24"/>
      <c r="Q30" s="24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8" customHeight="1">
      <c r="A31" s="47" t="s">
        <v>551</v>
      </c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8"/>
      <c r="O31" s="48"/>
      <c r="P31" s="48"/>
      <c r="Q31" s="48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398</v>
      </c>
      <c r="B32" s="1" t="s">
        <v>44</v>
      </c>
      <c r="C32" s="18">
        <f>'Raw Operating'!C25</f>
        <v>0.6</v>
      </c>
      <c r="D32" s="18">
        <f>'Raw Operating'!D25</f>
        <v>0.61</v>
      </c>
      <c r="E32" s="18">
        <f>'Raw Operating'!E25</f>
        <v>0.57999999999999996</v>
      </c>
      <c r="F32" s="18">
        <f>'Raw Operating'!F25</f>
        <v>0.61</v>
      </c>
      <c r="G32" s="18">
        <f>'Raw Operating'!G25</f>
        <v>0.63</v>
      </c>
      <c r="H32" s="18">
        <f>'Raw Operating'!H25</f>
        <v>0.61</v>
      </c>
      <c r="I32" s="18">
        <f>'Raw Operating'!I25</f>
        <v>0.59</v>
      </c>
      <c r="J32" s="18">
        <f>'Raw Operating'!J25</f>
        <v>0.61</v>
      </c>
      <c r="K32" s="18">
        <f>'Raw Operating'!K25</f>
        <v>0.6</v>
      </c>
      <c r="L32" s="18">
        <f>'Raw Operating'!L25</f>
        <v>0.62</v>
      </c>
      <c r="M32" s="18">
        <f>'Raw Operating'!M25</f>
        <v>0.61</v>
      </c>
      <c r="N32" s="26">
        <f>M32</f>
        <v>0.61</v>
      </c>
      <c r="O32" s="26">
        <f>N32</f>
        <v>0.61</v>
      </c>
      <c r="P32" s="26">
        <f>O32</f>
        <v>0.61</v>
      </c>
      <c r="Q32" s="26">
        <f>P32</f>
        <v>0.61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552</v>
      </c>
      <c r="B33" s="1" t="s">
        <v>42</v>
      </c>
      <c r="C33" s="17">
        <f>IF(C32="","",C32*'Annual P&amp;L'!C7)</f>
        <v>30746.399999999998</v>
      </c>
      <c r="D33" s="17">
        <f>IF(D32="","",D32*'Annual P&amp;L'!D7)</f>
        <v>33574.521999999997</v>
      </c>
      <c r="E33" s="17">
        <f>IF(E32="","",E32*'Annual P&amp;L'!E7)</f>
        <v>31602.517999999996</v>
      </c>
      <c r="F33" s="17">
        <f>IF(F32="","",F32*'Annual P&amp;L'!F7)</f>
        <v>35736.544999999998</v>
      </c>
      <c r="G33" s="17">
        <f>IF(G32="","",G32*'Annual P&amp;L'!G7)</f>
        <v>38444.616000000002</v>
      </c>
      <c r="H33" s="17">
        <f>IF(H32="","",H32*'Annual P&amp;L'!H7)</f>
        <v>37785.229999999996</v>
      </c>
      <c r="I33" s="17">
        <f>IF(I32="","",I32*'Annual P&amp;L'!I7)</f>
        <v>46665.105999999992</v>
      </c>
      <c r="J33" s="17">
        <f>IF(J32="","",J32*'Annual P&amp;L'!J7)</f>
        <v>55197.436000000002</v>
      </c>
      <c r="K33" s="17">
        <f>IF(K32="","",K32*'Annual P&amp;L'!K7)</f>
        <v>53856.18</v>
      </c>
      <c r="L33" s="17">
        <f>IF(L32="","",L32*'Annual P&amp;L'!L7)</f>
        <v>55234.807999999997</v>
      </c>
      <c r="M33" s="17">
        <f>IF(M32="","",M32*'Annual P&amp;L'!M7)</f>
        <v>56500.639999999999</v>
      </c>
      <c r="N33" s="29">
        <f>IF(N32="","",N32*'Annual P&amp;L'!N7)</f>
        <v>58210.312121731244</v>
      </c>
      <c r="O33" s="29">
        <f>IF(O32="","",O32*'Annual P&amp;L'!O7)</f>
        <v>61712.136152179548</v>
      </c>
      <c r="P33" s="29">
        <f>IF(P32="","",P32*'Annual P&amp;L'!P7)</f>
        <v>66549.245542998266</v>
      </c>
      <c r="Q33" s="29">
        <f>IF(Q32="","",Q32*'Annual P&amp;L'!Q7)</f>
        <v>72213.579417183704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399</v>
      </c>
      <c r="B34" s="1" t="s">
        <v>44</v>
      </c>
      <c r="C34" s="18">
        <f>'Raw Operating'!C26</f>
        <v>0.12</v>
      </c>
      <c r="D34" s="18">
        <f>'Raw Operating'!D26</f>
        <v>0.1</v>
      </c>
      <c r="E34" s="18">
        <f>'Raw Operating'!E26</f>
        <v>0.1</v>
      </c>
      <c r="F34" s="18">
        <f>'Raw Operating'!F26</f>
        <v>0.1</v>
      </c>
      <c r="G34" s="18">
        <f>'Raw Operating'!G26</f>
        <v>0.1</v>
      </c>
      <c r="H34" s="18">
        <f>'Raw Operating'!H26</f>
        <v>0.1</v>
      </c>
      <c r="I34" s="18">
        <f>'Raw Operating'!I26</f>
        <v>0.11</v>
      </c>
      <c r="J34" s="18">
        <f>'Raw Operating'!J26</f>
        <v>0.1</v>
      </c>
      <c r="K34" s="18">
        <f>'Raw Operating'!K26</f>
        <v>0.11</v>
      </c>
      <c r="L34" s="18">
        <f>'Raw Operating'!L26</f>
        <v>0.1</v>
      </c>
      <c r="M34" s="18">
        <f>'Raw Operating'!M26</f>
        <v>0.11</v>
      </c>
      <c r="N34" s="26">
        <f>M34</f>
        <v>0.11</v>
      </c>
      <c r="O34" s="26">
        <f>N34</f>
        <v>0.11</v>
      </c>
      <c r="P34" s="26">
        <f>O34</f>
        <v>0.11</v>
      </c>
      <c r="Q34" s="26">
        <f>P34</f>
        <v>0.11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553</v>
      </c>
      <c r="B35" s="1" t="s">
        <v>42</v>
      </c>
      <c r="C35" s="17">
        <f>IF(C34="","",C34*'Annual P&amp;L'!C7)</f>
        <v>6149.28</v>
      </c>
      <c r="D35" s="17">
        <f>IF(D34="","",D34*'Annual P&amp;L'!D7)</f>
        <v>5504.02</v>
      </c>
      <c r="E35" s="17">
        <f>IF(E34="","",E34*'Annual P&amp;L'!E7)</f>
        <v>5448.71</v>
      </c>
      <c r="F35" s="17">
        <f>IF(F34="","",F34*'Annual P&amp;L'!F7)</f>
        <v>5858.4500000000007</v>
      </c>
      <c r="G35" s="17">
        <f>IF(G34="","",G34*'Annual P&amp;L'!G7)</f>
        <v>6102.32</v>
      </c>
      <c r="H35" s="17">
        <f>IF(H34="","",H34*'Annual P&amp;L'!H7)</f>
        <v>6194.3</v>
      </c>
      <c r="I35" s="17">
        <f>IF(I34="","",I34*'Annual P&amp;L'!I7)</f>
        <v>8700.2739999999994</v>
      </c>
      <c r="J35" s="17">
        <f>IF(J34="","",J34*'Annual P&amp;L'!J7)</f>
        <v>9048.76</v>
      </c>
      <c r="K35" s="17">
        <f>IF(K34="","",K34*'Annual P&amp;L'!K7)</f>
        <v>9873.6329999999998</v>
      </c>
      <c r="L35" s="17">
        <f>IF(L34="","",L34*'Annual P&amp;L'!L7)</f>
        <v>8908.84</v>
      </c>
      <c r="M35" s="17">
        <f>IF(M34="","",M34*'Annual P&amp;L'!M7)</f>
        <v>10188.64</v>
      </c>
      <c r="N35" s="29">
        <f>IF(N34="","",N34*'Annual P&amp;L'!N7)</f>
        <v>10496.941530148257</v>
      </c>
      <c r="O35" s="29">
        <f>IF(O34="","",O34*'Annual P&amp;L'!O7)</f>
        <v>11128.417994655329</v>
      </c>
      <c r="P35" s="29">
        <f>IF(P34="","",P34*'Annual P&amp;L'!P7)</f>
        <v>12000.683622507882</v>
      </c>
      <c r="Q35" s="29">
        <f>IF(Q34="","",Q34*'Annual P&amp;L'!Q7)</f>
        <v>13022.120878508538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400</v>
      </c>
      <c r="B36" s="1" t="s">
        <v>44</v>
      </c>
      <c r="C36" s="18">
        <f>'Raw Operating'!C27</f>
        <v>0.08</v>
      </c>
      <c r="D36" s="18">
        <f>'Raw Operating'!D27</f>
        <v>0.09</v>
      </c>
      <c r="E36" s="18">
        <f>'Raw Operating'!E27</f>
        <v>0.09</v>
      </c>
      <c r="F36" s="18">
        <f>'Raw Operating'!F27</f>
        <v>0.09</v>
      </c>
      <c r="G36" s="18">
        <f>'Raw Operating'!G27</f>
        <v>0.08</v>
      </c>
      <c r="H36" s="18">
        <f>'Raw Operating'!H27</f>
        <v>0.08</v>
      </c>
      <c r="I36" s="18">
        <f>'Raw Operating'!I27</f>
        <v>0.1</v>
      </c>
      <c r="J36" s="18">
        <f>'Raw Operating'!J27</f>
        <v>0.1</v>
      </c>
      <c r="K36" s="18">
        <f>'Raw Operating'!K27</f>
        <v>0.1</v>
      </c>
      <c r="L36" s="18">
        <f>'Raw Operating'!L27</f>
        <v>0.1</v>
      </c>
      <c r="M36" s="18">
        <f>'Raw Operating'!M27</f>
        <v>0.09</v>
      </c>
      <c r="N36" s="26">
        <f>M36</f>
        <v>0.09</v>
      </c>
      <c r="O36" s="26">
        <f>N36</f>
        <v>0.09</v>
      </c>
      <c r="P36" s="26">
        <f>O36</f>
        <v>0.09</v>
      </c>
      <c r="Q36" s="26">
        <f>P36</f>
        <v>0.09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554</v>
      </c>
      <c r="B37" s="1" t="s">
        <v>42</v>
      </c>
      <c r="C37" s="17">
        <f>IF(C36="","",C36*'Annual P&amp;L'!C7)</f>
        <v>4099.5200000000004</v>
      </c>
      <c r="D37" s="17">
        <f>IF(D36="","",D36*'Annual P&amp;L'!D7)</f>
        <v>4953.6179999999995</v>
      </c>
      <c r="E37" s="17">
        <f>IF(E36="","",E36*'Annual P&amp;L'!E7)</f>
        <v>4903.8389999999999</v>
      </c>
      <c r="F37" s="17">
        <f>IF(F36="","",F36*'Annual P&amp;L'!F7)</f>
        <v>5272.6049999999996</v>
      </c>
      <c r="G37" s="17">
        <f>IF(G36="","",G36*'Annual P&amp;L'!G7)</f>
        <v>4881.8559999999998</v>
      </c>
      <c r="H37" s="17">
        <f>IF(H36="","",H36*'Annual P&amp;L'!H7)</f>
        <v>4955.4400000000005</v>
      </c>
      <c r="I37" s="17">
        <f>IF(I36="","",I36*'Annual P&amp;L'!I7)</f>
        <v>7909.34</v>
      </c>
      <c r="J37" s="17">
        <f>IF(J36="","",J36*'Annual P&amp;L'!J7)</f>
        <v>9048.76</v>
      </c>
      <c r="K37" s="17">
        <f>IF(K36="","",K36*'Annual P&amp;L'!K7)</f>
        <v>8976.0300000000007</v>
      </c>
      <c r="L37" s="17">
        <f>IF(L36="","",L36*'Annual P&amp;L'!L7)</f>
        <v>8908.84</v>
      </c>
      <c r="M37" s="17">
        <f>IF(M36="","",M36*'Annual P&amp;L'!M7)</f>
        <v>8336.16</v>
      </c>
      <c r="N37" s="29">
        <f>IF(N36="","",N36*'Annual P&amp;L'!N7)</f>
        <v>8588.4067064849369</v>
      </c>
      <c r="O37" s="29">
        <f>IF(O36="","",O36*'Annual P&amp;L'!O7)</f>
        <v>9105.0692683543602</v>
      </c>
      <c r="P37" s="29">
        <f>IF(P36="","",P36*'Annual P&amp;L'!P7)</f>
        <v>9818.7411456882674</v>
      </c>
      <c r="Q37" s="29">
        <f>IF(Q36="","",Q36*'Annual P&amp;L'!Q7)</f>
        <v>10654.46253696153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 t="s">
        <v>401</v>
      </c>
      <c r="B38" s="1" t="s">
        <v>44</v>
      </c>
      <c r="C38" s="18">
        <f>'Raw Operating'!C28</f>
        <v>7.0000000000000007E-2</v>
      </c>
      <c r="D38" s="18">
        <f>'Raw Operating'!D28</f>
        <v>7.0000000000000007E-2</v>
      </c>
      <c r="E38" s="18">
        <f>'Raw Operating'!E28</f>
        <v>0.08</v>
      </c>
      <c r="F38" s="18">
        <f>'Raw Operating'!F28</f>
        <v>0.05</v>
      </c>
      <c r="G38" s="18">
        <f>'Raw Operating'!G28</f>
        <v>0.04</v>
      </c>
      <c r="H38" s="18">
        <f>'Raw Operating'!H28</f>
        <v>0.05</v>
      </c>
      <c r="I38" s="18">
        <f>'Raw Operating'!I28</f>
        <v>0.05</v>
      </c>
      <c r="J38" s="18">
        <f>'Raw Operating'!J28</f>
        <v>0.04</v>
      </c>
      <c r="K38" s="18">
        <f>'Raw Operating'!K28</f>
        <v>0.05</v>
      </c>
      <c r="L38" s="18">
        <f>'Raw Operating'!L28</f>
        <v>0.04</v>
      </c>
      <c r="M38" s="18">
        <f>'Raw Operating'!M28</f>
        <v>0.05</v>
      </c>
      <c r="N38" s="26">
        <f>M38</f>
        <v>0.05</v>
      </c>
      <c r="O38" s="26">
        <f>N38</f>
        <v>0.05</v>
      </c>
      <c r="P38" s="26">
        <f>O38</f>
        <v>0.05</v>
      </c>
      <c r="Q38" s="26">
        <f>P38</f>
        <v>0.05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555</v>
      </c>
      <c r="B39" s="1" t="s">
        <v>42</v>
      </c>
      <c r="C39" s="17">
        <f>IF(C38="","",C38*'Annual P&amp;L'!C7)</f>
        <v>3587.0800000000004</v>
      </c>
      <c r="D39" s="17">
        <f>IF(D38="","",D38*'Annual P&amp;L'!D7)</f>
        <v>3852.8140000000003</v>
      </c>
      <c r="E39" s="17">
        <f>IF(E38="","",E38*'Annual P&amp;L'!E7)</f>
        <v>4358.9679999999998</v>
      </c>
      <c r="F39" s="17">
        <f>IF(F38="","",F38*'Annual P&amp;L'!F7)</f>
        <v>2929.2250000000004</v>
      </c>
      <c r="G39" s="17">
        <f>IF(G38="","",G38*'Annual P&amp;L'!G7)</f>
        <v>2440.9279999999999</v>
      </c>
      <c r="H39" s="17">
        <f>IF(H38="","",H38*'Annual P&amp;L'!H7)</f>
        <v>3097.15</v>
      </c>
      <c r="I39" s="17">
        <f>IF(I38="","",I38*'Annual P&amp;L'!I7)</f>
        <v>3954.67</v>
      </c>
      <c r="J39" s="17">
        <f>IF(J38="","",J38*'Annual P&amp;L'!J7)</f>
        <v>3619.5040000000004</v>
      </c>
      <c r="K39" s="17">
        <f>IF(K38="","",K38*'Annual P&amp;L'!K7)</f>
        <v>4488.0150000000003</v>
      </c>
      <c r="L39" s="17">
        <f>IF(L38="","",L38*'Annual P&amp;L'!L7)</f>
        <v>3563.5360000000001</v>
      </c>
      <c r="M39" s="17">
        <f>IF(M38="","",M38*'Annual P&amp;L'!M7)</f>
        <v>4631.2</v>
      </c>
      <c r="N39" s="29">
        <f>IF(N38="","",N38*'Annual P&amp;L'!N7)</f>
        <v>4771.3370591582989</v>
      </c>
      <c r="O39" s="29">
        <f>IF(O38="","",O38*'Annual P&amp;L'!O7)</f>
        <v>5058.3718157524227</v>
      </c>
      <c r="P39" s="29">
        <f>IF(P38="","",P38*'Annual P&amp;L'!P7)</f>
        <v>5454.8561920490383</v>
      </c>
      <c r="Q39" s="29">
        <f>IF(Q38="","",Q38*'Annual P&amp;L'!Q7)</f>
        <v>5919.1458538675179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402</v>
      </c>
      <c r="B40" s="1" t="s">
        <v>44</v>
      </c>
      <c r="C40" s="18">
        <f>'Raw Operating'!C29</f>
        <v>0.04</v>
      </c>
      <c r="D40" s="18">
        <f>'Raw Operating'!D29</f>
        <v>0.04</v>
      </c>
      <c r="E40" s="18">
        <f>'Raw Operating'!E29</f>
        <v>0.05</v>
      </c>
      <c r="F40" s="18">
        <f>'Raw Operating'!F29</f>
        <v>0.05</v>
      </c>
      <c r="G40" s="18">
        <f>'Raw Operating'!G29</f>
        <v>0.05</v>
      </c>
      <c r="H40" s="18">
        <f>'Raw Operating'!H29</f>
        <v>0.05</v>
      </c>
      <c r="I40" s="18">
        <f>'Raw Operating'!I29</f>
        <v>0.05</v>
      </c>
      <c r="J40" s="18">
        <f>'Raw Operating'!J29</f>
        <v>0.05</v>
      </c>
      <c r="K40" s="18">
        <f>'Raw Operating'!K29</f>
        <v>0.04</v>
      </c>
      <c r="L40" s="18">
        <f>'Raw Operating'!L29</f>
        <v>0.04</v>
      </c>
      <c r="M40" s="18">
        <f>'Raw Operating'!M29</f>
        <v>0.04</v>
      </c>
      <c r="N40" s="26">
        <f>M40</f>
        <v>0.04</v>
      </c>
      <c r="O40" s="26">
        <f>N40</f>
        <v>0.04</v>
      </c>
      <c r="P40" s="26">
        <f>O40</f>
        <v>0.04</v>
      </c>
      <c r="Q40" s="26">
        <f>P40</f>
        <v>0.04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 t="s">
        <v>556</v>
      </c>
      <c r="B41" s="1" t="s">
        <v>42</v>
      </c>
      <c r="C41" s="17">
        <f>IF(C40="","",C40*'Annual P&amp;L'!C7)</f>
        <v>2049.7600000000002</v>
      </c>
      <c r="D41" s="17">
        <f>IF(D40="","",D40*'Annual P&amp;L'!D7)</f>
        <v>2201.6079999999997</v>
      </c>
      <c r="E41" s="17">
        <f>IF(E40="","",E40*'Annual P&amp;L'!E7)</f>
        <v>2724.355</v>
      </c>
      <c r="F41" s="17">
        <f>IF(F40="","",F40*'Annual P&amp;L'!F7)</f>
        <v>2929.2250000000004</v>
      </c>
      <c r="G41" s="17">
        <f>IF(G40="","",G40*'Annual P&amp;L'!G7)</f>
        <v>3051.16</v>
      </c>
      <c r="H41" s="17">
        <f>IF(H40="","",H40*'Annual P&amp;L'!H7)</f>
        <v>3097.15</v>
      </c>
      <c r="I41" s="17">
        <f>IF(I40="","",I40*'Annual P&amp;L'!I7)</f>
        <v>3954.67</v>
      </c>
      <c r="J41" s="17">
        <f>IF(J40="","",J40*'Annual P&amp;L'!J7)</f>
        <v>4524.38</v>
      </c>
      <c r="K41" s="17">
        <f>IF(K40="","",K40*'Annual P&amp;L'!K7)</f>
        <v>3590.4120000000003</v>
      </c>
      <c r="L41" s="17">
        <f>IF(L40="","",L40*'Annual P&amp;L'!L7)</f>
        <v>3563.5360000000001</v>
      </c>
      <c r="M41" s="17">
        <f>IF(M40="","",M40*'Annual P&amp;L'!M7)</f>
        <v>3704.96</v>
      </c>
      <c r="N41" s="29">
        <f>IF(N40="","",N40*'Annual P&amp;L'!N7)</f>
        <v>3817.0696473266389</v>
      </c>
      <c r="O41" s="29">
        <f>IF(O40="","",O40*'Annual P&amp;L'!O7)</f>
        <v>4046.6974526019376</v>
      </c>
      <c r="P41" s="29">
        <f>IF(P40="","",P40*'Annual P&amp;L'!P7)</f>
        <v>4363.8849536392299</v>
      </c>
      <c r="Q41" s="29">
        <f>IF(Q40="","",Q40*'Annual P&amp;L'!Q7)</f>
        <v>4735.3166830940136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403</v>
      </c>
      <c r="B42" s="1" t="s">
        <v>44</v>
      </c>
      <c r="C42" s="18">
        <f>'Raw Operating'!C30</f>
        <v>0.02</v>
      </c>
      <c r="D42" s="18">
        <f>'Raw Operating'!D30</f>
        <v>0.02</v>
      </c>
      <c r="E42" s="18">
        <f>'Raw Operating'!E30</f>
        <v>0.02</v>
      </c>
      <c r="F42" s="18">
        <f>'Raw Operating'!F30</f>
        <v>0.03</v>
      </c>
      <c r="G42" s="18">
        <f>'Raw Operating'!G30</f>
        <v>0.03</v>
      </c>
      <c r="H42" s="18">
        <f>'Raw Operating'!H30</f>
        <v>0.03</v>
      </c>
      <c r="I42" s="18">
        <f>'Raw Operating'!I30</f>
        <v>0.03</v>
      </c>
      <c r="J42" s="18">
        <f>'Raw Operating'!J30</f>
        <v>0.03</v>
      </c>
      <c r="K42" s="18">
        <f>'Raw Operating'!K30</f>
        <v>0.03</v>
      </c>
      <c r="L42" s="18">
        <f>'Raw Operating'!L30</f>
        <v>0.03</v>
      </c>
      <c r="M42" s="18">
        <f>'Raw Operating'!M30</f>
        <v>0.03</v>
      </c>
      <c r="N42" s="26">
        <f>M42</f>
        <v>0.03</v>
      </c>
      <c r="O42" s="26">
        <f>N42</f>
        <v>0.03</v>
      </c>
      <c r="P42" s="26">
        <f>O42</f>
        <v>0.03</v>
      </c>
      <c r="Q42" s="26">
        <f>P42</f>
        <v>0.03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557</v>
      </c>
      <c r="B43" s="1" t="s">
        <v>42</v>
      </c>
      <c r="C43" s="17">
        <f>IF(C42="","",C42*'Annual P&amp;L'!C7)</f>
        <v>1024.8800000000001</v>
      </c>
      <c r="D43" s="17">
        <f>IF(D42="","",D42*'Annual P&amp;L'!D7)</f>
        <v>1100.8039999999999</v>
      </c>
      <c r="E43" s="17">
        <f>IF(E42="","",E42*'Annual P&amp;L'!E7)</f>
        <v>1089.742</v>
      </c>
      <c r="F43" s="17">
        <f>IF(F42="","",F42*'Annual P&amp;L'!F7)</f>
        <v>1757.5349999999999</v>
      </c>
      <c r="G43" s="17">
        <f>IF(G42="","",G42*'Annual P&amp;L'!G7)</f>
        <v>1830.6959999999999</v>
      </c>
      <c r="H43" s="17">
        <f>IF(H42="","",H42*'Annual P&amp;L'!H7)</f>
        <v>1858.29</v>
      </c>
      <c r="I43" s="17">
        <f>IF(I42="","",I42*'Annual P&amp;L'!I7)</f>
        <v>2372.8019999999997</v>
      </c>
      <c r="J43" s="17">
        <f>IF(J42="","",J42*'Annual P&amp;L'!J7)</f>
        <v>2714.6280000000002</v>
      </c>
      <c r="K43" s="17">
        <f>IF(K42="","",K42*'Annual P&amp;L'!K7)</f>
        <v>2692.8090000000002</v>
      </c>
      <c r="L43" s="17">
        <f>IF(L42="","",L42*'Annual P&amp;L'!L7)</f>
        <v>2672.6519999999996</v>
      </c>
      <c r="M43" s="17">
        <f>IF(M42="","",M42*'Annual P&amp;L'!M7)</f>
        <v>2778.72</v>
      </c>
      <c r="N43" s="29">
        <f>IF(N42="","",N42*'Annual P&amp;L'!N7)</f>
        <v>2862.802235494979</v>
      </c>
      <c r="O43" s="29">
        <f>IF(O42="","",O42*'Annual P&amp;L'!O7)</f>
        <v>3035.023089451453</v>
      </c>
      <c r="P43" s="29">
        <f>IF(P42="","",P42*'Annual P&amp;L'!P7)</f>
        <v>3272.9137152294225</v>
      </c>
      <c r="Q43" s="29">
        <f>IF(Q42="","",Q42*'Annual P&amp;L'!Q7)</f>
        <v>3551.4875123205102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 t="s">
        <v>558</v>
      </c>
      <c r="B44" s="1" t="s">
        <v>44</v>
      </c>
      <c r="C44" s="18">
        <f>'Raw Operating'!C31</f>
        <v>7.0000000000000007E-2</v>
      </c>
      <c r="D44" s="18">
        <f>'Raw Operating'!D31</f>
        <v>7.0000000000000007E-2</v>
      </c>
      <c r="E44" s="18">
        <f>'Raw Operating'!E31</f>
        <v>0.08</v>
      </c>
      <c r="F44" s="18">
        <f>'Raw Operating'!F31</f>
        <v>7.0000000000000007E-2</v>
      </c>
      <c r="G44" s="18">
        <f>'Raw Operating'!G31</f>
        <v>7.0000000000000007E-2</v>
      </c>
      <c r="H44" s="18">
        <f>'Raw Operating'!H31</f>
        <v>0.08</v>
      </c>
      <c r="I44" s="18">
        <f>'Raw Operating'!I31</f>
        <v>7.0000000000000007E-2</v>
      </c>
      <c r="J44" s="18">
        <f>'Raw Operating'!J31</f>
        <v>7.0000000000000007E-2</v>
      </c>
      <c r="K44" s="18">
        <f>'Raw Operating'!K31</f>
        <v>7.0000000000000007E-2</v>
      </c>
      <c r="L44" s="18">
        <f>'Raw Operating'!L31</f>
        <v>7.0000000000000007E-2</v>
      </c>
      <c r="M44" s="18">
        <f>'Raw Operating'!M31</f>
        <v>7.0000000000000007E-2</v>
      </c>
      <c r="N44" s="26">
        <f>M44</f>
        <v>7.0000000000000007E-2</v>
      </c>
      <c r="O44" s="26">
        <f>N44</f>
        <v>7.0000000000000007E-2</v>
      </c>
      <c r="P44" s="26">
        <f>O44</f>
        <v>7.0000000000000007E-2</v>
      </c>
      <c r="Q44" s="26">
        <f>P44</f>
        <v>7.0000000000000007E-2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559</v>
      </c>
      <c r="B45" s="1" t="s">
        <v>42</v>
      </c>
      <c r="C45" s="17">
        <f>IF(C44="","",C44*'Annual P&amp;L'!C7)</f>
        <v>3587.0800000000004</v>
      </c>
      <c r="D45" s="17">
        <f>IF(D44="","",D44*'Annual P&amp;L'!D7)</f>
        <v>3852.8140000000003</v>
      </c>
      <c r="E45" s="17">
        <f>IF(E44="","",E44*'Annual P&amp;L'!E7)</f>
        <v>4358.9679999999998</v>
      </c>
      <c r="F45" s="17">
        <f>IF(F44="","",F44*'Annual P&amp;L'!F7)</f>
        <v>4100.915</v>
      </c>
      <c r="G45" s="17">
        <f>IF(G44="","",G44*'Annual P&amp;L'!G7)</f>
        <v>4271.6239999999998</v>
      </c>
      <c r="H45" s="17">
        <f>IF(H44="","",H44*'Annual P&amp;L'!H7)</f>
        <v>4955.4400000000005</v>
      </c>
      <c r="I45" s="17">
        <f>IF(I44="","",I44*'Annual P&amp;L'!I7)</f>
        <v>5536.5380000000005</v>
      </c>
      <c r="J45" s="17">
        <f>IF(J44="","",J44*'Annual P&amp;L'!J7)</f>
        <v>6334.1320000000014</v>
      </c>
      <c r="K45" s="17">
        <f>IF(K44="","",K44*'Annual P&amp;L'!K7)</f>
        <v>6283.2210000000005</v>
      </c>
      <c r="L45" s="17">
        <f>IF(L44="","",L44*'Annual P&amp;L'!L7)</f>
        <v>6236.1880000000001</v>
      </c>
      <c r="M45" s="17">
        <f>IF(M44="","",M44*'Annual P&amp;L'!M7)</f>
        <v>6483.68</v>
      </c>
      <c r="N45" s="29">
        <f>IF(N44="","",N44*'Annual P&amp;L'!N7)</f>
        <v>6679.8718828216188</v>
      </c>
      <c r="O45" s="29">
        <f>IF(O44="","",O44*'Annual P&amp;L'!O7)</f>
        <v>7081.7205420533919</v>
      </c>
      <c r="P45" s="29">
        <f>IF(P44="","",P44*'Annual P&amp;L'!P7)</f>
        <v>7636.7986688686533</v>
      </c>
      <c r="Q45" s="29">
        <f>IF(Q44="","",Q44*'Annual P&amp;L'!Q7)</f>
        <v>8286.8041954145247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 t="s">
        <v>518</v>
      </c>
      <c r="B46" s="1" t="s">
        <v>44</v>
      </c>
      <c r="C46" s="18">
        <f t="shared" ref="C46:Q46" si="2">IF(COUNT(C32,C34,C36,C38,C40,C42,C44)=0,"",SUM(C32,C34,C36,C38,C40,C42,C44))</f>
        <v>1</v>
      </c>
      <c r="D46" s="18">
        <f t="shared" si="2"/>
        <v>1</v>
      </c>
      <c r="E46" s="18">
        <f t="shared" si="2"/>
        <v>0.99999999999999989</v>
      </c>
      <c r="F46" s="18">
        <f t="shared" si="2"/>
        <v>1</v>
      </c>
      <c r="G46" s="18">
        <f t="shared" si="2"/>
        <v>1</v>
      </c>
      <c r="H46" s="18">
        <f t="shared" si="2"/>
        <v>1</v>
      </c>
      <c r="I46" s="18">
        <f t="shared" si="2"/>
        <v>1</v>
      </c>
      <c r="J46" s="18">
        <f t="shared" si="2"/>
        <v>1</v>
      </c>
      <c r="K46" s="18">
        <f t="shared" si="2"/>
        <v>1</v>
      </c>
      <c r="L46" s="18">
        <f t="shared" si="2"/>
        <v>1</v>
      </c>
      <c r="M46" s="18">
        <f t="shared" si="2"/>
        <v>1</v>
      </c>
      <c r="N46" s="26">
        <f t="shared" si="2"/>
        <v>1</v>
      </c>
      <c r="O46" s="26">
        <f t="shared" si="2"/>
        <v>1</v>
      </c>
      <c r="P46" s="26">
        <f t="shared" si="2"/>
        <v>1</v>
      </c>
      <c r="Q46" s="26">
        <f t="shared" si="2"/>
        <v>1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 t="s">
        <v>560</v>
      </c>
      <c r="B47" s="1" t="s">
        <v>42</v>
      </c>
      <c r="C47" s="17">
        <f>'Annual P&amp;L'!C7</f>
        <v>51244</v>
      </c>
      <c r="D47" s="17">
        <f>'Annual P&amp;L'!D7</f>
        <v>55040.2</v>
      </c>
      <c r="E47" s="17">
        <f>'Annual P&amp;L'!E7</f>
        <v>54487.1</v>
      </c>
      <c r="F47" s="17">
        <f>'Annual P&amp;L'!F7</f>
        <v>58584.5</v>
      </c>
      <c r="G47" s="17">
        <f>'Annual P&amp;L'!G7</f>
        <v>61023.199999999997</v>
      </c>
      <c r="H47" s="17">
        <f>'Annual P&amp;L'!H7</f>
        <v>61943</v>
      </c>
      <c r="I47" s="17">
        <f>'Annual P&amp;L'!I7</f>
        <v>79093.399999999994</v>
      </c>
      <c r="J47" s="17">
        <f>'Annual P&amp;L'!J7</f>
        <v>90487.6</v>
      </c>
      <c r="K47" s="17">
        <f>'Annual P&amp;L'!K7</f>
        <v>89760.3</v>
      </c>
      <c r="L47" s="17">
        <f>'Annual P&amp;L'!L7</f>
        <v>89088.4</v>
      </c>
      <c r="M47" s="17">
        <f>'Annual P&amp;L'!M7</f>
        <v>92624</v>
      </c>
      <c r="N47" s="29">
        <f>'Annual P&amp;L'!N7</f>
        <v>95426.74118316597</v>
      </c>
      <c r="O47" s="29">
        <f>'Annual P&amp;L'!O7</f>
        <v>101167.43631504844</v>
      </c>
      <c r="P47" s="29">
        <f>'Annual P&amp;L'!P7</f>
        <v>109097.12384098076</v>
      </c>
      <c r="Q47" s="29">
        <f>'Annual P&amp;L'!Q7</f>
        <v>118382.91707735034</v>
      </c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 t="s">
        <v>561</v>
      </c>
      <c r="B48" s="1" t="s">
        <v>44</v>
      </c>
      <c r="C48" s="1"/>
      <c r="D48" s="18">
        <f t="shared" ref="D48:Q48" si="3">IFERROR(D47/C47-1,"")</f>
        <v>7.4080868004058997E-2</v>
      </c>
      <c r="E48" s="18">
        <f t="shared" si="3"/>
        <v>-1.0049018717228519E-2</v>
      </c>
      <c r="F48" s="18">
        <f t="shared" si="3"/>
        <v>7.5199450879198881E-2</v>
      </c>
      <c r="G48" s="18">
        <f t="shared" si="3"/>
        <v>4.1627051523867253E-2</v>
      </c>
      <c r="H48" s="18">
        <f t="shared" si="3"/>
        <v>1.507295585941093E-2</v>
      </c>
      <c r="I48" s="18">
        <f t="shared" si="3"/>
        <v>0.27687390019856961</v>
      </c>
      <c r="J48" s="18">
        <f t="shared" si="3"/>
        <v>0.14406006063717092</v>
      </c>
      <c r="K48" s="18">
        <f t="shared" si="3"/>
        <v>-8.0375653680725412E-3</v>
      </c>
      <c r="L48" s="18">
        <f t="shared" si="3"/>
        <v>-7.4854919156911448E-3</v>
      </c>
      <c r="M48" s="18">
        <f t="shared" si="3"/>
        <v>3.9686423821732264E-2</v>
      </c>
      <c r="N48" s="26">
        <f t="shared" si="3"/>
        <v>3.0259340809789759E-2</v>
      </c>
      <c r="O48" s="26">
        <f t="shared" si="3"/>
        <v>6.0158138701011943E-2</v>
      </c>
      <c r="P48" s="26">
        <f t="shared" si="3"/>
        <v>7.8381817457924274E-2</v>
      </c>
      <c r="Q48" s="26">
        <f t="shared" si="3"/>
        <v>8.5114922460325371E-2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 t="s">
        <v>562</v>
      </c>
      <c r="B49" s="1" t="s">
        <v>62</v>
      </c>
      <c r="C49" s="23">
        <f>'Revenue Drivers'!C34</f>
        <v>7346.3</v>
      </c>
      <c r="D49" s="23">
        <f>'Revenue Drivers'!D34</f>
        <v>7704.5</v>
      </c>
      <c r="E49" s="23">
        <f>'Revenue Drivers'!E34</f>
        <v>8060.2</v>
      </c>
      <c r="F49" s="23">
        <f>'Revenue Drivers'!F34</f>
        <v>8120.3</v>
      </c>
      <c r="G49" s="23">
        <f>'Revenue Drivers'!G34</f>
        <v>8256.2000000000007</v>
      </c>
      <c r="H49" s="23">
        <f>'Revenue Drivers'!H34</f>
        <v>8136.5</v>
      </c>
      <c r="I49" s="23">
        <f>'Revenue Drivers'!I34</f>
        <v>10355.9</v>
      </c>
      <c r="J49" s="23">
        <f>'Revenue Drivers'!J34</f>
        <v>11159.7</v>
      </c>
      <c r="K49" s="23">
        <f>'Revenue Drivers'!K34</f>
        <v>10805.3</v>
      </c>
      <c r="L49" s="23">
        <f>'Revenue Drivers'!L34</f>
        <v>10511.5</v>
      </c>
      <c r="M49" s="23">
        <f>'Revenue Drivers'!M34</f>
        <v>10478.1</v>
      </c>
      <c r="N49" s="28">
        <f>'Revenue Drivers'!N34</f>
        <v>10151.78097693255</v>
      </c>
      <c r="O49" s="28">
        <f>'Revenue Drivers'!O34</f>
        <v>10649.203822636679</v>
      </c>
      <c r="P49" s="28">
        <f>'Revenue Drivers'!P34</f>
        <v>11364.283733435494</v>
      </c>
      <c r="Q49" s="28">
        <f>'Revenue Drivers'!Q34</f>
        <v>12204.424440963952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 t="s">
        <v>563</v>
      </c>
      <c r="B50" s="1" t="s">
        <v>44</v>
      </c>
      <c r="C50" s="1"/>
      <c r="D50" s="18">
        <f t="shared" ref="D50:Q50" si="4">IFERROR(D49/C49-1,"")</f>
        <v>4.875923934497628E-2</v>
      </c>
      <c r="E50" s="18">
        <f t="shared" si="4"/>
        <v>4.6167823998961577E-2</v>
      </c>
      <c r="F50" s="18">
        <f t="shared" si="4"/>
        <v>7.4563906602813645E-3</v>
      </c>
      <c r="G50" s="18">
        <f t="shared" si="4"/>
        <v>1.6735834882947831E-2</v>
      </c>
      <c r="H50" s="18">
        <f t="shared" si="4"/>
        <v>-1.4498195295656657E-2</v>
      </c>
      <c r="I50" s="18">
        <f t="shared" si="4"/>
        <v>0.27277084741596513</v>
      </c>
      <c r="J50" s="18">
        <f t="shared" si="4"/>
        <v>7.7617589972865719E-2</v>
      </c>
      <c r="K50" s="18">
        <f t="shared" si="4"/>
        <v>-3.1757126087618937E-2</v>
      </c>
      <c r="L50" s="18">
        <f t="shared" si="4"/>
        <v>-2.7190360286155846E-2</v>
      </c>
      <c r="M50" s="18">
        <f t="shared" si="4"/>
        <v>-3.1774722922512932E-3</v>
      </c>
      <c r="N50" s="26">
        <f t="shared" si="4"/>
        <v>-3.1142957508274449E-2</v>
      </c>
      <c r="O50" s="26">
        <f t="shared" si="4"/>
        <v>4.8998579346264393E-2</v>
      </c>
      <c r="P50" s="26">
        <f t="shared" si="4"/>
        <v>6.7148673526070679E-2</v>
      </c>
      <c r="Q50" s="26">
        <f t="shared" si="4"/>
        <v>7.3928170682383998E-2</v>
      </c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 t="s">
        <v>159</v>
      </c>
      <c r="B51" s="1" t="s">
        <v>160</v>
      </c>
      <c r="C51" s="22">
        <f>'Revenue Drivers'!C35</f>
        <v>69.754842573812667</v>
      </c>
      <c r="D51" s="22">
        <f>'Revenue Drivers'!D35</f>
        <v>71.439029138814973</v>
      </c>
      <c r="E51" s="22">
        <f>'Revenue Drivers'!E35</f>
        <v>67.600183618272496</v>
      </c>
      <c r="F51" s="22">
        <f>'Revenue Drivers'!F35</f>
        <v>72.145733532012358</v>
      </c>
      <c r="G51" s="22">
        <f>'Revenue Drivers'!G35</f>
        <v>73.911969186792945</v>
      </c>
      <c r="H51" s="22">
        <f>'Revenue Drivers'!H35</f>
        <v>76.129785534320661</v>
      </c>
      <c r="I51" s="22">
        <f>'Revenue Drivers'!I35</f>
        <v>76.375206404078838</v>
      </c>
      <c r="J51" s="22">
        <f>'Revenue Drivers'!J35</f>
        <v>81.084258537415877</v>
      </c>
      <c r="K51" s="22">
        <f>'Revenue Drivers'!K35</f>
        <v>83.070622749946793</v>
      </c>
      <c r="L51" s="22">
        <f>'Revenue Drivers'!L35</f>
        <v>84.75327022784569</v>
      </c>
      <c r="M51" s="22">
        <f>'Revenue Drivers'!M35</f>
        <v>88.397705690917249</v>
      </c>
      <c r="N51" s="25">
        <f>'Revenue Drivers'!N35</f>
        <v>94</v>
      </c>
      <c r="O51" s="25">
        <f>'Revenue Drivers'!O35</f>
        <v>95</v>
      </c>
      <c r="P51" s="25">
        <f>'Revenue Drivers'!P35</f>
        <v>96</v>
      </c>
      <c r="Q51" s="25">
        <f>'Revenue Drivers'!Q35</f>
        <v>97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4"/>
      <c r="O52" s="24"/>
      <c r="P52" s="24"/>
      <c r="Q52" s="24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4"/>
      <c r="O53" s="24"/>
      <c r="P53" s="24"/>
      <c r="Q53" s="24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4"/>
      <c r="O54" s="24"/>
      <c r="P54" s="24"/>
      <c r="Q54" s="24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4"/>
      <c r="O55" s="24"/>
      <c r="P55" s="24"/>
      <c r="Q55" s="2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4"/>
      <c r="O56" s="24"/>
      <c r="P56" s="24"/>
      <c r="Q56" s="24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4"/>
      <c r="O57" s="24"/>
      <c r="P57" s="24"/>
      <c r="Q57" s="24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4"/>
      <c r="O58" s="24"/>
      <c r="P58" s="24"/>
      <c r="Q58" s="24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4"/>
      <c r="O59" s="24"/>
      <c r="P59" s="24"/>
      <c r="Q59" s="24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4"/>
      <c r="O60" s="24"/>
      <c r="P60" s="24"/>
      <c r="Q60" s="24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4"/>
      <c r="O61" s="24"/>
      <c r="P61" s="24"/>
      <c r="Q61" s="24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4"/>
      <c r="O62" s="24"/>
      <c r="P62" s="24"/>
      <c r="Q62" s="24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4"/>
      <c r="O63" s="24"/>
      <c r="P63" s="24"/>
      <c r="Q63" s="24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4"/>
      <c r="O64" s="24"/>
      <c r="P64" s="24"/>
      <c r="Q64" s="24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4"/>
      <c r="O65" s="24"/>
      <c r="P65" s="24"/>
      <c r="Q65" s="24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4"/>
      <c r="O66" s="24"/>
      <c r="P66" s="24"/>
      <c r="Q66" s="2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4"/>
      <c r="O67" s="24"/>
      <c r="P67" s="24"/>
      <c r="Q67" s="2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4"/>
      <c r="O68" s="24"/>
      <c r="P68" s="24"/>
      <c r="Q68" s="24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4"/>
      <c r="O69" s="24"/>
      <c r="P69" s="24"/>
      <c r="Q69" s="24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4"/>
      <c r="O70" s="24"/>
      <c r="P70" s="24"/>
      <c r="Q70" s="24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4"/>
      <c r="O71" s="24"/>
      <c r="P71" s="24"/>
      <c r="Q71" s="24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4"/>
      <c r="O72" s="24"/>
      <c r="P72" s="24"/>
      <c r="Q72" s="24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4"/>
      <c r="O73" s="24"/>
      <c r="P73" s="24"/>
      <c r="Q73" s="24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4"/>
      <c r="O74" s="24"/>
      <c r="P74" s="24"/>
      <c r="Q74" s="24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4"/>
      <c r="O75" s="24"/>
      <c r="P75" s="24"/>
      <c r="Q75" s="24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4"/>
      <c r="O76" s="24"/>
      <c r="P76" s="24"/>
      <c r="Q76" s="24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4"/>
      <c r="O77" s="24"/>
      <c r="P77" s="24"/>
      <c r="Q77" s="24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4"/>
      <c r="O78" s="24"/>
      <c r="P78" s="24"/>
      <c r="Q78" s="24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4"/>
      <c r="O79" s="24"/>
      <c r="P79" s="24"/>
      <c r="Q79" s="24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4"/>
      <c r="O80" s="24"/>
      <c r="P80" s="24"/>
      <c r="Q80" s="24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4"/>
      <c r="O81" s="24"/>
      <c r="P81" s="24"/>
      <c r="Q81" s="24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4"/>
      <c r="O82" s="24"/>
      <c r="P82" s="24"/>
      <c r="Q82" s="24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4"/>
      <c r="O83" s="24"/>
      <c r="P83" s="24"/>
      <c r="Q83" s="24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4"/>
      <c r="O88" s="24"/>
      <c r="P88" s="24"/>
      <c r="Q88" s="24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4"/>
      <c r="O89" s="24"/>
      <c r="P89" s="24"/>
      <c r="Q89" s="24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4"/>
      <c r="O90" s="24"/>
      <c r="P90" s="24"/>
      <c r="Q90" s="24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4"/>
      <c r="O91" s="24"/>
      <c r="P91" s="24"/>
      <c r="Q91" s="24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4"/>
      <c r="O92" s="24"/>
      <c r="P92" s="24"/>
      <c r="Q92" s="24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4"/>
      <c r="O93" s="24"/>
      <c r="P93" s="24"/>
      <c r="Q93" s="24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4"/>
      <c r="O94" s="24"/>
      <c r="P94" s="24"/>
      <c r="Q94" s="24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4"/>
      <c r="O95" s="24"/>
      <c r="P95" s="24"/>
      <c r="Q95" s="24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4"/>
      <c r="O96" s="24"/>
      <c r="P96" s="24"/>
      <c r="Q96" s="24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4"/>
      <c r="O97" s="24"/>
      <c r="P97" s="24"/>
      <c r="Q97" s="24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4"/>
      <c r="O98" s="24"/>
      <c r="P98" s="24"/>
      <c r="Q98" s="24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4"/>
      <c r="O99" s="24"/>
      <c r="P99" s="24"/>
      <c r="Q99" s="24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4"/>
      <c r="O100" s="24"/>
      <c r="P100" s="24"/>
      <c r="Q100" s="24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4"/>
      <c r="O101" s="24"/>
      <c r="P101" s="24"/>
      <c r="Q101" s="24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4"/>
      <c r="O102" s="24"/>
      <c r="P102" s="24"/>
      <c r="Q102" s="24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4"/>
      <c r="O103" s="24"/>
      <c r="P103" s="24"/>
      <c r="Q103" s="24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4"/>
      <c r="O104" s="24"/>
      <c r="P104" s="24"/>
      <c r="Q104" s="24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4"/>
      <c r="O105" s="24"/>
      <c r="P105" s="24"/>
      <c r="Q105" s="24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4"/>
      <c r="O106" s="24"/>
      <c r="P106" s="24"/>
      <c r="Q106" s="24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4"/>
      <c r="O107" s="24"/>
      <c r="P107" s="24"/>
      <c r="Q107" s="24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4"/>
      <c r="O108" s="24"/>
      <c r="P108" s="24"/>
      <c r="Q108" s="24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4"/>
      <c r="O109" s="24"/>
      <c r="P109" s="24"/>
      <c r="Q109" s="24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4"/>
      <c r="O110" s="24"/>
      <c r="P110" s="24"/>
      <c r="Q110" s="24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4"/>
      <c r="O111" s="24"/>
      <c r="P111" s="24"/>
      <c r="Q111" s="24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4"/>
      <c r="O112" s="24"/>
      <c r="P112" s="24"/>
      <c r="Q112" s="24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4"/>
      <c r="O113" s="24"/>
      <c r="P113" s="24"/>
      <c r="Q113" s="24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4"/>
      <c r="O114" s="24"/>
      <c r="P114" s="24"/>
      <c r="Q114" s="24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4"/>
      <c r="O115" s="24"/>
      <c r="P115" s="24"/>
      <c r="Q115" s="24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4"/>
      <c r="O116" s="24"/>
      <c r="P116" s="24"/>
      <c r="Q116" s="24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4"/>
      <c r="O117" s="24"/>
      <c r="P117" s="24"/>
      <c r="Q117" s="24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4"/>
      <c r="O118" s="24"/>
      <c r="P118" s="24"/>
      <c r="Q118" s="24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4"/>
      <c r="O119" s="24"/>
      <c r="P119" s="24"/>
      <c r="Q119" s="24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4"/>
      <c r="O120" s="24"/>
      <c r="P120" s="24"/>
      <c r="Q120" s="24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4"/>
      <c r="O121" s="24"/>
      <c r="P121" s="24"/>
      <c r="Q121" s="24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4"/>
      <c r="O122" s="24"/>
      <c r="P122" s="24"/>
      <c r="Q122" s="24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4"/>
      <c r="O123" s="24"/>
      <c r="P123" s="24"/>
      <c r="Q123" s="24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4"/>
      <c r="O124" s="24"/>
      <c r="P124" s="24"/>
      <c r="Q124" s="24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4"/>
      <c r="O125" s="24"/>
      <c r="P125" s="24"/>
      <c r="Q125" s="24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4"/>
      <c r="O126" s="24"/>
      <c r="P126" s="24"/>
      <c r="Q126" s="24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4"/>
      <c r="O127" s="24"/>
      <c r="P127" s="24"/>
      <c r="Q127" s="24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4"/>
      <c r="O128" s="24"/>
      <c r="P128" s="24"/>
      <c r="Q128" s="24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4"/>
      <c r="O129" s="24"/>
      <c r="P129" s="24"/>
      <c r="Q129" s="24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4"/>
      <c r="O130" s="24"/>
      <c r="P130" s="24"/>
      <c r="Q130" s="24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4"/>
      <c r="O131" s="24"/>
      <c r="P131" s="24"/>
      <c r="Q131" s="24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4"/>
      <c r="O132" s="24"/>
      <c r="P132" s="24"/>
      <c r="Q132" s="24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4"/>
      <c r="O133" s="24"/>
      <c r="P133" s="24"/>
      <c r="Q133" s="24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4"/>
      <c r="O134" s="24"/>
      <c r="P134" s="24"/>
      <c r="Q134" s="24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4"/>
      <c r="O135" s="24"/>
      <c r="P135" s="24"/>
      <c r="Q135" s="24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4"/>
      <c r="O136" s="24"/>
      <c r="P136" s="24"/>
      <c r="Q136" s="24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4"/>
      <c r="O137" s="24"/>
      <c r="P137" s="24"/>
      <c r="Q137" s="24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4"/>
      <c r="O138" s="24"/>
      <c r="P138" s="24"/>
      <c r="Q138" s="24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4"/>
      <c r="O139" s="24"/>
      <c r="P139" s="24"/>
      <c r="Q139" s="24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4"/>
      <c r="O140" s="24"/>
      <c r="P140" s="24"/>
      <c r="Q140" s="24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4"/>
      <c r="O141" s="24"/>
      <c r="P141" s="24"/>
      <c r="Q141" s="24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4"/>
      <c r="O142" s="24"/>
      <c r="P142" s="24"/>
      <c r="Q142" s="24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4"/>
      <c r="O143" s="24"/>
      <c r="P143" s="24"/>
      <c r="Q143" s="24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4"/>
      <c r="O144" s="24"/>
      <c r="P144" s="24"/>
      <c r="Q144" s="24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4"/>
      <c r="O145" s="24"/>
      <c r="P145" s="24"/>
      <c r="Q145" s="24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4"/>
      <c r="O146" s="24"/>
      <c r="P146" s="24"/>
      <c r="Q146" s="24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4"/>
      <c r="O147" s="24"/>
      <c r="P147" s="24"/>
      <c r="Q147" s="24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4"/>
      <c r="O148" s="24"/>
      <c r="P148" s="24"/>
      <c r="Q148" s="24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4"/>
      <c r="O149" s="24"/>
      <c r="P149" s="24"/>
      <c r="Q149" s="24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4"/>
      <c r="O150" s="24"/>
      <c r="P150" s="24"/>
      <c r="Q150" s="24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4"/>
      <c r="O151" s="24"/>
      <c r="P151" s="24"/>
      <c r="Q151" s="24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4"/>
      <c r="O152" s="24"/>
      <c r="P152" s="24"/>
      <c r="Q152" s="24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4"/>
      <c r="O153" s="24"/>
      <c r="P153" s="24"/>
      <c r="Q153" s="24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4"/>
      <c r="O154" s="24"/>
      <c r="P154" s="24"/>
      <c r="Q154" s="24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4"/>
      <c r="O155" s="24"/>
      <c r="P155" s="24"/>
      <c r="Q155" s="24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4"/>
      <c r="O156" s="24"/>
      <c r="P156" s="24"/>
      <c r="Q156" s="24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4"/>
      <c r="O157" s="24"/>
      <c r="P157" s="24"/>
      <c r="Q157" s="24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4"/>
      <c r="O158" s="24"/>
      <c r="P158" s="24"/>
      <c r="Q158" s="24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4"/>
      <c r="O159" s="24"/>
      <c r="P159" s="24"/>
      <c r="Q159" s="24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4"/>
      <c r="O160" s="24"/>
      <c r="P160" s="24"/>
      <c r="Q160" s="24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4"/>
      <c r="O161" s="24"/>
      <c r="P161" s="24"/>
      <c r="Q161" s="24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4"/>
      <c r="O162" s="24"/>
      <c r="P162" s="24"/>
      <c r="Q162" s="24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4"/>
      <c r="O163" s="24"/>
      <c r="P163" s="24"/>
      <c r="Q163" s="24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4"/>
      <c r="O164" s="24"/>
      <c r="P164" s="24"/>
      <c r="Q164" s="24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4"/>
      <c r="O165" s="24"/>
      <c r="P165" s="24"/>
      <c r="Q165" s="24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4"/>
      <c r="O166" s="24"/>
      <c r="P166" s="24"/>
      <c r="Q166" s="24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4"/>
      <c r="O167" s="24"/>
      <c r="P167" s="24"/>
      <c r="Q167" s="24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4"/>
      <c r="O168" s="24"/>
      <c r="P168" s="24"/>
      <c r="Q168" s="24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4"/>
      <c r="O169" s="24"/>
      <c r="P169" s="24"/>
      <c r="Q169" s="24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4"/>
      <c r="O170" s="24"/>
      <c r="P170" s="24"/>
      <c r="Q170" s="24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4"/>
      <c r="O171" s="24"/>
      <c r="P171" s="24"/>
      <c r="Q171" s="24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4"/>
      <c r="O172" s="24"/>
      <c r="P172" s="24"/>
      <c r="Q172" s="24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4"/>
      <c r="O173" s="24"/>
      <c r="P173" s="24"/>
      <c r="Q173" s="24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4"/>
      <c r="O174" s="24"/>
      <c r="P174" s="24"/>
      <c r="Q174" s="24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4"/>
      <c r="O175" s="24"/>
      <c r="P175" s="24"/>
      <c r="Q175" s="24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4"/>
      <c r="O176" s="24"/>
      <c r="P176" s="24"/>
      <c r="Q176" s="24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4"/>
      <c r="O177" s="24"/>
      <c r="P177" s="24"/>
      <c r="Q177" s="24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4"/>
      <c r="O178" s="24"/>
      <c r="P178" s="24"/>
      <c r="Q178" s="24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4"/>
      <c r="O179" s="24"/>
      <c r="P179" s="24"/>
      <c r="Q179" s="24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4"/>
      <c r="O180" s="24"/>
      <c r="P180" s="24"/>
      <c r="Q180" s="24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4"/>
      <c r="O181" s="24"/>
      <c r="P181" s="24"/>
      <c r="Q181" s="24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4"/>
      <c r="O182" s="24"/>
      <c r="P182" s="24"/>
      <c r="Q182" s="24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4"/>
      <c r="O183" s="24"/>
      <c r="P183" s="24"/>
      <c r="Q183" s="24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4"/>
      <c r="O184" s="24"/>
      <c r="P184" s="24"/>
      <c r="Q184" s="24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4"/>
      <c r="O185" s="24"/>
      <c r="P185" s="24"/>
      <c r="Q185" s="24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4"/>
      <c r="O186" s="24"/>
      <c r="P186" s="24"/>
      <c r="Q186" s="24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4"/>
      <c r="O187" s="24"/>
      <c r="P187" s="24"/>
      <c r="Q187" s="24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4"/>
      <c r="O188" s="24"/>
      <c r="P188" s="24"/>
      <c r="Q188" s="24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4"/>
      <c r="O189" s="24"/>
      <c r="P189" s="24"/>
      <c r="Q189" s="24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4"/>
      <c r="O190" s="24"/>
      <c r="P190" s="24"/>
      <c r="Q190" s="24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4"/>
      <c r="O191" s="24"/>
      <c r="P191" s="24"/>
      <c r="Q191" s="24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4"/>
      <c r="O192" s="24"/>
      <c r="P192" s="24"/>
      <c r="Q192" s="24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4"/>
      <c r="O193" s="24"/>
      <c r="P193" s="24"/>
      <c r="Q193" s="24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4"/>
      <c r="O194" s="24"/>
      <c r="P194" s="24"/>
      <c r="Q194" s="24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4"/>
      <c r="O195" s="24"/>
      <c r="P195" s="24"/>
      <c r="Q195" s="24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4"/>
      <c r="O196" s="24"/>
      <c r="P196" s="24"/>
      <c r="Q196" s="24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4"/>
      <c r="O197" s="24"/>
      <c r="P197" s="24"/>
      <c r="Q197" s="24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4"/>
      <c r="O198" s="24"/>
      <c r="P198" s="24"/>
      <c r="Q198" s="24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4"/>
      <c r="O199" s="24"/>
      <c r="P199" s="24"/>
      <c r="Q199" s="24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4"/>
      <c r="O200" s="24"/>
      <c r="P200" s="24"/>
      <c r="Q200" s="24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4"/>
      <c r="O201" s="24"/>
      <c r="P201" s="24"/>
      <c r="Q201" s="24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4"/>
      <c r="O202" s="24"/>
      <c r="P202" s="24"/>
      <c r="Q202" s="24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4"/>
      <c r="O203" s="24"/>
      <c r="P203" s="24"/>
      <c r="Q203" s="24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4"/>
      <c r="O204" s="24"/>
      <c r="P204" s="24"/>
      <c r="Q204" s="24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4"/>
      <c r="O205" s="24"/>
      <c r="P205" s="24"/>
      <c r="Q205" s="24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4"/>
      <c r="O206" s="24"/>
      <c r="P206" s="24"/>
      <c r="Q206" s="24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4"/>
      <c r="O207" s="24"/>
      <c r="P207" s="24"/>
      <c r="Q207" s="24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4"/>
      <c r="O208" s="24"/>
      <c r="P208" s="24"/>
      <c r="Q208" s="24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4"/>
      <c r="O209" s="24"/>
      <c r="P209" s="24"/>
      <c r="Q209" s="24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4"/>
      <c r="O210" s="24"/>
      <c r="P210" s="24"/>
      <c r="Q210" s="24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4"/>
      <c r="O211" s="24"/>
      <c r="P211" s="24"/>
      <c r="Q211" s="24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4"/>
      <c r="O212" s="24"/>
      <c r="P212" s="24"/>
      <c r="Q212" s="24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4"/>
      <c r="O213" s="24"/>
      <c r="P213" s="24"/>
      <c r="Q213" s="24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4"/>
      <c r="O214" s="24"/>
      <c r="P214" s="24"/>
      <c r="Q214" s="24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4"/>
      <c r="O215" s="24"/>
      <c r="P215" s="24"/>
      <c r="Q215" s="24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4"/>
      <c r="O216" s="24"/>
      <c r="P216" s="24"/>
      <c r="Q216" s="24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4"/>
      <c r="O217" s="24"/>
      <c r="P217" s="24"/>
      <c r="Q217" s="24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4"/>
      <c r="O218" s="24"/>
      <c r="P218" s="24"/>
      <c r="Q218" s="24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4"/>
      <c r="O219" s="24"/>
      <c r="P219" s="24"/>
      <c r="Q219" s="24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4"/>
      <c r="O220" s="24"/>
      <c r="P220" s="24"/>
      <c r="Q220" s="24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</sheetData>
  <mergeCells count="5">
    <mergeCell ref="A1:Q1"/>
    <mergeCell ref="A2:Q2"/>
    <mergeCell ref="A7:Q7"/>
    <mergeCell ref="A19:Q19"/>
    <mergeCell ref="A31:Q3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U300"/>
  <sheetViews>
    <sheetView showGridLines="0" workbookViewId="0">
      <selection sqref="A1:Q1"/>
    </sheetView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44" t="s">
        <v>564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45" t="s">
        <v>565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4" t="s">
        <v>35</v>
      </c>
      <c r="M5" s="4" t="s">
        <v>36</v>
      </c>
      <c r="N5" s="14" t="s">
        <v>37</v>
      </c>
      <c r="O5" s="14" t="s">
        <v>38</v>
      </c>
      <c r="P5" s="14" t="s">
        <v>39</v>
      </c>
      <c r="Q5" s="14" t="s">
        <v>40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4"/>
      <c r="O6" s="24"/>
      <c r="P6" s="24"/>
      <c r="Q6" s="2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388</v>
      </c>
      <c r="B7" s="1" t="s">
        <v>59</v>
      </c>
      <c r="C7" s="22">
        <f>'Raw Operating'!C13</f>
        <v>1223</v>
      </c>
      <c r="D7" s="22">
        <f>'Raw Operating'!D13</f>
        <v>1323</v>
      </c>
      <c r="E7" s="22">
        <f>'Raw Operating'!E13</f>
        <v>1248</v>
      </c>
      <c r="F7" s="22">
        <f>'Raw Operating'!F13</f>
        <v>1115</v>
      </c>
      <c r="G7" s="22">
        <f>'Raw Operating'!G13</f>
        <v>1074</v>
      </c>
      <c r="H7" s="22">
        <f>'Raw Operating'!H13</f>
        <v>1120</v>
      </c>
      <c r="I7" s="22">
        <f>'Raw Operating'!I13</f>
        <v>1369</v>
      </c>
      <c r="J7" s="22">
        <f>'Raw Operating'!J13</f>
        <v>1441</v>
      </c>
      <c r="K7" s="22">
        <f>'Raw Operating'!K13</f>
        <v>1371</v>
      </c>
      <c r="L7" s="22">
        <f>'Raw Operating'!L13</f>
        <v>1282</v>
      </c>
      <c r="M7" s="22">
        <f>'Raw Operating'!M13</f>
        <v>1233</v>
      </c>
      <c r="N7" s="25">
        <f>ROUND(M7*(1+'Annual P&amp;L'!N8),0)</f>
        <v>1270</v>
      </c>
      <c r="O7" s="25">
        <f>ROUND(N7*(1+'Annual P&amp;L'!O8),0)</f>
        <v>1346</v>
      </c>
      <c r="P7" s="25">
        <f>ROUND(O7*(1+'Annual P&amp;L'!P8),0)</f>
        <v>1452</v>
      </c>
      <c r="Q7" s="25">
        <f>ROUND(P7*(1+'Annual P&amp;L'!Q8),0)</f>
        <v>1576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389</v>
      </c>
      <c r="B8" s="1" t="s">
        <v>59</v>
      </c>
      <c r="C8" s="22">
        <f>'Raw Operating'!C14</f>
        <v>9</v>
      </c>
      <c r="D8" s="22">
        <f>'Raw Operating'!D14</f>
        <v>9</v>
      </c>
      <c r="E8" s="22">
        <f>'Raw Operating'!E14</f>
        <v>8</v>
      </c>
      <c r="F8" s="22">
        <f>'Raw Operating'!F14</f>
        <v>10</v>
      </c>
      <c r="G8" s="22">
        <f>'Raw Operating'!G14</f>
        <v>15</v>
      </c>
      <c r="H8" s="22">
        <f>'Raw Operating'!H14</f>
        <v>11</v>
      </c>
      <c r="I8" s="22">
        <f>'Raw Operating'!I14</f>
        <v>19</v>
      </c>
      <c r="J8" s="22">
        <f>'Raw Operating'!J14</f>
        <v>19</v>
      </c>
      <c r="K8" s="22">
        <f>'Raw Operating'!K14</f>
        <v>22</v>
      </c>
      <c r="L8" s="22">
        <f>'Raw Operating'!L14</f>
        <v>17</v>
      </c>
      <c r="M8" s="22">
        <f>'Raw Operating'!M14</f>
        <v>16</v>
      </c>
      <c r="N8" s="25">
        <f>ROUND(M8*(1+'Annual P&amp;L'!N8),0)</f>
        <v>16</v>
      </c>
      <c r="O8" s="25">
        <f>ROUND(N8*(1+'Annual P&amp;L'!O8),0)</f>
        <v>17</v>
      </c>
      <c r="P8" s="25">
        <f>ROUND(O8*(1+'Annual P&amp;L'!P8),0)</f>
        <v>18</v>
      </c>
      <c r="Q8" s="25">
        <f>ROUND(P8*(1+'Annual P&amp;L'!Q8),0)</f>
        <v>20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390</v>
      </c>
      <c r="B9" s="1" t="s">
        <v>59</v>
      </c>
      <c r="C9" s="22">
        <f>'Raw Operating'!C15</f>
        <v>33</v>
      </c>
      <c r="D9" s="22">
        <f>'Raw Operating'!D15</f>
        <v>34</v>
      </c>
      <c r="E9" s="22">
        <f>'Raw Operating'!E15</f>
        <v>39</v>
      </c>
      <c r="F9" s="22">
        <f>'Raw Operating'!F15</f>
        <v>41</v>
      </c>
      <c r="G9" s="22">
        <f>'Raw Operating'!G15</f>
        <v>40</v>
      </c>
      <c r="H9" s="22">
        <f>'Raw Operating'!H15</f>
        <v>40</v>
      </c>
      <c r="I9" s="22">
        <f>'Raw Operating'!I15</f>
        <v>50</v>
      </c>
      <c r="J9" s="22">
        <f>'Raw Operating'!J15</f>
        <v>53</v>
      </c>
      <c r="K9" s="22">
        <f>'Raw Operating'!K15</f>
        <v>45</v>
      </c>
      <c r="L9" s="22">
        <f>'Raw Operating'!L15</f>
        <v>44</v>
      </c>
      <c r="M9" s="22">
        <f>'Raw Operating'!M15</f>
        <v>45</v>
      </c>
      <c r="N9" s="25">
        <f>ROUND(M9*(1+'Annual P&amp;L'!N8),0)</f>
        <v>46</v>
      </c>
      <c r="O9" s="25">
        <f>ROUND(N9*(1+'Annual P&amp;L'!O8),0)</f>
        <v>49</v>
      </c>
      <c r="P9" s="25">
        <f>ROUND(O9*(1+'Annual P&amp;L'!P8),0)</f>
        <v>53</v>
      </c>
      <c r="Q9" s="25">
        <f>ROUND(P9*(1+'Annual P&amp;L'!Q8),0)</f>
        <v>58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391</v>
      </c>
      <c r="B10" s="1" t="s">
        <v>59</v>
      </c>
      <c r="C10" s="22">
        <f>'Raw Operating'!C16</f>
        <v>89</v>
      </c>
      <c r="D10" s="22">
        <f>'Raw Operating'!D16</f>
        <v>91</v>
      </c>
      <c r="E10" s="22">
        <f>'Raw Operating'!E16</f>
        <v>95</v>
      </c>
      <c r="F10" s="22">
        <f>'Raw Operating'!F16</f>
        <v>96</v>
      </c>
      <c r="G10" s="22">
        <f>'Raw Operating'!G16</f>
        <v>96</v>
      </c>
      <c r="H10" s="22">
        <f>'Raw Operating'!H16</f>
        <v>93</v>
      </c>
      <c r="I10" s="22">
        <f>'Raw Operating'!I16</f>
        <v>117</v>
      </c>
      <c r="J10" s="22">
        <f>'Raw Operating'!J16</f>
        <v>117</v>
      </c>
      <c r="K10" s="22">
        <f>'Raw Operating'!K16</f>
        <v>116</v>
      </c>
      <c r="L10" s="22">
        <f>'Raw Operating'!L16</f>
        <v>111</v>
      </c>
      <c r="M10" s="22">
        <f>'Raw Operating'!M16</f>
        <v>106</v>
      </c>
      <c r="N10" s="25">
        <f>ROUND(M10*(1+'Annual P&amp;L'!N8),0)</f>
        <v>109</v>
      </c>
      <c r="O10" s="25">
        <f>ROUND(N10*(1+'Annual P&amp;L'!O8),0)</f>
        <v>116</v>
      </c>
      <c r="P10" s="25">
        <f>ROUND(O10*(1+'Annual P&amp;L'!P8),0)</f>
        <v>125</v>
      </c>
      <c r="Q10" s="25">
        <f>ROUND(P10*(1+'Annual P&amp;L'!Q8),0)</f>
        <v>136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392</v>
      </c>
      <c r="B11" s="1" t="s">
        <v>59</v>
      </c>
      <c r="C11" s="22">
        <f>'Raw Operating'!C17</f>
        <v>160</v>
      </c>
      <c r="D11" s="22">
        <f>'Raw Operating'!D17</f>
        <v>163</v>
      </c>
      <c r="E11" s="22">
        <f>'Raw Operating'!E17</f>
        <v>171</v>
      </c>
      <c r="F11" s="22">
        <f>'Raw Operating'!F17</f>
        <v>172</v>
      </c>
      <c r="G11" s="22">
        <f>'Raw Operating'!G17</f>
        <v>166</v>
      </c>
      <c r="H11" s="22">
        <f>'Raw Operating'!H17</f>
        <v>167</v>
      </c>
      <c r="I11" s="22">
        <f>'Raw Operating'!I17</f>
        <v>194</v>
      </c>
      <c r="J11" s="22">
        <f>'Raw Operating'!J17</f>
        <v>208</v>
      </c>
      <c r="K11" s="22">
        <f>'Raw Operating'!K17</f>
        <v>205</v>
      </c>
      <c r="L11" s="22">
        <f>'Raw Operating'!L17</f>
        <v>181</v>
      </c>
      <c r="M11" s="22">
        <f>'Raw Operating'!M17</f>
        <v>183</v>
      </c>
      <c r="N11" s="25">
        <f>ROUND(M11*(1+'Annual P&amp;L'!N8),0)</f>
        <v>189</v>
      </c>
      <c r="O11" s="25">
        <f>ROUND(N11*(1+'Annual P&amp;L'!O8),0)</f>
        <v>200</v>
      </c>
      <c r="P11" s="25">
        <f>ROUND(O11*(1+'Annual P&amp;L'!P8),0)</f>
        <v>216</v>
      </c>
      <c r="Q11" s="25">
        <f>ROUND(P11*(1+'Annual P&amp;L'!Q8),0)</f>
        <v>234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393</v>
      </c>
      <c r="B12" s="1" t="s">
        <v>59</v>
      </c>
      <c r="C12" s="22">
        <f>'Raw Operating'!C18</f>
        <v>248</v>
      </c>
      <c r="D12" s="22">
        <f>'Raw Operating'!D18</f>
        <v>268</v>
      </c>
      <c r="E12" s="22">
        <f>'Raw Operating'!E18</f>
        <v>277</v>
      </c>
      <c r="F12" s="22">
        <f>'Raw Operating'!F18</f>
        <v>262</v>
      </c>
      <c r="G12" s="22">
        <f>'Raw Operating'!G18</f>
        <v>260</v>
      </c>
      <c r="H12" s="22">
        <f>'Raw Operating'!H18</f>
        <v>257</v>
      </c>
      <c r="I12" s="22">
        <f>'Raw Operating'!I18</f>
        <v>297</v>
      </c>
      <c r="J12" s="22">
        <f>'Raw Operating'!J18</f>
        <v>311</v>
      </c>
      <c r="K12" s="22">
        <f>'Raw Operating'!K18</f>
        <v>301</v>
      </c>
      <c r="L12" s="22">
        <f>'Raw Operating'!L18</f>
        <v>289</v>
      </c>
      <c r="M12" s="22">
        <f>'Raw Operating'!M18</f>
        <v>289</v>
      </c>
      <c r="N12" s="25">
        <f>ROUND(M12*(1+'Annual P&amp;L'!N8),0)</f>
        <v>298</v>
      </c>
      <c r="O12" s="25">
        <f>ROUND(N12*(1+'Annual P&amp;L'!O8),0)</f>
        <v>316</v>
      </c>
      <c r="P12" s="25">
        <f>ROUND(O12*(1+'Annual P&amp;L'!P8),0)</f>
        <v>341</v>
      </c>
      <c r="Q12" s="25">
        <f>ROUND(P12*(1+'Annual P&amp;L'!Q8),0)</f>
        <v>370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394</v>
      </c>
      <c r="B13" s="1" t="s">
        <v>59</v>
      </c>
      <c r="C13" s="22">
        <f>'Raw Operating'!C19</f>
        <v>550</v>
      </c>
      <c r="D13" s="22">
        <f>'Raw Operating'!D19</f>
        <v>602</v>
      </c>
      <c r="E13" s="22">
        <f>'Raw Operating'!E19</f>
        <v>631</v>
      </c>
      <c r="F13" s="22">
        <f>'Raw Operating'!F19</f>
        <v>571</v>
      </c>
      <c r="G13" s="22">
        <f>'Raw Operating'!G19</f>
        <v>574</v>
      </c>
      <c r="H13" s="22">
        <f>'Raw Operating'!H19</f>
        <v>566</v>
      </c>
      <c r="I13" s="22">
        <f>'Raw Operating'!I19</f>
        <v>679</v>
      </c>
      <c r="J13" s="22">
        <f>'Raw Operating'!J19</f>
        <v>750</v>
      </c>
      <c r="K13" s="22">
        <f>'Raw Operating'!K19</f>
        <v>741</v>
      </c>
      <c r="L13" s="22">
        <f>'Raw Operating'!L19</f>
        <v>716</v>
      </c>
      <c r="M13" s="22">
        <f>'Raw Operating'!M19</f>
        <v>715</v>
      </c>
      <c r="N13" s="25">
        <f>ROUND(M13*(1+'Annual P&amp;L'!N8),0)</f>
        <v>737</v>
      </c>
      <c r="O13" s="25">
        <f>ROUND(N13*(1+'Annual P&amp;L'!O8),0)</f>
        <v>781</v>
      </c>
      <c r="P13" s="25">
        <f>ROUND(O13*(1+'Annual P&amp;L'!P8),0)</f>
        <v>842</v>
      </c>
      <c r="Q13" s="25">
        <f>ROUND(P13*(1+'Annual P&amp;L'!Q8),0)</f>
        <v>914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566</v>
      </c>
      <c r="B14" s="1" t="s">
        <v>44</v>
      </c>
      <c r="C14" s="18">
        <f>'Raw Operating'!C20</f>
        <v>3.1E-2</v>
      </c>
      <c r="D14" s="18">
        <f>'Raw Operating'!D20</f>
        <v>2.7000000000000003E-2</v>
      </c>
      <c r="E14" s="18">
        <f>'Raw Operating'!E20</f>
        <v>3.1E-2</v>
      </c>
      <c r="F14" s="18">
        <f>'Raw Operating'!F20</f>
        <v>3.7000000000000005E-2</v>
      </c>
      <c r="G14" s="18">
        <f>'Raw Operating'!G20</f>
        <v>3.2000000000000001E-2</v>
      </c>
      <c r="H14" s="18">
        <f>'Raw Operating'!H20</f>
        <v>3.1E-2</v>
      </c>
      <c r="I14" s="18">
        <f>'Raw Operating'!I20</f>
        <v>3.2000000000000001E-2</v>
      </c>
      <c r="J14" s="18">
        <f>'Raw Operating'!J20</f>
        <v>3.2000000000000001E-2</v>
      </c>
      <c r="K14" s="18">
        <f>'Raw Operating'!K20</f>
        <v>0.03</v>
      </c>
      <c r="L14" s="18">
        <f>'Raw Operating'!L20</f>
        <v>4.2999999999999997E-2</v>
      </c>
      <c r="M14" s="18">
        <f>'Raw Operating'!M20</f>
        <v>4.5999999999999999E-2</v>
      </c>
      <c r="N14" s="26">
        <f t="shared" ref="N14:Q16" si="0">M14</f>
        <v>4.5999999999999999E-2</v>
      </c>
      <c r="O14" s="26">
        <f t="shared" si="0"/>
        <v>4.5999999999999999E-2</v>
      </c>
      <c r="P14" s="26">
        <f t="shared" si="0"/>
        <v>4.5999999999999999E-2</v>
      </c>
      <c r="Q14" s="26">
        <f t="shared" si="0"/>
        <v>4.5999999999999999E-2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567</v>
      </c>
      <c r="B15" s="1" t="s">
        <v>44</v>
      </c>
      <c r="C15" s="18">
        <f>'Raw Operating'!C21</f>
        <v>0.05</v>
      </c>
      <c r="D15" s="18">
        <f>'Raw Operating'!D21</f>
        <v>0.05</v>
      </c>
      <c r="E15" s="18">
        <f>'Raw Operating'!E21</f>
        <v>0.05</v>
      </c>
      <c r="F15" s="18">
        <f>'Raw Operating'!F21</f>
        <v>0.05</v>
      </c>
      <c r="G15" s="18">
        <f>'Raw Operating'!G21</f>
        <v>0.05</v>
      </c>
      <c r="H15" s="18">
        <f>'Raw Operating'!H21</f>
        <v>0.05</v>
      </c>
      <c r="I15" s="18">
        <f>'Raw Operating'!I21</f>
        <v>0.05</v>
      </c>
      <c r="J15" s="18">
        <f>'Raw Operating'!J21</f>
        <v>0.05</v>
      </c>
      <c r="K15" s="18">
        <f>'Raw Operating'!K21</f>
        <v>0.05</v>
      </c>
      <c r="L15" s="18">
        <f>'Raw Operating'!L21</f>
        <v>0.05</v>
      </c>
      <c r="M15" s="18">
        <f>'Raw Operating'!M21</f>
        <v>0.05</v>
      </c>
      <c r="N15" s="26">
        <f t="shared" si="0"/>
        <v>0.05</v>
      </c>
      <c r="O15" s="26">
        <f t="shared" si="0"/>
        <v>0.05</v>
      </c>
      <c r="P15" s="26">
        <f t="shared" si="0"/>
        <v>0.05</v>
      </c>
      <c r="Q15" s="26">
        <f t="shared" si="0"/>
        <v>0.05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568</v>
      </c>
      <c r="B16" s="1" t="s">
        <v>44</v>
      </c>
      <c r="C16" s="18">
        <f>'Raw Operating'!C22</f>
        <v>0.1</v>
      </c>
      <c r="D16" s="18">
        <f>'Raw Operating'!D22</f>
        <v>0.1</v>
      </c>
      <c r="E16" s="18">
        <f>'Raw Operating'!E22</f>
        <v>0.1</v>
      </c>
      <c r="F16" s="18">
        <f>'Raw Operating'!F22</f>
        <v>0.1</v>
      </c>
      <c r="G16" s="18">
        <f>'Raw Operating'!G22</f>
        <v>0.1</v>
      </c>
      <c r="H16" s="18">
        <f>'Raw Operating'!H22</f>
        <v>0.1</v>
      </c>
      <c r="I16" s="18">
        <f>'Raw Operating'!I22</f>
        <v>0.1</v>
      </c>
      <c r="J16" s="18">
        <f>'Raw Operating'!J22</f>
        <v>0.1</v>
      </c>
      <c r="K16" s="18">
        <f>'Raw Operating'!K22</f>
        <v>0.1</v>
      </c>
      <c r="L16" s="18">
        <f>'Raw Operating'!L22</f>
        <v>0.1</v>
      </c>
      <c r="M16" s="18">
        <f>'Raw Operating'!M22</f>
        <v>0.1</v>
      </c>
      <c r="N16" s="26">
        <f t="shared" si="0"/>
        <v>0.1</v>
      </c>
      <c r="O16" s="26">
        <f t="shared" si="0"/>
        <v>0.1</v>
      </c>
      <c r="P16" s="26">
        <f t="shared" si="0"/>
        <v>0.1</v>
      </c>
      <c r="Q16" s="26">
        <f t="shared" si="0"/>
        <v>0.1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64</v>
      </c>
      <c r="B17" s="1" t="s">
        <v>62</v>
      </c>
      <c r="C17" s="23">
        <f>IFERROR('Revenue Drivers'!C34/C7,"")</f>
        <v>6.0067865903515942</v>
      </c>
      <c r="D17" s="23">
        <f>IFERROR('Revenue Drivers'!D34/D7,"")</f>
        <v>5.8235071806500374</v>
      </c>
      <c r="E17" s="23">
        <f>IFERROR('Revenue Drivers'!E34/E7,"")</f>
        <v>6.4584935897435898</v>
      </c>
      <c r="F17" s="23">
        <f>IFERROR('Revenue Drivers'!F34/F7,"")</f>
        <v>7.2827802690582963</v>
      </c>
      <c r="G17" s="23">
        <f>IFERROR('Revenue Drivers'!G34/G7,"")</f>
        <v>7.6873370577281195</v>
      </c>
      <c r="H17" s="23">
        <f>IFERROR('Revenue Drivers'!H34/H7,"")</f>
        <v>7.2647321428571425</v>
      </c>
      <c r="I17" s="23">
        <f>IFERROR('Revenue Drivers'!I34/I7,"")</f>
        <v>7.5645726807888964</v>
      </c>
      <c r="J17" s="23">
        <f>IFERROR('Revenue Drivers'!J34/J7,"")</f>
        <v>7.744413601665511</v>
      </c>
      <c r="K17" s="23">
        <f>IFERROR('Revenue Drivers'!K34/K7,"")</f>
        <v>7.8813274981765131</v>
      </c>
      <c r="L17" s="23">
        <f>IFERROR('Revenue Drivers'!L34/L7,"")</f>
        <v>8.1992979719188774</v>
      </c>
      <c r="M17" s="23">
        <f>IFERROR('Revenue Drivers'!M34/M7,"")</f>
        <v>8.4980535279805363</v>
      </c>
      <c r="N17" s="28">
        <f>IFERROR('Revenue Drivers'!N34/N7,"")</f>
        <v>7.9935283282933467</v>
      </c>
      <c r="O17" s="28">
        <f>IFERROR('Revenue Drivers'!O34/O7,"")</f>
        <v>7.9117413243957495</v>
      </c>
      <c r="P17" s="28">
        <f>IFERROR('Revenue Drivers'!P34/P7,"")</f>
        <v>7.826641689693866</v>
      </c>
      <c r="Q17" s="28">
        <f>IFERROR('Revenue Drivers'!Q34/Q7,"")</f>
        <v>7.7439241376674826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569</v>
      </c>
      <c r="B18" s="1" t="s">
        <v>62</v>
      </c>
      <c r="C18" s="23">
        <f>IFERROR('Revenue Drivers'!C34/C13,"")</f>
        <v>13.356909090909092</v>
      </c>
      <c r="D18" s="23">
        <f>IFERROR('Revenue Drivers'!D34/D13,"")</f>
        <v>12.798172757475083</v>
      </c>
      <c r="E18" s="23">
        <f>IFERROR('Revenue Drivers'!E34/E13,"")</f>
        <v>12.773692551505546</v>
      </c>
      <c r="F18" s="23">
        <f>IFERROR('Revenue Drivers'!F34/F13,"")</f>
        <v>14.221190893169878</v>
      </c>
      <c r="G18" s="23">
        <f>IFERROR('Revenue Drivers'!G34/G13,"")</f>
        <v>14.383623693379793</v>
      </c>
      <c r="H18" s="23">
        <f>IFERROR('Revenue Drivers'!H34/H13,"")</f>
        <v>14.375441696113073</v>
      </c>
      <c r="I18" s="23">
        <f>IFERROR('Revenue Drivers'!I34/I13,"")</f>
        <v>15.251693667157584</v>
      </c>
      <c r="J18" s="23">
        <f>IFERROR('Revenue Drivers'!J34/J13,"")</f>
        <v>14.879600000000002</v>
      </c>
      <c r="K18" s="23">
        <f>IFERROR('Revenue Drivers'!K34/K13,"")</f>
        <v>14.582051282051282</v>
      </c>
      <c r="L18" s="23">
        <f>IFERROR('Revenue Drivers'!L34/L13,"")</f>
        <v>14.68086592178771</v>
      </c>
      <c r="M18" s="23">
        <f>IFERROR('Revenue Drivers'!M34/M13,"")</f>
        <v>14.654685314685315</v>
      </c>
      <c r="N18" s="28">
        <f>IFERROR('Revenue Drivers'!N34/N13,"")</f>
        <v>13.774465368972253</v>
      </c>
      <c r="O18" s="28">
        <f>IFERROR('Revenue Drivers'!O34/O13,"")</f>
        <v>13.635344203119947</v>
      </c>
      <c r="P18" s="28">
        <f>IFERROR('Revenue Drivers'!P34/P13,"")</f>
        <v>13.496774030208424</v>
      </c>
      <c r="Q18" s="28">
        <f>IFERROR('Revenue Drivers'!Q34/Q13,"")</f>
        <v>13.35276197042008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570</v>
      </c>
      <c r="B19" s="1" t="s">
        <v>59</v>
      </c>
      <c r="C19" s="1"/>
      <c r="D19" s="22">
        <f t="shared" ref="D19:Q19" si="1">IF(OR(D7="",C7=""),"",D7-C7)</f>
        <v>100</v>
      </c>
      <c r="E19" s="22">
        <f t="shared" si="1"/>
        <v>-75</v>
      </c>
      <c r="F19" s="22">
        <f t="shared" si="1"/>
        <v>-133</v>
      </c>
      <c r="G19" s="22">
        <f t="shared" si="1"/>
        <v>-41</v>
      </c>
      <c r="H19" s="22">
        <f t="shared" si="1"/>
        <v>46</v>
      </c>
      <c r="I19" s="22">
        <f t="shared" si="1"/>
        <v>249</v>
      </c>
      <c r="J19" s="22">
        <f t="shared" si="1"/>
        <v>72</v>
      </c>
      <c r="K19" s="22">
        <f t="shared" si="1"/>
        <v>-70</v>
      </c>
      <c r="L19" s="22">
        <f t="shared" si="1"/>
        <v>-89</v>
      </c>
      <c r="M19" s="22">
        <f t="shared" si="1"/>
        <v>-49</v>
      </c>
      <c r="N19" s="25">
        <f t="shared" si="1"/>
        <v>37</v>
      </c>
      <c r="O19" s="25">
        <f t="shared" si="1"/>
        <v>76</v>
      </c>
      <c r="P19" s="25">
        <f t="shared" si="1"/>
        <v>106</v>
      </c>
      <c r="Q19" s="25">
        <f t="shared" si="1"/>
        <v>124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571</v>
      </c>
      <c r="B20" s="1" t="s">
        <v>59</v>
      </c>
      <c r="C20" s="1"/>
      <c r="D20" s="22">
        <f t="shared" ref="D20:Q20" si="2">IF(OR(D13="",C13=""),"",D13-C13)</f>
        <v>52</v>
      </c>
      <c r="E20" s="22">
        <f t="shared" si="2"/>
        <v>29</v>
      </c>
      <c r="F20" s="22">
        <f t="shared" si="2"/>
        <v>-60</v>
      </c>
      <c r="G20" s="22">
        <f t="shared" si="2"/>
        <v>3</v>
      </c>
      <c r="H20" s="22">
        <f t="shared" si="2"/>
        <v>-8</v>
      </c>
      <c r="I20" s="22">
        <f t="shared" si="2"/>
        <v>113</v>
      </c>
      <c r="J20" s="22">
        <f t="shared" si="2"/>
        <v>71</v>
      </c>
      <c r="K20" s="22">
        <f t="shared" si="2"/>
        <v>-9</v>
      </c>
      <c r="L20" s="22">
        <f t="shared" si="2"/>
        <v>-25</v>
      </c>
      <c r="M20" s="22">
        <f t="shared" si="2"/>
        <v>-1</v>
      </c>
      <c r="N20" s="25">
        <f t="shared" si="2"/>
        <v>22</v>
      </c>
      <c r="O20" s="25">
        <f t="shared" si="2"/>
        <v>44</v>
      </c>
      <c r="P20" s="25">
        <f t="shared" si="2"/>
        <v>61</v>
      </c>
      <c r="Q20" s="25">
        <f t="shared" si="2"/>
        <v>72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61</v>
      </c>
      <c r="B21" s="1" t="s">
        <v>62</v>
      </c>
      <c r="C21" s="23">
        <f>'Raw Operating'!C23</f>
        <v>0</v>
      </c>
      <c r="D21" s="23">
        <f>'Raw Operating'!D23</f>
        <v>0</v>
      </c>
      <c r="E21" s="23">
        <f>'Raw Operating'!E23</f>
        <v>0</v>
      </c>
      <c r="F21" s="23">
        <f>'Raw Operating'!F23</f>
        <v>0</v>
      </c>
      <c r="G21" s="23">
        <f>'Raw Operating'!G23</f>
        <v>0</v>
      </c>
      <c r="H21" s="23">
        <f>'Raw Operating'!H23</f>
        <v>0</v>
      </c>
      <c r="I21" s="23">
        <f>'Raw Operating'!I23</f>
        <v>0</v>
      </c>
      <c r="J21" s="23">
        <f>'Raw Operating'!J23</f>
        <v>0</v>
      </c>
      <c r="K21" s="23">
        <f>'Raw Operating'!K23</f>
        <v>14907</v>
      </c>
      <c r="L21" s="23">
        <f>'Raw Operating'!L23</f>
        <v>14315</v>
      </c>
      <c r="M21" s="23">
        <f>'Raw Operating'!M23</f>
        <v>16449</v>
      </c>
      <c r="N21" s="28">
        <f>'Revenue Drivers'!N23</f>
        <v>17435.940000000002</v>
      </c>
      <c r="O21" s="28">
        <f>'Revenue Drivers'!O23</f>
        <v>18656.455800000003</v>
      </c>
      <c r="P21" s="28">
        <f>'Revenue Drivers'!P23</f>
        <v>20148.972264000004</v>
      </c>
      <c r="Q21" s="28">
        <f>'Revenue Drivers'!Q23</f>
        <v>21760.890045120006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151</v>
      </c>
      <c r="B22" s="1" t="s">
        <v>44</v>
      </c>
      <c r="C22" s="1"/>
      <c r="D22" s="18" t="str">
        <f t="shared" ref="D22:Q22" si="3">IFERROR(D21/C21-1,"")</f>
        <v/>
      </c>
      <c r="E22" s="18" t="str">
        <f t="shared" si="3"/>
        <v/>
      </c>
      <c r="F22" s="18" t="str">
        <f t="shared" si="3"/>
        <v/>
      </c>
      <c r="G22" s="18" t="str">
        <f t="shared" si="3"/>
        <v/>
      </c>
      <c r="H22" s="18" t="str">
        <f t="shared" si="3"/>
        <v/>
      </c>
      <c r="I22" s="18" t="str">
        <f t="shared" si="3"/>
        <v/>
      </c>
      <c r="J22" s="18" t="str">
        <f t="shared" si="3"/>
        <v/>
      </c>
      <c r="K22" s="18" t="str">
        <f t="shared" si="3"/>
        <v/>
      </c>
      <c r="L22" s="18">
        <f t="shared" si="3"/>
        <v>-3.9712886563359473E-2</v>
      </c>
      <c r="M22" s="18">
        <f t="shared" si="3"/>
        <v>0.14907439748515539</v>
      </c>
      <c r="N22" s="26">
        <f t="shared" si="3"/>
        <v>6.0000000000000053E-2</v>
      </c>
      <c r="O22" s="26">
        <f t="shared" si="3"/>
        <v>7.0000000000000062E-2</v>
      </c>
      <c r="P22" s="26">
        <f t="shared" si="3"/>
        <v>8.0000000000000071E-2</v>
      </c>
      <c r="Q22" s="26">
        <f t="shared" si="3"/>
        <v>8.0000000000000071E-2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63</v>
      </c>
      <c r="B23" s="1" t="s">
        <v>62</v>
      </c>
      <c r="C23" s="23">
        <f>'Raw Operating'!C24</f>
        <v>0</v>
      </c>
      <c r="D23" s="23">
        <f>'Raw Operating'!D24</f>
        <v>0</v>
      </c>
      <c r="E23" s="23">
        <f>'Raw Operating'!E24</f>
        <v>0</v>
      </c>
      <c r="F23" s="23">
        <f>'Raw Operating'!F24</f>
        <v>0</v>
      </c>
      <c r="G23" s="23">
        <f>'Raw Operating'!G24</f>
        <v>0</v>
      </c>
      <c r="H23" s="23">
        <f>'Raw Operating'!H24</f>
        <v>0</v>
      </c>
      <c r="I23" s="23">
        <f>'Raw Operating'!I24</f>
        <v>0</v>
      </c>
      <c r="J23" s="23">
        <f>'Raw Operating'!J24</f>
        <v>0</v>
      </c>
      <c r="K23" s="23">
        <f>'Raw Operating'!K24</f>
        <v>0</v>
      </c>
      <c r="L23" s="23">
        <f>'Raw Operating'!L24</f>
        <v>5368</v>
      </c>
      <c r="M23" s="23">
        <f>'Raw Operating'!M24</f>
        <v>7829</v>
      </c>
      <c r="N23" s="28">
        <f>N21*M25</f>
        <v>8298.7400000000016</v>
      </c>
      <c r="O23" s="28">
        <f>O21*N25</f>
        <v>8879.6518000000015</v>
      </c>
      <c r="P23" s="28">
        <f>P21*O25</f>
        <v>9590.0239440000023</v>
      </c>
      <c r="Q23" s="28">
        <f>Q21*P25</f>
        <v>10357.225859520004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572</v>
      </c>
      <c r="B24" s="1" t="s">
        <v>44</v>
      </c>
      <c r="C24" s="1"/>
      <c r="D24" s="18" t="str">
        <f t="shared" ref="D24:Q24" si="4">IFERROR(D23/C23-1,"")</f>
        <v/>
      </c>
      <c r="E24" s="18" t="str">
        <f t="shared" si="4"/>
        <v/>
      </c>
      <c r="F24" s="18" t="str">
        <f t="shared" si="4"/>
        <v/>
      </c>
      <c r="G24" s="18" t="str">
        <f t="shared" si="4"/>
        <v/>
      </c>
      <c r="H24" s="18" t="str">
        <f t="shared" si="4"/>
        <v/>
      </c>
      <c r="I24" s="18" t="str">
        <f t="shared" si="4"/>
        <v/>
      </c>
      <c r="J24" s="18" t="str">
        <f t="shared" si="4"/>
        <v/>
      </c>
      <c r="K24" s="18" t="str">
        <f t="shared" si="4"/>
        <v/>
      </c>
      <c r="L24" s="18" t="str">
        <f t="shared" si="4"/>
        <v/>
      </c>
      <c r="M24" s="18">
        <f t="shared" si="4"/>
        <v>0.45845752608047685</v>
      </c>
      <c r="N24" s="26">
        <f t="shared" si="4"/>
        <v>6.0000000000000275E-2</v>
      </c>
      <c r="O24" s="26">
        <f t="shared" si="4"/>
        <v>7.0000000000000062E-2</v>
      </c>
      <c r="P24" s="26">
        <f t="shared" si="4"/>
        <v>8.0000000000000071E-2</v>
      </c>
      <c r="Q24" s="26">
        <f t="shared" si="4"/>
        <v>8.0000000000000071E-2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573</v>
      </c>
      <c r="B25" s="1" t="s">
        <v>44</v>
      </c>
      <c r="C25" s="18" t="str">
        <f t="shared" ref="C25:Q25" si="5">IFERROR(C23/C21,"")</f>
        <v/>
      </c>
      <c r="D25" s="18" t="str">
        <f t="shared" si="5"/>
        <v/>
      </c>
      <c r="E25" s="18" t="str">
        <f t="shared" si="5"/>
        <v/>
      </c>
      <c r="F25" s="18" t="str">
        <f t="shared" si="5"/>
        <v/>
      </c>
      <c r="G25" s="18" t="str">
        <f t="shared" si="5"/>
        <v/>
      </c>
      <c r="H25" s="18" t="str">
        <f t="shared" si="5"/>
        <v/>
      </c>
      <c r="I25" s="18" t="str">
        <f t="shared" si="5"/>
        <v/>
      </c>
      <c r="J25" s="18" t="str">
        <f t="shared" si="5"/>
        <v/>
      </c>
      <c r="K25" s="18">
        <f t="shared" si="5"/>
        <v>0</v>
      </c>
      <c r="L25" s="18">
        <f t="shared" si="5"/>
        <v>0.37499126790080334</v>
      </c>
      <c r="M25" s="18">
        <f t="shared" si="5"/>
        <v>0.47595598516627152</v>
      </c>
      <c r="N25" s="26">
        <f t="shared" si="5"/>
        <v>0.47595598516627152</v>
      </c>
      <c r="O25" s="26">
        <f t="shared" si="5"/>
        <v>0.47595598516627152</v>
      </c>
      <c r="P25" s="26">
        <f t="shared" si="5"/>
        <v>0.47595598516627152</v>
      </c>
      <c r="Q25" s="26">
        <f t="shared" si="5"/>
        <v>0.47595598516627152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574</v>
      </c>
      <c r="B26" s="1" t="s">
        <v>68</v>
      </c>
      <c r="C26" s="33">
        <f>IFERROR(C21/'Revenue Drivers'!C34,"")</f>
        <v>0</v>
      </c>
      <c r="D26" s="33">
        <f>IFERROR(D21/'Revenue Drivers'!D34,"")</f>
        <v>0</v>
      </c>
      <c r="E26" s="33">
        <f>IFERROR(E21/'Revenue Drivers'!E34,"")</f>
        <v>0</v>
      </c>
      <c r="F26" s="33">
        <f>IFERROR(F21/'Revenue Drivers'!F34,"")</f>
        <v>0</v>
      </c>
      <c r="G26" s="33">
        <f>IFERROR(G21/'Revenue Drivers'!G34,"")</f>
        <v>0</v>
      </c>
      <c r="H26" s="33">
        <f>IFERROR(H21/'Revenue Drivers'!H34,"")</f>
        <v>0</v>
      </c>
      <c r="I26" s="33">
        <f>IFERROR(I21/'Revenue Drivers'!I34,"")</f>
        <v>0</v>
      </c>
      <c r="J26" s="33">
        <f>IFERROR(J21/'Revenue Drivers'!J34,"")</f>
        <v>0</v>
      </c>
      <c r="K26" s="33">
        <f>IFERROR(K21/'Revenue Drivers'!K34,"")</f>
        <v>1.3796007514830686</v>
      </c>
      <c r="L26" s="33">
        <f>IFERROR(L21/'Revenue Drivers'!L34,"")</f>
        <v>1.3618417923226942</v>
      </c>
      <c r="M26" s="33">
        <f>IFERROR(M21/'Revenue Drivers'!M34,"")</f>
        <v>1.5698456781286683</v>
      </c>
      <c r="N26" s="34">
        <f>IFERROR(N21/'Revenue Drivers'!N34,"")</f>
        <v>1.7175252342046119</v>
      </c>
      <c r="O26" s="34">
        <f>IFERROR(O21/'Revenue Drivers'!O34,"")</f>
        <v>1.751910857442935</v>
      </c>
      <c r="P26" s="34">
        <f>IFERROR(P21/'Revenue Drivers'!P34,"")</f>
        <v>1.7730085535191793</v>
      </c>
      <c r="Q26" s="34">
        <f>IFERROR(Q21/'Revenue Drivers'!Q34,"")</f>
        <v>1.7830328788041763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4"/>
      <c r="O27" s="24"/>
      <c r="P27" s="24"/>
      <c r="Q27" s="24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4"/>
      <c r="O28" s="24"/>
      <c r="P28" s="24"/>
      <c r="Q28" s="24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4"/>
      <c r="O29" s="24"/>
      <c r="P29" s="24"/>
      <c r="Q29" s="24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4"/>
      <c r="O30" s="24"/>
      <c r="P30" s="24"/>
      <c r="Q30" s="24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4"/>
      <c r="O31" s="24"/>
      <c r="P31" s="24"/>
      <c r="Q31" s="24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4"/>
      <c r="O32" s="24"/>
      <c r="P32" s="24"/>
      <c r="Q32" s="24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4"/>
      <c r="O33" s="24"/>
      <c r="P33" s="24"/>
      <c r="Q33" s="24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4"/>
      <c r="O34" s="24"/>
      <c r="P34" s="24"/>
      <c r="Q34" s="24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4"/>
      <c r="O35" s="24"/>
      <c r="P35" s="24"/>
      <c r="Q35" s="24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4"/>
      <c r="O36" s="24"/>
      <c r="P36" s="24"/>
      <c r="Q36" s="24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4"/>
      <c r="O37" s="24"/>
      <c r="P37" s="24"/>
      <c r="Q37" s="24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4"/>
      <c r="O38" s="24"/>
      <c r="P38" s="24"/>
      <c r="Q38" s="24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4"/>
      <c r="O39" s="24"/>
      <c r="P39" s="24"/>
      <c r="Q39" s="24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4"/>
      <c r="O40" s="24"/>
      <c r="P40" s="24"/>
      <c r="Q40" s="24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4"/>
      <c r="O41" s="24"/>
      <c r="P41" s="24"/>
      <c r="Q41" s="24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4"/>
      <c r="O42" s="24"/>
      <c r="P42" s="24"/>
      <c r="Q42" s="24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4"/>
      <c r="O43" s="24"/>
      <c r="P43" s="24"/>
      <c r="Q43" s="24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4"/>
      <c r="O44" s="24"/>
      <c r="P44" s="24"/>
      <c r="Q44" s="24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4"/>
      <c r="O45" s="24"/>
      <c r="P45" s="24"/>
      <c r="Q45" s="24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4"/>
      <c r="O46" s="24"/>
      <c r="P46" s="24"/>
      <c r="Q46" s="24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4"/>
      <c r="O47" s="24"/>
      <c r="P47" s="24"/>
      <c r="Q47" s="24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4"/>
      <c r="O48" s="24"/>
      <c r="P48" s="24"/>
      <c r="Q48" s="24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4"/>
      <c r="O49" s="24"/>
      <c r="P49" s="24"/>
      <c r="Q49" s="24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4"/>
      <c r="O50" s="24"/>
      <c r="P50" s="24"/>
      <c r="Q50" s="24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4"/>
      <c r="O51" s="24"/>
      <c r="P51" s="24"/>
      <c r="Q51" s="24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4"/>
      <c r="O52" s="24"/>
      <c r="P52" s="24"/>
      <c r="Q52" s="24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4"/>
      <c r="O53" s="24"/>
      <c r="P53" s="24"/>
      <c r="Q53" s="24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4"/>
      <c r="O54" s="24"/>
      <c r="P54" s="24"/>
      <c r="Q54" s="24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4"/>
      <c r="O55" s="24"/>
      <c r="P55" s="24"/>
      <c r="Q55" s="2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4"/>
      <c r="O56" s="24"/>
      <c r="P56" s="24"/>
      <c r="Q56" s="24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4"/>
      <c r="O57" s="24"/>
      <c r="P57" s="24"/>
      <c r="Q57" s="24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4"/>
      <c r="O58" s="24"/>
      <c r="P58" s="24"/>
      <c r="Q58" s="24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4"/>
      <c r="O59" s="24"/>
      <c r="P59" s="24"/>
      <c r="Q59" s="24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4"/>
      <c r="O60" s="24"/>
      <c r="P60" s="24"/>
      <c r="Q60" s="24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4"/>
      <c r="O61" s="24"/>
      <c r="P61" s="24"/>
      <c r="Q61" s="24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4"/>
      <c r="O62" s="24"/>
      <c r="P62" s="24"/>
      <c r="Q62" s="24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4"/>
      <c r="O63" s="24"/>
      <c r="P63" s="24"/>
      <c r="Q63" s="24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4"/>
      <c r="O64" s="24"/>
      <c r="P64" s="24"/>
      <c r="Q64" s="24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4"/>
      <c r="O65" s="24"/>
      <c r="P65" s="24"/>
      <c r="Q65" s="24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4"/>
      <c r="O66" s="24"/>
      <c r="P66" s="24"/>
      <c r="Q66" s="2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4"/>
      <c r="O67" s="24"/>
      <c r="P67" s="24"/>
      <c r="Q67" s="2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4"/>
      <c r="O68" s="24"/>
      <c r="P68" s="24"/>
      <c r="Q68" s="24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4"/>
      <c r="O69" s="24"/>
      <c r="P69" s="24"/>
      <c r="Q69" s="24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4"/>
      <c r="O70" s="24"/>
      <c r="P70" s="24"/>
      <c r="Q70" s="24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4"/>
      <c r="O71" s="24"/>
      <c r="P71" s="24"/>
      <c r="Q71" s="24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4"/>
      <c r="O72" s="24"/>
      <c r="P72" s="24"/>
      <c r="Q72" s="24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4"/>
      <c r="O73" s="24"/>
      <c r="P73" s="24"/>
      <c r="Q73" s="24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4"/>
      <c r="O74" s="24"/>
      <c r="P74" s="24"/>
      <c r="Q74" s="24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4"/>
      <c r="O75" s="24"/>
      <c r="P75" s="24"/>
      <c r="Q75" s="24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4"/>
      <c r="O76" s="24"/>
      <c r="P76" s="24"/>
      <c r="Q76" s="24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4"/>
      <c r="O77" s="24"/>
      <c r="P77" s="24"/>
      <c r="Q77" s="24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4"/>
      <c r="O78" s="24"/>
      <c r="P78" s="24"/>
      <c r="Q78" s="24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4"/>
      <c r="O79" s="24"/>
      <c r="P79" s="24"/>
      <c r="Q79" s="24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4"/>
      <c r="O80" s="24"/>
      <c r="P80" s="24"/>
      <c r="Q80" s="24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4"/>
      <c r="O81" s="24"/>
      <c r="P81" s="24"/>
      <c r="Q81" s="24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4"/>
      <c r="O82" s="24"/>
      <c r="P82" s="24"/>
      <c r="Q82" s="24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4"/>
      <c r="O83" s="24"/>
      <c r="P83" s="24"/>
      <c r="Q83" s="24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4"/>
      <c r="O88" s="24"/>
      <c r="P88" s="24"/>
      <c r="Q88" s="24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4"/>
      <c r="O89" s="24"/>
      <c r="P89" s="24"/>
      <c r="Q89" s="24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4"/>
      <c r="O90" s="24"/>
      <c r="P90" s="24"/>
      <c r="Q90" s="24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4"/>
      <c r="O91" s="24"/>
      <c r="P91" s="24"/>
      <c r="Q91" s="24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4"/>
      <c r="O92" s="24"/>
      <c r="P92" s="24"/>
      <c r="Q92" s="24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4"/>
      <c r="O93" s="24"/>
      <c r="P93" s="24"/>
      <c r="Q93" s="24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4"/>
      <c r="O94" s="24"/>
      <c r="P94" s="24"/>
      <c r="Q94" s="24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4"/>
      <c r="O95" s="24"/>
      <c r="P95" s="24"/>
      <c r="Q95" s="24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4"/>
      <c r="O96" s="24"/>
      <c r="P96" s="24"/>
      <c r="Q96" s="24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4"/>
      <c r="O97" s="24"/>
      <c r="P97" s="24"/>
      <c r="Q97" s="24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4"/>
      <c r="O98" s="24"/>
      <c r="P98" s="24"/>
      <c r="Q98" s="24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4"/>
      <c r="O99" s="24"/>
      <c r="P99" s="24"/>
      <c r="Q99" s="24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4"/>
      <c r="O100" s="24"/>
      <c r="P100" s="24"/>
      <c r="Q100" s="24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4"/>
      <c r="O101" s="24"/>
      <c r="P101" s="24"/>
      <c r="Q101" s="24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4"/>
      <c r="O102" s="24"/>
      <c r="P102" s="24"/>
      <c r="Q102" s="24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4"/>
      <c r="O103" s="24"/>
      <c r="P103" s="24"/>
      <c r="Q103" s="24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4"/>
      <c r="O104" s="24"/>
      <c r="P104" s="24"/>
      <c r="Q104" s="24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4"/>
      <c r="O105" s="24"/>
      <c r="P105" s="24"/>
      <c r="Q105" s="24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4"/>
      <c r="O106" s="24"/>
      <c r="P106" s="24"/>
      <c r="Q106" s="24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4"/>
      <c r="O107" s="24"/>
      <c r="P107" s="24"/>
      <c r="Q107" s="24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4"/>
      <c r="O108" s="24"/>
      <c r="P108" s="24"/>
      <c r="Q108" s="24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4"/>
      <c r="O109" s="24"/>
      <c r="P109" s="24"/>
      <c r="Q109" s="24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4"/>
      <c r="O110" s="24"/>
      <c r="P110" s="24"/>
      <c r="Q110" s="24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4"/>
      <c r="O111" s="24"/>
      <c r="P111" s="24"/>
      <c r="Q111" s="24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4"/>
      <c r="O112" s="24"/>
      <c r="P112" s="24"/>
      <c r="Q112" s="24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4"/>
      <c r="O113" s="24"/>
      <c r="P113" s="24"/>
      <c r="Q113" s="24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4"/>
      <c r="O114" s="24"/>
      <c r="P114" s="24"/>
      <c r="Q114" s="24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4"/>
      <c r="O115" s="24"/>
      <c r="P115" s="24"/>
      <c r="Q115" s="24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4"/>
      <c r="O116" s="24"/>
      <c r="P116" s="24"/>
      <c r="Q116" s="24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4"/>
      <c r="O117" s="24"/>
      <c r="P117" s="24"/>
      <c r="Q117" s="24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4"/>
      <c r="O118" s="24"/>
      <c r="P118" s="24"/>
      <c r="Q118" s="24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4"/>
      <c r="O119" s="24"/>
      <c r="P119" s="24"/>
      <c r="Q119" s="24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4"/>
      <c r="O120" s="24"/>
      <c r="P120" s="24"/>
      <c r="Q120" s="24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4"/>
      <c r="O121" s="24"/>
      <c r="P121" s="24"/>
      <c r="Q121" s="24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4"/>
      <c r="O122" s="24"/>
      <c r="P122" s="24"/>
      <c r="Q122" s="24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4"/>
      <c r="O123" s="24"/>
      <c r="P123" s="24"/>
      <c r="Q123" s="24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4"/>
      <c r="O124" s="24"/>
      <c r="P124" s="24"/>
      <c r="Q124" s="24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4"/>
      <c r="O125" s="24"/>
      <c r="P125" s="24"/>
      <c r="Q125" s="24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4"/>
      <c r="O126" s="24"/>
      <c r="P126" s="24"/>
      <c r="Q126" s="24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4"/>
      <c r="O127" s="24"/>
      <c r="P127" s="24"/>
      <c r="Q127" s="24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4"/>
      <c r="O128" s="24"/>
      <c r="P128" s="24"/>
      <c r="Q128" s="24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4"/>
      <c r="O129" s="24"/>
      <c r="P129" s="24"/>
      <c r="Q129" s="24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4"/>
      <c r="O130" s="24"/>
      <c r="P130" s="24"/>
      <c r="Q130" s="24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4"/>
      <c r="O131" s="24"/>
      <c r="P131" s="24"/>
      <c r="Q131" s="24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4"/>
      <c r="O132" s="24"/>
      <c r="P132" s="24"/>
      <c r="Q132" s="24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4"/>
      <c r="O133" s="24"/>
      <c r="P133" s="24"/>
      <c r="Q133" s="24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4"/>
      <c r="O134" s="24"/>
      <c r="P134" s="24"/>
      <c r="Q134" s="24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4"/>
      <c r="O135" s="24"/>
      <c r="P135" s="24"/>
      <c r="Q135" s="24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4"/>
      <c r="O136" s="24"/>
      <c r="P136" s="24"/>
      <c r="Q136" s="24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4"/>
      <c r="O137" s="24"/>
      <c r="P137" s="24"/>
      <c r="Q137" s="24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4"/>
      <c r="O138" s="24"/>
      <c r="P138" s="24"/>
      <c r="Q138" s="24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4"/>
      <c r="O139" s="24"/>
      <c r="P139" s="24"/>
      <c r="Q139" s="24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4"/>
      <c r="O140" s="24"/>
      <c r="P140" s="24"/>
      <c r="Q140" s="24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4"/>
      <c r="O141" s="24"/>
      <c r="P141" s="24"/>
      <c r="Q141" s="24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4"/>
      <c r="O142" s="24"/>
      <c r="P142" s="24"/>
      <c r="Q142" s="24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4"/>
      <c r="O143" s="24"/>
      <c r="P143" s="24"/>
      <c r="Q143" s="24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4"/>
      <c r="O144" s="24"/>
      <c r="P144" s="24"/>
      <c r="Q144" s="24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4"/>
      <c r="O145" s="24"/>
      <c r="P145" s="24"/>
      <c r="Q145" s="24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4"/>
      <c r="O146" s="24"/>
      <c r="P146" s="24"/>
      <c r="Q146" s="24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4"/>
      <c r="O147" s="24"/>
      <c r="P147" s="24"/>
      <c r="Q147" s="24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4"/>
      <c r="O148" s="24"/>
      <c r="P148" s="24"/>
      <c r="Q148" s="24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4"/>
      <c r="O149" s="24"/>
      <c r="P149" s="24"/>
      <c r="Q149" s="24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4"/>
      <c r="O150" s="24"/>
      <c r="P150" s="24"/>
      <c r="Q150" s="24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4"/>
      <c r="O151" s="24"/>
      <c r="P151" s="24"/>
      <c r="Q151" s="24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4"/>
      <c r="O152" s="24"/>
      <c r="P152" s="24"/>
      <c r="Q152" s="24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4"/>
      <c r="O153" s="24"/>
      <c r="P153" s="24"/>
      <c r="Q153" s="24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4"/>
      <c r="O154" s="24"/>
      <c r="P154" s="24"/>
      <c r="Q154" s="24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4"/>
      <c r="O155" s="24"/>
      <c r="P155" s="24"/>
      <c r="Q155" s="24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4"/>
      <c r="O156" s="24"/>
      <c r="P156" s="24"/>
      <c r="Q156" s="24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4"/>
      <c r="O157" s="24"/>
      <c r="P157" s="24"/>
      <c r="Q157" s="24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4"/>
      <c r="O158" s="24"/>
      <c r="P158" s="24"/>
      <c r="Q158" s="24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4"/>
      <c r="O159" s="24"/>
      <c r="P159" s="24"/>
      <c r="Q159" s="24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4"/>
      <c r="O160" s="24"/>
      <c r="P160" s="24"/>
      <c r="Q160" s="24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4"/>
      <c r="O161" s="24"/>
      <c r="P161" s="24"/>
      <c r="Q161" s="24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4"/>
      <c r="O162" s="24"/>
      <c r="P162" s="24"/>
      <c r="Q162" s="24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4"/>
      <c r="O163" s="24"/>
      <c r="P163" s="24"/>
      <c r="Q163" s="24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4"/>
      <c r="O164" s="24"/>
      <c r="P164" s="24"/>
      <c r="Q164" s="24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4"/>
      <c r="O165" s="24"/>
      <c r="P165" s="24"/>
      <c r="Q165" s="24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4"/>
      <c r="O166" s="24"/>
      <c r="P166" s="24"/>
      <c r="Q166" s="24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4"/>
      <c r="O167" s="24"/>
      <c r="P167" s="24"/>
      <c r="Q167" s="24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4"/>
      <c r="O168" s="24"/>
      <c r="P168" s="24"/>
      <c r="Q168" s="24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4"/>
      <c r="O169" s="24"/>
      <c r="P169" s="24"/>
      <c r="Q169" s="24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4"/>
      <c r="O170" s="24"/>
      <c r="P170" s="24"/>
      <c r="Q170" s="24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4"/>
      <c r="O171" s="24"/>
      <c r="P171" s="24"/>
      <c r="Q171" s="24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4"/>
      <c r="O172" s="24"/>
      <c r="P172" s="24"/>
      <c r="Q172" s="24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4"/>
      <c r="O173" s="24"/>
      <c r="P173" s="24"/>
      <c r="Q173" s="24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4"/>
      <c r="O174" s="24"/>
      <c r="P174" s="24"/>
      <c r="Q174" s="24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4"/>
      <c r="O175" s="24"/>
      <c r="P175" s="24"/>
      <c r="Q175" s="24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4"/>
      <c r="O176" s="24"/>
      <c r="P176" s="24"/>
      <c r="Q176" s="24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4"/>
      <c r="O177" s="24"/>
      <c r="P177" s="24"/>
      <c r="Q177" s="24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4"/>
      <c r="O178" s="24"/>
      <c r="P178" s="24"/>
      <c r="Q178" s="24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4"/>
      <c r="O179" s="24"/>
      <c r="P179" s="24"/>
      <c r="Q179" s="24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4"/>
      <c r="O180" s="24"/>
      <c r="P180" s="24"/>
      <c r="Q180" s="24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4"/>
      <c r="O181" s="24"/>
      <c r="P181" s="24"/>
      <c r="Q181" s="24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4"/>
      <c r="O182" s="24"/>
      <c r="P182" s="24"/>
      <c r="Q182" s="24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4"/>
      <c r="O183" s="24"/>
      <c r="P183" s="24"/>
      <c r="Q183" s="24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4"/>
      <c r="O184" s="24"/>
      <c r="P184" s="24"/>
      <c r="Q184" s="24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4"/>
      <c r="O185" s="24"/>
      <c r="P185" s="24"/>
      <c r="Q185" s="24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4"/>
      <c r="O186" s="24"/>
      <c r="P186" s="24"/>
      <c r="Q186" s="24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4"/>
      <c r="O187" s="24"/>
      <c r="P187" s="24"/>
      <c r="Q187" s="24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4"/>
      <c r="O188" s="24"/>
      <c r="P188" s="24"/>
      <c r="Q188" s="24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4"/>
      <c r="O189" s="24"/>
      <c r="P189" s="24"/>
      <c r="Q189" s="24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4"/>
      <c r="O190" s="24"/>
      <c r="P190" s="24"/>
      <c r="Q190" s="24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4"/>
      <c r="O191" s="24"/>
      <c r="P191" s="24"/>
      <c r="Q191" s="24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4"/>
      <c r="O192" s="24"/>
      <c r="P192" s="24"/>
      <c r="Q192" s="24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4"/>
      <c r="O193" s="24"/>
      <c r="P193" s="24"/>
      <c r="Q193" s="24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4"/>
      <c r="O194" s="24"/>
      <c r="P194" s="24"/>
      <c r="Q194" s="24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4"/>
      <c r="O195" s="24"/>
      <c r="P195" s="24"/>
      <c r="Q195" s="24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4"/>
      <c r="O196" s="24"/>
      <c r="P196" s="24"/>
      <c r="Q196" s="24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4"/>
      <c r="O197" s="24"/>
      <c r="P197" s="24"/>
      <c r="Q197" s="24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4"/>
      <c r="O198" s="24"/>
      <c r="P198" s="24"/>
      <c r="Q198" s="24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4"/>
      <c r="O199" s="24"/>
      <c r="P199" s="24"/>
      <c r="Q199" s="24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4"/>
      <c r="O200" s="24"/>
      <c r="P200" s="24"/>
      <c r="Q200" s="24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4"/>
      <c r="O201" s="24"/>
      <c r="P201" s="24"/>
      <c r="Q201" s="24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4"/>
      <c r="O202" s="24"/>
      <c r="P202" s="24"/>
      <c r="Q202" s="24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4"/>
      <c r="O203" s="24"/>
      <c r="P203" s="24"/>
      <c r="Q203" s="24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4"/>
      <c r="O204" s="24"/>
      <c r="P204" s="24"/>
      <c r="Q204" s="24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4"/>
      <c r="O205" s="24"/>
      <c r="P205" s="24"/>
      <c r="Q205" s="24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4"/>
      <c r="O206" s="24"/>
      <c r="P206" s="24"/>
      <c r="Q206" s="24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4"/>
      <c r="O207" s="24"/>
      <c r="P207" s="24"/>
      <c r="Q207" s="24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4"/>
      <c r="O208" s="24"/>
      <c r="P208" s="24"/>
      <c r="Q208" s="24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4"/>
      <c r="O209" s="24"/>
      <c r="P209" s="24"/>
      <c r="Q209" s="24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4"/>
      <c r="O210" s="24"/>
      <c r="P210" s="24"/>
      <c r="Q210" s="24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4"/>
      <c r="O211" s="24"/>
      <c r="P211" s="24"/>
      <c r="Q211" s="24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4"/>
      <c r="O212" s="24"/>
      <c r="P212" s="24"/>
      <c r="Q212" s="24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4"/>
      <c r="O213" s="24"/>
      <c r="P213" s="24"/>
      <c r="Q213" s="24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4"/>
      <c r="O214" s="24"/>
      <c r="P214" s="24"/>
      <c r="Q214" s="24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4"/>
      <c r="O215" s="24"/>
      <c r="P215" s="24"/>
      <c r="Q215" s="24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4"/>
      <c r="O216" s="24"/>
      <c r="P216" s="24"/>
      <c r="Q216" s="24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4"/>
      <c r="O217" s="24"/>
      <c r="P217" s="24"/>
      <c r="Q217" s="24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4"/>
      <c r="O218" s="24"/>
      <c r="P218" s="24"/>
      <c r="Q218" s="24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4"/>
      <c r="O219" s="24"/>
      <c r="P219" s="24"/>
      <c r="Q219" s="24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4"/>
      <c r="O220" s="24"/>
      <c r="P220" s="24"/>
      <c r="Q220" s="24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U30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44" t="s">
        <v>575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45" t="s">
        <v>576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4" t="s">
        <v>35</v>
      </c>
      <c r="M5" s="4" t="s">
        <v>36</v>
      </c>
      <c r="N5" s="14" t="s">
        <v>37</v>
      </c>
      <c r="O5" s="14" t="s">
        <v>38</v>
      </c>
      <c r="P5" s="14" t="s">
        <v>39</v>
      </c>
      <c r="Q5" s="14" t="s">
        <v>40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4"/>
      <c r="O6" s="24"/>
      <c r="P6" s="24"/>
      <c r="Q6" s="2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384</v>
      </c>
      <c r="B7" s="1" t="s">
        <v>59</v>
      </c>
      <c r="C7" s="22">
        <f>'Raw Operating'!C8</f>
        <v>172912</v>
      </c>
      <c r="D7" s="22">
        <f>'Raw Operating'!D8</f>
        <v>181482</v>
      </c>
      <c r="E7" s="22">
        <f>'Raw Operating'!E8</f>
        <v>163827</v>
      </c>
      <c r="F7" s="22">
        <f>'Raw Operating'!F8</f>
        <v>171425</v>
      </c>
      <c r="G7" s="22">
        <f>'Raw Operating'!G8</f>
        <v>182886</v>
      </c>
      <c r="H7" s="22">
        <f>'Raw Operating'!H8</f>
        <v>197712</v>
      </c>
      <c r="I7" s="22">
        <f>'Raw Operating'!I8</f>
        <v>243128</v>
      </c>
      <c r="J7" s="22">
        <f>'Raw Operating'!J8</f>
        <v>256921</v>
      </c>
      <c r="K7" s="22">
        <f>'Raw Operating'!K8</f>
        <v>234054</v>
      </c>
      <c r="L7" s="22">
        <f>'Raw Operating'!L8</f>
        <v>233346</v>
      </c>
      <c r="M7" s="22">
        <f>'Raw Operating'!M8</f>
        <v>242156</v>
      </c>
      <c r="N7" s="25">
        <f>M7*(1+Assumptions!C6)</f>
        <v>245788.33999999997</v>
      </c>
      <c r="O7" s="25">
        <f>N7*(1+Assumptions!D6)</f>
        <v>251933.04849999995</v>
      </c>
      <c r="P7" s="25">
        <f>O7*(1+Assumptions!E6)</f>
        <v>259491.03995499996</v>
      </c>
      <c r="Q7" s="25">
        <f>P7*(1+Assumptions!F6)</f>
        <v>268573.22635342495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577</v>
      </c>
      <c r="B8" s="1" t="s">
        <v>44</v>
      </c>
      <c r="C8" s="1"/>
      <c r="D8" s="18">
        <f t="shared" ref="D8:Q8" si="0">IFERROR(D7/C7-1,"")</f>
        <v>4.9562783381141839E-2</v>
      </c>
      <c r="E8" s="18">
        <f t="shared" si="0"/>
        <v>-9.7282375111581332E-2</v>
      </c>
      <c r="F8" s="18">
        <f t="shared" si="0"/>
        <v>4.6378191628974497E-2</v>
      </c>
      <c r="G8" s="18">
        <f t="shared" si="0"/>
        <v>6.6857226192212238E-2</v>
      </c>
      <c r="H8" s="18">
        <f t="shared" si="0"/>
        <v>8.1066894130769951E-2</v>
      </c>
      <c r="I8" s="18">
        <f t="shared" si="0"/>
        <v>0.22970785789431081</v>
      </c>
      <c r="J8" s="18">
        <f t="shared" si="0"/>
        <v>5.67314336481195E-2</v>
      </c>
      <c r="K8" s="18">
        <f t="shared" si="0"/>
        <v>-8.9004012906691132E-2</v>
      </c>
      <c r="L8" s="18">
        <f t="shared" si="0"/>
        <v>-3.0249429618806056E-3</v>
      </c>
      <c r="M8" s="18">
        <f t="shared" si="0"/>
        <v>3.7755093294935316E-2</v>
      </c>
      <c r="N8" s="26">
        <f t="shared" si="0"/>
        <v>1.4999999999999902E-2</v>
      </c>
      <c r="O8" s="26">
        <f t="shared" si="0"/>
        <v>2.4999999999999911E-2</v>
      </c>
      <c r="P8" s="26">
        <f t="shared" si="0"/>
        <v>3.0000000000000027E-2</v>
      </c>
      <c r="Q8" s="26">
        <f t="shared" si="0"/>
        <v>3.499999999999992E-2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137</v>
      </c>
      <c r="B9" s="1" t="s">
        <v>44</v>
      </c>
      <c r="C9" s="18">
        <f>IFERROR(1-'Raw Operating'!C9/C7,"")</f>
        <v>0.9240075876746553</v>
      </c>
      <c r="D9" s="18">
        <f>IFERROR(1-'Raw Operating'!D9/D7,"")</f>
        <v>0.92028961549905774</v>
      </c>
      <c r="E9" s="18">
        <f>IFERROR(1-'Raw Operating'!E9/E7,"")</f>
        <v>0.9088306567293547</v>
      </c>
      <c r="F9" s="18">
        <f>IFERROR(1-'Raw Operating'!F9/F7,"")</f>
        <v>0.91623158815808659</v>
      </c>
      <c r="G9" s="18">
        <f>IFERROR(1-'Raw Operating'!G9/G7,"")</f>
        <v>0.91848473912710649</v>
      </c>
      <c r="H9" s="18">
        <f>IFERROR(1-'Raw Operating'!H9/H7,"")</f>
        <v>0.92227077769685195</v>
      </c>
      <c r="I9" s="18">
        <f>IFERROR(1-'Raw Operating'!I9/I7,"")</f>
        <v>0.92723585930045083</v>
      </c>
      <c r="J9" s="18">
        <f>IFERROR(1-'Raw Operating'!J9/J7,"")</f>
        <v>0.93388629189517403</v>
      </c>
      <c r="K9" s="18">
        <f>IFERROR(1-'Raw Operating'!K9/K7,"")</f>
        <v>0.93334444188093346</v>
      </c>
      <c r="L9" s="18">
        <f>IFERROR(1-'Raw Operating'!L9/L7,"")</f>
        <v>0.93473211454235339</v>
      </c>
      <c r="M9" s="18">
        <f>IFERROR(1-'Raw Operating'!M9/M7,"")</f>
        <v>0.9398156560233899</v>
      </c>
      <c r="N9" s="26">
        <f>Assumptions!C7</f>
        <v>0.93500000000000005</v>
      </c>
      <c r="O9" s="26">
        <f>Assumptions!D7</f>
        <v>0.93600000000000005</v>
      </c>
      <c r="P9" s="26">
        <f>Assumptions!E7</f>
        <v>0.93700000000000006</v>
      </c>
      <c r="Q9" s="26">
        <f>Assumptions!F7</f>
        <v>0.93799999999999994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578</v>
      </c>
      <c r="B10" s="1" t="s">
        <v>59</v>
      </c>
      <c r="C10" s="22">
        <f t="shared" ref="C10:M10" si="1">IFERROR(C7*C9,"")</f>
        <v>159772</v>
      </c>
      <c r="D10" s="22">
        <f t="shared" si="1"/>
        <v>167016</v>
      </c>
      <c r="E10" s="22">
        <f t="shared" si="1"/>
        <v>148891</v>
      </c>
      <c r="F10" s="22">
        <f t="shared" si="1"/>
        <v>157065</v>
      </c>
      <c r="G10" s="22">
        <f t="shared" si="1"/>
        <v>167978</v>
      </c>
      <c r="H10" s="22">
        <f t="shared" si="1"/>
        <v>182344</v>
      </c>
      <c r="I10" s="22">
        <f t="shared" si="1"/>
        <v>225437</v>
      </c>
      <c r="J10" s="22">
        <f t="shared" si="1"/>
        <v>239935</v>
      </c>
      <c r="K10" s="22">
        <f t="shared" si="1"/>
        <v>218453</v>
      </c>
      <c r="L10" s="22">
        <f t="shared" si="1"/>
        <v>218116</v>
      </c>
      <c r="M10" s="22">
        <f t="shared" si="1"/>
        <v>227582</v>
      </c>
      <c r="N10" s="25">
        <f>N7*N9</f>
        <v>229812.09789999999</v>
      </c>
      <c r="O10" s="25">
        <f>O7*O9</f>
        <v>235809.33339599997</v>
      </c>
      <c r="P10" s="25">
        <f>P7*P9</f>
        <v>243143.10443783496</v>
      </c>
      <c r="Q10" s="25">
        <f>Q7*Q9</f>
        <v>251921.68631951258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139</v>
      </c>
      <c r="B11" s="1" t="s">
        <v>44</v>
      </c>
      <c r="C11" s="18">
        <f>'Raw Operating'!C10</f>
        <v>0.79900000000000004</v>
      </c>
      <c r="D11" s="18">
        <f>'Raw Operating'!D10</f>
        <v>0.82299999999999995</v>
      </c>
      <c r="E11" s="18">
        <f>'Raw Operating'!E10</f>
        <v>0.82499999999999996</v>
      </c>
      <c r="F11" s="18">
        <f>'Raw Operating'!F10</f>
        <v>0.84799999999999998</v>
      </c>
      <c r="G11" s="18">
        <f>'Raw Operating'!G10</f>
        <v>0.82299999999999995</v>
      </c>
      <c r="H11" s="18">
        <f>'Raw Operating'!H10</f>
        <v>0.8590000000000001</v>
      </c>
      <c r="I11" s="18">
        <f>'Raw Operating'!I10</f>
        <v>0.86799999999999999</v>
      </c>
      <c r="J11" s="18">
        <f>'Raw Operating'!J10</f>
        <v>0.81200000000000006</v>
      </c>
      <c r="K11" s="18">
        <f>'Raw Operating'!K10</f>
        <v>0.84799999999999998</v>
      </c>
      <c r="L11" s="18">
        <f>'Raw Operating'!L10</f>
        <v>0.85599999999999998</v>
      </c>
      <c r="M11" s="18">
        <f>'Raw Operating'!M10</f>
        <v>0.84499999999999997</v>
      </c>
      <c r="N11" s="26">
        <f>Assumptions!C8</f>
        <v>0.84499999999999997</v>
      </c>
      <c r="O11" s="26">
        <f>Assumptions!D8</f>
        <v>0.85</v>
      </c>
      <c r="P11" s="26">
        <f>Assumptions!E8</f>
        <v>0.85499999999999998</v>
      </c>
      <c r="Q11" s="26">
        <f>Assumptions!F8</f>
        <v>0.85799999999999998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60</v>
      </c>
      <c r="B12" s="1" t="s">
        <v>59</v>
      </c>
      <c r="C12" s="22">
        <f t="shared" ref="C12:M12" si="2">IFERROR(C10*C11,"")</f>
        <v>127657.82800000001</v>
      </c>
      <c r="D12" s="22">
        <f t="shared" si="2"/>
        <v>137454.16800000001</v>
      </c>
      <c r="E12" s="22">
        <f t="shared" si="2"/>
        <v>122835.075</v>
      </c>
      <c r="F12" s="22">
        <f t="shared" si="2"/>
        <v>133191.12</v>
      </c>
      <c r="G12" s="22">
        <f t="shared" si="2"/>
        <v>138245.894</v>
      </c>
      <c r="H12" s="22">
        <f t="shared" si="2"/>
        <v>156633.49600000001</v>
      </c>
      <c r="I12" s="22">
        <f t="shared" si="2"/>
        <v>195679.31599999999</v>
      </c>
      <c r="J12" s="22">
        <f t="shared" si="2"/>
        <v>194827.22</v>
      </c>
      <c r="K12" s="22">
        <f t="shared" si="2"/>
        <v>185248.144</v>
      </c>
      <c r="L12" s="22">
        <f t="shared" si="2"/>
        <v>186707.296</v>
      </c>
      <c r="M12" s="22">
        <f t="shared" si="2"/>
        <v>192306.79</v>
      </c>
      <c r="N12" s="25">
        <f>N10*N11</f>
        <v>194191.22272549997</v>
      </c>
      <c r="O12" s="25">
        <f>O10*O11</f>
        <v>200437.93338659997</v>
      </c>
      <c r="P12" s="25">
        <f>P10*P11</f>
        <v>207887.35429434889</v>
      </c>
      <c r="Q12" s="25">
        <f>Q10*Q11</f>
        <v>216148.80686214179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579</v>
      </c>
      <c r="B13" s="1" t="s">
        <v>44</v>
      </c>
      <c r="C13" s="1"/>
      <c r="D13" s="18">
        <f t="shared" ref="D13:Q13" si="3">IFERROR(D12/C12-1,"")</f>
        <v>7.6739046507982245E-2</v>
      </c>
      <c r="E13" s="18">
        <f t="shared" si="3"/>
        <v>-0.10635612737476252</v>
      </c>
      <c r="F13" s="18">
        <f t="shared" si="3"/>
        <v>8.4308533210078584E-2</v>
      </c>
      <c r="G13" s="18">
        <f t="shared" si="3"/>
        <v>3.7951283839342986E-2</v>
      </c>
      <c r="H13" s="18">
        <f t="shared" si="3"/>
        <v>0.13300649638100648</v>
      </c>
      <c r="I13" s="18">
        <f t="shared" si="3"/>
        <v>0.24928141806909543</v>
      </c>
      <c r="J13" s="18">
        <f t="shared" si="3"/>
        <v>-4.3545532426124689E-3</v>
      </c>
      <c r="K13" s="18">
        <f t="shared" si="3"/>
        <v>-4.916703117767629E-2</v>
      </c>
      <c r="L13" s="18">
        <f t="shared" si="3"/>
        <v>7.8767428838586451E-3</v>
      </c>
      <c r="M13" s="18">
        <f t="shared" si="3"/>
        <v>2.9990761582236125E-2</v>
      </c>
      <c r="N13" s="26">
        <f t="shared" si="3"/>
        <v>9.7990961499589968E-3</v>
      </c>
      <c r="O13" s="26">
        <f t="shared" si="3"/>
        <v>3.2167832167832033E-2</v>
      </c>
      <c r="P13" s="26">
        <f t="shared" si="3"/>
        <v>3.7165723981900545E-2</v>
      </c>
      <c r="Q13" s="26">
        <f t="shared" si="3"/>
        <v>3.9740043812840353E-2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147</v>
      </c>
      <c r="B14" s="1" t="s">
        <v>44</v>
      </c>
      <c r="C14" s="18">
        <f>'Raw Operating'!C12</f>
        <v>0.55200000000000005</v>
      </c>
      <c r="D14" s="18">
        <f>'Raw Operating'!D12</f>
        <v>0.57100000000000006</v>
      </c>
      <c r="E14" s="18">
        <f>'Raw Operating'!E12</f>
        <v>0.58099999999999996</v>
      </c>
      <c r="F14" s="18">
        <f>'Raw Operating'!F12</f>
        <v>0.59399999999999997</v>
      </c>
      <c r="G14" s="18">
        <f>'Raw Operating'!G12</f>
        <v>0.624</v>
      </c>
      <c r="H14" s="18">
        <f>'Raw Operating'!H12</f>
        <v>0.62</v>
      </c>
      <c r="I14" s="18">
        <f>'Raw Operating'!I12</f>
        <v>0.628</v>
      </c>
      <c r="J14" s="18">
        <f>'Raw Operating'!J12</f>
        <v>0.59399999999999997</v>
      </c>
      <c r="K14" s="18">
        <f>'Raw Operating'!K12</f>
        <v>0.59200000000000008</v>
      </c>
      <c r="L14" s="18">
        <f>'Raw Operating'!L12</f>
        <v>0.56600000000000006</v>
      </c>
      <c r="M14" s="18">
        <f>'Raw Operating'!M12</f>
        <v>0.54299999999999993</v>
      </c>
      <c r="N14" s="26">
        <f>Assumptions!C12</f>
        <v>0.55000000000000004</v>
      </c>
      <c r="O14" s="26">
        <f>Assumptions!D12</f>
        <v>0.56000000000000005</v>
      </c>
      <c r="P14" s="26">
        <f>Assumptions!E12</f>
        <v>0.56999999999999995</v>
      </c>
      <c r="Q14" s="26">
        <f>Assumptions!F12</f>
        <v>0.57999999999999996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580</v>
      </c>
      <c r="B15" s="1" t="s">
        <v>44</v>
      </c>
      <c r="C15" s="18">
        <f t="shared" ref="C15:M15" si="4">IF(C14="","",1-C14)</f>
        <v>0.44799999999999995</v>
      </c>
      <c r="D15" s="18">
        <f t="shared" si="4"/>
        <v>0.42899999999999994</v>
      </c>
      <c r="E15" s="18">
        <f t="shared" si="4"/>
        <v>0.41900000000000004</v>
      </c>
      <c r="F15" s="18">
        <f t="shared" si="4"/>
        <v>0.40600000000000003</v>
      </c>
      <c r="G15" s="18">
        <f t="shared" si="4"/>
        <v>0.376</v>
      </c>
      <c r="H15" s="18">
        <f t="shared" si="4"/>
        <v>0.38</v>
      </c>
      <c r="I15" s="18">
        <f t="shared" si="4"/>
        <v>0.372</v>
      </c>
      <c r="J15" s="18">
        <f t="shared" si="4"/>
        <v>0.40600000000000003</v>
      </c>
      <c r="K15" s="18">
        <f t="shared" si="4"/>
        <v>0.40799999999999992</v>
      </c>
      <c r="L15" s="18">
        <f t="shared" si="4"/>
        <v>0.43399999999999994</v>
      </c>
      <c r="M15" s="18">
        <f t="shared" si="4"/>
        <v>0.45700000000000007</v>
      </c>
      <c r="N15" s="26">
        <f>1-N14</f>
        <v>0.44999999999999996</v>
      </c>
      <c r="O15" s="26">
        <f>1-O14</f>
        <v>0.43999999999999995</v>
      </c>
      <c r="P15" s="26">
        <f>1-P14</f>
        <v>0.43000000000000005</v>
      </c>
      <c r="Q15" s="26">
        <f>1-Q14</f>
        <v>0.42000000000000004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145</v>
      </c>
      <c r="B16" s="1" t="s">
        <v>44</v>
      </c>
      <c r="C16" s="18">
        <f>1</f>
        <v>1</v>
      </c>
      <c r="D16" s="18">
        <f>1</f>
        <v>1</v>
      </c>
      <c r="E16" s="18">
        <f>1</f>
        <v>1</v>
      </c>
      <c r="F16" s="18">
        <f>1</f>
        <v>1</v>
      </c>
      <c r="G16" s="18">
        <f>1</f>
        <v>1</v>
      </c>
      <c r="H16" s="18">
        <f>1</f>
        <v>1</v>
      </c>
      <c r="I16" s="18">
        <f>1</f>
        <v>1</v>
      </c>
      <c r="J16" s="18">
        <f>1</f>
        <v>1</v>
      </c>
      <c r="K16" s="18">
        <f>1</f>
        <v>1</v>
      </c>
      <c r="L16" s="18">
        <f>1</f>
        <v>1</v>
      </c>
      <c r="M16" s="18">
        <f>1</f>
        <v>1</v>
      </c>
      <c r="N16" s="26">
        <f>Assumptions!C11</f>
        <v>0.97</v>
      </c>
      <c r="O16" s="26">
        <f>Assumptions!D11</f>
        <v>0.97199999999999998</v>
      </c>
      <c r="P16" s="26">
        <f>Assumptions!E11</f>
        <v>0.97399999999999998</v>
      </c>
      <c r="Q16" s="26">
        <f>Assumptions!F11</f>
        <v>0.97499999999999998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21" t="s">
        <v>581</v>
      </c>
      <c r="B17" s="19" t="s">
        <v>42</v>
      </c>
      <c r="C17" s="20">
        <f>'Annual P&amp;L'!C7</f>
        <v>51244</v>
      </c>
      <c r="D17" s="20">
        <f>'Annual P&amp;L'!D7</f>
        <v>55040.2</v>
      </c>
      <c r="E17" s="20">
        <f>'Annual P&amp;L'!E7</f>
        <v>54487.1</v>
      </c>
      <c r="F17" s="20">
        <f>'Annual P&amp;L'!F7</f>
        <v>58584.5</v>
      </c>
      <c r="G17" s="20">
        <f>'Annual P&amp;L'!G7</f>
        <v>61023.199999999997</v>
      </c>
      <c r="H17" s="20">
        <f>'Annual P&amp;L'!H7</f>
        <v>61943</v>
      </c>
      <c r="I17" s="20">
        <f>'Annual P&amp;L'!I7</f>
        <v>79093.399999999994</v>
      </c>
      <c r="J17" s="20">
        <f>'Annual P&amp;L'!J7</f>
        <v>90487.6</v>
      </c>
      <c r="K17" s="20">
        <f>'Annual P&amp;L'!K7</f>
        <v>89760.3</v>
      </c>
      <c r="L17" s="20">
        <f>'Annual P&amp;L'!L7</f>
        <v>89088.4</v>
      </c>
      <c r="M17" s="20">
        <f>'Annual P&amp;L'!M7</f>
        <v>92624</v>
      </c>
      <c r="N17" s="27">
        <f>M31*N16</f>
        <v>89845.28</v>
      </c>
      <c r="O17" s="27">
        <f>N31*O16</f>
        <v>92754.792430037327</v>
      </c>
      <c r="P17" s="27">
        <f>O31*P16</f>
        <v>98537.082970857184</v>
      </c>
      <c r="Q17" s="27">
        <f>P31*Q16</f>
        <v>106369.69574495623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141</v>
      </c>
      <c r="B18" s="1" t="s">
        <v>44</v>
      </c>
      <c r="C18" s="18">
        <f>0</f>
        <v>0</v>
      </c>
      <c r="D18" s="18">
        <f>0</f>
        <v>0</v>
      </c>
      <c r="E18" s="18">
        <f>0</f>
        <v>0</v>
      </c>
      <c r="F18" s="18">
        <f>0</f>
        <v>0</v>
      </c>
      <c r="G18" s="18">
        <f>0</f>
        <v>0</v>
      </c>
      <c r="H18" s="18">
        <f>0</f>
        <v>0</v>
      </c>
      <c r="I18" s="18">
        <f>0</f>
        <v>0</v>
      </c>
      <c r="J18" s="18">
        <f>0</f>
        <v>0</v>
      </c>
      <c r="K18" s="18">
        <f>0</f>
        <v>0</v>
      </c>
      <c r="L18" s="18">
        <f>0</f>
        <v>0</v>
      </c>
      <c r="M18" s="18">
        <f>0</f>
        <v>0</v>
      </c>
      <c r="N18" s="26">
        <f>Assumptions!C9</f>
        <v>0.02</v>
      </c>
      <c r="O18" s="26">
        <f>Assumptions!D9</f>
        <v>2.5000000000000001E-2</v>
      </c>
      <c r="P18" s="26">
        <f>Assumptions!E9</f>
        <v>0.03</v>
      </c>
      <c r="Q18" s="26">
        <f>Assumptions!F9</f>
        <v>0.03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143</v>
      </c>
      <c r="B19" s="1" t="s">
        <v>44</v>
      </c>
      <c r="C19" s="18">
        <f>0</f>
        <v>0</v>
      </c>
      <c r="D19" s="18">
        <f>0</f>
        <v>0</v>
      </c>
      <c r="E19" s="18">
        <f>0</f>
        <v>0</v>
      </c>
      <c r="F19" s="18">
        <f>0</f>
        <v>0</v>
      </c>
      <c r="G19" s="18">
        <f>0</f>
        <v>0</v>
      </c>
      <c r="H19" s="18">
        <f>0</f>
        <v>0</v>
      </c>
      <c r="I19" s="18">
        <f>0</f>
        <v>0</v>
      </c>
      <c r="J19" s="18">
        <f>0</f>
        <v>0</v>
      </c>
      <c r="K19" s="18">
        <f>0</f>
        <v>0</v>
      </c>
      <c r="L19" s="18">
        <f>0</f>
        <v>0</v>
      </c>
      <c r="M19" s="18">
        <f>0</f>
        <v>0</v>
      </c>
      <c r="N19" s="26">
        <f>Assumptions!C10</f>
        <v>0.65</v>
      </c>
      <c r="O19" s="26">
        <f>Assumptions!D10</f>
        <v>0.7</v>
      </c>
      <c r="P19" s="26">
        <f>Assumptions!E10</f>
        <v>0.75</v>
      </c>
      <c r="Q19" s="26">
        <f>Assumptions!F10</f>
        <v>0.75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21" t="s">
        <v>582</v>
      </c>
      <c r="B20" s="19" t="s">
        <v>42</v>
      </c>
      <c r="C20" s="20">
        <f>0</f>
        <v>0</v>
      </c>
      <c r="D20" s="20">
        <f>0</f>
        <v>0</v>
      </c>
      <c r="E20" s="20">
        <f>0</f>
        <v>0</v>
      </c>
      <c r="F20" s="20">
        <f>0</f>
        <v>0</v>
      </c>
      <c r="G20" s="20">
        <f>0</f>
        <v>0</v>
      </c>
      <c r="H20" s="20">
        <f>0</f>
        <v>0</v>
      </c>
      <c r="I20" s="20">
        <f>0</f>
        <v>0</v>
      </c>
      <c r="J20" s="20">
        <f>0</f>
        <v>0</v>
      </c>
      <c r="K20" s="20">
        <f>0</f>
        <v>0</v>
      </c>
      <c r="L20" s="20">
        <f>0</f>
        <v>0</v>
      </c>
      <c r="M20" s="20">
        <f>0</f>
        <v>0</v>
      </c>
      <c r="N20" s="27">
        <f>M31*(MAX(-1,N13)+N18)*N19</f>
        <v>1794.0724631659716</v>
      </c>
      <c r="O20" s="27">
        <f>N31*(MAX(-1,O13)+O18)*O19</f>
        <v>3818.7379469976645</v>
      </c>
      <c r="P20" s="27">
        <f>O31*(MAX(-1,P13)+P18)*P19</f>
        <v>5096.2380776197842</v>
      </c>
      <c r="Q20" s="27">
        <f>P31*(MAX(-1,Q13)+Q18)*Q19</f>
        <v>5706.3286473936505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583</v>
      </c>
      <c r="B21" s="1" t="s">
        <v>44</v>
      </c>
      <c r="C21" s="18">
        <f>0</f>
        <v>0</v>
      </c>
      <c r="D21" s="18">
        <f>0</f>
        <v>0</v>
      </c>
      <c r="E21" s="18">
        <f>0</f>
        <v>0</v>
      </c>
      <c r="F21" s="18">
        <f>0</f>
        <v>0</v>
      </c>
      <c r="G21" s="18">
        <f>0</f>
        <v>0</v>
      </c>
      <c r="H21" s="18">
        <f>0</f>
        <v>0</v>
      </c>
      <c r="I21" s="18">
        <f>0</f>
        <v>0</v>
      </c>
      <c r="J21" s="18">
        <f>0</f>
        <v>0</v>
      </c>
      <c r="K21" s="18">
        <f>0</f>
        <v>0</v>
      </c>
      <c r="L21" s="18">
        <f>0</f>
        <v>0</v>
      </c>
      <c r="M21" s="18">
        <f>0</f>
        <v>0</v>
      </c>
      <c r="N21" s="26">
        <f>Assumptions!C13</f>
        <v>0.01</v>
      </c>
      <c r="O21" s="26">
        <f>Assumptions!D13</f>
        <v>1.2999999999999999E-2</v>
      </c>
      <c r="P21" s="26">
        <f>Assumptions!E13</f>
        <v>1.6E-2</v>
      </c>
      <c r="Q21" s="26">
        <f>Assumptions!F13</f>
        <v>1.7999999999999999E-2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21" t="s">
        <v>584</v>
      </c>
      <c r="B22" s="19" t="s">
        <v>42</v>
      </c>
      <c r="C22" s="20">
        <f>0</f>
        <v>0</v>
      </c>
      <c r="D22" s="20">
        <f>0</f>
        <v>0</v>
      </c>
      <c r="E22" s="20">
        <f>0</f>
        <v>0</v>
      </c>
      <c r="F22" s="20">
        <f>0</f>
        <v>0</v>
      </c>
      <c r="G22" s="20">
        <f>0</f>
        <v>0</v>
      </c>
      <c r="H22" s="20">
        <f>0</f>
        <v>0</v>
      </c>
      <c r="I22" s="20">
        <f>0</f>
        <v>0</v>
      </c>
      <c r="J22" s="20">
        <f>0</f>
        <v>0</v>
      </c>
      <c r="K22" s="20">
        <f>0</f>
        <v>0</v>
      </c>
      <c r="L22" s="20">
        <f>0</f>
        <v>0</v>
      </c>
      <c r="M22" s="20">
        <f>0</f>
        <v>0</v>
      </c>
      <c r="N22" s="27">
        <f>-M31*N15*N21</f>
        <v>-416.80799999999999</v>
      </c>
      <c r="O22" s="27">
        <f>-N31*O15*O21</f>
        <v>-545.84095956770921</v>
      </c>
      <c r="P22" s="27">
        <f>-O31*P15*P21</f>
        <v>-696.03196184753335</v>
      </c>
      <c r="Q22" s="27">
        <f>-P31*Q15*Q21</f>
        <v>-824.7742562378146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61</v>
      </c>
      <c r="B23" s="1" t="s">
        <v>62</v>
      </c>
      <c r="C23" s="23">
        <f>'Raw Operating'!C23</f>
        <v>0</v>
      </c>
      <c r="D23" s="23">
        <f>'Raw Operating'!D23</f>
        <v>0</v>
      </c>
      <c r="E23" s="23">
        <f>'Raw Operating'!E23</f>
        <v>0</v>
      </c>
      <c r="F23" s="23">
        <f>'Raw Operating'!F23</f>
        <v>0</v>
      </c>
      <c r="G23" s="23">
        <f>'Raw Operating'!G23</f>
        <v>0</v>
      </c>
      <c r="H23" s="23">
        <f>'Raw Operating'!H23</f>
        <v>0</v>
      </c>
      <c r="I23" s="23">
        <f>'Raw Operating'!I23</f>
        <v>0</v>
      </c>
      <c r="J23" s="23">
        <f>'Raw Operating'!J23</f>
        <v>0</v>
      </c>
      <c r="K23" s="23">
        <f>'Raw Operating'!K23</f>
        <v>14907</v>
      </c>
      <c r="L23" s="23">
        <f>'Raw Operating'!L23</f>
        <v>14315</v>
      </c>
      <c r="M23" s="23">
        <f>'Raw Operating'!M23</f>
        <v>16449</v>
      </c>
      <c r="N23" s="28">
        <f>M23*(1+Assumptions!C14)</f>
        <v>17435.940000000002</v>
      </c>
      <c r="O23" s="28">
        <f>N23*(1+Assumptions!D14)</f>
        <v>18656.455800000003</v>
      </c>
      <c r="P23" s="28">
        <f>O23*(1+Assumptions!E14)</f>
        <v>20148.972264000004</v>
      </c>
      <c r="Q23" s="28">
        <f>P23*(1+Assumptions!F14)</f>
        <v>21760.890045120006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585</v>
      </c>
      <c r="B24" s="1" t="s">
        <v>44</v>
      </c>
      <c r="C24" s="1"/>
      <c r="D24" s="18" t="str">
        <f t="shared" ref="D24:Q24" si="5">IFERROR(D23/C23-1,"")</f>
        <v/>
      </c>
      <c r="E24" s="18" t="str">
        <f t="shared" si="5"/>
        <v/>
      </c>
      <c r="F24" s="18" t="str">
        <f t="shared" si="5"/>
        <v/>
      </c>
      <c r="G24" s="18" t="str">
        <f t="shared" si="5"/>
        <v/>
      </c>
      <c r="H24" s="18" t="str">
        <f t="shared" si="5"/>
        <v/>
      </c>
      <c r="I24" s="18" t="str">
        <f t="shared" si="5"/>
        <v/>
      </c>
      <c r="J24" s="18" t="str">
        <f t="shared" si="5"/>
        <v/>
      </c>
      <c r="K24" s="18" t="str">
        <f t="shared" si="5"/>
        <v/>
      </c>
      <c r="L24" s="18">
        <f t="shared" si="5"/>
        <v>-3.9712886563359473E-2</v>
      </c>
      <c r="M24" s="18">
        <f t="shared" si="5"/>
        <v>0.14907439748515539</v>
      </c>
      <c r="N24" s="26">
        <f t="shared" si="5"/>
        <v>6.0000000000000053E-2</v>
      </c>
      <c r="O24" s="26">
        <f t="shared" si="5"/>
        <v>7.0000000000000062E-2</v>
      </c>
      <c r="P24" s="26">
        <f t="shared" si="5"/>
        <v>8.0000000000000071E-2</v>
      </c>
      <c r="Q24" s="26">
        <f t="shared" si="5"/>
        <v>8.0000000000000071E-2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586</v>
      </c>
      <c r="B25" s="1" t="s">
        <v>44</v>
      </c>
      <c r="C25" s="18">
        <f>0</f>
        <v>0</v>
      </c>
      <c r="D25" s="18">
        <f>0</f>
        <v>0</v>
      </c>
      <c r="E25" s="18">
        <f>0</f>
        <v>0</v>
      </c>
      <c r="F25" s="18">
        <f>0</f>
        <v>0</v>
      </c>
      <c r="G25" s="18">
        <f>0</f>
        <v>0</v>
      </c>
      <c r="H25" s="18">
        <f>0</f>
        <v>0</v>
      </c>
      <c r="I25" s="18">
        <f>0</f>
        <v>0</v>
      </c>
      <c r="J25" s="18">
        <f>0</f>
        <v>0</v>
      </c>
      <c r="K25" s="18">
        <f>0</f>
        <v>0</v>
      </c>
      <c r="L25" s="18">
        <f>0</f>
        <v>0</v>
      </c>
      <c r="M25" s="18">
        <f>0</f>
        <v>0</v>
      </c>
      <c r="N25" s="26">
        <f>Assumptions!C15</f>
        <v>0.02</v>
      </c>
      <c r="O25" s="26">
        <f>Assumptions!D15</f>
        <v>2.1999999999999999E-2</v>
      </c>
      <c r="P25" s="26">
        <f>Assumptions!E15</f>
        <v>2.4E-2</v>
      </c>
      <c r="Q25" s="26">
        <f>Assumptions!F15</f>
        <v>2.5000000000000001E-2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21" t="s">
        <v>587</v>
      </c>
      <c r="B26" s="19" t="s">
        <v>42</v>
      </c>
      <c r="C26" s="20">
        <f>0</f>
        <v>0</v>
      </c>
      <c r="D26" s="20">
        <f>0</f>
        <v>0</v>
      </c>
      <c r="E26" s="20">
        <f>0</f>
        <v>0</v>
      </c>
      <c r="F26" s="20">
        <f>0</f>
        <v>0</v>
      </c>
      <c r="G26" s="20">
        <f>0</f>
        <v>0</v>
      </c>
      <c r="H26" s="20">
        <f>0</f>
        <v>0</v>
      </c>
      <c r="I26" s="20">
        <f>0</f>
        <v>0</v>
      </c>
      <c r="J26" s="20">
        <f>0</f>
        <v>0</v>
      </c>
      <c r="K26" s="20">
        <f>0</f>
        <v>0</v>
      </c>
      <c r="L26" s="20">
        <f>0</f>
        <v>0</v>
      </c>
      <c r="M26" s="20">
        <f>0</f>
        <v>0</v>
      </c>
      <c r="N26" s="27">
        <f>N23*Assumptions!C18/10*N25</f>
        <v>3277.956720000001</v>
      </c>
      <c r="O26" s="27">
        <f>O23*Assumptions!D18/10*O25</f>
        <v>3899.1992622000002</v>
      </c>
      <c r="P26" s="27">
        <f>P23*Assumptions!E18/10*P25</f>
        <v>4642.3232096256006</v>
      </c>
      <c r="Q26" s="27">
        <f>Q23*Assumptions!F18/10*Q25</f>
        <v>5277.0158359416018</v>
      </c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588</v>
      </c>
      <c r="B27" s="1" t="s">
        <v>44</v>
      </c>
      <c r="C27" s="18">
        <f>0</f>
        <v>0</v>
      </c>
      <c r="D27" s="18">
        <f>0</f>
        <v>0</v>
      </c>
      <c r="E27" s="18">
        <f>0</f>
        <v>0</v>
      </c>
      <c r="F27" s="18">
        <f>0</f>
        <v>0</v>
      </c>
      <c r="G27" s="18">
        <f>0</f>
        <v>0</v>
      </c>
      <c r="H27" s="18">
        <f>0</f>
        <v>0</v>
      </c>
      <c r="I27" s="18">
        <f>0</f>
        <v>0</v>
      </c>
      <c r="J27" s="18">
        <f>0</f>
        <v>0</v>
      </c>
      <c r="K27" s="18">
        <f>0</f>
        <v>0</v>
      </c>
      <c r="L27" s="18">
        <f>0</f>
        <v>0</v>
      </c>
      <c r="M27" s="18">
        <f>0</f>
        <v>0</v>
      </c>
      <c r="N27" s="26">
        <f>Assumptions!C16</f>
        <v>6.0000000000000001E-3</v>
      </c>
      <c r="O27" s="26">
        <f>Assumptions!D16</f>
        <v>0.01</v>
      </c>
      <c r="P27" s="26">
        <f>Assumptions!E16</f>
        <v>1.2999999999999999E-2</v>
      </c>
      <c r="Q27" s="26">
        <f>Assumptions!F16</f>
        <v>1.4999999999999999E-2</v>
      </c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21" t="s">
        <v>65</v>
      </c>
      <c r="B28" s="19" t="s">
        <v>42</v>
      </c>
      <c r="C28" s="20">
        <f>0</f>
        <v>0</v>
      </c>
      <c r="D28" s="20">
        <f>0</f>
        <v>0</v>
      </c>
      <c r="E28" s="20">
        <f>0</f>
        <v>0</v>
      </c>
      <c r="F28" s="20">
        <f>0</f>
        <v>0</v>
      </c>
      <c r="G28" s="20">
        <f>0</f>
        <v>0</v>
      </c>
      <c r="H28" s="20">
        <f>0</f>
        <v>0</v>
      </c>
      <c r="I28" s="20">
        <f>0</f>
        <v>0</v>
      </c>
      <c r="J28" s="20">
        <f>0</f>
        <v>0</v>
      </c>
      <c r="K28" s="20">
        <f>0</f>
        <v>0</v>
      </c>
      <c r="L28" s="20">
        <f>0</f>
        <v>0</v>
      </c>
      <c r="M28" s="20">
        <f>0</f>
        <v>0</v>
      </c>
      <c r="N28" s="27">
        <f>M31*N27</f>
        <v>555.74400000000003</v>
      </c>
      <c r="O28" s="27">
        <f>N31*O27</f>
        <v>954.26741183165973</v>
      </c>
      <c r="P28" s="27">
        <f>O31*P27</f>
        <v>1315.1766720956298</v>
      </c>
      <c r="Q28" s="27">
        <f>P31*Q27</f>
        <v>1636.4568576147112</v>
      </c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589</v>
      </c>
      <c r="B29" s="1" t="s">
        <v>44</v>
      </c>
      <c r="C29" s="18">
        <f>0</f>
        <v>0</v>
      </c>
      <c r="D29" s="18">
        <f>0</f>
        <v>0</v>
      </c>
      <c r="E29" s="18">
        <f>0</f>
        <v>0</v>
      </c>
      <c r="F29" s="18">
        <f>0</f>
        <v>0</v>
      </c>
      <c r="G29" s="18">
        <f>0</f>
        <v>0</v>
      </c>
      <c r="H29" s="18">
        <f>0</f>
        <v>0</v>
      </c>
      <c r="I29" s="18">
        <f>0</f>
        <v>0</v>
      </c>
      <c r="J29" s="18">
        <f>0</f>
        <v>0</v>
      </c>
      <c r="K29" s="18">
        <f>0</f>
        <v>0</v>
      </c>
      <c r="L29" s="18">
        <f>0</f>
        <v>0</v>
      </c>
      <c r="M29" s="18">
        <f>0</f>
        <v>0</v>
      </c>
      <c r="N29" s="26">
        <f>Assumptions!C17</f>
        <v>4.0000000000000001E-3</v>
      </c>
      <c r="O29" s="26">
        <f>Assumptions!D17</f>
        <v>3.0000000000000001E-3</v>
      </c>
      <c r="P29" s="26">
        <f>Assumptions!E17</f>
        <v>2E-3</v>
      </c>
      <c r="Q29" s="26">
        <f>Assumptions!F17</f>
        <v>2E-3</v>
      </c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21" t="s">
        <v>590</v>
      </c>
      <c r="B30" s="19" t="s">
        <v>42</v>
      </c>
      <c r="C30" s="20">
        <f>0</f>
        <v>0</v>
      </c>
      <c r="D30" s="20">
        <f>0</f>
        <v>0</v>
      </c>
      <c r="E30" s="20">
        <f>0</f>
        <v>0</v>
      </c>
      <c r="F30" s="20">
        <f>0</f>
        <v>0</v>
      </c>
      <c r="G30" s="20">
        <f>0</f>
        <v>0</v>
      </c>
      <c r="H30" s="20">
        <f>0</f>
        <v>0</v>
      </c>
      <c r="I30" s="20">
        <f>0</f>
        <v>0</v>
      </c>
      <c r="J30" s="20">
        <f>0</f>
        <v>0</v>
      </c>
      <c r="K30" s="20">
        <f>0</f>
        <v>0</v>
      </c>
      <c r="L30" s="20">
        <f>0</f>
        <v>0</v>
      </c>
      <c r="M30" s="20">
        <f>0</f>
        <v>0</v>
      </c>
      <c r="N30" s="27">
        <f>M31*N29</f>
        <v>370.49599999999998</v>
      </c>
      <c r="O30" s="27">
        <f>N31*O29</f>
        <v>286.28022354949792</v>
      </c>
      <c r="P30" s="27">
        <f>O31*P29</f>
        <v>202.3348726300969</v>
      </c>
      <c r="Q30" s="27">
        <f>P31*Q29</f>
        <v>218.19424768196151</v>
      </c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21" t="s">
        <v>519</v>
      </c>
      <c r="B31" s="19" t="s">
        <v>42</v>
      </c>
      <c r="C31" s="20">
        <f>'Annual P&amp;L'!C7</f>
        <v>51244</v>
      </c>
      <c r="D31" s="20">
        <f>'Annual P&amp;L'!D7</f>
        <v>55040.2</v>
      </c>
      <c r="E31" s="20">
        <f>'Annual P&amp;L'!E7</f>
        <v>54487.1</v>
      </c>
      <c r="F31" s="20">
        <f>'Annual P&amp;L'!F7</f>
        <v>58584.5</v>
      </c>
      <c r="G31" s="20">
        <f>'Annual P&amp;L'!G7</f>
        <v>61023.199999999997</v>
      </c>
      <c r="H31" s="20">
        <f>'Annual P&amp;L'!H7</f>
        <v>61943</v>
      </c>
      <c r="I31" s="20">
        <f>'Annual P&amp;L'!I7</f>
        <v>79093.399999999994</v>
      </c>
      <c r="J31" s="20">
        <f>'Annual P&amp;L'!J7</f>
        <v>90487.6</v>
      </c>
      <c r="K31" s="20">
        <f>'Annual P&amp;L'!K7</f>
        <v>89760.3</v>
      </c>
      <c r="L31" s="20">
        <f>'Annual P&amp;L'!L7</f>
        <v>89088.4</v>
      </c>
      <c r="M31" s="20">
        <f>'Annual P&amp;L'!M7</f>
        <v>92624</v>
      </c>
      <c r="N31" s="27">
        <f>SUM(N17,N20,N22,N26,N28,N30)</f>
        <v>95426.74118316597</v>
      </c>
      <c r="O31" s="27">
        <f>SUM(O17,O20,O22,O26,O28,O30)</f>
        <v>101167.43631504844</v>
      </c>
      <c r="P31" s="27">
        <f>SUM(P17,P20,P22,P26,P28,P30)</f>
        <v>109097.12384098076</v>
      </c>
      <c r="Q31" s="27">
        <f>SUM(Q17,Q20,Q22,Q26,Q28,Q30)</f>
        <v>118382.91707735034</v>
      </c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21" t="s">
        <v>520</v>
      </c>
      <c r="B32" s="19" t="s">
        <v>42</v>
      </c>
      <c r="C32" s="20">
        <f>'Annual P&amp;L'!C7</f>
        <v>51244</v>
      </c>
      <c r="D32" s="20">
        <f>'Annual P&amp;L'!D7</f>
        <v>55040.2</v>
      </c>
      <c r="E32" s="20">
        <f>'Annual P&amp;L'!E7</f>
        <v>54487.1</v>
      </c>
      <c r="F32" s="20">
        <f>'Annual P&amp;L'!F7</f>
        <v>58584.5</v>
      </c>
      <c r="G32" s="20">
        <f>'Annual P&amp;L'!G7</f>
        <v>61023.199999999997</v>
      </c>
      <c r="H32" s="20">
        <f>'Annual P&amp;L'!H7</f>
        <v>61943</v>
      </c>
      <c r="I32" s="20">
        <f>'Annual P&amp;L'!I7</f>
        <v>79093.399999999994</v>
      </c>
      <c r="J32" s="20">
        <f>'Annual P&amp;L'!J7</f>
        <v>90487.6</v>
      </c>
      <c r="K32" s="20">
        <f>'Annual P&amp;L'!K7</f>
        <v>89760.3</v>
      </c>
      <c r="L32" s="20">
        <f>'Annual P&amp;L'!L7</f>
        <v>89088.4</v>
      </c>
      <c r="M32" s="20">
        <f>'Annual P&amp;L'!M7</f>
        <v>92624</v>
      </c>
      <c r="N32" s="27">
        <f>'Annual P&amp;L'!N7</f>
        <v>95426.74118316597</v>
      </c>
      <c r="O32" s="27">
        <f>'Annual P&amp;L'!O7</f>
        <v>101167.43631504844</v>
      </c>
      <c r="P32" s="27">
        <f>'Annual P&amp;L'!P7</f>
        <v>109097.12384098076</v>
      </c>
      <c r="Q32" s="27">
        <f>'Annual P&amp;L'!Q7</f>
        <v>118382.91707735034</v>
      </c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521</v>
      </c>
      <c r="B33" s="1" t="s">
        <v>42</v>
      </c>
      <c r="C33" s="17">
        <f>0</f>
        <v>0</v>
      </c>
      <c r="D33" s="17">
        <f>0</f>
        <v>0</v>
      </c>
      <c r="E33" s="17">
        <f>0</f>
        <v>0</v>
      </c>
      <c r="F33" s="17">
        <f>0</f>
        <v>0</v>
      </c>
      <c r="G33" s="17">
        <f>0</f>
        <v>0</v>
      </c>
      <c r="H33" s="17">
        <f>0</f>
        <v>0</v>
      </c>
      <c r="I33" s="17">
        <f>0</f>
        <v>0</v>
      </c>
      <c r="J33" s="17">
        <f>0</f>
        <v>0</v>
      </c>
      <c r="K33" s="17">
        <f>0</f>
        <v>0</v>
      </c>
      <c r="L33" s="17">
        <f>0</f>
        <v>0</v>
      </c>
      <c r="M33" s="17">
        <f>0</f>
        <v>0</v>
      </c>
      <c r="N33" s="29">
        <f>N31-N32</f>
        <v>0</v>
      </c>
      <c r="O33" s="29">
        <f>O31-O32</f>
        <v>0</v>
      </c>
      <c r="P33" s="29">
        <f>P31-P32</f>
        <v>0</v>
      </c>
      <c r="Q33" s="29">
        <f>Q31-Q32</f>
        <v>0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552</v>
      </c>
      <c r="B34" s="1" t="s">
        <v>62</v>
      </c>
      <c r="C34" s="23">
        <f>'Raw Operating'!C7</f>
        <v>7346.3</v>
      </c>
      <c r="D34" s="23">
        <f>'Raw Operating'!D7</f>
        <v>7704.5</v>
      </c>
      <c r="E34" s="23">
        <f>'Raw Operating'!E7</f>
        <v>8060.2</v>
      </c>
      <c r="F34" s="23">
        <f>'Raw Operating'!F7</f>
        <v>8120.3</v>
      </c>
      <c r="G34" s="23">
        <f>'Raw Operating'!G7</f>
        <v>8256.2000000000007</v>
      </c>
      <c r="H34" s="23">
        <f>'Raw Operating'!H7</f>
        <v>8136.5</v>
      </c>
      <c r="I34" s="23">
        <f>'Raw Operating'!I7</f>
        <v>10355.9</v>
      </c>
      <c r="J34" s="23">
        <f>'Raw Operating'!J7</f>
        <v>11159.7</v>
      </c>
      <c r="K34" s="23">
        <f>'Raw Operating'!K7</f>
        <v>10805.3</v>
      </c>
      <c r="L34" s="23">
        <f>'Raw Operating'!L7</f>
        <v>10511.5</v>
      </c>
      <c r="M34" s="23">
        <f>'Raw Operating'!M7</f>
        <v>10478.1</v>
      </c>
      <c r="N34" s="28">
        <f>N31*10/Assumptions!C18</f>
        <v>10151.78097693255</v>
      </c>
      <c r="O34" s="28">
        <f>O31*10/Assumptions!D18</f>
        <v>10649.203822636679</v>
      </c>
      <c r="P34" s="28">
        <f>P31*10/Assumptions!E18</f>
        <v>11364.283733435494</v>
      </c>
      <c r="Q34" s="28">
        <f>Q31*10/Assumptions!F18</f>
        <v>12204.424440963952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591</v>
      </c>
      <c r="B35" s="1" t="s">
        <v>160</v>
      </c>
      <c r="C35" s="22">
        <f t="shared" ref="C35:M35" si="6">IFERROR(C31*10/C34,"")</f>
        <v>69.754842573812667</v>
      </c>
      <c r="D35" s="22">
        <f t="shared" si="6"/>
        <v>71.439029138814973</v>
      </c>
      <c r="E35" s="22">
        <f t="shared" si="6"/>
        <v>67.600183618272496</v>
      </c>
      <c r="F35" s="22">
        <f t="shared" si="6"/>
        <v>72.145733532012358</v>
      </c>
      <c r="G35" s="22">
        <f t="shared" si="6"/>
        <v>73.911969186792945</v>
      </c>
      <c r="H35" s="22">
        <f t="shared" si="6"/>
        <v>76.129785534320661</v>
      </c>
      <c r="I35" s="22">
        <f t="shared" si="6"/>
        <v>76.375206404078838</v>
      </c>
      <c r="J35" s="22">
        <f t="shared" si="6"/>
        <v>81.084258537415877</v>
      </c>
      <c r="K35" s="22">
        <f t="shared" si="6"/>
        <v>83.070622749946793</v>
      </c>
      <c r="L35" s="22">
        <f t="shared" si="6"/>
        <v>84.75327022784569</v>
      </c>
      <c r="M35" s="22">
        <f t="shared" si="6"/>
        <v>88.397705690917249</v>
      </c>
      <c r="N35" s="25">
        <f>Assumptions!C18</f>
        <v>94</v>
      </c>
      <c r="O35" s="25">
        <f>Assumptions!D18</f>
        <v>95</v>
      </c>
      <c r="P35" s="25">
        <f>Assumptions!E18</f>
        <v>96</v>
      </c>
      <c r="Q35" s="25">
        <f>Assumptions!F18</f>
        <v>97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592</v>
      </c>
      <c r="B36" s="1" t="s">
        <v>42</v>
      </c>
      <c r="C36" s="22">
        <f t="shared" ref="C36:Q36" si="7">IFERROR(C31/C12,"")</f>
        <v>0.40141682498311027</v>
      </c>
      <c r="D36" s="22">
        <f t="shared" si="7"/>
        <v>0.40042583503179036</v>
      </c>
      <c r="E36" s="22">
        <f t="shared" si="7"/>
        <v>0.44357932781007381</v>
      </c>
      <c r="F36" s="22">
        <f t="shared" si="7"/>
        <v>0.43985289710004694</v>
      </c>
      <c r="G36" s="22">
        <f t="shared" si="7"/>
        <v>0.44141057816878088</v>
      </c>
      <c r="H36" s="22">
        <f t="shared" si="7"/>
        <v>0.39546458185419031</v>
      </c>
      <c r="I36" s="22">
        <f t="shared" si="7"/>
        <v>0.40419908254380854</v>
      </c>
      <c r="J36" s="22">
        <f t="shared" si="7"/>
        <v>0.46445050132111931</v>
      </c>
      <c r="K36" s="22">
        <f t="shared" si="7"/>
        <v>0.48454088695215214</v>
      </c>
      <c r="L36" s="22">
        <f t="shared" si="7"/>
        <v>0.47715542942681788</v>
      </c>
      <c r="M36" s="22">
        <f t="shared" si="7"/>
        <v>0.48164705988800499</v>
      </c>
      <c r="N36" s="25">
        <f t="shared" si="7"/>
        <v>0.49140604731686016</v>
      </c>
      <c r="O36" s="25">
        <f t="shared" si="7"/>
        <v>0.50473198663408225</v>
      </c>
      <c r="P36" s="25">
        <f t="shared" si="7"/>
        <v>0.52478961123585</v>
      </c>
      <c r="Q36" s="25">
        <f t="shared" si="7"/>
        <v>0.54769174438632984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593</v>
      </c>
      <c r="B37" s="1" t="s">
        <v>44</v>
      </c>
      <c r="C37" s="18">
        <f>'Raw Operating'!C11</f>
        <v>0.161</v>
      </c>
      <c r="D37" s="18">
        <f>'Raw Operating'!D11</f>
        <v>0.16300000000000001</v>
      </c>
      <c r="E37" s="18">
        <f>'Raw Operating'!E11</f>
        <v>0.16600000000000001</v>
      </c>
      <c r="F37" s="18">
        <f>'Raw Operating'!F11</f>
        <v>0.17600000000000002</v>
      </c>
      <c r="G37" s="18">
        <f>'Raw Operating'!G11</f>
        <v>0.14699999999999999</v>
      </c>
      <c r="H37" s="18">
        <f>'Raw Operating'!H11</f>
        <v>0.121</v>
      </c>
      <c r="I37" s="18">
        <f>'Raw Operating'!I11</f>
        <v>0.23800000000000002</v>
      </c>
      <c r="J37" s="18">
        <f>'Raw Operating'!J11</f>
        <v>0.192</v>
      </c>
      <c r="K37" s="18">
        <f>'Raw Operating'!K11</f>
        <v>0.14199999999999999</v>
      </c>
      <c r="L37" s="18">
        <f>'Raw Operating'!L11</f>
        <v>0.15</v>
      </c>
      <c r="M37" s="18">
        <f>'Raw Operating'!M11</f>
        <v>0.13800000000000001</v>
      </c>
      <c r="N37" s="26">
        <f>M37</f>
        <v>0.13800000000000001</v>
      </c>
      <c r="O37" s="26">
        <f>N37</f>
        <v>0.13800000000000001</v>
      </c>
      <c r="P37" s="26">
        <f>O37</f>
        <v>0.13800000000000001</v>
      </c>
      <c r="Q37" s="26">
        <f>P37</f>
        <v>0.13800000000000001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4"/>
      <c r="O38" s="24"/>
      <c r="P38" s="24"/>
      <c r="Q38" s="24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4"/>
      <c r="O39" s="24"/>
      <c r="P39" s="24"/>
      <c r="Q39" s="24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4"/>
      <c r="O40" s="24"/>
      <c r="P40" s="24"/>
      <c r="Q40" s="24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4"/>
      <c r="O41" s="24"/>
      <c r="P41" s="24"/>
      <c r="Q41" s="24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4"/>
      <c r="O42" s="24"/>
      <c r="P42" s="24"/>
      <c r="Q42" s="24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4"/>
      <c r="O43" s="24"/>
      <c r="P43" s="24"/>
      <c r="Q43" s="24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4"/>
      <c r="O44" s="24"/>
      <c r="P44" s="24"/>
      <c r="Q44" s="24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4"/>
      <c r="O45" s="24"/>
      <c r="P45" s="24"/>
      <c r="Q45" s="24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4"/>
      <c r="O46" s="24"/>
      <c r="P46" s="24"/>
      <c r="Q46" s="24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4"/>
      <c r="O47" s="24"/>
      <c r="P47" s="24"/>
      <c r="Q47" s="24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4"/>
      <c r="O48" s="24"/>
      <c r="P48" s="24"/>
      <c r="Q48" s="24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4"/>
      <c r="O49" s="24"/>
      <c r="P49" s="24"/>
      <c r="Q49" s="24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4"/>
      <c r="O50" s="24"/>
      <c r="P50" s="24"/>
      <c r="Q50" s="24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4"/>
      <c r="O51" s="24"/>
      <c r="P51" s="24"/>
      <c r="Q51" s="24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4"/>
      <c r="O52" s="24"/>
      <c r="P52" s="24"/>
      <c r="Q52" s="24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4"/>
      <c r="O53" s="24"/>
      <c r="P53" s="24"/>
      <c r="Q53" s="24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4"/>
      <c r="O54" s="24"/>
      <c r="P54" s="24"/>
      <c r="Q54" s="24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4"/>
      <c r="O55" s="24"/>
      <c r="P55" s="24"/>
      <c r="Q55" s="2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4"/>
      <c r="O56" s="24"/>
      <c r="P56" s="24"/>
      <c r="Q56" s="24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4"/>
      <c r="O57" s="24"/>
      <c r="P57" s="24"/>
      <c r="Q57" s="24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4"/>
      <c r="O58" s="24"/>
      <c r="P58" s="24"/>
      <c r="Q58" s="24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4"/>
      <c r="O59" s="24"/>
      <c r="P59" s="24"/>
      <c r="Q59" s="24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4"/>
      <c r="O60" s="24"/>
      <c r="P60" s="24"/>
      <c r="Q60" s="24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4"/>
      <c r="O61" s="24"/>
      <c r="P61" s="24"/>
      <c r="Q61" s="24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4"/>
      <c r="O62" s="24"/>
      <c r="P62" s="24"/>
      <c r="Q62" s="24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4"/>
      <c r="O63" s="24"/>
      <c r="P63" s="24"/>
      <c r="Q63" s="24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4"/>
      <c r="O64" s="24"/>
      <c r="P64" s="24"/>
      <c r="Q64" s="24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4"/>
      <c r="O65" s="24"/>
      <c r="P65" s="24"/>
      <c r="Q65" s="24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4"/>
      <c r="O66" s="24"/>
      <c r="P66" s="24"/>
      <c r="Q66" s="2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4"/>
      <c r="O67" s="24"/>
      <c r="P67" s="24"/>
      <c r="Q67" s="2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4"/>
      <c r="O68" s="24"/>
      <c r="P68" s="24"/>
      <c r="Q68" s="24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4"/>
      <c r="O69" s="24"/>
      <c r="P69" s="24"/>
      <c r="Q69" s="24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4"/>
      <c r="O70" s="24"/>
      <c r="P70" s="24"/>
      <c r="Q70" s="24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4"/>
      <c r="O71" s="24"/>
      <c r="P71" s="24"/>
      <c r="Q71" s="24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4"/>
      <c r="O72" s="24"/>
      <c r="P72" s="24"/>
      <c r="Q72" s="24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4"/>
      <c r="O73" s="24"/>
      <c r="P73" s="24"/>
      <c r="Q73" s="24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4"/>
      <c r="O74" s="24"/>
      <c r="P74" s="24"/>
      <c r="Q74" s="24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4"/>
      <c r="O75" s="24"/>
      <c r="P75" s="24"/>
      <c r="Q75" s="24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4"/>
      <c r="O76" s="24"/>
      <c r="P76" s="24"/>
      <c r="Q76" s="24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4"/>
      <c r="O77" s="24"/>
      <c r="P77" s="24"/>
      <c r="Q77" s="24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4"/>
      <c r="O78" s="24"/>
      <c r="P78" s="24"/>
      <c r="Q78" s="24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4"/>
      <c r="O79" s="24"/>
      <c r="P79" s="24"/>
      <c r="Q79" s="24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4"/>
      <c r="O80" s="24"/>
      <c r="P80" s="24"/>
      <c r="Q80" s="24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4"/>
      <c r="O81" s="24"/>
      <c r="P81" s="24"/>
      <c r="Q81" s="24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4"/>
      <c r="O82" s="24"/>
      <c r="P82" s="24"/>
      <c r="Q82" s="24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4"/>
      <c r="O83" s="24"/>
      <c r="P83" s="24"/>
      <c r="Q83" s="24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4"/>
      <c r="O88" s="24"/>
      <c r="P88" s="24"/>
      <c r="Q88" s="24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4"/>
      <c r="O89" s="24"/>
      <c r="P89" s="24"/>
      <c r="Q89" s="24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4"/>
      <c r="O90" s="24"/>
      <c r="P90" s="24"/>
      <c r="Q90" s="24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4"/>
      <c r="O91" s="24"/>
      <c r="P91" s="24"/>
      <c r="Q91" s="24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4"/>
      <c r="O92" s="24"/>
      <c r="P92" s="24"/>
      <c r="Q92" s="24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4"/>
      <c r="O93" s="24"/>
      <c r="P93" s="24"/>
      <c r="Q93" s="24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4"/>
      <c r="O94" s="24"/>
      <c r="P94" s="24"/>
      <c r="Q94" s="24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4"/>
      <c r="O95" s="24"/>
      <c r="P95" s="24"/>
      <c r="Q95" s="24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4"/>
      <c r="O96" s="24"/>
      <c r="P96" s="24"/>
      <c r="Q96" s="24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4"/>
      <c r="O97" s="24"/>
      <c r="P97" s="24"/>
      <c r="Q97" s="24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4"/>
      <c r="O98" s="24"/>
      <c r="P98" s="24"/>
      <c r="Q98" s="24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4"/>
      <c r="O99" s="24"/>
      <c r="P99" s="24"/>
      <c r="Q99" s="24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4"/>
      <c r="O100" s="24"/>
      <c r="P100" s="24"/>
      <c r="Q100" s="24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4"/>
      <c r="O101" s="24"/>
      <c r="P101" s="24"/>
      <c r="Q101" s="24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4"/>
      <c r="O102" s="24"/>
      <c r="P102" s="24"/>
      <c r="Q102" s="24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4"/>
      <c r="O103" s="24"/>
      <c r="P103" s="24"/>
      <c r="Q103" s="24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4"/>
      <c r="O104" s="24"/>
      <c r="P104" s="24"/>
      <c r="Q104" s="24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4"/>
      <c r="O105" s="24"/>
      <c r="P105" s="24"/>
      <c r="Q105" s="24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4"/>
      <c r="O106" s="24"/>
      <c r="P106" s="24"/>
      <c r="Q106" s="24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4"/>
      <c r="O107" s="24"/>
      <c r="P107" s="24"/>
      <c r="Q107" s="24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4"/>
      <c r="O108" s="24"/>
      <c r="P108" s="24"/>
      <c r="Q108" s="24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4"/>
      <c r="O109" s="24"/>
      <c r="P109" s="24"/>
      <c r="Q109" s="24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4"/>
      <c r="O110" s="24"/>
      <c r="P110" s="24"/>
      <c r="Q110" s="24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4"/>
      <c r="O111" s="24"/>
      <c r="P111" s="24"/>
      <c r="Q111" s="24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4"/>
      <c r="O112" s="24"/>
      <c r="P112" s="24"/>
      <c r="Q112" s="24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4"/>
      <c r="O113" s="24"/>
      <c r="P113" s="24"/>
      <c r="Q113" s="24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4"/>
      <c r="O114" s="24"/>
      <c r="P114" s="24"/>
      <c r="Q114" s="24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4"/>
      <c r="O115" s="24"/>
      <c r="P115" s="24"/>
      <c r="Q115" s="24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4"/>
      <c r="O116" s="24"/>
      <c r="P116" s="24"/>
      <c r="Q116" s="24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4"/>
      <c r="O117" s="24"/>
      <c r="P117" s="24"/>
      <c r="Q117" s="24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4"/>
      <c r="O118" s="24"/>
      <c r="P118" s="24"/>
      <c r="Q118" s="24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4"/>
      <c r="O119" s="24"/>
      <c r="P119" s="24"/>
      <c r="Q119" s="24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4"/>
      <c r="O120" s="24"/>
      <c r="P120" s="24"/>
      <c r="Q120" s="24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4"/>
      <c r="O121" s="24"/>
      <c r="P121" s="24"/>
      <c r="Q121" s="24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4"/>
      <c r="O122" s="24"/>
      <c r="P122" s="24"/>
      <c r="Q122" s="24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4"/>
      <c r="O123" s="24"/>
      <c r="P123" s="24"/>
      <c r="Q123" s="24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4"/>
      <c r="O124" s="24"/>
      <c r="P124" s="24"/>
      <c r="Q124" s="24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4"/>
      <c r="O125" s="24"/>
      <c r="P125" s="24"/>
      <c r="Q125" s="24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4"/>
      <c r="O126" s="24"/>
      <c r="P126" s="24"/>
      <c r="Q126" s="24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4"/>
      <c r="O127" s="24"/>
      <c r="P127" s="24"/>
      <c r="Q127" s="24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4"/>
      <c r="O128" s="24"/>
      <c r="P128" s="24"/>
      <c r="Q128" s="24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4"/>
      <c r="O129" s="24"/>
      <c r="P129" s="24"/>
      <c r="Q129" s="24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4"/>
      <c r="O130" s="24"/>
      <c r="P130" s="24"/>
      <c r="Q130" s="24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4"/>
      <c r="O131" s="24"/>
      <c r="P131" s="24"/>
      <c r="Q131" s="24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4"/>
      <c r="O132" s="24"/>
      <c r="P132" s="24"/>
      <c r="Q132" s="24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4"/>
      <c r="O133" s="24"/>
      <c r="P133" s="24"/>
      <c r="Q133" s="24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4"/>
      <c r="O134" s="24"/>
      <c r="P134" s="24"/>
      <c r="Q134" s="24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4"/>
      <c r="O135" s="24"/>
      <c r="P135" s="24"/>
      <c r="Q135" s="24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4"/>
      <c r="O136" s="24"/>
      <c r="P136" s="24"/>
      <c r="Q136" s="24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4"/>
      <c r="O137" s="24"/>
      <c r="P137" s="24"/>
      <c r="Q137" s="24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4"/>
      <c r="O138" s="24"/>
      <c r="P138" s="24"/>
      <c r="Q138" s="24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4"/>
      <c r="O139" s="24"/>
      <c r="P139" s="24"/>
      <c r="Q139" s="24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4"/>
      <c r="O140" s="24"/>
      <c r="P140" s="24"/>
      <c r="Q140" s="24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4"/>
      <c r="O141" s="24"/>
      <c r="P141" s="24"/>
      <c r="Q141" s="24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4"/>
      <c r="O142" s="24"/>
      <c r="P142" s="24"/>
      <c r="Q142" s="24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4"/>
      <c r="O143" s="24"/>
      <c r="P143" s="24"/>
      <c r="Q143" s="24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4"/>
      <c r="O144" s="24"/>
      <c r="P144" s="24"/>
      <c r="Q144" s="24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4"/>
      <c r="O145" s="24"/>
      <c r="P145" s="24"/>
      <c r="Q145" s="24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4"/>
      <c r="O146" s="24"/>
      <c r="P146" s="24"/>
      <c r="Q146" s="24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4"/>
      <c r="O147" s="24"/>
      <c r="P147" s="24"/>
      <c r="Q147" s="24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4"/>
      <c r="O148" s="24"/>
      <c r="P148" s="24"/>
      <c r="Q148" s="24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4"/>
      <c r="O149" s="24"/>
      <c r="P149" s="24"/>
      <c r="Q149" s="24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4"/>
      <c r="O150" s="24"/>
      <c r="P150" s="24"/>
      <c r="Q150" s="24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4"/>
      <c r="O151" s="24"/>
      <c r="P151" s="24"/>
      <c r="Q151" s="24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4"/>
      <c r="O152" s="24"/>
      <c r="P152" s="24"/>
      <c r="Q152" s="24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4"/>
      <c r="O153" s="24"/>
      <c r="P153" s="24"/>
      <c r="Q153" s="24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4"/>
      <c r="O154" s="24"/>
      <c r="P154" s="24"/>
      <c r="Q154" s="24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4"/>
      <c r="O155" s="24"/>
      <c r="P155" s="24"/>
      <c r="Q155" s="24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4"/>
      <c r="O156" s="24"/>
      <c r="P156" s="24"/>
      <c r="Q156" s="24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4"/>
      <c r="O157" s="24"/>
      <c r="P157" s="24"/>
      <c r="Q157" s="24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4"/>
      <c r="O158" s="24"/>
      <c r="P158" s="24"/>
      <c r="Q158" s="24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4"/>
      <c r="O159" s="24"/>
      <c r="P159" s="24"/>
      <c r="Q159" s="24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4"/>
      <c r="O160" s="24"/>
      <c r="P160" s="24"/>
      <c r="Q160" s="24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4"/>
      <c r="O161" s="24"/>
      <c r="P161" s="24"/>
      <c r="Q161" s="24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4"/>
      <c r="O162" s="24"/>
      <c r="P162" s="24"/>
      <c r="Q162" s="24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4"/>
      <c r="O163" s="24"/>
      <c r="P163" s="24"/>
      <c r="Q163" s="24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4"/>
      <c r="O164" s="24"/>
      <c r="P164" s="24"/>
      <c r="Q164" s="24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4"/>
      <c r="O165" s="24"/>
      <c r="P165" s="24"/>
      <c r="Q165" s="24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4"/>
      <c r="O166" s="24"/>
      <c r="P166" s="24"/>
      <c r="Q166" s="24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4"/>
      <c r="O167" s="24"/>
      <c r="P167" s="24"/>
      <c r="Q167" s="24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4"/>
      <c r="O168" s="24"/>
      <c r="P168" s="24"/>
      <c r="Q168" s="24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4"/>
      <c r="O169" s="24"/>
      <c r="P169" s="24"/>
      <c r="Q169" s="24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4"/>
      <c r="O170" s="24"/>
      <c r="P170" s="24"/>
      <c r="Q170" s="24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4"/>
      <c r="O171" s="24"/>
      <c r="P171" s="24"/>
      <c r="Q171" s="24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4"/>
      <c r="O172" s="24"/>
      <c r="P172" s="24"/>
      <c r="Q172" s="24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4"/>
      <c r="O173" s="24"/>
      <c r="P173" s="24"/>
      <c r="Q173" s="24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4"/>
      <c r="O174" s="24"/>
      <c r="P174" s="24"/>
      <c r="Q174" s="24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4"/>
      <c r="O175" s="24"/>
      <c r="P175" s="24"/>
      <c r="Q175" s="24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4"/>
      <c r="O176" s="24"/>
      <c r="P176" s="24"/>
      <c r="Q176" s="24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4"/>
      <c r="O177" s="24"/>
      <c r="P177" s="24"/>
      <c r="Q177" s="24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4"/>
      <c r="O178" s="24"/>
      <c r="P178" s="24"/>
      <c r="Q178" s="24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4"/>
      <c r="O179" s="24"/>
      <c r="P179" s="24"/>
      <c r="Q179" s="24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4"/>
      <c r="O180" s="24"/>
      <c r="P180" s="24"/>
      <c r="Q180" s="24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4"/>
      <c r="O181" s="24"/>
      <c r="P181" s="24"/>
      <c r="Q181" s="24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4"/>
      <c r="O182" s="24"/>
      <c r="P182" s="24"/>
      <c r="Q182" s="24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4"/>
      <c r="O183" s="24"/>
      <c r="P183" s="24"/>
      <c r="Q183" s="24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4"/>
      <c r="O184" s="24"/>
      <c r="P184" s="24"/>
      <c r="Q184" s="24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4"/>
      <c r="O185" s="24"/>
      <c r="P185" s="24"/>
      <c r="Q185" s="24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4"/>
      <c r="O186" s="24"/>
      <c r="P186" s="24"/>
      <c r="Q186" s="24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4"/>
      <c r="O187" s="24"/>
      <c r="P187" s="24"/>
      <c r="Q187" s="24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4"/>
      <c r="O188" s="24"/>
      <c r="P188" s="24"/>
      <c r="Q188" s="24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4"/>
      <c r="O189" s="24"/>
      <c r="P189" s="24"/>
      <c r="Q189" s="24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4"/>
      <c r="O190" s="24"/>
      <c r="P190" s="24"/>
      <c r="Q190" s="24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4"/>
      <c r="O191" s="24"/>
      <c r="P191" s="24"/>
      <c r="Q191" s="24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4"/>
      <c r="O192" s="24"/>
      <c r="P192" s="24"/>
      <c r="Q192" s="24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4"/>
      <c r="O193" s="24"/>
      <c r="P193" s="24"/>
      <c r="Q193" s="24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4"/>
      <c r="O194" s="24"/>
      <c r="P194" s="24"/>
      <c r="Q194" s="24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4"/>
      <c r="O195" s="24"/>
      <c r="P195" s="24"/>
      <c r="Q195" s="24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4"/>
      <c r="O196" s="24"/>
      <c r="P196" s="24"/>
      <c r="Q196" s="24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4"/>
      <c r="O197" s="24"/>
      <c r="P197" s="24"/>
      <c r="Q197" s="24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4"/>
      <c r="O198" s="24"/>
      <c r="P198" s="24"/>
      <c r="Q198" s="24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4"/>
      <c r="O199" s="24"/>
      <c r="P199" s="24"/>
      <c r="Q199" s="24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4"/>
      <c r="O200" s="24"/>
      <c r="P200" s="24"/>
      <c r="Q200" s="24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4"/>
      <c r="O201" s="24"/>
      <c r="P201" s="24"/>
      <c r="Q201" s="24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4"/>
      <c r="O202" s="24"/>
      <c r="P202" s="24"/>
      <c r="Q202" s="24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4"/>
      <c r="O203" s="24"/>
      <c r="P203" s="24"/>
      <c r="Q203" s="24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4"/>
      <c r="O204" s="24"/>
      <c r="P204" s="24"/>
      <c r="Q204" s="24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4"/>
      <c r="O205" s="24"/>
      <c r="P205" s="24"/>
      <c r="Q205" s="24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4"/>
      <c r="O206" s="24"/>
      <c r="P206" s="24"/>
      <c r="Q206" s="24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4"/>
      <c r="O207" s="24"/>
      <c r="P207" s="24"/>
      <c r="Q207" s="24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4"/>
      <c r="O208" s="24"/>
      <c r="P208" s="24"/>
      <c r="Q208" s="24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4"/>
      <c r="O209" s="24"/>
      <c r="P209" s="24"/>
      <c r="Q209" s="24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4"/>
      <c r="O210" s="24"/>
      <c r="P210" s="24"/>
      <c r="Q210" s="24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4"/>
      <c r="O211" s="24"/>
      <c r="P211" s="24"/>
      <c r="Q211" s="24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4"/>
      <c r="O212" s="24"/>
      <c r="P212" s="24"/>
      <c r="Q212" s="24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4"/>
      <c r="O213" s="24"/>
      <c r="P213" s="24"/>
      <c r="Q213" s="24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4"/>
      <c r="O214" s="24"/>
      <c r="P214" s="24"/>
      <c r="Q214" s="24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4"/>
      <c r="O215" s="24"/>
      <c r="P215" s="24"/>
      <c r="Q215" s="24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4"/>
      <c r="O216" s="24"/>
      <c r="P216" s="24"/>
      <c r="Q216" s="24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4"/>
      <c r="O217" s="24"/>
      <c r="P217" s="24"/>
      <c r="Q217" s="24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4"/>
      <c r="O218" s="24"/>
      <c r="P218" s="24"/>
      <c r="Q218" s="24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4"/>
      <c r="O219" s="24"/>
      <c r="P219" s="24"/>
      <c r="Q219" s="24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4"/>
      <c r="O220" s="24"/>
      <c r="P220" s="24"/>
      <c r="Q220" s="24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U2826"/>
  <sheetViews>
    <sheetView showGridLines="0" workbookViewId="0"/>
  </sheetViews>
  <sheetFormatPr defaultRowHeight="13.8"/>
  <cols>
    <col min="1" max="1" width="13" customWidth="1"/>
    <col min="2" max="3" width="14" customWidth="1"/>
    <col min="4" max="4" width="16" customWidth="1"/>
    <col min="5" max="5" width="10" customWidth="1"/>
    <col min="6" max="6" width="18" customWidth="1"/>
  </cols>
  <sheetData>
    <row r="1" spans="1:47" ht="25.95" customHeight="1">
      <c r="A1" s="44" t="s">
        <v>594</v>
      </c>
      <c r="B1" s="44"/>
      <c r="C1" s="44"/>
      <c r="D1" s="44"/>
      <c r="E1" s="44"/>
      <c r="F1" s="4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45" t="s">
        <v>595</v>
      </c>
      <c r="B2" s="45"/>
      <c r="C2" s="45"/>
      <c r="D2" s="45"/>
      <c r="E2" s="45"/>
      <c r="F2" s="4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596</v>
      </c>
      <c r="B5" s="4" t="s">
        <v>597</v>
      </c>
      <c r="C5" s="4" t="s">
        <v>598</v>
      </c>
      <c r="D5" s="4" t="s">
        <v>599</v>
      </c>
      <c r="E5" s="4" t="s">
        <v>600</v>
      </c>
      <c r="F5" s="4" t="s">
        <v>601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0" t="s">
        <v>602</v>
      </c>
      <c r="B6" s="36">
        <v>118.72502899169922</v>
      </c>
      <c r="C6" s="36">
        <v>104.19318389892578</v>
      </c>
      <c r="D6" s="10">
        <v>6354889</v>
      </c>
      <c r="E6" s="10" t="s">
        <v>603</v>
      </c>
      <c r="F6" s="10" t="s">
        <v>604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0" t="s">
        <v>605</v>
      </c>
      <c r="B7" s="36">
        <v>116.46565246582031</v>
      </c>
      <c r="C7" s="36">
        <v>102.21035766601563</v>
      </c>
      <c r="D7" s="10">
        <v>7872158</v>
      </c>
      <c r="E7" s="10" t="s">
        <v>603</v>
      </c>
      <c r="F7" s="10" t="s">
        <v>604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0" t="s">
        <v>606</v>
      </c>
      <c r="B8" s="36">
        <v>115.3218994140625</v>
      </c>
      <c r="C8" s="36">
        <v>101.20659637451172</v>
      </c>
      <c r="D8" s="10">
        <v>9890882</v>
      </c>
      <c r="E8" s="10" t="s">
        <v>603</v>
      </c>
      <c r="F8" s="10" t="s">
        <v>604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0" t="s">
        <v>607</v>
      </c>
      <c r="B9" s="36">
        <v>115.5562744140625</v>
      </c>
      <c r="C9" s="36">
        <v>101.41229248046875</v>
      </c>
      <c r="D9" s="10">
        <v>9541026</v>
      </c>
      <c r="E9" s="10" t="s">
        <v>603</v>
      </c>
      <c r="F9" s="10" t="s">
        <v>604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0" t="s">
        <v>608</v>
      </c>
      <c r="B10" s="36">
        <v>115.71565246582031</v>
      </c>
      <c r="C10" s="36">
        <v>101.55215454101563</v>
      </c>
      <c r="D10" s="10">
        <v>7049918</v>
      </c>
      <c r="E10" s="10" t="s">
        <v>603</v>
      </c>
      <c r="F10" s="10" t="s">
        <v>604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0" t="s">
        <v>609</v>
      </c>
      <c r="B11" s="36">
        <v>115.81877899169922</v>
      </c>
      <c r="C11" s="36">
        <v>101.64265441894531</v>
      </c>
      <c r="D11" s="10">
        <v>5738526</v>
      </c>
      <c r="E11" s="10" t="s">
        <v>603</v>
      </c>
      <c r="F11" s="10" t="s">
        <v>604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0" t="s">
        <v>610</v>
      </c>
      <c r="B12" s="36">
        <v>117.03752899169922</v>
      </c>
      <c r="C12" s="36">
        <v>102.71223449707031</v>
      </c>
      <c r="D12" s="10">
        <v>4619465</v>
      </c>
      <c r="E12" s="10" t="s">
        <v>603</v>
      </c>
      <c r="F12" s="10" t="s">
        <v>604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0" t="s">
        <v>611</v>
      </c>
      <c r="B13" s="36">
        <v>113.74690246582031</v>
      </c>
      <c r="C13" s="36">
        <v>99.824363708496094</v>
      </c>
      <c r="D13" s="10">
        <v>7315918</v>
      </c>
      <c r="E13" s="10" t="s">
        <v>603</v>
      </c>
      <c r="F13" s="10" t="s">
        <v>604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0" t="s">
        <v>612</v>
      </c>
      <c r="B14" s="36">
        <v>112.86565399169922</v>
      </c>
      <c r="C14" s="36">
        <v>99.050994873046875</v>
      </c>
      <c r="D14" s="10">
        <v>13076860</v>
      </c>
      <c r="E14" s="10" t="s">
        <v>603</v>
      </c>
      <c r="F14" s="10" t="s">
        <v>604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0" t="s">
        <v>613</v>
      </c>
      <c r="B15" s="36">
        <v>110.03440093994141</v>
      </c>
      <c r="C15" s="36">
        <v>96.5662841796875</v>
      </c>
      <c r="D15" s="10">
        <v>8342621</v>
      </c>
      <c r="E15" s="10" t="s">
        <v>603</v>
      </c>
      <c r="F15" s="10" t="s">
        <v>604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0" t="s">
        <v>614</v>
      </c>
      <c r="B16" s="36">
        <v>107.88752746582031</v>
      </c>
      <c r="C16" s="36">
        <v>94.682182312011719</v>
      </c>
      <c r="D16" s="10">
        <v>7922147</v>
      </c>
      <c r="E16" s="10" t="s">
        <v>603</v>
      </c>
      <c r="F16" s="10" t="s">
        <v>604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0" t="s">
        <v>615</v>
      </c>
      <c r="B17" s="36">
        <v>108.40315246582031</v>
      </c>
      <c r="C17" s="36">
        <v>95.134712219238281</v>
      </c>
      <c r="D17" s="10">
        <v>21048960</v>
      </c>
      <c r="E17" s="10" t="s">
        <v>603</v>
      </c>
      <c r="F17" s="10" t="s">
        <v>604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0" t="s">
        <v>616</v>
      </c>
      <c r="B18" s="36">
        <v>102.1031494140625</v>
      </c>
      <c r="C18" s="36">
        <v>89.605804443359375</v>
      </c>
      <c r="D18" s="10">
        <v>33440956</v>
      </c>
      <c r="E18" s="10" t="s">
        <v>603</v>
      </c>
      <c r="F18" s="10" t="s">
        <v>604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0" t="s">
        <v>617</v>
      </c>
      <c r="B19" s="36">
        <v>100.17189788818359</v>
      </c>
      <c r="C19" s="36">
        <v>87.910957336425781</v>
      </c>
      <c r="D19" s="10">
        <v>16233670</v>
      </c>
      <c r="E19" s="10" t="s">
        <v>603</v>
      </c>
      <c r="F19" s="10" t="s">
        <v>604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0" t="s">
        <v>618</v>
      </c>
      <c r="B20" s="36">
        <v>98.100021362304688</v>
      </c>
      <c r="C20" s="36">
        <v>86.092658996582031</v>
      </c>
      <c r="D20" s="10">
        <v>19017589</v>
      </c>
      <c r="E20" s="10" t="s">
        <v>603</v>
      </c>
      <c r="F20" s="10" t="s">
        <v>604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0" t="s">
        <v>619</v>
      </c>
      <c r="B21" s="36">
        <v>100.0875244140625</v>
      </c>
      <c r="C21" s="36">
        <v>87.836891174316406</v>
      </c>
      <c r="D21" s="10">
        <v>9816226</v>
      </c>
      <c r="E21" s="10" t="s">
        <v>603</v>
      </c>
      <c r="F21" s="10" t="s">
        <v>604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0" t="s">
        <v>620</v>
      </c>
      <c r="B22" s="36">
        <v>99.796897888183594</v>
      </c>
      <c r="C22" s="36">
        <v>87.581832885742188</v>
      </c>
      <c r="D22" s="10">
        <v>16379558</v>
      </c>
      <c r="E22" s="10" t="s">
        <v>603</v>
      </c>
      <c r="F22" s="10" t="s">
        <v>604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0" t="s">
        <v>621</v>
      </c>
      <c r="B23" s="36">
        <v>101.55940246582031</v>
      </c>
      <c r="C23" s="36">
        <v>89.128608703613281</v>
      </c>
      <c r="D23" s="10">
        <v>15025078</v>
      </c>
      <c r="E23" s="10" t="s">
        <v>603</v>
      </c>
      <c r="F23" s="10" t="s">
        <v>604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0" t="s">
        <v>622</v>
      </c>
      <c r="B24" s="36">
        <v>100.98752593994141</v>
      </c>
      <c r="C24" s="36">
        <v>88.626724243164063</v>
      </c>
      <c r="D24" s="10">
        <v>16950219</v>
      </c>
      <c r="E24" s="10" t="s">
        <v>603</v>
      </c>
      <c r="F24" s="10" t="s">
        <v>604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0" t="s">
        <v>623</v>
      </c>
      <c r="B25" s="36">
        <v>101.46565246582031</v>
      </c>
      <c r="C25" s="36">
        <v>89.046340942382813</v>
      </c>
      <c r="D25" s="10">
        <v>5264457</v>
      </c>
      <c r="E25" s="10" t="s">
        <v>603</v>
      </c>
      <c r="F25" s="10" t="s">
        <v>604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0" t="s">
        <v>624</v>
      </c>
      <c r="B26" s="36">
        <v>102.16877746582031</v>
      </c>
      <c r="C26" s="36">
        <v>89.663406372070313</v>
      </c>
      <c r="D26" s="10">
        <v>8626659</v>
      </c>
      <c r="E26" s="10" t="s">
        <v>603</v>
      </c>
      <c r="F26" s="10" t="s">
        <v>604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0" t="s">
        <v>625</v>
      </c>
      <c r="B27" s="36">
        <v>99.815650939941406</v>
      </c>
      <c r="C27" s="36">
        <v>87.598289489746094</v>
      </c>
      <c r="D27" s="10">
        <v>14824806</v>
      </c>
      <c r="E27" s="10" t="s">
        <v>603</v>
      </c>
      <c r="F27" s="10" t="s">
        <v>604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0" t="s">
        <v>626</v>
      </c>
      <c r="B28" s="36">
        <v>100.90315246582031</v>
      </c>
      <c r="C28" s="36">
        <v>88.552696228027344</v>
      </c>
      <c r="D28" s="10">
        <v>12131047</v>
      </c>
      <c r="E28" s="10" t="s">
        <v>603</v>
      </c>
      <c r="F28" s="10" t="s">
        <v>604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0" t="s">
        <v>627</v>
      </c>
      <c r="B29" s="36">
        <v>101.34377288818359</v>
      </c>
      <c r="C29" s="36">
        <v>88.939361572265625</v>
      </c>
      <c r="D29" s="10">
        <v>8303757</v>
      </c>
      <c r="E29" s="10" t="s">
        <v>603</v>
      </c>
      <c r="F29" s="10" t="s">
        <v>604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0" t="s">
        <v>628</v>
      </c>
      <c r="B30" s="36">
        <v>101.53127288818359</v>
      </c>
      <c r="C30" s="36">
        <v>89.103935241699219</v>
      </c>
      <c r="D30" s="10">
        <v>11205821</v>
      </c>
      <c r="E30" s="10" t="s">
        <v>603</v>
      </c>
      <c r="F30" s="10" t="s">
        <v>604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0" t="s">
        <v>629</v>
      </c>
      <c r="B31" s="36">
        <v>100.09690093994141</v>
      </c>
      <c r="C31" s="36">
        <v>87.845115661621094</v>
      </c>
      <c r="D31" s="10">
        <v>7637918</v>
      </c>
      <c r="E31" s="10" t="s">
        <v>603</v>
      </c>
      <c r="F31" s="10" t="s">
        <v>604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0" t="s">
        <v>630</v>
      </c>
      <c r="B32" s="36">
        <v>101.67189788818359</v>
      </c>
      <c r="C32" s="36">
        <v>89.227340698242188</v>
      </c>
      <c r="D32" s="10">
        <v>8023000</v>
      </c>
      <c r="E32" s="10" t="s">
        <v>603</v>
      </c>
      <c r="F32" s="10" t="s">
        <v>604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0" t="s">
        <v>631</v>
      </c>
      <c r="B33" s="36">
        <v>100.59377288818359</v>
      </c>
      <c r="C33" s="36">
        <v>88.281166076660156</v>
      </c>
      <c r="D33" s="10">
        <v>5469907</v>
      </c>
      <c r="E33" s="10" t="s">
        <v>603</v>
      </c>
      <c r="F33" s="10" t="s">
        <v>604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0" t="s">
        <v>632</v>
      </c>
      <c r="B34" s="36">
        <v>100.95939636230469</v>
      </c>
      <c r="C34" s="36">
        <v>88.60205078125</v>
      </c>
      <c r="D34" s="10">
        <v>5391273</v>
      </c>
      <c r="E34" s="10" t="s">
        <v>603</v>
      </c>
      <c r="F34" s="10" t="s">
        <v>604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0" t="s">
        <v>633</v>
      </c>
      <c r="B35" s="36">
        <v>102.04689788818359</v>
      </c>
      <c r="C35" s="36">
        <v>89.556449890136719</v>
      </c>
      <c r="D35" s="10">
        <v>5679331</v>
      </c>
      <c r="E35" s="10" t="s">
        <v>603</v>
      </c>
      <c r="F35" s="10" t="s">
        <v>604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0" t="s">
        <v>634</v>
      </c>
      <c r="B36" s="36">
        <v>103.61252593994141</v>
      </c>
      <c r="C36" s="36">
        <v>90.930442810058594</v>
      </c>
      <c r="D36" s="10">
        <v>12356226</v>
      </c>
      <c r="E36" s="10" t="s">
        <v>603</v>
      </c>
      <c r="F36" s="10" t="s">
        <v>604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0" t="s">
        <v>635</v>
      </c>
      <c r="B37" s="36">
        <v>105.75002288818359</v>
      </c>
      <c r="C37" s="36">
        <v>92.806304931640625</v>
      </c>
      <c r="D37" s="10">
        <v>7847779</v>
      </c>
      <c r="E37" s="10" t="s">
        <v>603</v>
      </c>
      <c r="F37" s="10" t="s">
        <v>604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0" t="s">
        <v>636</v>
      </c>
      <c r="B38" s="36">
        <v>105.79689788818359</v>
      </c>
      <c r="C38" s="36">
        <v>92.847450256347656</v>
      </c>
      <c r="D38" s="10">
        <v>7785822</v>
      </c>
      <c r="E38" s="10" t="s">
        <v>603</v>
      </c>
      <c r="F38" s="10" t="s">
        <v>604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0" t="s">
        <v>637</v>
      </c>
      <c r="B39" s="36">
        <v>105.09377288818359</v>
      </c>
      <c r="C39" s="36">
        <v>92.230384826660156</v>
      </c>
      <c r="D39" s="10">
        <v>10580120</v>
      </c>
      <c r="E39" s="10" t="s">
        <v>603</v>
      </c>
      <c r="F39" s="10" t="s">
        <v>604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0" t="s">
        <v>638</v>
      </c>
      <c r="B40" s="36">
        <v>105.58127593994141</v>
      </c>
      <c r="C40" s="36">
        <v>92.658210754394531</v>
      </c>
      <c r="D40" s="10">
        <v>8279640</v>
      </c>
      <c r="E40" s="10" t="s">
        <v>603</v>
      </c>
      <c r="F40" s="10" t="s">
        <v>604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0" t="s">
        <v>639</v>
      </c>
      <c r="B41" s="36">
        <v>104.67189788818359</v>
      </c>
      <c r="C41" s="36">
        <v>91.860137939453125</v>
      </c>
      <c r="D41" s="10">
        <v>6425326</v>
      </c>
      <c r="E41" s="10" t="s">
        <v>603</v>
      </c>
      <c r="F41" s="10" t="s">
        <v>604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0" t="s">
        <v>640</v>
      </c>
      <c r="B42" s="36">
        <v>103.56565093994141</v>
      </c>
      <c r="C42" s="36">
        <v>90.889289855957031</v>
      </c>
      <c r="D42" s="10">
        <v>8946008</v>
      </c>
      <c r="E42" s="10" t="s">
        <v>603</v>
      </c>
      <c r="F42" s="10" t="s">
        <v>604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0" t="s">
        <v>641</v>
      </c>
      <c r="B43" s="36">
        <v>103.9781494140625</v>
      </c>
      <c r="C43" s="36">
        <v>91.251296997070313</v>
      </c>
      <c r="D43" s="10">
        <v>12361740</v>
      </c>
      <c r="E43" s="10" t="s">
        <v>603</v>
      </c>
      <c r="F43" s="10" t="s">
        <v>604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0" t="s">
        <v>642</v>
      </c>
      <c r="B44" s="36">
        <v>105.31877899169922</v>
      </c>
      <c r="C44" s="36">
        <v>92.427841186523438</v>
      </c>
      <c r="D44" s="10">
        <v>17654976</v>
      </c>
      <c r="E44" s="10" t="s">
        <v>603</v>
      </c>
      <c r="F44" s="10" t="s">
        <v>604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0" t="s">
        <v>643</v>
      </c>
      <c r="B45" s="36">
        <v>105.6656494140625</v>
      </c>
      <c r="C45" s="36">
        <v>92.732261657714844</v>
      </c>
      <c r="D45" s="10">
        <v>4461161</v>
      </c>
      <c r="E45" s="10" t="s">
        <v>603</v>
      </c>
      <c r="F45" s="10" t="s">
        <v>604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0" t="s">
        <v>644</v>
      </c>
      <c r="B46" s="36">
        <v>102.9000244140625</v>
      </c>
      <c r="C46" s="36">
        <v>90.305137634277344</v>
      </c>
      <c r="D46" s="10">
        <v>5428366</v>
      </c>
      <c r="E46" s="10" t="s">
        <v>603</v>
      </c>
      <c r="F46" s="10" t="s">
        <v>604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0" t="s">
        <v>645</v>
      </c>
      <c r="B47" s="36">
        <v>102.30002593994141</v>
      </c>
      <c r="C47" s="36">
        <v>89.778579711914063</v>
      </c>
      <c r="D47" s="10">
        <v>9938402</v>
      </c>
      <c r="E47" s="10" t="s">
        <v>603</v>
      </c>
      <c r="F47" s="10" t="s">
        <v>604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0" t="s">
        <v>646</v>
      </c>
      <c r="B48" s="36">
        <v>103.63127136230469</v>
      </c>
      <c r="C48" s="36">
        <v>90.946884155273438</v>
      </c>
      <c r="D48" s="10">
        <v>12418162</v>
      </c>
      <c r="E48" s="10" t="s">
        <v>603</v>
      </c>
      <c r="F48" s="10" t="s">
        <v>604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0" t="s">
        <v>647</v>
      </c>
      <c r="B49" s="36">
        <v>104.2125244140625</v>
      </c>
      <c r="C49" s="36">
        <v>91.457000732421875</v>
      </c>
      <c r="D49" s="10">
        <v>9048973</v>
      </c>
      <c r="E49" s="10" t="s">
        <v>603</v>
      </c>
      <c r="F49" s="10" t="s">
        <v>604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0" t="s">
        <v>648</v>
      </c>
      <c r="B50" s="36">
        <v>104.06252288818359</v>
      </c>
      <c r="C50" s="36">
        <v>91.325347900390625</v>
      </c>
      <c r="D50" s="10">
        <v>6071763</v>
      </c>
      <c r="E50" s="10" t="s">
        <v>603</v>
      </c>
      <c r="F50" s="10" t="s">
        <v>604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0" t="s">
        <v>649</v>
      </c>
      <c r="B51" s="36">
        <v>101.9156494140625</v>
      </c>
      <c r="C51" s="36">
        <v>89.441246032714844</v>
      </c>
      <c r="D51" s="10">
        <v>6360473</v>
      </c>
      <c r="E51" s="10" t="s">
        <v>603</v>
      </c>
      <c r="F51" s="10" t="s">
        <v>604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0" t="s">
        <v>650</v>
      </c>
      <c r="B52" s="36">
        <v>105.51564788818359</v>
      </c>
      <c r="C52" s="36">
        <v>92.600616455078125</v>
      </c>
      <c r="D52" s="10">
        <v>9516498</v>
      </c>
      <c r="E52" s="10" t="s">
        <v>603</v>
      </c>
      <c r="F52" s="10" t="s">
        <v>604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0" t="s">
        <v>651</v>
      </c>
      <c r="B53" s="36">
        <v>102.3843994140625</v>
      </c>
      <c r="C53" s="36">
        <v>89.852638244628906</v>
      </c>
      <c r="D53" s="10">
        <v>10654536</v>
      </c>
      <c r="E53" s="10" t="s">
        <v>603</v>
      </c>
      <c r="F53" s="10" t="s">
        <v>604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0" t="s">
        <v>652</v>
      </c>
      <c r="B54" s="36">
        <v>100.75315093994141</v>
      </c>
      <c r="C54" s="36">
        <v>88.421051025390625</v>
      </c>
      <c r="D54" s="10">
        <v>11815543</v>
      </c>
      <c r="E54" s="10" t="s">
        <v>603</v>
      </c>
      <c r="F54" s="10" t="s">
        <v>604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0" t="s">
        <v>653</v>
      </c>
      <c r="B55" s="36">
        <v>101.41877746582031</v>
      </c>
      <c r="C55" s="36">
        <v>89.005203247070313</v>
      </c>
      <c r="D55" s="10">
        <v>5508510</v>
      </c>
      <c r="E55" s="10" t="s">
        <v>603</v>
      </c>
      <c r="F55" s="10" t="s">
        <v>604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0" t="s">
        <v>654</v>
      </c>
      <c r="B56" s="36">
        <v>101.3062744140625</v>
      </c>
      <c r="C56" s="36">
        <v>88.906471252441406</v>
      </c>
      <c r="D56" s="10">
        <v>6020206</v>
      </c>
      <c r="E56" s="10" t="s">
        <v>603</v>
      </c>
      <c r="F56" s="10" t="s">
        <v>604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0" t="s">
        <v>655</v>
      </c>
      <c r="B57" s="36">
        <v>102.4781494140625</v>
      </c>
      <c r="C57" s="36">
        <v>89.934921264648438</v>
      </c>
      <c r="D57" s="10">
        <v>7280782</v>
      </c>
      <c r="E57" s="10" t="s">
        <v>603</v>
      </c>
      <c r="F57" s="10" t="s">
        <v>604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0" t="s">
        <v>656</v>
      </c>
      <c r="B58" s="36">
        <v>104.26877593994141</v>
      </c>
      <c r="C58" s="36">
        <v>91.506362915039063</v>
      </c>
      <c r="D58" s="10">
        <v>9528344</v>
      </c>
      <c r="E58" s="10" t="s">
        <v>603</v>
      </c>
      <c r="F58" s="10" t="s">
        <v>604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0" t="s">
        <v>657</v>
      </c>
      <c r="B59" s="36">
        <v>105.2906494140625</v>
      </c>
      <c r="C59" s="36">
        <v>92.403152465820313</v>
      </c>
      <c r="D59" s="10">
        <v>27555342</v>
      </c>
      <c r="E59" s="10" t="s">
        <v>603</v>
      </c>
      <c r="F59" s="10" t="s">
        <v>604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0" t="s">
        <v>658</v>
      </c>
      <c r="B60" s="36">
        <v>105.03752899169922</v>
      </c>
      <c r="C60" s="36">
        <v>92.181015014648438</v>
      </c>
      <c r="D60" s="10">
        <v>8081059</v>
      </c>
      <c r="E60" s="10" t="s">
        <v>603</v>
      </c>
      <c r="F60" s="10" t="s">
        <v>604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0" t="s">
        <v>659</v>
      </c>
      <c r="B61" s="36">
        <v>104.51252746582031</v>
      </c>
      <c r="C61" s="36">
        <v>91.720268249511719</v>
      </c>
      <c r="D61" s="10">
        <v>5694782</v>
      </c>
      <c r="E61" s="10" t="s">
        <v>603</v>
      </c>
      <c r="F61" s="10" t="s">
        <v>604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0" t="s">
        <v>660</v>
      </c>
      <c r="B62" s="36">
        <v>106.01252746582031</v>
      </c>
      <c r="C62" s="36">
        <v>93.036674499511719</v>
      </c>
      <c r="D62" s="10">
        <v>7592163</v>
      </c>
      <c r="E62" s="10" t="s">
        <v>603</v>
      </c>
      <c r="F62" s="10" t="s">
        <v>604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0" t="s">
        <v>661</v>
      </c>
      <c r="B63" s="36">
        <v>103.52815246582031</v>
      </c>
      <c r="C63" s="36">
        <v>90.856399536132813</v>
      </c>
      <c r="D63" s="10">
        <v>11733234</v>
      </c>
      <c r="E63" s="10" t="s">
        <v>603</v>
      </c>
      <c r="F63" s="10" t="s">
        <v>604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0" t="s">
        <v>662</v>
      </c>
      <c r="B64" s="36">
        <v>104.74690246582031</v>
      </c>
      <c r="C64" s="36">
        <v>91.925971984863281</v>
      </c>
      <c r="D64" s="10">
        <v>4171246</v>
      </c>
      <c r="E64" s="10" t="s">
        <v>603</v>
      </c>
      <c r="F64" s="10" t="s">
        <v>604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0" t="s">
        <v>663</v>
      </c>
      <c r="B65" s="36">
        <v>103.57502746582031</v>
      </c>
      <c r="C65" s="36">
        <v>90.89752197265625</v>
      </c>
      <c r="D65" s="10">
        <v>4477214</v>
      </c>
      <c r="E65" s="10" t="s">
        <v>603</v>
      </c>
      <c r="F65" s="10" t="s">
        <v>604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0" t="s">
        <v>664</v>
      </c>
      <c r="B66" s="36">
        <v>102.50627136230469</v>
      </c>
      <c r="C66" s="36">
        <v>89.959579467773438</v>
      </c>
      <c r="D66" s="10">
        <v>8373885</v>
      </c>
      <c r="E66" s="10" t="s">
        <v>603</v>
      </c>
      <c r="F66" s="10" t="s">
        <v>604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0" t="s">
        <v>665</v>
      </c>
      <c r="B67" s="36">
        <v>103.64064788818359</v>
      </c>
      <c r="C67" s="36">
        <v>90.955123901367188</v>
      </c>
      <c r="D67" s="10">
        <v>6424723</v>
      </c>
      <c r="E67" s="10" t="s">
        <v>603</v>
      </c>
      <c r="F67" s="10" t="s">
        <v>604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0" t="s">
        <v>666</v>
      </c>
      <c r="B68" s="36">
        <v>104.20314788818359</v>
      </c>
      <c r="C68" s="36">
        <v>91.448768615722656</v>
      </c>
      <c r="D68" s="10">
        <v>5362553</v>
      </c>
      <c r="E68" s="10" t="s">
        <v>603</v>
      </c>
      <c r="F68" s="10" t="s">
        <v>604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0" t="s">
        <v>667</v>
      </c>
      <c r="B69" s="36">
        <v>103.0406494140625</v>
      </c>
      <c r="C69" s="36">
        <v>90.428558349609375</v>
      </c>
      <c r="D69" s="10">
        <v>4578990</v>
      </c>
      <c r="E69" s="10" t="s">
        <v>603</v>
      </c>
      <c r="F69" s="10" t="s">
        <v>604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0" t="s">
        <v>668</v>
      </c>
      <c r="B70" s="36">
        <v>103.1343994140625</v>
      </c>
      <c r="C70" s="36">
        <v>90.510826110839844</v>
      </c>
      <c r="D70" s="10">
        <v>3867641</v>
      </c>
      <c r="E70" s="10" t="s">
        <v>603</v>
      </c>
      <c r="F70" s="10" t="s">
        <v>604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0" t="s">
        <v>669</v>
      </c>
      <c r="B71" s="36">
        <v>103.8375244140625</v>
      </c>
      <c r="C71" s="36">
        <v>91.127891540527344</v>
      </c>
      <c r="D71" s="10">
        <v>4165118</v>
      </c>
      <c r="E71" s="10" t="s">
        <v>603</v>
      </c>
      <c r="F71" s="10" t="s">
        <v>604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0" t="s">
        <v>670</v>
      </c>
      <c r="B72" s="36">
        <v>103.64064788818359</v>
      </c>
      <c r="C72" s="36">
        <v>90.955123901367188</v>
      </c>
      <c r="D72" s="10">
        <v>5195982</v>
      </c>
      <c r="E72" s="10" t="s">
        <v>603</v>
      </c>
      <c r="F72" s="10" t="s">
        <v>604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0" t="s">
        <v>671</v>
      </c>
      <c r="B73" s="36">
        <v>102.16877746582031</v>
      </c>
      <c r="C73" s="36">
        <v>89.663406372070313</v>
      </c>
      <c r="D73" s="10">
        <v>3664431</v>
      </c>
      <c r="E73" s="10" t="s">
        <v>603</v>
      </c>
      <c r="F73" s="10" t="s">
        <v>604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0" t="s">
        <v>672</v>
      </c>
      <c r="B74" s="36">
        <v>102.87190246582031</v>
      </c>
      <c r="C74" s="36">
        <v>90.280464172363281</v>
      </c>
      <c r="D74" s="10">
        <v>5939475</v>
      </c>
      <c r="E74" s="10" t="s">
        <v>603</v>
      </c>
      <c r="F74" s="10" t="s">
        <v>604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0" t="s">
        <v>673</v>
      </c>
      <c r="B75" s="36">
        <v>104.93440246582031</v>
      </c>
      <c r="C75" s="36">
        <v>92.090522766113281</v>
      </c>
      <c r="D75" s="10">
        <v>4831150</v>
      </c>
      <c r="E75" s="10" t="s">
        <v>603</v>
      </c>
      <c r="F75" s="10" t="s">
        <v>604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0" t="s">
        <v>674</v>
      </c>
      <c r="B76" s="36">
        <v>106.01252746582031</v>
      </c>
      <c r="C76" s="36">
        <v>93.036674499511719</v>
      </c>
      <c r="D76" s="10">
        <v>3293913</v>
      </c>
      <c r="E76" s="10" t="s">
        <v>603</v>
      </c>
      <c r="F76" s="10" t="s">
        <v>604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0" t="s">
        <v>675</v>
      </c>
      <c r="B77" s="36">
        <v>108.32815551757813</v>
      </c>
      <c r="C77" s="36">
        <v>95.068870544433594</v>
      </c>
      <c r="D77" s="10">
        <v>8716285</v>
      </c>
      <c r="E77" s="10" t="s">
        <v>603</v>
      </c>
      <c r="F77" s="10" t="s">
        <v>604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0" t="s">
        <v>676</v>
      </c>
      <c r="B78" s="36">
        <v>107.8687744140625</v>
      </c>
      <c r="C78" s="36">
        <v>94.665718078613281</v>
      </c>
      <c r="D78" s="10">
        <v>4637732</v>
      </c>
      <c r="E78" s="10" t="s">
        <v>603</v>
      </c>
      <c r="F78" s="10" t="s">
        <v>604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0" t="s">
        <v>677</v>
      </c>
      <c r="B79" s="36">
        <v>106.56565093994141</v>
      </c>
      <c r="C79" s="36">
        <v>93.522102355957031</v>
      </c>
      <c r="D79" s="10">
        <v>5034174</v>
      </c>
      <c r="E79" s="10" t="s">
        <v>603</v>
      </c>
      <c r="F79" s="10" t="s">
        <v>604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0" t="s">
        <v>678</v>
      </c>
      <c r="B80" s="36">
        <v>106.61252593994141</v>
      </c>
      <c r="C80" s="36">
        <v>94.729965209960938</v>
      </c>
      <c r="D80" s="10">
        <v>3991263</v>
      </c>
      <c r="E80" s="10" t="s">
        <v>603</v>
      </c>
      <c r="F80" s="10" t="s">
        <v>604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0" t="s">
        <v>679</v>
      </c>
      <c r="B81" s="36">
        <v>108.11252593994141</v>
      </c>
      <c r="C81" s="36">
        <v>96.062782287597656</v>
      </c>
      <c r="D81" s="10">
        <v>8343864</v>
      </c>
      <c r="E81" s="10" t="s">
        <v>603</v>
      </c>
      <c r="F81" s="10" t="s">
        <v>604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0" t="s">
        <v>680</v>
      </c>
      <c r="B82" s="36">
        <v>109.61252593994141</v>
      </c>
      <c r="C82" s="36">
        <v>97.395606994628906</v>
      </c>
      <c r="D82" s="10">
        <v>5474926</v>
      </c>
      <c r="E82" s="10" t="s">
        <v>603</v>
      </c>
      <c r="F82" s="10" t="s">
        <v>604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0" t="s">
        <v>681</v>
      </c>
      <c r="B83" s="36">
        <v>110.4468994140625</v>
      </c>
      <c r="C83" s="36">
        <v>98.136978149414063</v>
      </c>
      <c r="D83" s="10">
        <v>11890199</v>
      </c>
      <c r="E83" s="10" t="s">
        <v>603</v>
      </c>
      <c r="F83" s="10" t="s">
        <v>604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0" t="s">
        <v>682</v>
      </c>
      <c r="B84" s="36">
        <v>106.26564788818359</v>
      </c>
      <c r="C84" s="36">
        <v>94.421768188476563</v>
      </c>
      <c r="D84" s="10">
        <v>12045388</v>
      </c>
      <c r="E84" s="10" t="s">
        <v>603</v>
      </c>
      <c r="F84" s="10" t="s">
        <v>604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0" t="s">
        <v>683</v>
      </c>
      <c r="B85" s="36">
        <v>105.30940246582031</v>
      </c>
      <c r="C85" s="36">
        <v>93.572090148925781</v>
      </c>
      <c r="D85" s="10">
        <v>5267502</v>
      </c>
      <c r="E85" s="10" t="s">
        <v>603</v>
      </c>
      <c r="F85" s="10" t="s">
        <v>604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0" t="s">
        <v>684</v>
      </c>
      <c r="B86" s="36">
        <v>104.37190246582031</v>
      </c>
      <c r="C86" s="36">
        <v>92.739067077636719</v>
      </c>
      <c r="D86" s="10">
        <v>8265859</v>
      </c>
      <c r="E86" s="10" t="s">
        <v>603</v>
      </c>
      <c r="F86" s="10" t="s">
        <v>604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0" t="s">
        <v>685</v>
      </c>
      <c r="B87" s="36">
        <v>105.90940093994141</v>
      </c>
      <c r="C87" s="36">
        <v>94.105216979980469</v>
      </c>
      <c r="D87" s="10">
        <v>6008291</v>
      </c>
      <c r="E87" s="10" t="s">
        <v>603</v>
      </c>
      <c r="F87" s="10" t="s">
        <v>604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0" t="s">
        <v>686</v>
      </c>
      <c r="B88" s="36">
        <v>105.37502288818359</v>
      </c>
      <c r="C88" s="36">
        <v>93.630386352539063</v>
      </c>
      <c r="D88" s="10">
        <v>5578062</v>
      </c>
      <c r="E88" s="10" t="s">
        <v>603</v>
      </c>
      <c r="F88" s="10" t="s">
        <v>604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0" t="s">
        <v>687</v>
      </c>
      <c r="B89" s="36">
        <v>106.84690093994141</v>
      </c>
      <c r="C89" s="36">
        <v>94.938217163085938</v>
      </c>
      <c r="D89" s="10">
        <v>7047102</v>
      </c>
      <c r="E89" s="10" t="s">
        <v>603</v>
      </c>
      <c r="F89" s="10" t="s">
        <v>604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0" t="s">
        <v>688</v>
      </c>
      <c r="B90" s="36">
        <v>106.95002746582031</v>
      </c>
      <c r="C90" s="36">
        <v>95.02984619140625</v>
      </c>
      <c r="D90" s="10">
        <v>3455284</v>
      </c>
      <c r="E90" s="10" t="s">
        <v>603</v>
      </c>
      <c r="F90" s="10" t="s">
        <v>604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0" t="s">
        <v>689</v>
      </c>
      <c r="B91" s="36">
        <v>104.97190093994141</v>
      </c>
      <c r="C91" s="36">
        <v>93.272186279296875</v>
      </c>
      <c r="D91" s="10">
        <v>7786595</v>
      </c>
      <c r="E91" s="10" t="s">
        <v>603</v>
      </c>
      <c r="F91" s="10" t="s">
        <v>604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0" t="s">
        <v>690</v>
      </c>
      <c r="B92" s="36">
        <v>107.87815093994141</v>
      </c>
      <c r="C92" s="36">
        <v>95.854537963867188</v>
      </c>
      <c r="D92" s="10">
        <v>5696430</v>
      </c>
      <c r="E92" s="10" t="s">
        <v>603</v>
      </c>
      <c r="F92" s="10" t="s">
        <v>604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0" t="s">
        <v>691</v>
      </c>
      <c r="B93" s="36">
        <v>107.17502593994141</v>
      </c>
      <c r="C93" s="36">
        <v>95.229782104492188</v>
      </c>
      <c r="D93" s="10">
        <v>5022969</v>
      </c>
      <c r="E93" s="10" t="s">
        <v>603</v>
      </c>
      <c r="F93" s="10" t="s">
        <v>604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0" t="s">
        <v>692</v>
      </c>
      <c r="B94" s="36">
        <v>106.70627593994141</v>
      </c>
      <c r="C94" s="36">
        <v>94.813262939453125</v>
      </c>
      <c r="D94" s="10">
        <v>4219929</v>
      </c>
      <c r="E94" s="10" t="s">
        <v>603</v>
      </c>
      <c r="F94" s="10" t="s">
        <v>604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0" t="s">
        <v>693</v>
      </c>
      <c r="B95" s="36">
        <v>105.64690399169922</v>
      </c>
      <c r="C95" s="36">
        <v>93.871971130371094</v>
      </c>
      <c r="D95" s="10">
        <v>3854564</v>
      </c>
      <c r="E95" s="10" t="s">
        <v>603</v>
      </c>
      <c r="F95" s="10" t="s">
        <v>604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0" t="s">
        <v>694</v>
      </c>
      <c r="B96" s="36">
        <v>106.15315246582031</v>
      </c>
      <c r="C96" s="36">
        <v>94.321784973144531</v>
      </c>
      <c r="D96" s="10">
        <v>6672931</v>
      </c>
      <c r="E96" s="10" t="s">
        <v>603</v>
      </c>
      <c r="F96" s="10" t="s">
        <v>604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0" t="s">
        <v>695</v>
      </c>
      <c r="B97" s="36">
        <v>108.32815551757813</v>
      </c>
      <c r="C97" s="36">
        <v>96.254379272460938</v>
      </c>
      <c r="D97" s="10">
        <v>7323971</v>
      </c>
      <c r="E97" s="10" t="s">
        <v>603</v>
      </c>
      <c r="F97" s="10" t="s">
        <v>604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0" t="s">
        <v>696</v>
      </c>
      <c r="B98" s="36">
        <v>107.10002899169922</v>
      </c>
      <c r="C98" s="36">
        <v>95.16314697265625</v>
      </c>
      <c r="D98" s="10">
        <v>5510921</v>
      </c>
      <c r="E98" s="10" t="s">
        <v>603</v>
      </c>
      <c r="F98" s="10" t="s">
        <v>604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0" t="s">
        <v>697</v>
      </c>
      <c r="B99" s="36">
        <v>107.85939788818359</v>
      </c>
      <c r="C99" s="36">
        <v>95.837860107421875</v>
      </c>
      <c r="D99" s="10">
        <v>4568222</v>
      </c>
      <c r="E99" s="10" t="s">
        <v>603</v>
      </c>
      <c r="F99" s="10" t="s">
        <v>604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0" t="s">
        <v>698</v>
      </c>
      <c r="B100" s="36">
        <v>107.97190093994141</v>
      </c>
      <c r="C100" s="36">
        <v>95.937828063964844</v>
      </c>
      <c r="D100" s="10">
        <v>2212863</v>
      </c>
      <c r="E100" s="10" t="s">
        <v>603</v>
      </c>
      <c r="F100" s="10" t="s">
        <v>604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0" t="s">
        <v>699</v>
      </c>
      <c r="B101" s="36">
        <v>107.09065246582031</v>
      </c>
      <c r="C101" s="36">
        <v>95.154800415039063</v>
      </c>
      <c r="D101" s="10">
        <v>7479918</v>
      </c>
      <c r="E101" s="10" t="s">
        <v>603</v>
      </c>
      <c r="F101" s="10" t="s">
        <v>604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0" t="s">
        <v>700</v>
      </c>
      <c r="B102" s="36">
        <v>109.64065551757813</v>
      </c>
      <c r="C102" s="36">
        <v>97.420578002929688</v>
      </c>
      <c r="D102" s="10">
        <v>5814979</v>
      </c>
      <c r="E102" s="10" t="s">
        <v>603</v>
      </c>
      <c r="F102" s="10" t="s">
        <v>604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0" t="s">
        <v>701</v>
      </c>
      <c r="B103" s="36">
        <v>108.14065551757813</v>
      </c>
      <c r="C103" s="36">
        <v>96.087791442871094</v>
      </c>
      <c r="D103" s="10">
        <v>6423955</v>
      </c>
      <c r="E103" s="10" t="s">
        <v>603</v>
      </c>
      <c r="F103" s="10" t="s">
        <v>604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0" t="s">
        <v>702</v>
      </c>
      <c r="B104" s="36">
        <v>108.00003051757813</v>
      </c>
      <c r="C104" s="36">
        <v>95.962821960449219</v>
      </c>
      <c r="D104" s="10">
        <v>7385267</v>
      </c>
      <c r="E104" s="10" t="s">
        <v>603</v>
      </c>
      <c r="F104" s="10" t="s">
        <v>604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0" t="s">
        <v>703</v>
      </c>
      <c r="B105" s="36">
        <v>102.06565093994141</v>
      </c>
      <c r="C105" s="36">
        <v>90.689872741699219</v>
      </c>
      <c r="D105" s="10">
        <v>11884861</v>
      </c>
      <c r="E105" s="10" t="s">
        <v>603</v>
      </c>
      <c r="F105" s="10" t="s">
        <v>604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0" t="s">
        <v>704</v>
      </c>
      <c r="B106" s="36">
        <v>101.4937744140625</v>
      </c>
      <c r="C106" s="36">
        <v>90.181732177734375</v>
      </c>
      <c r="D106" s="10">
        <v>15297276</v>
      </c>
      <c r="E106" s="10" t="s">
        <v>603</v>
      </c>
      <c r="F106" s="10" t="s">
        <v>604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0" t="s">
        <v>705</v>
      </c>
      <c r="B107" s="36">
        <v>103.30314636230469</v>
      </c>
      <c r="C107" s="36">
        <v>91.7894287109375</v>
      </c>
      <c r="D107" s="10">
        <v>11044007</v>
      </c>
      <c r="E107" s="10" t="s">
        <v>603</v>
      </c>
      <c r="F107" s="10" t="s">
        <v>604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0" t="s">
        <v>706</v>
      </c>
      <c r="B108" s="36">
        <v>103.37815093994141</v>
      </c>
      <c r="C108" s="36">
        <v>91.8560791015625</v>
      </c>
      <c r="D108" s="10">
        <v>12857543</v>
      </c>
      <c r="E108" s="10" t="s">
        <v>603</v>
      </c>
      <c r="F108" s="10" t="s">
        <v>604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0" t="s">
        <v>707</v>
      </c>
      <c r="B109" s="36">
        <v>105.67502593994141</v>
      </c>
      <c r="C109" s="36">
        <v>93.896965026855469</v>
      </c>
      <c r="D109" s="10">
        <v>5714915</v>
      </c>
      <c r="E109" s="10" t="s">
        <v>603</v>
      </c>
      <c r="F109" s="10" t="s">
        <v>604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0" t="s">
        <v>708</v>
      </c>
      <c r="B110" s="36">
        <v>107.2125244140625</v>
      </c>
      <c r="C110" s="36">
        <v>95.263084411621094</v>
      </c>
      <c r="D110" s="10">
        <v>8954392</v>
      </c>
      <c r="E110" s="10" t="s">
        <v>603</v>
      </c>
      <c r="F110" s="10" t="s">
        <v>604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0" t="s">
        <v>709</v>
      </c>
      <c r="B111" s="36">
        <v>105.77815246582031</v>
      </c>
      <c r="C111" s="36">
        <v>93.98858642578125</v>
      </c>
      <c r="D111" s="10">
        <v>7103043</v>
      </c>
      <c r="E111" s="10" t="s">
        <v>603</v>
      </c>
      <c r="F111" s="10" t="s">
        <v>604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0" t="s">
        <v>710</v>
      </c>
      <c r="B112" s="36">
        <v>103.92189788818359</v>
      </c>
      <c r="C112" s="36">
        <v>92.339218139648438</v>
      </c>
      <c r="D112" s="10">
        <v>6572206</v>
      </c>
      <c r="E112" s="10" t="s">
        <v>603</v>
      </c>
      <c r="F112" s="10" t="s">
        <v>604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0" t="s">
        <v>711</v>
      </c>
      <c r="B113" s="36">
        <v>106.34065246582031</v>
      </c>
      <c r="C113" s="36">
        <v>94.488372802734375</v>
      </c>
      <c r="D113" s="10">
        <v>3285449</v>
      </c>
      <c r="E113" s="10" t="s">
        <v>603</v>
      </c>
      <c r="F113" s="10" t="s">
        <v>604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0" t="s">
        <v>712</v>
      </c>
      <c r="B114" s="36">
        <v>103.87502288818359</v>
      </c>
      <c r="C114" s="36">
        <v>92.297576904296875</v>
      </c>
      <c r="D114" s="10">
        <v>7928355</v>
      </c>
      <c r="E114" s="10" t="s">
        <v>603</v>
      </c>
      <c r="F114" s="10" t="s">
        <v>604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0" t="s">
        <v>713</v>
      </c>
      <c r="B115" s="36">
        <v>103.51877593994141</v>
      </c>
      <c r="C115" s="36">
        <v>91.981025695800781</v>
      </c>
      <c r="D115" s="10">
        <v>5709214</v>
      </c>
      <c r="E115" s="10" t="s">
        <v>603</v>
      </c>
      <c r="F115" s="10" t="s">
        <v>604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0" t="s">
        <v>714</v>
      </c>
      <c r="B116" s="36">
        <v>105.67502593994141</v>
      </c>
      <c r="C116" s="36">
        <v>93.896965026855469</v>
      </c>
      <c r="D116" s="10">
        <v>4094153</v>
      </c>
      <c r="E116" s="10" t="s">
        <v>603</v>
      </c>
      <c r="F116" s="10" t="s">
        <v>604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0" t="s">
        <v>715</v>
      </c>
      <c r="B117" s="36">
        <v>105.20627593994141</v>
      </c>
      <c r="C117" s="36">
        <v>93.480453491210938</v>
      </c>
      <c r="D117" s="10">
        <v>4099134</v>
      </c>
      <c r="E117" s="10" t="s">
        <v>603</v>
      </c>
      <c r="F117" s="10" t="s">
        <v>604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0" t="s">
        <v>716</v>
      </c>
      <c r="B118" s="36">
        <v>103.51877593994141</v>
      </c>
      <c r="C118" s="36">
        <v>91.981025695800781</v>
      </c>
      <c r="D118" s="10">
        <v>8775869</v>
      </c>
      <c r="E118" s="10" t="s">
        <v>603</v>
      </c>
      <c r="F118" s="10" t="s">
        <v>604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0" t="s">
        <v>717</v>
      </c>
      <c r="B119" s="36">
        <v>104.83127593994141</v>
      </c>
      <c r="C119" s="36">
        <v>93.147254943847656</v>
      </c>
      <c r="D119" s="10">
        <v>4084660</v>
      </c>
      <c r="E119" s="10" t="s">
        <v>603</v>
      </c>
      <c r="F119" s="10" t="s">
        <v>604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0" t="s">
        <v>718</v>
      </c>
      <c r="B120" s="36">
        <v>107.18440246582031</v>
      </c>
      <c r="C120" s="36">
        <v>95.238105773925781</v>
      </c>
      <c r="D120" s="10">
        <v>10684962</v>
      </c>
      <c r="E120" s="10" t="s">
        <v>603</v>
      </c>
      <c r="F120" s="10" t="s">
        <v>604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0" t="s">
        <v>719</v>
      </c>
      <c r="B121" s="36">
        <v>107.08127593994141</v>
      </c>
      <c r="C121" s="36">
        <v>95.146476745605469</v>
      </c>
      <c r="D121" s="10">
        <v>4937700</v>
      </c>
      <c r="E121" s="10" t="s">
        <v>603</v>
      </c>
      <c r="F121" s="10" t="s">
        <v>604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0" t="s">
        <v>720</v>
      </c>
      <c r="B122" s="36">
        <v>108.8531494140625</v>
      </c>
      <c r="C122" s="36">
        <v>96.720863342285156</v>
      </c>
      <c r="D122" s="10">
        <v>9941709</v>
      </c>
      <c r="E122" s="10" t="s">
        <v>603</v>
      </c>
      <c r="F122" s="10" t="s">
        <v>604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0" t="s">
        <v>721</v>
      </c>
      <c r="B123" s="36">
        <v>111.00003051757813</v>
      </c>
      <c r="C123" s="36">
        <v>98.628456115722656</v>
      </c>
      <c r="D123" s="10">
        <v>9898909</v>
      </c>
      <c r="E123" s="10" t="s">
        <v>603</v>
      </c>
      <c r="F123" s="10" t="s">
        <v>604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0" t="s">
        <v>722</v>
      </c>
      <c r="B124" s="36">
        <v>111.03752899169922</v>
      </c>
      <c r="C124" s="36">
        <v>98.661781311035156</v>
      </c>
      <c r="D124" s="10">
        <v>11840733</v>
      </c>
      <c r="E124" s="10" t="s">
        <v>603</v>
      </c>
      <c r="F124" s="10" t="s">
        <v>604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0" t="s">
        <v>723</v>
      </c>
      <c r="B125" s="36">
        <v>111.73127746582031</v>
      </c>
      <c r="C125" s="36">
        <v>99.278205871582031</v>
      </c>
      <c r="D125" s="10">
        <v>18028038</v>
      </c>
      <c r="E125" s="10" t="s">
        <v>603</v>
      </c>
      <c r="F125" s="10" t="s">
        <v>604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0" t="s">
        <v>724</v>
      </c>
      <c r="B126" s="36">
        <v>110.76565551757813</v>
      </c>
      <c r="C126" s="36">
        <v>98.420196533203125</v>
      </c>
      <c r="D126" s="10">
        <v>7529166</v>
      </c>
      <c r="E126" s="10" t="s">
        <v>603</v>
      </c>
      <c r="F126" s="10" t="s">
        <v>604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0" t="s">
        <v>725</v>
      </c>
      <c r="B127" s="36">
        <v>113.0718994140625</v>
      </c>
      <c r="C127" s="36">
        <v>100.46940612792969</v>
      </c>
      <c r="D127" s="10">
        <v>11094738</v>
      </c>
      <c r="E127" s="10" t="s">
        <v>603</v>
      </c>
      <c r="F127" s="10" t="s">
        <v>604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0" t="s">
        <v>726</v>
      </c>
      <c r="B128" s="36">
        <v>111.17815399169922</v>
      </c>
      <c r="C128" s="36">
        <v>98.786735534667969</v>
      </c>
      <c r="D128" s="10">
        <v>5322644</v>
      </c>
      <c r="E128" s="10" t="s">
        <v>603</v>
      </c>
      <c r="F128" s="10" t="s">
        <v>604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0" t="s">
        <v>727</v>
      </c>
      <c r="B129" s="36">
        <v>110.3062744140625</v>
      </c>
      <c r="C129" s="36">
        <v>98.012031555175781</v>
      </c>
      <c r="D129" s="10">
        <v>8118296</v>
      </c>
      <c r="E129" s="10" t="s">
        <v>603</v>
      </c>
      <c r="F129" s="10" t="s">
        <v>604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0" t="s">
        <v>728</v>
      </c>
      <c r="B130" s="36">
        <v>112.09690093994141</v>
      </c>
      <c r="C130" s="36">
        <v>99.603073120117188</v>
      </c>
      <c r="D130" s="10">
        <v>9590429</v>
      </c>
      <c r="E130" s="10" t="s">
        <v>603</v>
      </c>
      <c r="F130" s="10" t="s">
        <v>604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0" t="s">
        <v>729</v>
      </c>
      <c r="B131" s="36">
        <v>112.45315551757813</v>
      </c>
      <c r="C131" s="36">
        <v>99.919624328613281</v>
      </c>
      <c r="D131" s="10">
        <v>18667659</v>
      </c>
      <c r="E131" s="10" t="s">
        <v>603</v>
      </c>
      <c r="F131" s="10" t="s">
        <v>604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0" t="s">
        <v>730</v>
      </c>
      <c r="B132" s="36">
        <v>112.5562744140625</v>
      </c>
      <c r="C132" s="36">
        <v>100.01124572753906</v>
      </c>
      <c r="D132" s="10">
        <v>9100269</v>
      </c>
      <c r="E132" s="10" t="s">
        <v>603</v>
      </c>
      <c r="F132" s="10" t="s">
        <v>604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0" t="s">
        <v>731</v>
      </c>
      <c r="B133" s="36">
        <v>112.37815093994141</v>
      </c>
      <c r="C133" s="36">
        <v>99.852981567382813</v>
      </c>
      <c r="D133" s="10">
        <v>8106115</v>
      </c>
      <c r="E133" s="10" t="s">
        <v>603</v>
      </c>
      <c r="F133" s="10" t="s">
        <v>604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0" t="s">
        <v>732</v>
      </c>
      <c r="B134" s="36">
        <v>110.40940093994141</v>
      </c>
      <c r="C134" s="36">
        <v>98.103660583496094</v>
      </c>
      <c r="D134" s="10">
        <v>4985700</v>
      </c>
      <c r="E134" s="10" t="s">
        <v>603</v>
      </c>
      <c r="F134" s="10" t="s">
        <v>604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0" t="s">
        <v>733</v>
      </c>
      <c r="B135" s="36">
        <v>110.5875244140625</v>
      </c>
      <c r="C135" s="36">
        <v>98.261940002441406</v>
      </c>
      <c r="D135" s="10">
        <v>5878542</v>
      </c>
      <c r="E135" s="10" t="s">
        <v>603</v>
      </c>
      <c r="F135" s="10" t="s">
        <v>604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0" t="s">
        <v>734</v>
      </c>
      <c r="B136" s="36">
        <v>111.06565093994141</v>
      </c>
      <c r="C136" s="36">
        <v>98.686767578125</v>
      </c>
      <c r="D136" s="10">
        <v>7196840</v>
      </c>
      <c r="E136" s="10" t="s">
        <v>603</v>
      </c>
      <c r="F136" s="10" t="s">
        <v>604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0" t="s">
        <v>735</v>
      </c>
      <c r="B137" s="36">
        <v>109.49065399169922</v>
      </c>
      <c r="C137" s="36">
        <v>97.287322998046875</v>
      </c>
      <c r="D137" s="10">
        <v>5656995</v>
      </c>
      <c r="E137" s="10" t="s">
        <v>603</v>
      </c>
      <c r="F137" s="10" t="s">
        <v>604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0" t="s">
        <v>736</v>
      </c>
      <c r="B138" s="36">
        <v>109.75315093994141</v>
      </c>
      <c r="C138" s="36">
        <v>97.520561218261719</v>
      </c>
      <c r="D138" s="10">
        <v>5195476</v>
      </c>
      <c r="E138" s="10" t="s">
        <v>603</v>
      </c>
      <c r="F138" s="10" t="s">
        <v>604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0" t="s">
        <v>737</v>
      </c>
      <c r="B139" s="36">
        <v>109.29377746582031</v>
      </c>
      <c r="C139" s="36">
        <v>97.112373352050781</v>
      </c>
      <c r="D139" s="10">
        <v>5600910</v>
      </c>
      <c r="E139" s="10" t="s">
        <v>603</v>
      </c>
      <c r="F139" s="10" t="s">
        <v>604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0" t="s">
        <v>738</v>
      </c>
      <c r="B140" s="36">
        <v>108.20627593994141</v>
      </c>
      <c r="C140" s="36">
        <v>96.146087646484375</v>
      </c>
      <c r="D140" s="10">
        <v>4486078</v>
      </c>
      <c r="E140" s="10" t="s">
        <v>603</v>
      </c>
      <c r="F140" s="10" t="s">
        <v>604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0" t="s">
        <v>739</v>
      </c>
      <c r="B141" s="36">
        <v>108.17815399169922</v>
      </c>
      <c r="C141" s="36">
        <v>96.12109375</v>
      </c>
      <c r="D141" s="10">
        <v>4888068</v>
      </c>
      <c r="E141" s="10" t="s">
        <v>603</v>
      </c>
      <c r="F141" s="10" t="s">
        <v>604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0" t="s">
        <v>740</v>
      </c>
      <c r="B142" s="36">
        <v>108.2906494140625</v>
      </c>
      <c r="C142" s="36">
        <v>96.221054077148438</v>
      </c>
      <c r="D142" s="10">
        <v>5330665</v>
      </c>
      <c r="E142" s="10" t="s">
        <v>603</v>
      </c>
      <c r="F142" s="10" t="s">
        <v>604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0" t="s">
        <v>741</v>
      </c>
      <c r="B143" s="36">
        <v>107.2125244140625</v>
      </c>
      <c r="C143" s="36">
        <v>95.263084411621094</v>
      </c>
      <c r="D143" s="10">
        <v>7156819</v>
      </c>
      <c r="E143" s="10" t="s">
        <v>603</v>
      </c>
      <c r="F143" s="10" t="s">
        <v>604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0" t="s">
        <v>742</v>
      </c>
      <c r="B144" s="36">
        <v>108.34690093994141</v>
      </c>
      <c r="C144" s="36">
        <v>96.271026611328125</v>
      </c>
      <c r="D144" s="10">
        <v>5404803</v>
      </c>
      <c r="E144" s="10" t="s">
        <v>603</v>
      </c>
      <c r="F144" s="10" t="s">
        <v>604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0" t="s">
        <v>743</v>
      </c>
      <c r="B145" s="36">
        <v>106.45314788818359</v>
      </c>
      <c r="C145" s="36">
        <v>94.588340759277344</v>
      </c>
      <c r="D145" s="10">
        <v>9916189</v>
      </c>
      <c r="E145" s="10" t="s">
        <v>603</v>
      </c>
      <c r="F145" s="10" t="s">
        <v>604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0" t="s">
        <v>744</v>
      </c>
      <c r="B146" s="36">
        <v>106.6968994140625</v>
      </c>
      <c r="C146" s="36">
        <v>94.804931640625</v>
      </c>
      <c r="D146" s="10">
        <v>5681966</v>
      </c>
      <c r="E146" s="10" t="s">
        <v>603</v>
      </c>
      <c r="F146" s="10" t="s">
        <v>604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0" t="s">
        <v>745</v>
      </c>
      <c r="B147" s="36">
        <v>107.83127593994141</v>
      </c>
      <c r="C147" s="36">
        <v>95.812873840332031</v>
      </c>
      <c r="D147" s="10">
        <v>15674230</v>
      </c>
      <c r="E147" s="10" t="s">
        <v>603</v>
      </c>
      <c r="F147" s="10" t="s">
        <v>604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0" t="s">
        <v>746</v>
      </c>
      <c r="B148" s="36">
        <v>108.37503051757813</v>
      </c>
      <c r="C148" s="36">
        <v>96.296028137207031</v>
      </c>
      <c r="D148" s="10">
        <v>7496963</v>
      </c>
      <c r="E148" s="10" t="s">
        <v>603</v>
      </c>
      <c r="F148" s="10" t="s">
        <v>604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0" t="s">
        <v>747</v>
      </c>
      <c r="B149" s="36">
        <v>107.73752593994141</v>
      </c>
      <c r="C149" s="36">
        <v>95.729576110839844</v>
      </c>
      <c r="D149" s="10">
        <v>8150157</v>
      </c>
      <c r="E149" s="10" t="s">
        <v>603</v>
      </c>
      <c r="F149" s="10" t="s">
        <v>604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0" t="s">
        <v>748</v>
      </c>
      <c r="B150" s="36">
        <v>107.40940093994141</v>
      </c>
      <c r="C150" s="36">
        <v>95.438026428222656</v>
      </c>
      <c r="D150" s="10">
        <v>6049662</v>
      </c>
      <c r="E150" s="10" t="s">
        <v>603</v>
      </c>
      <c r="F150" s="10" t="s">
        <v>604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0" t="s">
        <v>749</v>
      </c>
      <c r="B151" s="36">
        <v>107.84065246582031</v>
      </c>
      <c r="C151" s="36">
        <v>95.821205139160156</v>
      </c>
      <c r="D151" s="10">
        <v>9695048</v>
      </c>
      <c r="E151" s="10" t="s">
        <v>603</v>
      </c>
      <c r="F151" s="10" t="s">
        <v>604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0" t="s">
        <v>750</v>
      </c>
      <c r="B152" s="36">
        <v>107.67189788818359</v>
      </c>
      <c r="C152" s="36">
        <v>95.671272277832031</v>
      </c>
      <c r="D152" s="10">
        <v>5637257</v>
      </c>
      <c r="E152" s="10" t="s">
        <v>603</v>
      </c>
      <c r="F152" s="10" t="s">
        <v>604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0" t="s">
        <v>751</v>
      </c>
      <c r="B153" s="36">
        <v>107.4468994140625</v>
      </c>
      <c r="C153" s="36">
        <v>95.471343994140625</v>
      </c>
      <c r="D153" s="10">
        <v>4350852</v>
      </c>
      <c r="E153" s="10" t="s">
        <v>603</v>
      </c>
      <c r="F153" s="10" t="s">
        <v>604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0" t="s">
        <v>752</v>
      </c>
      <c r="B154" s="36">
        <v>107.03440093994141</v>
      </c>
      <c r="C154" s="36">
        <v>95.104804992675781</v>
      </c>
      <c r="D154" s="10">
        <v>3277977</v>
      </c>
      <c r="E154" s="10" t="s">
        <v>603</v>
      </c>
      <c r="F154" s="10" t="s">
        <v>604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0" t="s">
        <v>753</v>
      </c>
      <c r="B155" s="36">
        <v>106.86565399169922</v>
      </c>
      <c r="C155" s="36">
        <v>94.954879760742188</v>
      </c>
      <c r="D155" s="10">
        <v>3659753</v>
      </c>
      <c r="E155" s="10" t="s">
        <v>603</v>
      </c>
      <c r="F155" s="10" t="s">
        <v>604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0" t="s">
        <v>754</v>
      </c>
      <c r="B156" s="36">
        <v>105.04689788818359</v>
      </c>
      <c r="C156" s="36">
        <v>93.338844299316406</v>
      </c>
      <c r="D156" s="10">
        <v>7082536</v>
      </c>
      <c r="E156" s="10" t="s">
        <v>603</v>
      </c>
      <c r="F156" s="10" t="s">
        <v>604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0" t="s">
        <v>755</v>
      </c>
      <c r="B157" s="36">
        <v>104.2593994140625</v>
      </c>
      <c r="C157" s="36">
        <v>92.63909912109375</v>
      </c>
      <c r="D157" s="10">
        <v>7630478</v>
      </c>
      <c r="E157" s="10" t="s">
        <v>603</v>
      </c>
      <c r="F157" s="10" t="s">
        <v>604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0" t="s">
        <v>756</v>
      </c>
      <c r="B158" s="36">
        <v>103.40627288818359</v>
      </c>
      <c r="C158" s="36">
        <v>91.881057739257813</v>
      </c>
      <c r="D158" s="10">
        <v>3326617</v>
      </c>
      <c r="E158" s="10" t="s">
        <v>603</v>
      </c>
      <c r="F158" s="10" t="s">
        <v>604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0" t="s">
        <v>757</v>
      </c>
      <c r="B159" s="36">
        <v>103.78127288818359</v>
      </c>
      <c r="C159" s="36">
        <v>92.214279174804688</v>
      </c>
      <c r="D159" s="10">
        <v>5924403</v>
      </c>
      <c r="E159" s="10" t="s">
        <v>603</v>
      </c>
      <c r="F159" s="10" t="s">
        <v>604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0" t="s">
        <v>758</v>
      </c>
      <c r="B160" s="36">
        <v>104.22190093994141</v>
      </c>
      <c r="C160" s="36">
        <v>92.605789184570313</v>
      </c>
      <c r="D160" s="10">
        <v>7816195</v>
      </c>
      <c r="E160" s="10" t="s">
        <v>603</v>
      </c>
      <c r="F160" s="10" t="s">
        <v>604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0" t="s">
        <v>759</v>
      </c>
      <c r="B161" s="36">
        <v>103.94065093994141</v>
      </c>
      <c r="C161" s="36">
        <v>92.355888366699219</v>
      </c>
      <c r="D161" s="10">
        <v>6561801</v>
      </c>
      <c r="E161" s="10" t="s">
        <v>603</v>
      </c>
      <c r="F161" s="10" t="s">
        <v>604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0" t="s">
        <v>760</v>
      </c>
      <c r="B162" s="36">
        <v>104.39064788818359</v>
      </c>
      <c r="C162" s="36">
        <v>92.755729675292969</v>
      </c>
      <c r="D162" s="10">
        <v>5367129</v>
      </c>
      <c r="E162" s="10" t="s">
        <v>603</v>
      </c>
      <c r="F162" s="10" t="s">
        <v>604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0" t="s">
        <v>761</v>
      </c>
      <c r="B163" s="36">
        <v>106.81877899169922</v>
      </c>
      <c r="C163" s="36">
        <v>94.913238525390625</v>
      </c>
      <c r="D163" s="10">
        <v>9887773</v>
      </c>
      <c r="E163" s="10" t="s">
        <v>603</v>
      </c>
      <c r="F163" s="10" t="s">
        <v>604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0" t="s">
        <v>762</v>
      </c>
      <c r="B164" s="36">
        <v>106.89377593994141</v>
      </c>
      <c r="C164" s="36">
        <v>94.979866027832031</v>
      </c>
      <c r="D164" s="10">
        <v>5929566</v>
      </c>
      <c r="E164" s="10" t="s">
        <v>603</v>
      </c>
      <c r="F164" s="10" t="s">
        <v>604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0" t="s">
        <v>763</v>
      </c>
      <c r="B165" s="36">
        <v>105.72190093994141</v>
      </c>
      <c r="C165" s="36">
        <v>93.938591003417969</v>
      </c>
      <c r="D165" s="10">
        <v>5441907</v>
      </c>
      <c r="E165" s="10" t="s">
        <v>603</v>
      </c>
      <c r="F165" s="10" t="s">
        <v>604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0" t="s">
        <v>764</v>
      </c>
      <c r="B166" s="36">
        <v>106.78127288818359</v>
      </c>
      <c r="C166" s="36">
        <v>94.879905700683594</v>
      </c>
      <c r="D166" s="10">
        <v>10273112</v>
      </c>
      <c r="E166" s="10" t="s">
        <v>603</v>
      </c>
      <c r="F166" s="10" t="s">
        <v>604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0" t="s">
        <v>765</v>
      </c>
      <c r="B167" s="36">
        <v>106.86565399169922</v>
      </c>
      <c r="C167" s="36">
        <v>94.954879760742188</v>
      </c>
      <c r="D167" s="10">
        <v>7137918</v>
      </c>
      <c r="E167" s="10" t="s">
        <v>603</v>
      </c>
      <c r="F167" s="10" t="s">
        <v>604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0" t="s">
        <v>766</v>
      </c>
      <c r="B168" s="36">
        <v>106.86565399169922</v>
      </c>
      <c r="C168" s="36">
        <v>94.954879760742188</v>
      </c>
      <c r="D168" s="10">
        <v>22234597</v>
      </c>
      <c r="E168" s="10" t="s">
        <v>603</v>
      </c>
      <c r="F168" s="10" t="s">
        <v>604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0" t="s">
        <v>767</v>
      </c>
      <c r="B169" s="36">
        <v>109.11565399169922</v>
      </c>
      <c r="C169" s="36">
        <v>96.9541015625</v>
      </c>
      <c r="D169" s="10">
        <v>9200387</v>
      </c>
      <c r="E169" s="10" t="s">
        <v>603</v>
      </c>
      <c r="F169" s="10" t="s">
        <v>604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0" t="s">
        <v>768</v>
      </c>
      <c r="B170" s="36">
        <v>108.32815551757813</v>
      </c>
      <c r="C170" s="36">
        <v>96.254379272460938</v>
      </c>
      <c r="D170" s="10">
        <v>3787604</v>
      </c>
      <c r="E170" s="10" t="s">
        <v>603</v>
      </c>
      <c r="F170" s="10" t="s">
        <v>604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0" t="s">
        <v>769</v>
      </c>
      <c r="B171" s="36">
        <v>107.3531494140625</v>
      </c>
      <c r="C171" s="36">
        <v>95.388053894042969</v>
      </c>
      <c r="D171" s="10">
        <v>6974419</v>
      </c>
      <c r="E171" s="10" t="s">
        <v>603</v>
      </c>
      <c r="F171" s="10" t="s">
        <v>604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0" t="s">
        <v>770</v>
      </c>
      <c r="B172" s="36">
        <v>106.7437744140625</v>
      </c>
      <c r="C172" s="36">
        <v>94.846572875976563</v>
      </c>
      <c r="D172" s="10">
        <v>5513331</v>
      </c>
      <c r="E172" s="10" t="s">
        <v>603</v>
      </c>
      <c r="F172" s="10" t="s">
        <v>604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0" t="s">
        <v>771</v>
      </c>
      <c r="B173" s="36">
        <v>108.0093994140625</v>
      </c>
      <c r="C173" s="36">
        <v>95.971145629882813</v>
      </c>
      <c r="D173" s="10">
        <v>6213411</v>
      </c>
      <c r="E173" s="10" t="s">
        <v>603</v>
      </c>
      <c r="F173" s="10" t="s">
        <v>604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0" t="s">
        <v>772</v>
      </c>
      <c r="B174" s="36">
        <v>106.25627899169922</v>
      </c>
      <c r="C174" s="36">
        <v>94.413421630859375</v>
      </c>
      <c r="D174" s="10">
        <v>3736804</v>
      </c>
      <c r="E174" s="10" t="s">
        <v>603</v>
      </c>
      <c r="F174" s="10" t="s">
        <v>604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0" t="s">
        <v>773</v>
      </c>
      <c r="B175" s="36">
        <v>105.9937744140625</v>
      </c>
      <c r="C175" s="36">
        <v>94.18017578125</v>
      </c>
      <c r="D175" s="10">
        <v>4223545</v>
      </c>
      <c r="E175" s="10" t="s">
        <v>603</v>
      </c>
      <c r="F175" s="10" t="s">
        <v>604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0" t="s">
        <v>774</v>
      </c>
      <c r="B176" s="36">
        <v>105.95627593994141</v>
      </c>
      <c r="C176" s="36">
        <v>94.146858215332031</v>
      </c>
      <c r="D176" s="10">
        <v>6014387</v>
      </c>
      <c r="E176" s="10" t="s">
        <v>603</v>
      </c>
      <c r="F176" s="10" t="s">
        <v>604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0" t="s">
        <v>775</v>
      </c>
      <c r="B177" s="36">
        <v>106.10627746582031</v>
      </c>
      <c r="C177" s="36">
        <v>94.280136108398438</v>
      </c>
      <c r="D177" s="10">
        <v>3691311</v>
      </c>
      <c r="E177" s="10" t="s">
        <v>603</v>
      </c>
      <c r="F177" s="10" t="s">
        <v>604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0" t="s">
        <v>776</v>
      </c>
      <c r="B178" s="36">
        <v>106.3218994140625</v>
      </c>
      <c r="C178" s="36">
        <v>94.471733093261719</v>
      </c>
      <c r="D178" s="10">
        <v>3973023</v>
      </c>
      <c r="E178" s="10" t="s">
        <v>603</v>
      </c>
      <c r="F178" s="10" t="s">
        <v>604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0" t="s">
        <v>777</v>
      </c>
      <c r="B179" s="36">
        <v>104.79377746582031</v>
      </c>
      <c r="C179" s="36">
        <v>93.113922119140625</v>
      </c>
      <c r="D179" s="10">
        <v>6393961</v>
      </c>
      <c r="E179" s="10" t="s">
        <v>603</v>
      </c>
      <c r="F179" s="10" t="s">
        <v>604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0" t="s">
        <v>778</v>
      </c>
      <c r="B180" s="36">
        <v>104.05315399169922</v>
      </c>
      <c r="C180" s="36">
        <v>92.455841064453125</v>
      </c>
      <c r="D180" s="10">
        <v>10970066</v>
      </c>
      <c r="E180" s="10" t="s">
        <v>603</v>
      </c>
      <c r="F180" s="10" t="s">
        <v>604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0" t="s">
        <v>779</v>
      </c>
      <c r="B181" s="36">
        <v>104.26877593994141</v>
      </c>
      <c r="C181" s="36">
        <v>92.647438049316406</v>
      </c>
      <c r="D181" s="10">
        <v>10163672</v>
      </c>
      <c r="E181" s="10" t="s">
        <v>603</v>
      </c>
      <c r="F181" s="10" t="s">
        <v>604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0" t="s">
        <v>780</v>
      </c>
      <c r="B182" s="36">
        <v>103.91252136230469</v>
      </c>
      <c r="C182" s="36">
        <v>92.330894470214844</v>
      </c>
      <c r="D182" s="10">
        <v>14961660</v>
      </c>
      <c r="E182" s="10" t="s">
        <v>603</v>
      </c>
      <c r="F182" s="10" t="s">
        <v>604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0" t="s">
        <v>781</v>
      </c>
      <c r="B183" s="36">
        <v>104.22190093994141</v>
      </c>
      <c r="C183" s="36">
        <v>92.605789184570313</v>
      </c>
      <c r="D183" s="10">
        <v>6207683</v>
      </c>
      <c r="E183" s="10" t="s">
        <v>603</v>
      </c>
      <c r="F183" s="10" t="s">
        <v>604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0" t="s">
        <v>782</v>
      </c>
      <c r="B184" s="36">
        <v>104.14690399169922</v>
      </c>
      <c r="C184" s="36">
        <v>92.539161682128906</v>
      </c>
      <c r="D184" s="10">
        <v>6653875</v>
      </c>
      <c r="E184" s="10" t="s">
        <v>603</v>
      </c>
      <c r="F184" s="10" t="s">
        <v>604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0" t="s">
        <v>783</v>
      </c>
      <c r="B185" s="36">
        <v>104.3062744140625</v>
      </c>
      <c r="C185" s="36">
        <v>92.680763244628906</v>
      </c>
      <c r="D185" s="10">
        <v>4221929</v>
      </c>
      <c r="E185" s="10" t="s">
        <v>603</v>
      </c>
      <c r="F185" s="10" t="s">
        <v>604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0" t="s">
        <v>784</v>
      </c>
      <c r="B186" s="36">
        <v>104.47502899169922</v>
      </c>
      <c r="C186" s="36">
        <v>92.830711364746094</v>
      </c>
      <c r="D186" s="10">
        <v>2154842</v>
      </c>
      <c r="E186" s="10" t="s">
        <v>603</v>
      </c>
      <c r="F186" s="10" t="s">
        <v>604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0" t="s">
        <v>785</v>
      </c>
      <c r="B187" s="36">
        <v>105.27190399169922</v>
      </c>
      <c r="C187" s="36">
        <v>93.53875732421875</v>
      </c>
      <c r="D187" s="10">
        <v>5220702</v>
      </c>
      <c r="E187" s="10" t="s">
        <v>603</v>
      </c>
      <c r="F187" s="10" t="s">
        <v>604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0" t="s">
        <v>786</v>
      </c>
      <c r="B188" s="36">
        <v>105.7593994140625</v>
      </c>
      <c r="C188" s="36">
        <v>93.971923828125</v>
      </c>
      <c r="D188" s="10">
        <v>4268569</v>
      </c>
      <c r="E188" s="10" t="s">
        <v>603</v>
      </c>
      <c r="F188" s="10" t="s">
        <v>604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0" t="s">
        <v>787</v>
      </c>
      <c r="B189" s="36">
        <v>104.64377593994141</v>
      </c>
      <c r="C189" s="36">
        <v>92.980644226074219</v>
      </c>
      <c r="D189" s="10">
        <v>2678249</v>
      </c>
      <c r="E189" s="10" t="s">
        <v>603</v>
      </c>
      <c r="F189" s="10" t="s">
        <v>604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0" t="s">
        <v>788</v>
      </c>
      <c r="B190" s="36">
        <v>104.98127746582031</v>
      </c>
      <c r="C190" s="36">
        <v>93.280525207519531</v>
      </c>
      <c r="D190" s="10">
        <v>7054776</v>
      </c>
      <c r="E190" s="10" t="s">
        <v>603</v>
      </c>
      <c r="F190" s="10" t="s">
        <v>604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0" t="s">
        <v>789</v>
      </c>
      <c r="B191" s="36">
        <v>104.33440399169922</v>
      </c>
      <c r="C191" s="36">
        <v>92.70574951171875</v>
      </c>
      <c r="D191" s="10">
        <v>3165524</v>
      </c>
      <c r="E191" s="10" t="s">
        <v>603</v>
      </c>
      <c r="F191" s="10" t="s">
        <v>604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0" t="s">
        <v>790</v>
      </c>
      <c r="B192" s="36">
        <v>104.56877899169922</v>
      </c>
      <c r="C192" s="36">
        <v>92.914009094238281</v>
      </c>
      <c r="D192" s="10">
        <v>3431636</v>
      </c>
      <c r="E192" s="10" t="s">
        <v>603</v>
      </c>
      <c r="F192" s="10" t="s">
        <v>604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0" t="s">
        <v>791</v>
      </c>
      <c r="B193" s="36">
        <v>104.41877746582031</v>
      </c>
      <c r="C193" s="36">
        <v>92.780715942382813</v>
      </c>
      <c r="D193" s="10">
        <v>4687529</v>
      </c>
      <c r="E193" s="10" t="s">
        <v>603</v>
      </c>
      <c r="F193" s="10" t="s">
        <v>604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0" t="s">
        <v>792</v>
      </c>
      <c r="B194" s="36">
        <v>104.08127593994141</v>
      </c>
      <c r="C194" s="36">
        <v>92.480827331542969</v>
      </c>
      <c r="D194" s="10">
        <v>6123539</v>
      </c>
      <c r="E194" s="10" t="s">
        <v>603</v>
      </c>
      <c r="F194" s="10" t="s">
        <v>604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0" t="s">
        <v>793</v>
      </c>
      <c r="B195" s="36">
        <v>103.09690093994141</v>
      </c>
      <c r="C195" s="36">
        <v>91.606185913085938</v>
      </c>
      <c r="D195" s="10">
        <v>11168290</v>
      </c>
      <c r="E195" s="10" t="s">
        <v>603</v>
      </c>
      <c r="F195" s="10" t="s">
        <v>604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0" t="s">
        <v>794</v>
      </c>
      <c r="B196" s="36">
        <v>104.2125244140625</v>
      </c>
      <c r="C196" s="36">
        <v>92.597457885742188</v>
      </c>
      <c r="D196" s="10">
        <v>4648302</v>
      </c>
      <c r="E196" s="10" t="s">
        <v>603</v>
      </c>
      <c r="F196" s="10" t="s">
        <v>604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0" t="s">
        <v>795</v>
      </c>
      <c r="B197" s="36">
        <v>100.77189636230469</v>
      </c>
      <c r="C197" s="36">
        <v>89.540321350097656</v>
      </c>
      <c r="D197" s="10">
        <v>9954184</v>
      </c>
      <c r="E197" s="10" t="s">
        <v>603</v>
      </c>
      <c r="F197" s="10" t="s">
        <v>604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0" t="s">
        <v>796</v>
      </c>
      <c r="B198" s="36">
        <v>102.91877746582031</v>
      </c>
      <c r="C198" s="36">
        <v>91.447898864746094</v>
      </c>
      <c r="D198" s="10">
        <v>6982168</v>
      </c>
      <c r="E198" s="10" t="s">
        <v>603</v>
      </c>
      <c r="F198" s="10" t="s">
        <v>604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0" t="s">
        <v>797</v>
      </c>
      <c r="B199" s="36">
        <v>102.46877288818359</v>
      </c>
      <c r="C199" s="36">
        <v>91.048049926757813</v>
      </c>
      <c r="D199" s="10">
        <v>3587567</v>
      </c>
      <c r="E199" s="10" t="s">
        <v>603</v>
      </c>
      <c r="F199" s="10" t="s">
        <v>604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0" t="s">
        <v>798</v>
      </c>
      <c r="B200" s="36">
        <v>102.23439788818359</v>
      </c>
      <c r="C200" s="36">
        <v>90.839790344238281</v>
      </c>
      <c r="D200" s="10">
        <v>5838665</v>
      </c>
      <c r="E200" s="10" t="s">
        <v>603</v>
      </c>
      <c r="F200" s="10" t="s">
        <v>604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0" t="s">
        <v>799</v>
      </c>
      <c r="B201" s="36">
        <v>101.83127593994141</v>
      </c>
      <c r="C201" s="36">
        <v>90.481613159179688</v>
      </c>
      <c r="D201" s="10">
        <v>3334175</v>
      </c>
      <c r="E201" s="10" t="s">
        <v>603</v>
      </c>
      <c r="F201" s="10" t="s">
        <v>604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0" t="s">
        <v>800</v>
      </c>
      <c r="B202" s="36">
        <v>102.59065246582031</v>
      </c>
      <c r="C202" s="36">
        <v>91.156349182128906</v>
      </c>
      <c r="D202" s="10">
        <v>9031923</v>
      </c>
      <c r="E202" s="10" t="s">
        <v>603</v>
      </c>
      <c r="F202" s="10" t="s">
        <v>604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0" t="s">
        <v>801</v>
      </c>
      <c r="B203" s="36">
        <v>101.62502288818359</v>
      </c>
      <c r="C203" s="36">
        <v>90.298347473144531</v>
      </c>
      <c r="D203" s="10">
        <v>5106281</v>
      </c>
      <c r="E203" s="10" t="s">
        <v>603</v>
      </c>
      <c r="F203" s="10" t="s">
        <v>604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0" t="s">
        <v>802</v>
      </c>
      <c r="B204" s="36">
        <v>101.7281494140625</v>
      </c>
      <c r="C204" s="36">
        <v>90.389991760253906</v>
      </c>
      <c r="D204" s="10">
        <v>6238110</v>
      </c>
      <c r="E204" s="10" t="s">
        <v>603</v>
      </c>
      <c r="F204" s="10" t="s">
        <v>604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0" t="s">
        <v>803</v>
      </c>
      <c r="B205" s="36">
        <v>103.2750244140625</v>
      </c>
      <c r="C205" s="36">
        <v>91.764457702636719</v>
      </c>
      <c r="D205" s="10">
        <v>9300264</v>
      </c>
      <c r="E205" s="10" t="s">
        <v>603</v>
      </c>
      <c r="F205" s="10" t="s">
        <v>604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0" t="s">
        <v>804</v>
      </c>
      <c r="B206" s="36">
        <v>103.14377593994141</v>
      </c>
      <c r="C206" s="36">
        <v>91.647819519042969</v>
      </c>
      <c r="D206" s="10">
        <v>4445262</v>
      </c>
      <c r="E206" s="10" t="s">
        <v>603</v>
      </c>
      <c r="F206" s="10" t="s">
        <v>604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0" t="s">
        <v>805</v>
      </c>
      <c r="B207" s="36">
        <v>102.5718994140625</v>
      </c>
      <c r="C207" s="36">
        <v>91.975677490234375</v>
      </c>
      <c r="D207" s="10">
        <v>4242825</v>
      </c>
      <c r="E207" s="10" t="s">
        <v>603</v>
      </c>
      <c r="F207" s="10" t="s">
        <v>604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0" t="s">
        <v>806</v>
      </c>
      <c r="B208" s="36">
        <v>103.6031494140625</v>
      </c>
      <c r="C208" s="36">
        <v>92.900375366210938</v>
      </c>
      <c r="D208" s="10">
        <v>11160519</v>
      </c>
      <c r="E208" s="10" t="s">
        <v>603</v>
      </c>
      <c r="F208" s="10" t="s">
        <v>604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0" t="s">
        <v>807</v>
      </c>
      <c r="B209" s="36">
        <v>102.60939788818359</v>
      </c>
      <c r="C209" s="36">
        <v>92.009292602539063</v>
      </c>
      <c r="D209" s="10">
        <v>6459529</v>
      </c>
      <c r="E209" s="10" t="s">
        <v>603</v>
      </c>
      <c r="F209" s="10" t="s">
        <v>604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0" t="s">
        <v>808</v>
      </c>
      <c r="B210" s="36">
        <v>105.5250244140625</v>
      </c>
      <c r="C210" s="36">
        <v>94.623725891113281</v>
      </c>
      <c r="D210" s="10">
        <v>7734574</v>
      </c>
      <c r="E210" s="10" t="s">
        <v>603</v>
      </c>
      <c r="F210" s="10" t="s">
        <v>604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0" t="s">
        <v>809</v>
      </c>
      <c r="B211" s="36">
        <v>106.52815246582031</v>
      </c>
      <c r="C211" s="36">
        <v>95.523239135742188</v>
      </c>
      <c r="D211" s="10">
        <v>8037187</v>
      </c>
      <c r="E211" s="10" t="s">
        <v>603</v>
      </c>
      <c r="F211" s="10" t="s">
        <v>604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0" t="s">
        <v>810</v>
      </c>
      <c r="B212" s="36">
        <v>106.35939788818359</v>
      </c>
      <c r="C212" s="36">
        <v>95.371902465820313</v>
      </c>
      <c r="D212" s="10">
        <v>6855160</v>
      </c>
      <c r="E212" s="10" t="s">
        <v>603</v>
      </c>
      <c r="F212" s="10" t="s">
        <v>604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0" t="s">
        <v>811</v>
      </c>
      <c r="B213" s="36">
        <v>104.5875244140625</v>
      </c>
      <c r="C213" s="36">
        <v>93.7830810546875</v>
      </c>
      <c r="D213" s="10">
        <v>3213476</v>
      </c>
      <c r="E213" s="10" t="s">
        <v>603</v>
      </c>
      <c r="F213" s="10" t="s">
        <v>604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0" t="s">
        <v>812</v>
      </c>
      <c r="B214" s="36">
        <v>104.99065399169922</v>
      </c>
      <c r="C214" s="36">
        <v>94.144554138183594</v>
      </c>
      <c r="D214" s="10">
        <v>5609982</v>
      </c>
      <c r="E214" s="10" t="s">
        <v>603</v>
      </c>
      <c r="F214" s="10" t="s">
        <v>604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0" t="s">
        <v>813</v>
      </c>
      <c r="B215" s="36">
        <v>104.60627746582031</v>
      </c>
      <c r="C215" s="36">
        <v>93.799888610839844</v>
      </c>
      <c r="D215" s="10">
        <v>5742094</v>
      </c>
      <c r="E215" s="10" t="s">
        <v>603</v>
      </c>
      <c r="F215" s="10" t="s">
        <v>604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0" t="s">
        <v>814</v>
      </c>
      <c r="B216" s="36">
        <v>102.18752288818359</v>
      </c>
      <c r="C216" s="36">
        <v>91.630996704101563</v>
      </c>
      <c r="D216" s="10">
        <v>4384750</v>
      </c>
      <c r="E216" s="10" t="s">
        <v>603</v>
      </c>
      <c r="F216" s="10" t="s">
        <v>604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0" t="s">
        <v>815</v>
      </c>
      <c r="B217" s="36">
        <v>100.54689788818359</v>
      </c>
      <c r="C217" s="36">
        <v>90.159858703613281</v>
      </c>
      <c r="D217" s="10">
        <v>4267924</v>
      </c>
      <c r="E217" s="10" t="s">
        <v>603</v>
      </c>
      <c r="F217" s="10" t="s">
        <v>604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0" t="s">
        <v>816</v>
      </c>
      <c r="B218" s="36">
        <v>99.600021362304688</v>
      </c>
      <c r="C218" s="36">
        <v>89.310813903808594</v>
      </c>
      <c r="D218" s="10">
        <v>5157374</v>
      </c>
      <c r="E218" s="10" t="s">
        <v>603</v>
      </c>
      <c r="F218" s="10" t="s">
        <v>604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0" t="s">
        <v>817</v>
      </c>
      <c r="B219" s="36">
        <v>96.975021362304688</v>
      </c>
      <c r="C219" s="36">
        <v>86.956977844238281</v>
      </c>
      <c r="D219" s="10">
        <v>5269476</v>
      </c>
      <c r="E219" s="10" t="s">
        <v>603</v>
      </c>
      <c r="F219" s="10" t="s">
        <v>604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0" t="s">
        <v>818</v>
      </c>
      <c r="B220" s="36">
        <v>96.9937744140625</v>
      </c>
      <c r="C220" s="36">
        <v>86.973808288574219</v>
      </c>
      <c r="D220" s="10">
        <v>9598621</v>
      </c>
      <c r="E220" s="10" t="s">
        <v>603</v>
      </c>
      <c r="F220" s="10" t="s">
        <v>604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0" t="s">
        <v>819</v>
      </c>
      <c r="B221" s="36">
        <v>98.578147888183594</v>
      </c>
      <c r="C221" s="36">
        <v>88.394500732421875</v>
      </c>
      <c r="D221" s="10">
        <v>5214324</v>
      </c>
      <c r="E221" s="10" t="s">
        <v>603</v>
      </c>
      <c r="F221" s="10" t="s">
        <v>604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0" t="s">
        <v>820</v>
      </c>
      <c r="B222" s="36">
        <v>98.737525939941406</v>
      </c>
      <c r="C222" s="36">
        <v>88.537406921386719</v>
      </c>
      <c r="D222" s="10">
        <v>3685887</v>
      </c>
      <c r="E222" s="10" t="s">
        <v>603</v>
      </c>
      <c r="F222" s="10" t="s">
        <v>604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0" t="s">
        <v>821</v>
      </c>
      <c r="B223" s="36">
        <v>98.803146362304688</v>
      </c>
      <c r="C223" s="36">
        <v>88.596260070800781</v>
      </c>
      <c r="D223" s="10">
        <v>5763710</v>
      </c>
      <c r="E223" s="10" t="s">
        <v>603</v>
      </c>
      <c r="F223" s="10" t="s">
        <v>604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0" t="s">
        <v>822</v>
      </c>
      <c r="B224" s="36">
        <v>101.4937744140625</v>
      </c>
      <c r="C224" s="36">
        <v>91.008934020996094</v>
      </c>
      <c r="D224" s="10">
        <v>4740372</v>
      </c>
      <c r="E224" s="10" t="s">
        <v>603</v>
      </c>
      <c r="F224" s="10" t="s">
        <v>604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0" t="s">
        <v>823</v>
      </c>
      <c r="B225" s="36">
        <v>102.62815093994141</v>
      </c>
      <c r="C225" s="36">
        <v>92.026107788085938</v>
      </c>
      <c r="D225" s="10">
        <v>5768537</v>
      </c>
      <c r="E225" s="10" t="s">
        <v>603</v>
      </c>
      <c r="F225" s="10" t="s">
        <v>604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0" t="s">
        <v>824</v>
      </c>
      <c r="B226" s="36">
        <v>101.76564788818359</v>
      </c>
      <c r="C226" s="36">
        <v>91.252716064453125</v>
      </c>
      <c r="D226" s="10">
        <v>4520996</v>
      </c>
      <c r="E226" s="10" t="s">
        <v>603</v>
      </c>
      <c r="F226" s="10" t="s">
        <v>604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0" t="s">
        <v>825</v>
      </c>
      <c r="B227" s="36">
        <v>101.24064636230469</v>
      </c>
      <c r="C227" s="36">
        <v>90.781959533691406</v>
      </c>
      <c r="D227" s="10">
        <v>5036873</v>
      </c>
      <c r="E227" s="10" t="s">
        <v>603</v>
      </c>
      <c r="F227" s="10" t="s">
        <v>604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0" t="s">
        <v>826</v>
      </c>
      <c r="B228" s="36">
        <v>100.11564636230469</v>
      </c>
      <c r="C228" s="36">
        <v>89.773162841796875</v>
      </c>
      <c r="D228" s="10">
        <v>5189321</v>
      </c>
      <c r="E228" s="10" t="s">
        <v>603</v>
      </c>
      <c r="F228" s="10" t="s">
        <v>604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0" t="s">
        <v>827</v>
      </c>
      <c r="B229" s="36">
        <v>100.09690093994141</v>
      </c>
      <c r="C229" s="36">
        <v>89.756355285644531</v>
      </c>
      <c r="D229" s="10">
        <v>5119049</v>
      </c>
      <c r="E229" s="10" t="s">
        <v>603</v>
      </c>
      <c r="F229" s="10" t="s">
        <v>604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0" t="s">
        <v>828</v>
      </c>
      <c r="B230" s="36">
        <v>99.468772888183594</v>
      </c>
      <c r="C230" s="36">
        <v>89.193138122558594</v>
      </c>
      <c r="D230" s="10">
        <v>5250574</v>
      </c>
      <c r="E230" s="10" t="s">
        <v>603</v>
      </c>
      <c r="F230" s="10" t="s">
        <v>604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0" t="s">
        <v>829</v>
      </c>
      <c r="B231" s="36">
        <v>97.546897888183594</v>
      </c>
      <c r="C231" s="36">
        <v>87.469779968261719</v>
      </c>
      <c r="D231" s="10">
        <v>11091282</v>
      </c>
      <c r="E231" s="10" t="s">
        <v>603</v>
      </c>
      <c r="F231" s="10" t="s">
        <v>604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0" t="s">
        <v>830</v>
      </c>
      <c r="B232" s="36">
        <v>100.39689636230469</v>
      </c>
      <c r="C232" s="36">
        <v>90.025360107421875</v>
      </c>
      <c r="D232" s="10">
        <v>9201448</v>
      </c>
      <c r="E232" s="10" t="s">
        <v>603</v>
      </c>
      <c r="F232" s="10" t="s">
        <v>604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0" t="s">
        <v>831</v>
      </c>
      <c r="B233" s="36">
        <v>101.1656494140625</v>
      </c>
      <c r="C233" s="36">
        <v>90.714691162109375</v>
      </c>
      <c r="D233" s="10">
        <v>9548461</v>
      </c>
      <c r="E233" s="10" t="s">
        <v>603</v>
      </c>
      <c r="F233" s="10" t="s">
        <v>604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0" t="s">
        <v>832</v>
      </c>
      <c r="B234" s="36">
        <v>101.75627136230469</v>
      </c>
      <c r="C234" s="36">
        <v>91.244300842285156</v>
      </c>
      <c r="D234" s="10">
        <v>6511139</v>
      </c>
      <c r="E234" s="10" t="s">
        <v>603</v>
      </c>
      <c r="F234" s="10" t="s">
        <v>604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0" t="s">
        <v>833</v>
      </c>
      <c r="B235" s="36">
        <v>100.67814636230469</v>
      </c>
      <c r="C235" s="36">
        <v>90.277565002441406</v>
      </c>
      <c r="D235" s="10">
        <v>8533469</v>
      </c>
      <c r="E235" s="10" t="s">
        <v>603</v>
      </c>
      <c r="F235" s="10" t="s">
        <v>604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0" t="s">
        <v>834</v>
      </c>
      <c r="B236" s="36">
        <v>101.52189636230469</v>
      </c>
      <c r="C236" s="36">
        <v>91.034149169921875</v>
      </c>
      <c r="D236" s="10">
        <v>8277325</v>
      </c>
      <c r="E236" s="10" t="s">
        <v>603</v>
      </c>
      <c r="F236" s="10" t="s">
        <v>604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0" t="s">
        <v>835</v>
      </c>
      <c r="B237" s="36">
        <v>100.90315246582031</v>
      </c>
      <c r="C237" s="36">
        <v>90.479324340820313</v>
      </c>
      <c r="D237" s="10">
        <v>10597186</v>
      </c>
      <c r="E237" s="10" t="s">
        <v>603</v>
      </c>
      <c r="F237" s="10" t="s">
        <v>604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0" t="s">
        <v>836</v>
      </c>
      <c r="B238" s="36">
        <v>100.47190093994141</v>
      </c>
      <c r="C238" s="36">
        <v>90.092605590820313</v>
      </c>
      <c r="D238" s="10">
        <v>6464851</v>
      </c>
      <c r="E238" s="10" t="s">
        <v>603</v>
      </c>
      <c r="F238" s="10" t="s">
        <v>604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0" t="s">
        <v>837</v>
      </c>
      <c r="B239" s="36">
        <v>101.06252288818359</v>
      </c>
      <c r="C239" s="36">
        <v>90.622230529785156</v>
      </c>
      <c r="D239" s="10">
        <v>5963203</v>
      </c>
      <c r="E239" s="10" t="s">
        <v>603</v>
      </c>
      <c r="F239" s="10" t="s">
        <v>604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0" t="s">
        <v>838</v>
      </c>
      <c r="B240" s="36">
        <v>101.40940093994141</v>
      </c>
      <c r="C240" s="36">
        <v>90.933265686035156</v>
      </c>
      <c r="D240" s="10">
        <v>5552606</v>
      </c>
      <c r="E240" s="10" t="s">
        <v>603</v>
      </c>
      <c r="F240" s="10" t="s">
        <v>604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0" t="s">
        <v>839</v>
      </c>
      <c r="B241" s="36">
        <v>99.975021362304688</v>
      </c>
      <c r="C241" s="36">
        <v>89.647071838378906</v>
      </c>
      <c r="D241" s="10">
        <v>10384866</v>
      </c>
      <c r="E241" s="10" t="s">
        <v>603</v>
      </c>
      <c r="F241" s="10" t="s">
        <v>604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0" t="s">
        <v>840</v>
      </c>
      <c r="B242" s="36">
        <v>100.95939636230469</v>
      </c>
      <c r="C242" s="36">
        <v>90.529754638671875</v>
      </c>
      <c r="D242" s="10">
        <v>10071645</v>
      </c>
      <c r="E242" s="10" t="s">
        <v>603</v>
      </c>
      <c r="F242" s="10" t="s">
        <v>604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0" t="s">
        <v>841</v>
      </c>
      <c r="B243" s="36">
        <v>101.10002136230469</v>
      </c>
      <c r="C243" s="36">
        <v>90.655845642089844</v>
      </c>
      <c r="D243" s="10">
        <v>9839474</v>
      </c>
      <c r="E243" s="10" t="s">
        <v>603</v>
      </c>
      <c r="F243" s="10" t="s">
        <v>604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0" t="s">
        <v>842</v>
      </c>
      <c r="B244" s="36">
        <v>103.35939788818359</v>
      </c>
      <c r="C244" s="36">
        <v>92.68182373046875</v>
      </c>
      <c r="D244" s="10">
        <v>13512583</v>
      </c>
      <c r="E244" s="10" t="s">
        <v>603</v>
      </c>
      <c r="F244" s="10" t="s">
        <v>604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0" t="s">
        <v>843</v>
      </c>
      <c r="B245" s="36">
        <v>104.33440399169922</v>
      </c>
      <c r="C245" s="36">
        <v>93.556098937988281</v>
      </c>
      <c r="D245" s="10">
        <v>5891875</v>
      </c>
      <c r="E245" s="10" t="s">
        <v>603</v>
      </c>
      <c r="F245" s="10" t="s">
        <v>604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0" t="s">
        <v>844</v>
      </c>
      <c r="B246" s="36">
        <v>103.65940093994141</v>
      </c>
      <c r="C246" s="36">
        <v>92.950828552246094</v>
      </c>
      <c r="D246" s="10">
        <v>7905422</v>
      </c>
      <c r="E246" s="10" t="s">
        <v>603</v>
      </c>
      <c r="F246" s="10" t="s">
        <v>604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0" t="s">
        <v>845</v>
      </c>
      <c r="B247" s="36">
        <v>104.20314788818359</v>
      </c>
      <c r="C247" s="36">
        <v>93.43841552734375</v>
      </c>
      <c r="D247" s="10">
        <v>7693379</v>
      </c>
      <c r="E247" s="10" t="s">
        <v>603</v>
      </c>
      <c r="F247" s="10" t="s">
        <v>604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0" t="s">
        <v>846</v>
      </c>
      <c r="B248" s="36">
        <v>104.27815246582031</v>
      </c>
      <c r="C248" s="36">
        <v>93.505661010742188</v>
      </c>
      <c r="D248" s="10">
        <v>7775976</v>
      </c>
      <c r="E248" s="10" t="s">
        <v>603</v>
      </c>
      <c r="F248" s="10" t="s">
        <v>604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0" t="s">
        <v>847</v>
      </c>
      <c r="B249" s="36">
        <v>103.71565246582031</v>
      </c>
      <c r="C249" s="36">
        <v>93.001258850097656</v>
      </c>
      <c r="D249" s="10">
        <v>8018333</v>
      </c>
      <c r="E249" s="10" t="s">
        <v>603</v>
      </c>
      <c r="F249" s="10" t="s">
        <v>604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0" t="s">
        <v>848</v>
      </c>
      <c r="B250" s="36">
        <v>105.36565399169922</v>
      </c>
      <c r="C250" s="36">
        <v>94.480819702148438</v>
      </c>
      <c r="D250" s="10">
        <v>7883464</v>
      </c>
      <c r="E250" s="10" t="s">
        <v>603</v>
      </c>
      <c r="F250" s="10" t="s">
        <v>604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0" t="s">
        <v>849</v>
      </c>
      <c r="B251" s="36">
        <v>105.79689788818359</v>
      </c>
      <c r="C251" s="36">
        <v>94.867523193359375</v>
      </c>
      <c r="D251" s="10">
        <v>20671520</v>
      </c>
      <c r="E251" s="10" t="s">
        <v>603</v>
      </c>
      <c r="F251" s="10" t="s">
        <v>604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0" t="s">
        <v>850</v>
      </c>
      <c r="B252" s="36">
        <v>105.40315246582031</v>
      </c>
      <c r="C252" s="36">
        <v>94.514434814453125</v>
      </c>
      <c r="D252" s="10">
        <v>7355416</v>
      </c>
      <c r="E252" s="10" t="s">
        <v>851</v>
      </c>
      <c r="F252" s="10" t="s">
        <v>604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0" t="s">
        <v>852</v>
      </c>
      <c r="B253" s="36">
        <v>106.17189788818359</v>
      </c>
      <c r="C253" s="36">
        <v>95.203773498535156</v>
      </c>
      <c r="D253" s="10">
        <v>3719124</v>
      </c>
      <c r="E253" s="10" t="s">
        <v>851</v>
      </c>
      <c r="F253" s="10" t="s">
        <v>604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0" t="s">
        <v>853</v>
      </c>
      <c r="B254" s="36">
        <v>104.81252288818359</v>
      </c>
      <c r="C254" s="36">
        <v>93.984840393066406</v>
      </c>
      <c r="D254" s="10">
        <v>4395422</v>
      </c>
      <c r="E254" s="10" t="s">
        <v>851</v>
      </c>
      <c r="F254" s="10" t="s">
        <v>604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0" t="s">
        <v>854</v>
      </c>
      <c r="B255" s="36">
        <v>104.66252899169922</v>
      </c>
      <c r="C255" s="36">
        <v>93.850334167480469</v>
      </c>
      <c r="D255" s="10">
        <v>5808793</v>
      </c>
      <c r="E255" s="10" t="s">
        <v>851</v>
      </c>
      <c r="F255" s="10" t="s">
        <v>604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0" t="s">
        <v>855</v>
      </c>
      <c r="B256" s="36">
        <v>103.4625244140625</v>
      </c>
      <c r="C256" s="36">
        <v>92.7742919921875</v>
      </c>
      <c r="D256" s="10">
        <v>3246500</v>
      </c>
      <c r="E256" s="10" t="s">
        <v>851</v>
      </c>
      <c r="F256" s="10" t="s">
        <v>604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0" t="s">
        <v>856</v>
      </c>
      <c r="B257" s="36">
        <v>103.0406494140625</v>
      </c>
      <c r="C257" s="36">
        <v>92.396003723144531</v>
      </c>
      <c r="D257" s="10">
        <v>5016142</v>
      </c>
      <c r="E257" s="10" t="s">
        <v>851</v>
      </c>
      <c r="F257" s="10" t="s">
        <v>604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0" t="s">
        <v>857</v>
      </c>
      <c r="B258" s="36">
        <v>106.07814788818359</v>
      </c>
      <c r="C258" s="36">
        <v>95.119712829589844</v>
      </c>
      <c r="D258" s="10">
        <v>5949523</v>
      </c>
      <c r="E258" s="10" t="s">
        <v>851</v>
      </c>
      <c r="F258" s="10" t="s">
        <v>604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0" t="s">
        <v>858</v>
      </c>
      <c r="B259" s="36">
        <v>106.7906494140625</v>
      </c>
      <c r="C259" s="36">
        <v>95.75860595703125</v>
      </c>
      <c r="D259" s="10">
        <v>4493886</v>
      </c>
      <c r="E259" s="10" t="s">
        <v>851</v>
      </c>
      <c r="F259" s="10" t="s">
        <v>604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0" t="s">
        <v>859</v>
      </c>
      <c r="B260" s="36">
        <v>109.66877746582031</v>
      </c>
      <c r="C260" s="36">
        <v>98.339401245117188</v>
      </c>
      <c r="D260" s="10">
        <v>10674994</v>
      </c>
      <c r="E260" s="10" t="s">
        <v>851</v>
      </c>
      <c r="F260" s="10" t="s">
        <v>604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4">
      <c r="A261" s="10" t="s">
        <v>860</v>
      </c>
      <c r="B261" s="36">
        <v>110.36252593994141</v>
      </c>
      <c r="C261" s="36">
        <v>98.961479187011719</v>
      </c>
      <c r="D261" s="10">
        <v>13105324</v>
      </c>
      <c r="E261" s="10" t="s">
        <v>851</v>
      </c>
      <c r="F261" s="10" t="s">
        <v>604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4">
      <c r="A262" s="10" t="s">
        <v>861</v>
      </c>
      <c r="B262" s="36">
        <v>112.73440551757813</v>
      </c>
      <c r="C262" s="36">
        <v>101.08834838867188</v>
      </c>
      <c r="D262" s="10">
        <v>25034223</v>
      </c>
      <c r="E262" s="10" t="s">
        <v>851</v>
      </c>
      <c r="F262" s="10" t="s">
        <v>604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4">
      <c r="A263" s="10" t="s">
        <v>862</v>
      </c>
      <c r="B263" s="36">
        <v>104.78440093994141</v>
      </c>
      <c r="C263" s="36">
        <v>93.959609985351563</v>
      </c>
      <c r="D263" s="10">
        <v>30976914</v>
      </c>
      <c r="E263" s="10" t="s">
        <v>851</v>
      </c>
      <c r="F263" s="10" t="s">
        <v>604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4">
      <c r="A264" s="10" t="s">
        <v>863</v>
      </c>
      <c r="B264" s="36">
        <v>104.61565399169922</v>
      </c>
      <c r="C264" s="36">
        <v>93.808296203613281</v>
      </c>
      <c r="D264" s="10">
        <v>11492685</v>
      </c>
      <c r="E264" s="10" t="s">
        <v>851</v>
      </c>
      <c r="F264" s="10" t="s">
        <v>604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4">
      <c r="A265" s="10" t="s">
        <v>864</v>
      </c>
      <c r="B265" s="36">
        <v>103.58439636230469</v>
      </c>
      <c r="C265" s="36">
        <v>92.883567810058594</v>
      </c>
      <c r="D265" s="10">
        <v>9151325</v>
      </c>
      <c r="E265" s="10" t="s">
        <v>851</v>
      </c>
      <c r="F265" s="10" t="s">
        <v>604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4">
      <c r="A266" s="10" t="s">
        <v>865</v>
      </c>
      <c r="B266" s="36">
        <v>103.95939636230469</v>
      </c>
      <c r="C266" s="36">
        <v>93.219825744628906</v>
      </c>
      <c r="D266" s="10">
        <v>9657501</v>
      </c>
      <c r="E266" s="10" t="s">
        <v>851</v>
      </c>
      <c r="F266" s="10" t="s">
        <v>604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4">
      <c r="A267" s="10" t="s">
        <v>866</v>
      </c>
      <c r="B267" s="36">
        <v>105.00002288818359</v>
      </c>
      <c r="C267" s="36">
        <v>94.1529541015625</v>
      </c>
      <c r="D267" s="10">
        <v>4790110</v>
      </c>
      <c r="E267" s="10" t="s">
        <v>851</v>
      </c>
      <c r="F267" s="10" t="s">
        <v>604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4">
      <c r="A268" s="10" t="s">
        <v>867</v>
      </c>
      <c r="B268" s="36">
        <v>103.70627593994141</v>
      </c>
      <c r="C268" s="36">
        <v>92.99285888671875</v>
      </c>
      <c r="D268" s="10">
        <v>14505825</v>
      </c>
      <c r="E268" s="10" t="s">
        <v>851</v>
      </c>
      <c r="F268" s="10" t="s">
        <v>604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4">
      <c r="A269" s="10" t="s">
        <v>868</v>
      </c>
      <c r="B269" s="36">
        <v>103.94065093994141</v>
      </c>
      <c r="C269" s="36">
        <v>93.203033447265625</v>
      </c>
      <c r="D269" s="10">
        <v>6830286</v>
      </c>
      <c r="E269" s="10" t="s">
        <v>851</v>
      </c>
      <c r="F269" s="10" t="s">
        <v>604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4">
      <c r="A270" s="10" t="s">
        <v>869</v>
      </c>
      <c r="B270" s="36">
        <v>102.84377288818359</v>
      </c>
      <c r="C270" s="36">
        <v>92.219474792480469</v>
      </c>
      <c r="D270" s="10">
        <v>5296409</v>
      </c>
      <c r="E270" s="10" t="s">
        <v>851</v>
      </c>
      <c r="F270" s="10" t="s">
        <v>604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4">
      <c r="A271" s="10" t="s">
        <v>870</v>
      </c>
      <c r="B271" s="36">
        <v>101.97190093994141</v>
      </c>
      <c r="C271" s="36">
        <v>91.437667846679688</v>
      </c>
      <c r="D271" s="10">
        <v>9210403</v>
      </c>
      <c r="E271" s="10" t="s">
        <v>851</v>
      </c>
      <c r="F271" s="10" t="s">
        <v>604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4">
      <c r="A272" s="10" t="s">
        <v>871</v>
      </c>
      <c r="B272" s="36">
        <v>101.25002288818359</v>
      </c>
      <c r="C272" s="36">
        <v>90.790359497070313</v>
      </c>
      <c r="D272" s="10">
        <v>6997112</v>
      </c>
      <c r="E272" s="10" t="s">
        <v>851</v>
      </c>
      <c r="F272" s="10" t="s">
        <v>604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4">
      <c r="A273" s="10" t="s">
        <v>872</v>
      </c>
      <c r="B273" s="36">
        <v>101.83127593994141</v>
      </c>
      <c r="C273" s="36">
        <v>91.311561584472656</v>
      </c>
      <c r="D273" s="10">
        <v>5824718</v>
      </c>
      <c r="E273" s="10" t="s">
        <v>851</v>
      </c>
      <c r="F273" s="10" t="s">
        <v>604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4">
      <c r="A274" s="10" t="s">
        <v>873</v>
      </c>
      <c r="B274" s="36">
        <v>99.956275939941406</v>
      </c>
      <c r="C274" s="36">
        <v>89.6302490234375</v>
      </c>
      <c r="D274" s="10">
        <v>6870419</v>
      </c>
      <c r="E274" s="10" t="s">
        <v>851</v>
      </c>
      <c r="F274" s="10" t="s">
        <v>604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4">
      <c r="A275" s="10" t="s">
        <v>874</v>
      </c>
      <c r="B275" s="36">
        <v>101.06252288818359</v>
      </c>
      <c r="C275" s="36">
        <v>90.622230529785156</v>
      </c>
      <c r="D275" s="10">
        <v>5356158</v>
      </c>
      <c r="E275" s="10" t="s">
        <v>851</v>
      </c>
      <c r="F275" s="10" t="s">
        <v>604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4">
      <c r="A276" s="10" t="s">
        <v>875</v>
      </c>
      <c r="B276" s="36">
        <v>100.99690246582031</v>
      </c>
      <c r="C276" s="36">
        <v>90.563377380371094</v>
      </c>
      <c r="D276" s="10">
        <v>5211513</v>
      </c>
      <c r="E276" s="10" t="s">
        <v>851</v>
      </c>
      <c r="F276" s="10" t="s">
        <v>604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4">
      <c r="A277" s="10" t="s">
        <v>876</v>
      </c>
      <c r="B277" s="36">
        <v>100.8375244140625</v>
      </c>
      <c r="C277" s="36">
        <v>90.420478820800781</v>
      </c>
      <c r="D277" s="10">
        <v>3859455</v>
      </c>
      <c r="E277" s="10" t="s">
        <v>851</v>
      </c>
      <c r="F277" s="10" t="s">
        <v>604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4">
      <c r="A278" s="10" t="s">
        <v>877</v>
      </c>
      <c r="B278" s="36">
        <v>101.6812744140625</v>
      </c>
      <c r="C278" s="36">
        <v>91.17706298828125</v>
      </c>
      <c r="D278" s="10">
        <v>5328180</v>
      </c>
      <c r="E278" s="10" t="s">
        <v>851</v>
      </c>
      <c r="F278" s="10" t="s">
        <v>604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4">
      <c r="A279" s="10" t="s">
        <v>878</v>
      </c>
      <c r="B279" s="36">
        <v>101.18440246582031</v>
      </c>
      <c r="C279" s="36">
        <v>90.731513977050781</v>
      </c>
      <c r="D279" s="10">
        <v>4528516</v>
      </c>
      <c r="E279" s="10" t="s">
        <v>851</v>
      </c>
      <c r="F279" s="10" t="s">
        <v>604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4">
      <c r="A280" s="10" t="s">
        <v>879</v>
      </c>
      <c r="B280" s="36">
        <v>101.4000244140625</v>
      </c>
      <c r="C280" s="36">
        <v>90.924873352050781</v>
      </c>
      <c r="D280" s="10">
        <v>6225662</v>
      </c>
      <c r="E280" s="10" t="s">
        <v>851</v>
      </c>
      <c r="F280" s="10" t="s">
        <v>604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4">
      <c r="A281" s="10" t="s">
        <v>880</v>
      </c>
      <c r="B281" s="36">
        <v>101.27815246582031</v>
      </c>
      <c r="C281" s="36">
        <v>90.815589904785156</v>
      </c>
      <c r="D281" s="10">
        <v>6809208</v>
      </c>
      <c r="E281" s="10" t="s">
        <v>851</v>
      </c>
      <c r="F281" s="10" t="s">
        <v>604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4">
      <c r="A282" s="10" t="s">
        <v>881</v>
      </c>
      <c r="B282" s="36">
        <v>101.1656494140625</v>
      </c>
      <c r="C282" s="36">
        <v>90.714691162109375</v>
      </c>
      <c r="D282" s="10">
        <v>7621128</v>
      </c>
      <c r="E282" s="10" t="s">
        <v>851</v>
      </c>
      <c r="F282" s="10" t="s">
        <v>604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4">
      <c r="A283" s="10" t="s">
        <v>882</v>
      </c>
      <c r="B283" s="36">
        <v>101.80314636230469</v>
      </c>
      <c r="C283" s="36">
        <v>91.286354064941406</v>
      </c>
      <c r="D283" s="10">
        <v>6685262</v>
      </c>
      <c r="E283" s="10" t="s">
        <v>851</v>
      </c>
      <c r="F283" s="10" t="s">
        <v>604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4">
      <c r="A284" s="10" t="s">
        <v>883</v>
      </c>
      <c r="B284" s="36">
        <v>101.88752746582031</v>
      </c>
      <c r="C284" s="36">
        <v>91.362007141113281</v>
      </c>
      <c r="D284" s="10">
        <v>4706510</v>
      </c>
      <c r="E284" s="10" t="s">
        <v>851</v>
      </c>
      <c r="F284" s="10" t="s">
        <v>604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4">
      <c r="A285" s="10" t="s">
        <v>884</v>
      </c>
      <c r="B285" s="36">
        <v>101.22190093994141</v>
      </c>
      <c r="C285" s="36">
        <v>90.765151977539063</v>
      </c>
      <c r="D285" s="10">
        <v>4875689</v>
      </c>
      <c r="E285" s="10" t="s">
        <v>851</v>
      </c>
      <c r="F285" s="10" t="s">
        <v>604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4">
      <c r="A286" s="10" t="s">
        <v>885</v>
      </c>
      <c r="B286" s="36">
        <v>100.80940246582031</v>
      </c>
      <c r="C286" s="36">
        <v>90.395256042480469</v>
      </c>
      <c r="D286" s="10">
        <v>5286206</v>
      </c>
      <c r="E286" s="10" t="s">
        <v>851</v>
      </c>
      <c r="F286" s="10" t="s">
        <v>604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4">
      <c r="A287" s="10" t="s">
        <v>886</v>
      </c>
      <c r="B287" s="36">
        <v>102.39377593994141</v>
      </c>
      <c r="C287" s="36">
        <v>91.815948486328125</v>
      </c>
      <c r="D287" s="10">
        <v>6641075</v>
      </c>
      <c r="E287" s="10" t="s">
        <v>851</v>
      </c>
      <c r="F287" s="10" t="s">
        <v>604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4">
      <c r="A288" s="10" t="s">
        <v>887</v>
      </c>
      <c r="B288" s="36">
        <v>102.17814636230469</v>
      </c>
      <c r="C288" s="36">
        <v>91.622589111328125</v>
      </c>
      <c r="D288" s="10">
        <v>6586563</v>
      </c>
      <c r="E288" s="10" t="s">
        <v>851</v>
      </c>
      <c r="F288" s="10" t="s">
        <v>604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4">
      <c r="A289" s="10" t="s">
        <v>888</v>
      </c>
      <c r="B289" s="36">
        <v>102.26252746582031</v>
      </c>
      <c r="C289" s="36">
        <v>91.698265075683594</v>
      </c>
      <c r="D289" s="10">
        <v>6460681</v>
      </c>
      <c r="E289" s="10" t="s">
        <v>851</v>
      </c>
      <c r="F289" s="10" t="s">
        <v>604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4">
      <c r="A290" s="10" t="s">
        <v>889</v>
      </c>
      <c r="B290" s="36">
        <v>103.15315246582031</v>
      </c>
      <c r="C290" s="36">
        <v>92.496894836425781</v>
      </c>
      <c r="D290" s="10">
        <v>5706643</v>
      </c>
      <c r="E290" s="10" t="s">
        <v>851</v>
      </c>
      <c r="F290" s="10" t="s">
        <v>604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4">
      <c r="A291" s="10" t="s">
        <v>890</v>
      </c>
      <c r="B291" s="36">
        <v>102.27189636230469</v>
      </c>
      <c r="C291" s="36">
        <v>91.706649780273438</v>
      </c>
      <c r="D291" s="10">
        <v>11040471</v>
      </c>
      <c r="E291" s="10" t="s">
        <v>851</v>
      </c>
      <c r="F291" s="10" t="s">
        <v>604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4">
      <c r="A292" s="10" t="s">
        <v>891</v>
      </c>
      <c r="B292" s="36">
        <v>103.96877288818359</v>
      </c>
      <c r="C292" s="36">
        <v>93.228240966796875</v>
      </c>
      <c r="D292" s="10">
        <v>5452990</v>
      </c>
      <c r="E292" s="10" t="s">
        <v>851</v>
      </c>
      <c r="F292" s="10" t="s">
        <v>604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4">
      <c r="A293" s="10" t="s">
        <v>892</v>
      </c>
      <c r="B293" s="36">
        <v>101.32502746582031</v>
      </c>
      <c r="C293" s="36">
        <v>90.85760498046875</v>
      </c>
      <c r="D293" s="10">
        <v>13762753</v>
      </c>
      <c r="E293" s="10" t="s">
        <v>851</v>
      </c>
      <c r="F293" s="10" t="s">
        <v>604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4">
      <c r="A294" s="10" t="s">
        <v>893</v>
      </c>
      <c r="B294" s="36">
        <v>101.4000244140625</v>
      </c>
      <c r="C294" s="36">
        <v>90.924873352050781</v>
      </c>
      <c r="D294" s="10">
        <v>7088563</v>
      </c>
      <c r="E294" s="10" t="s">
        <v>851</v>
      </c>
      <c r="F294" s="10" t="s">
        <v>604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4">
      <c r="A295" s="10" t="s">
        <v>894</v>
      </c>
      <c r="B295" s="36">
        <v>100.33127593994141</v>
      </c>
      <c r="C295" s="36">
        <v>89.966499328613281</v>
      </c>
      <c r="D295" s="10">
        <v>10304205</v>
      </c>
      <c r="E295" s="10" t="s">
        <v>851</v>
      </c>
      <c r="F295" s="10" t="s">
        <v>604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4">
      <c r="A296" s="10" t="s">
        <v>895</v>
      </c>
      <c r="B296" s="36">
        <v>101.22190093994141</v>
      </c>
      <c r="C296" s="36">
        <v>90.765151977539063</v>
      </c>
      <c r="D296" s="10">
        <v>10313858</v>
      </c>
      <c r="E296" s="10" t="s">
        <v>851</v>
      </c>
      <c r="F296" s="10" t="s">
        <v>604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4">
      <c r="A297" s="10" t="s">
        <v>896</v>
      </c>
      <c r="B297" s="36">
        <v>102.11252593994141</v>
      </c>
      <c r="C297" s="36">
        <v>91.563766479492188</v>
      </c>
      <c r="D297" s="10">
        <v>8129181</v>
      </c>
      <c r="E297" s="10" t="s">
        <v>851</v>
      </c>
      <c r="F297" s="10" t="s">
        <v>604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4">
      <c r="A298" s="10" t="s">
        <v>897</v>
      </c>
      <c r="B298" s="36">
        <v>102.1500244140625</v>
      </c>
      <c r="C298" s="36">
        <v>91.597396850585938</v>
      </c>
      <c r="D298" s="10">
        <v>9430088</v>
      </c>
      <c r="E298" s="10" t="s">
        <v>851</v>
      </c>
      <c r="F298" s="10" t="s">
        <v>604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4">
      <c r="A299" s="10" t="s">
        <v>898</v>
      </c>
      <c r="B299" s="36">
        <v>102.25315093994141</v>
      </c>
      <c r="C299" s="36">
        <v>91.689857482910156</v>
      </c>
      <c r="D299" s="10">
        <v>6359182</v>
      </c>
      <c r="E299" s="10" t="s">
        <v>851</v>
      </c>
      <c r="F299" s="10" t="s">
        <v>604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4">
      <c r="A300" s="10" t="s">
        <v>899</v>
      </c>
      <c r="B300" s="36">
        <v>101.47502136230469</v>
      </c>
      <c r="C300" s="36">
        <v>90.992118835449219</v>
      </c>
      <c r="D300" s="10">
        <v>3480377</v>
      </c>
      <c r="E300" s="10" t="s">
        <v>851</v>
      </c>
      <c r="F300" s="10" t="s">
        <v>604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  <row r="301" spans="1:47">
      <c r="A301" s="35" t="s">
        <v>900</v>
      </c>
      <c r="B301" s="37">
        <v>101.83127593994141</v>
      </c>
      <c r="C301" s="37">
        <v>91.311561584472656</v>
      </c>
      <c r="D301" s="35">
        <v>5602446</v>
      </c>
      <c r="E301" s="35" t="s">
        <v>851</v>
      </c>
      <c r="F301" s="35" t="s">
        <v>604</v>
      </c>
    </row>
    <row r="302" spans="1:47">
      <c r="A302" s="35" t="s">
        <v>901</v>
      </c>
      <c r="B302" s="37">
        <v>102.5718994140625</v>
      </c>
      <c r="C302" s="37">
        <v>91.975677490234375</v>
      </c>
      <c r="D302" s="35">
        <v>2263231</v>
      </c>
      <c r="E302" s="35" t="s">
        <v>851</v>
      </c>
      <c r="F302" s="35" t="s">
        <v>604</v>
      </c>
    </row>
    <row r="303" spans="1:47">
      <c r="A303" s="35" t="s">
        <v>902</v>
      </c>
      <c r="B303" s="37">
        <v>103.10627746582031</v>
      </c>
      <c r="C303" s="37">
        <v>92.454864501953125</v>
      </c>
      <c r="D303" s="35">
        <v>3681988</v>
      </c>
      <c r="E303" s="35" t="s">
        <v>851</v>
      </c>
      <c r="F303" s="35" t="s">
        <v>604</v>
      </c>
    </row>
    <row r="304" spans="1:47">
      <c r="A304" s="35" t="s">
        <v>903</v>
      </c>
      <c r="B304" s="37">
        <v>103.5093994140625</v>
      </c>
      <c r="C304" s="37">
        <v>92.816322326660156</v>
      </c>
      <c r="D304" s="35">
        <v>8613805</v>
      </c>
      <c r="E304" s="35" t="s">
        <v>851</v>
      </c>
      <c r="F304" s="35" t="s">
        <v>604</v>
      </c>
    </row>
    <row r="305" spans="1:6">
      <c r="A305" s="35" t="s">
        <v>904</v>
      </c>
      <c r="B305" s="37">
        <v>104.4468994140625</v>
      </c>
      <c r="C305" s="37">
        <v>93.656990051269531</v>
      </c>
      <c r="D305" s="35">
        <v>7409230</v>
      </c>
      <c r="E305" s="35" t="s">
        <v>851</v>
      </c>
      <c r="F305" s="35" t="s">
        <v>604</v>
      </c>
    </row>
    <row r="306" spans="1:6">
      <c r="A306" s="35" t="s">
        <v>905</v>
      </c>
      <c r="B306" s="37">
        <v>105.18752288818359</v>
      </c>
      <c r="C306" s="37">
        <v>94.321098327636719</v>
      </c>
      <c r="D306" s="35">
        <v>5277033</v>
      </c>
      <c r="E306" s="35" t="s">
        <v>851</v>
      </c>
      <c r="F306" s="35" t="s">
        <v>604</v>
      </c>
    </row>
    <row r="307" spans="1:6">
      <c r="A307" s="35" t="s">
        <v>906</v>
      </c>
      <c r="B307" s="37">
        <v>105.59065246582031</v>
      </c>
      <c r="C307" s="37">
        <v>94.682586669921875</v>
      </c>
      <c r="D307" s="35">
        <v>7391587</v>
      </c>
      <c r="E307" s="35" t="s">
        <v>851</v>
      </c>
      <c r="F307" s="35" t="s">
        <v>604</v>
      </c>
    </row>
    <row r="308" spans="1:6">
      <c r="A308" s="35" t="s">
        <v>907</v>
      </c>
      <c r="B308" s="37">
        <v>105.69377899169922</v>
      </c>
      <c r="C308" s="37">
        <v>94.775047302246094</v>
      </c>
      <c r="D308" s="35">
        <v>3580004</v>
      </c>
      <c r="E308" s="35" t="s">
        <v>851</v>
      </c>
      <c r="F308" s="35" t="s">
        <v>604</v>
      </c>
    </row>
    <row r="309" spans="1:6">
      <c r="A309" s="35" t="s">
        <v>908</v>
      </c>
      <c r="B309" s="37">
        <v>104.09065246582031</v>
      </c>
      <c r="C309" s="37">
        <v>93.337539672851563</v>
      </c>
      <c r="D309" s="35">
        <v>7210062</v>
      </c>
      <c r="E309" s="35" t="s">
        <v>851</v>
      </c>
      <c r="F309" s="35" t="s">
        <v>604</v>
      </c>
    </row>
    <row r="310" spans="1:6">
      <c r="A310" s="35" t="s">
        <v>909</v>
      </c>
      <c r="B310" s="37">
        <v>102.75002288818359</v>
      </c>
      <c r="C310" s="37">
        <v>92.135406494140625</v>
      </c>
      <c r="D310" s="35">
        <v>5685011</v>
      </c>
      <c r="E310" s="35" t="s">
        <v>851</v>
      </c>
      <c r="F310" s="35" t="s">
        <v>604</v>
      </c>
    </row>
    <row r="311" spans="1:6">
      <c r="A311" s="35" t="s">
        <v>910</v>
      </c>
      <c r="B311" s="37">
        <v>101.70002746582031</v>
      </c>
      <c r="C311" s="37">
        <v>91.193870544433594</v>
      </c>
      <c r="D311" s="35">
        <v>5295833</v>
      </c>
      <c r="E311" s="35" t="s">
        <v>851</v>
      </c>
      <c r="F311" s="35" t="s">
        <v>604</v>
      </c>
    </row>
    <row r="312" spans="1:6">
      <c r="A312" s="35" t="s">
        <v>911</v>
      </c>
      <c r="B312" s="37">
        <v>103.9781494140625</v>
      </c>
      <c r="C312" s="37">
        <v>93.236648559570313</v>
      </c>
      <c r="D312" s="35">
        <v>4993854</v>
      </c>
      <c r="E312" s="35" t="s">
        <v>851</v>
      </c>
      <c r="F312" s="35" t="s">
        <v>604</v>
      </c>
    </row>
    <row r="313" spans="1:6">
      <c r="A313" s="35" t="s">
        <v>912</v>
      </c>
      <c r="B313" s="37">
        <v>104.61565399169922</v>
      </c>
      <c r="C313" s="37">
        <v>93.808296203613281</v>
      </c>
      <c r="D313" s="35">
        <v>7785230</v>
      </c>
      <c r="E313" s="35" t="s">
        <v>851</v>
      </c>
      <c r="F313" s="35" t="s">
        <v>604</v>
      </c>
    </row>
    <row r="314" spans="1:6">
      <c r="A314" s="35" t="s">
        <v>913</v>
      </c>
      <c r="B314" s="37">
        <v>104.79377746582031</v>
      </c>
      <c r="C314" s="37">
        <v>93.968017578125</v>
      </c>
      <c r="D314" s="35">
        <v>2872943</v>
      </c>
      <c r="E314" s="35" t="s">
        <v>851</v>
      </c>
      <c r="F314" s="35" t="s">
        <v>604</v>
      </c>
    </row>
    <row r="315" spans="1:6">
      <c r="A315" s="35" t="s">
        <v>914</v>
      </c>
      <c r="B315" s="37">
        <v>105.31877899169922</v>
      </c>
      <c r="C315" s="37">
        <v>94.438789367675781</v>
      </c>
      <c r="D315" s="35">
        <v>5305017</v>
      </c>
      <c r="E315" s="35" t="s">
        <v>851</v>
      </c>
      <c r="F315" s="35" t="s">
        <v>604</v>
      </c>
    </row>
    <row r="316" spans="1:6">
      <c r="A316" s="35" t="s">
        <v>915</v>
      </c>
      <c r="B316" s="37">
        <v>105.92815399169922</v>
      </c>
      <c r="C316" s="37">
        <v>94.985221862792969</v>
      </c>
      <c r="D316" s="35">
        <v>4831470</v>
      </c>
      <c r="E316" s="35" t="s">
        <v>851</v>
      </c>
      <c r="F316" s="35" t="s">
        <v>604</v>
      </c>
    </row>
    <row r="317" spans="1:6">
      <c r="A317" s="35" t="s">
        <v>916</v>
      </c>
      <c r="B317" s="37">
        <v>104.92502593994141</v>
      </c>
      <c r="C317" s="37">
        <v>94.085708618164063</v>
      </c>
      <c r="D317" s="35">
        <v>7614019</v>
      </c>
      <c r="E317" s="35" t="s">
        <v>851</v>
      </c>
      <c r="F317" s="35" t="s">
        <v>604</v>
      </c>
    </row>
    <row r="318" spans="1:6">
      <c r="A318" s="35" t="s">
        <v>917</v>
      </c>
      <c r="B318" s="37">
        <v>105.30940246582031</v>
      </c>
      <c r="C318" s="37">
        <v>94.430389404296875</v>
      </c>
      <c r="D318" s="35">
        <v>4648377</v>
      </c>
      <c r="E318" s="35" t="s">
        <v>851</v>
      </c>
      <c r="F318" s="35" t="s">
        <v>604</v>
      </c>
    </row>
    <row r="319" spans="1:6">
      <c r="A319" s="35" t="s">
        <v>918</v>
      </c>
      <c r="B319" s="37">
        <v>106.65940093994141</v>
      </c>
      <c r="C319" s="37">
        <v>95.811508178710938</v>
      </c>
      <c r="D319" s="35">
        <v>5509102</v>
      </c>
      <c r="E319" s="35" t="s">
        <v>851</v>
      </c>
      <c r="F319" s="35" t="s">
        <v>604</v>
      </c>
    </row>
    <row r="320" spans="1:6">
      <c r="A320" s="35" t="s">
        <v>919</v>
      </c>
      <c r="B320" s="37">
        <v>107.0250244140625</v>
      </c>
      <c r="C320" s="37">
        <v>96.139930725097656</v>
      </c>
      <c r="D320" s="35">
        <v>3498900</v>
      </c>
      <c r="E320" s="35" t="s">
        <v>851</v>
      </c>
      <c r="F320" s="35" t="s">
        <v>604</v>
      </c>
    </row>
    <row r="321" spans="1:6">
      <c r="A321" s="35" t="s">
        <v>920</v>
      </c>
      <c r="B321" s="37">
        <v>107.61565399169922</v>
      </c>
      <c r="C321" s="37">
        <v>96.670501708984375</v>
      </c>
      <c r="D321" s="35">
        <v>5638382</v>
      </c>
      <c r="E321" s="35" t="s">
        <v>851</v>
      </c>
      <c r="F321" s="35" t="s">
        <v>604</v>
      </c>
    </row>
    <row r="322" spans="1:6">
      <c r="A322" s="35" t="s">
        <v>921</v>
      </c>
      <c r="B322" s="37">
        <v>106.98752593994141</v>
      </c>
      <c r="C322" s="37">
        <v>96.106254577636719</v>
      </c>
      <c r="D322" s="35">
        <v>2713977</v>
      </c>
      <c r="E322" s="35" t="s">
        <v>851</v>
      </c>
      <c r="F322" s="35" t="s">
        <v>604</v>
      </c>
    </row>
    <row r="323" spans="1:6">
      <c r="A323" s="35" t="s">
        <v>922</v>
      </c>
      <c r="B323" s="37">
        <v>103.96877288818359</v>
      </c>
      <c r="C323" s="37">
        <v>93.394523620605469</v>
      </c>
      <c r="D323" s="35">
        <v>18280203</v>
      </c>
      <c r="E323" s="35" t="s">
        <v>851</v>
      </c>
      <c r="F323" s="35" t="s">
        <v>604</v>
      </c>
    </row>
    <row r="324" spans="1:6">
      <c r="A324" s="35" t="s">
        <v>923</v>
      </c>
      <c r="B324" s="37">
        <v>103.49064636230469</v>
      </c>
      <c r="C324" s="37">
        <v>92.96502685546875</v>
      </c>
      <c r="D324" s="35">
        <v>8784787</v>
      </c>
      <c r="E324" s="35" t="s">
        <v>851</v>
      </c>
      <c r="F324" s="35" t="s">
        <v>604</v>
      </c>
    </row>
    <row r="325" spans="1:6">
      <c r="A325" s="35" t="s">
        <v>924</v>
      </c>
      <c r="B325" s="37">
        <v>102.98439788818359</v>
      </c>
      <c r="C325" s="37">
        <v>92.510261535644531</v>
      </c>
      <c r="D325" s="35">
        <v>14877681</v>
      </c>
      <c r="E325" s="35" t="s">
        <v>851</v>
      </c>
      <c r="F325" s="35" t="s">
        <v>604</v>
      </c>
    </row>
    <row r="326" spans="1:6">
      <c r="A326" s="35" t="s">
        <v>925</v>
      </c>
      <c r="B326" s="37">
        <v>101.03440093994141</v>
      </c>
      <c r="C326" s="37">
        <v>90.758621215820313</v>
      </c>
      <c r="D326" s="35">
        <v>50777299</v>
      </c>
      <c r="E326" s="35" t="s">
        <v>851</v>
      </c>
      <c r="F326" s="35" t="s">
        <v>604</v>
      </c>
    </row>
    <row r="327" spans="1:6">
      <c r="A327" s="35" t="s">
        <v>926</v>
      </c>
      <c r="B327" s="37">
        <v>101.62502288818359</v>
      </c>
      <c r="C327" s="37">
        <v>91.289154052734375</v>
      </c>
      <c r="D327" s="35">
        <v>7703480</v>
      </c>
      <c r="E327" s="35" t="s">
        <v>851</v>
      </c>
      <c r="F327" s="35" t="s">
        <v>604</v>
      </c>
    </row>
    <row r="328" spans="1:6">
      <c r="A328" s="35" t="s">
        <v>927</v>
      </c>
      <c r="B328" s="37">
        <v>100.82814788818359</v>
      </c>
      <c r="C328" s="37">
        <v>90.573318481445313</v>
      </c>
      <c r="D328" s="35">
        <v>7330024</v>
      </c>
      <c r="E328" s="35" t="s">
        <v>851</v>
      </c>
      <c r="F328" s="35" t="s">
        <v>604</v>
      </c>
    </row>
    <row r="329" spans="1:6">
      <c r="A329" s="35" t="s">
        <v>928</v>
      </c>
      <c r="B329" s="37">
        <v>101.78440093994141</v>
      </c>
      <c r="C329" s="37">
        <v>91.432334899902344</v>
      </c>
      <c r="D329" s="35">
        <v>3908543</v>
      </c>
      <c r="E329" s="35" t="s">
        <v>851</v>
      </c>
      <c r="F329" s="35" t="s">
        <v>604</v>
      </c>
    </row>
    <row r="330" spans="1:6">
      <c r="A330" s="35" t="s">
        <v>929</v>
      </c>
      <c r="B330" s="37">
        <v>102.39377593994141</v>
      </c>
      <c r="C330" s="37">
        <v>91.979721069335938</v>
      </c>
      <c r="D330" s="35">
        <v>8752205</v>
      </c>
      <c r="E330" s="35" t="s">
        <v>851</v>
      </c>
      <c r="F330" s="35" t="s">
        <v>604</v>
      </c>
    </row>
    <row r="331" spans="1:6">
      <c r="A331" s="35" t="s">
        <v>930</v>
      </c>
      <c r="B331" s="37">
        <v>102.96565246582031</v>
      </c>
      <c r="C331" s="37">
        <v>92.493431091308594</v>
      </c>
      <c r="D331" s="35">
        <v>7535086</v>
      </c>
      <c r="E331" s="35" t="s">
        <v>851</v>
      </c>
      <c r="F331" s="35" t="s">
        <v>604</v>
      </c>
    </row>
    <row r="332" spans="1:6">
      <c r="A332" s="35" t="s">
        <v>931</v>
      </c>
      <c r="B332" s="37">
        <v>103.8375244140625</v>
      </c>
      <c r="C332" s="37">
        <v>93.276618957519531</v>
      </c>
      <c r="D332" s="35">
        <v>6127465</v>
      </c>
      <c r="E332" s="35" t="s">
        <v>851</v>
      </c>
      <c r="F332" s="35" t="s">
        <v>604</v>
      </c>
    </row>
    <row r="333" spans="1:6">
      <c r="A333" s="35" t="s">
        <v>932</v>
      </c>
      <c r="B333" s="37">
        <v>102.1968994140625</v>
      </c>
      <c r="C333" s="37">
        <v>91.802879333496094</v>
      </c>
      <c r="D333" s="35">
        <v>7435123</v>
      </c>
      <c r="E333" s="35" t="s">
        <v>851</v>
      </c>
      <c r="F333" s="35" t="s">
        <v>604</v>
      </c>
    </row>
    <row r="334" spans="1:6">
      <c r="A334" s="35" t="s">
        <v>933</v>
      </c>
      <c r="B334" s="37">
        <v>104.56877899169922</v>
      </c>
      <c r="C334" s="37">
        <v>93.933517456054688</v>
      </c>
      <c r="D334" s="35">
        <v>12123703</v>
      </c>
      <c r="E334" s="35" t="s">
        <v>851</v>
      </c>
      <c r="F334" s="35" t="s">
        <v>604</v>
      </c>
    </row>
    <row r="335" spans="1:6">
      <c r="A335" s="35" t="s">
        <v>934</v>
      </c>
      <c r="B335" s="37">
        <v>103.05002593994141</v>
      </c>
      <c r="C335" s="37">
        <v>92.569221496582031</v>
      </c>
      <c r="D335" s="35">
        <v>6216329</v>
      </c>
      <c r="E335" s="35" t="s">
        <v>851</v>
      </c>
      <c r="F335" s="35" t="s">
        <v>604</v>
      </c>
    </row>
    <row r="336" spans="1:6">
      <c r="A336" s="35" t="s">
        <v>935</v>
      </c>
      <c r="B336" s="37">
        <v>102.74064636230469</v>
      </c>
      <c r="C336" s="37">
        <v>92.291313171386719</v>
      </c>
      <c r="D336" s="35">
        <v>7703918</v>
      </c>
      <c r="E336" s="35" t="s">
        <v>851</v>
      </c>
      <c r="F336" s="35" t="s">
        <v>604</v>
      </c>
    </row>
    <row r="337" spans="1:6">
      <c r="A337" s="35" t="s">
        <v>936</v>
      </c>
      <c r="B337" s="37">
        <v>102.78752136230469</v>
      </c>
      <c r="C337" s="37">
        <v>92.333419799804688</v>
      </c>
      <c r="D337" s="35">
        <v>6132105</v>
      </c>
      <c r="E337" s="35" t="s">
        <v>851</v>
      </c>
      <c r="F337" s="35" t="s">
        <v>604</v>
      </c>
    </row>
    <row r="338" spans="1:6">
      <c r="A338" s="35" t="s">
        <v>937</v>
      </c>
      <c r="B338" s="37">
        <v>102.60002136230469</v>
      </c>
      <c r="C338" s="37">
        <v>92.16497802734375</v>
      </c>
      <c r="D338" s="35">
        <v>3108623</v>
      </c>
      <c r="E338" s="35" t="s">
        <v>851</v>
      </c>
      <c r="F338" s="35" t="s">
        <v>604</v>
      </c>
    </row>
    <row r="339" spans="1:6">
      <c r="A339" s="35" t="s">
        <v>938</v>
      </c>
      <c r="B339" s="37">
        <v>102.93752288818359</v>
      </c>
      <c r="C339" s="37">
        <v>92.468162536621094</v>
      </c>
      <c r="D339" s="35">
        <v>5468510</v>
      </c>
      <c r="E339" s="35" t="s">
        <v>851</v>
      </c>
      <c r="F339" s="35" t="s">
        <v>604</v>
      </c>
    </row>
    <row r="340" spans="1:6">
      <c r="A340" s="35" t="s">
        <v>939</v>
      </c>
      <c r="B340" s="37">
        <v>103.37815093994141</v>
      </c>
      <c r="C340" s="37">
        <v>92.863975524902344</v>
      </c>
      <c r="D340" s="35">
        <v>4676916</v>
      </c>
      <c r="E340" s="35" t="s">
        <v>851</v>
      </c>
      <c r="F340" s="35" t="s">
        <v>604</v>
      </c>
    </row>
    <row r="341" spans="1:6">
      <c r="A341" s="35" t="s">
        <v>940</v>
      </c>
      <c r="B341" s="37">
        <v>101.74690246582031</v>
      </c>
      <c r="C341" s="37">
        <v>91.398643493652344</v>
      </c>
      <c r="D341" s="35">
        <v>3369775</v>
      </c>
      <c r="E341" s="35" t="s">
        <v>851</v>
      </c>
      <c r="F341" s="35" t="s">
        <v>604</v>
      </c>
    </row>
    <row r="342" spans="1:6">
      <c r="A342" s="35" t="s">
        <v>941</v>
      </c>
      <c r="B342" s="37">
        <v>101.81252288818359</v>
      </c>
      <c r="C342" s="37">
        <v>91.457595825195313</v>
      </c>
      <c r="D342" s="35">
        <v>2665604</v>
      </c>
      <c r="E342" s="35" t="s">
        <v>851</v>
      </c>
      <c r="F342" s="35" t="s">
        <v>604</v>
      </c>
    </row>
    <row r="343" spans="1:6">
      <c r="A343" s="35" t="s">
        <v>942</v>
      </c>
      <c r="B343" s="37">
        <v>101.95314788818359</v>
      </c>
      <c r="C343" s="37">
        <v>91.583908081054688</v>
      </c>
      <c r="D343" s="35">
        <v>4163470</v>
      </c>
      <c r="E343" s="35" t="s">
        <v>851</v>
      </c>
      <c r="F343" s="35" t="s">
        <v>604</v>
      </c>
    </row>
    <row r="344" spans="1:6">
      <c r="A344" s="35" t="s">
        <v>943</v>
      </c>
      <c r="B344" s="37">
        <v>100.59377288818359</v>
      </c>
      <c r="C344" s="37">
        <v>90.362777709960938</v>
      </c>
      <c r="D344" s="35">
        <v>4939065</v>
      </c>
      <c r="E344" s="35" t="s">
        <v>851</v>
      </c>
      <c r="F344" s="35" t="s">
        <v>604</v>
      </c>
    </row>
    <row r="345" spans="1:6">
      <c r="A345" s="35" t="s">
        <v>944</v>
      </c>
      <c r="B345" s="37">
        <v>98.9625244140625</v>
      </c>
      <c r="C345" s="37">
        <v>88.897445678710938</v>
      </c>
      <c r="D345" s="35">
        <v>5300457</v>
      </c>
      <c r="E345" s="35" t="s">
        <v>851</v>
      </c>
      <c r="F345" s="35" t="s">
        <v>604</v>
      </c>
    </row>
    <row r="346" spans="1:6">
      <c r="A346" s="35" t="s">
        <v>945</v>
      </c>
      <c r="B346" s="37">
        <v>98.456275939941406</v>
      </c>
      <c r="C346" s="37">
        <v>88.442680358886719</v>
      </c>
      <c r="D346" s="35">
        <v>4851732</v>
      </c>
      <c r="E346" s="35" t="s">
        <v>851</v>
      </c>
      <c r="F346" s="35" t="s">
        <v>604</v>
      </c>
    </row>
    <row r="347" spans="1:6">
      <c r="A347" s="35" t="s">
        <v>946</v>
      </c>
      <c r="B347" s="37">
        <v>97.518775939941406</v>
      </c>
      <c r="C347" s="37">
        <v>87.600532531738281</v>
      </c>
      <c r="D347" s="35">
        <v>5503785</v>
      </c>
      <c r="E347" s="35" t="s">
        <v>851</v>
      </c>
      <c r="F347" s="35" t="s">
        <v>604</v>
      </c>
    </row>
    <row r="348" spans="1:6">
      <c r="A348" s="35" t="s">
        <v>947</v>
      </c>
      <c r="B348" s="37">
        <v>96.656272888183594</v>
      </c>
      <c r="C348" s="37">
        <v>86.825759887695313</v>
      </c>
      <c r="D348" s="35">
        <v>5422857</v>
      </c>
      <c r="E348" s="35" t="s">
        <v>851</v>
      </c>
      <c r="F348" s="35" t="s">
        <v>604</v>
      </c>
    </row>
    <row r="349" spans="1:6">
      <c r="A349" s="35" t="s">
        <v>948</v>
      </c>
      <c r="B349" s="37">
        <v>97.425025939941406</v>
      </c>
      <c r="C349" s="37">
        <v>87.516326904296875</v>
      </c>
      <c r="D349" s="35">
        <v>6156019</v>
      </c>
      <c r="E349" s="35" t="s">
        <v>851</v>
      </c>
      <c r="F349" s="35" t="s">
        <v>604</v>
      </c>
    </row>
    <row r="350" spans="1:6">
      <c r="A350" s="35" t="s">
        <v>949</v>
      </c>
      <c r="B350" s="37">
        <v>97.434402465820313</v>
      </c>
      <c r="C350" s="37">
        <v>87.524742126464844</v>
      </c>
      <c r="D350" s="35">
        <v>5587134</v>
      </c>
      <c r="E350" s="35" t="s">
        <v>851</v>
      </c>
      <c r="F350" s="35" t="s">
        <v>604</v>
      </c>
    </row>
    <row r="351" spans="1:6">
      <c r="A351" s="35" t="s">
        <v>950</v>
      </c>
      <c r="B351" s="37">
        <v>94.500022888183594</v>
      </c>
      <c r="C351" s="37">
        <v>84.888809204101563</v>
      </c>
      <c r="D351" s="35">
        <v>25798062</v>
      </c>
      <c r="E351" s="35" t="s">
        <v>851</v>
      </c>
      <c r="F351" s="35" t="s">
        <v>604</v>
      </c>
    </row>
    <row r="352" spans="1:6">
      <c r="A352" s="35" t="s">
        <v>951</v>
      </c>
      <c r="B352" s="37">
        <v>91.875022888183594</v>
      </c>
      <c r="C352" s="37">
        <v>82.530784606933594</v>
      </c>
      <c r="D352" s="35">
        <v>17698571</v>
      </c>
      <c r="E352" s="35" t="s">
        <v>851</v>
      </c>
      <c r="F352" s="35" t="s">
        <v>604</v>
      </c>
    </row>
    <row r="353" spans="1:6">
      <c r="A353" s="35" t="s">
        <v>952</v>
      </c>
      <c r="B353" s="37">
        <v>89.7750244140625</v>
      </c>
      <c r="C353" s="37">
        <v>80.644371032714844</v>
      </c>
      <c r="D353" s="35">
        <v>27176665</v>
      </c>
      <c r="E353" s="35" t="s">
        <v>851</v>
      </c>
      <c r="F353" s="35" t="s">
        <v>604</v>
      </c>
    </row>
    <row r="354" spans="1:6">
      <c r="A354" s="35" t="s">
        <v>953</v>
      </c>
      <c r="B354" s="37">
        <v>91.771896362304688</v>
      </c>
      <c r="C354" s="37">
        <v>82.438156127929688</v>
      </c>
      <c r="D354" s="35">
        <v>24165572</v>
      </c>
      <c r="E354" s="35" t="s">
        <v>851</v>
      </c>
      <c r="F354" s="35" t="s">
        <v>604</v>
      </c>
    </row>
    <row r="355" spans="1:6">
      <c r="A355" s="35" t="s">
        <v>954</v>
      </c>
      <c r="B355" s="37">
        <v>92.184394836425781</v>
      </c>
      <c r="C355" s="37">
        <v>82.808692932128906</v>
      </c>
      <c r="D355" s="35">
        <v>14992145</v>
      </c>
      <c r="E355" s="35" t="s">
        <v>851</v>
      </c>
      <c r="F355" s="35" t="s">
        <v>604</v>
      </c>
    </row>
    <row r="356" spans="1:6">
      <c r="A356" s="35" t="s">
        <v>955</v>
      </c>
      <c r="B356" s="37">
        <v>90.740646362304688</v>
      </c>
      <c r="C356" s="37">
        <v>81.511772155761719</v>
      </c>
      <c r="D356" s="35">
        <v>10604872</v>
      </c>
      <c r="E356" s="35" t="s">
        <v>851</v>
      </c>
      <c r="F356" s="35" t="s">
        <v>604</v>
      </c>
    </row>
    <row r="357" spans="1:6">
      <c r="A357" s="35" t="s">
        <v>956</v>
      </c>
      <c r="B357" s="37">
        <v>90.675018310546875</v>
      </c>
      <c r="C357" s="37">
        <v>81.452827453613281</v>
      </c>
      <c r="D357" s="35">
        <v>8611208</v>
      </c>
      <c r="E357" s="35" t="s">
        <v>851</v>
      </c>
      <c r="F357" s="35" t="s">
        <v>604</v>
      </c>
    </row>
    <row r="358" spans="1:6">
      <c r="A358" s="35" t="s">
        <v>957</v>
      </c>
      <c r="B358" s="37">
        <v>90.543769836425781</v>
      </c>
      <c r="C358" s="37">
        <v>81.334930419921875</v>
      </c>
      <c r="D358" s="35">
        <v>8491053</v>
      </c>
      <c r="E358" s="35" t="s">
        <v>851</v>
      </c>
      <c r="F358" s="35" t="s">
        <v>604</v>
      </c>
    </row>
    <row r="359" spans="1:6">
      <c r="A359" s="35" t="s">
        <v>958</v>
      </c>
      <c r="B359" s="37">
        <v>90.328147888183594</v>
      </c>
      <c r="C359" s="37">
        <v>81.141250610351563</v>
      </c>
      <c r="D359" s="35">
        <v>11453063</v>
      </c>
      <c r="E359" s="35" t="s">
        <v>851</v>
      </c>
      <c r="F359" s="35" t="s">
        <v>604</v>
      </c>
    </row>
    <row r="360" spans="1:6">
      <c r="A360" s="35" t="s">
        <v>959</v>
      </c>
      <c r="B360" s="37">
        <v>88.865646362304688</v>
      </c>
      <c r="C360" s="37">
        <v>79.827484130859375</v>
      </c>
      <c r="D360" s="35">
        <v>11891858</v>
      </c>
      <c r="E360" s="35" t="s">
        <v>851</v>
      </c>
      <c r="F360" s="35" t="s">
        <v>604</v>
      </c>
    </row>
    <row r="361" spans="1:6">
      <c r="A361" s="35" t="s">
        <v>960</v>
      </c>
      <c r="B361" s="37">
        <v>90.121894836425781</v>
      </c>
      <c r="C361" s="37">
        <v>80.955955505371094</v>
      </c>
      <c r="D361" s="35">
        <v>10113106</v>
      </c>
      <c r="E361" s="35" t="s">
        <v>851</v>
      </c>
      <c r="F361" s="35" t="s">
        <v>604</v>
      </c>
    </row>
    <row r="362" spans="1:6">
      <c r="A362" s="35" t="s">
        <v>961</v>
      </c>
      <c r="B362" s="37">
        <v>90.075019836425781</v>
      </c>
      <c r="C362" s="37">
        <v>80.913856506347656</v>
      </c>
      <c r="D362" s="35">
        <v>10068429</v>
      </c>
      <c r="E362" s="35" t="s">
        <v>851</v>
      </c>
      <c r="F362" s="35" t="s">
        <v>604</v>
      </c>
    </row>
    <row r="363" spans="1:6">
      <c r="A363" s="35" t="s">
        <v>962</v>
      </c>
      <c r="B363" s="37">
        <v>89.6343994140625</v>
      </c>
      <c r="C363" s="37">
        <v>80.518051147460938</v>
      </c>
      <c r="D363" s="35">
        <v>9826386</v>
      </c>
      <c r="E363" s="35" t="s">
        <v>851</v>
      </c>
      <c r="F363" s="35" t="s">
        <v>604</v>
      </c>
    </row>
    <row r="364" spans="1:6">
      <c r="A364" s="35" t="s">
        <v>963</v>
      </c>
      <c r="B364" s="37">
        <v>89.709396362304688</v>
      </c>
      <c r="C364" s="37">
        <v>80.585418701171875</v>
      </c>
      <c r="D364" s="35">
        <v>9677981</v>
      </c>
      <c r="E364" s="35" t="s">
        <v>851</v>
      </c>
      <c r="F364" s="35" t="s">
        <v>604</v>
      </c>
    </row>
    <row r="365" spans="1:6">
      <c r="A365" s="35" t="s">
        <v>964</v>
      </c>
      <c r="B365" s="37">
        <v>89.887519836425781</v>
      </c>
      <c r="C365" s="37">
        <v>80.74542236328125</v>
      </c>
      <c r="D365" s="35">
        <v>12324284</v>
      </c>
      <c r="E365" s="35" t="s">
        <v>851</v>
      </c>
      <c r="F365" s="35" t="s">
        <v>604</v>
      </c>
    </row>
    <row r="366" spans="1:6">
      <c r="A366" s="35" t="s">
        <v>965</v>
      </c>
      <c r="B366" s="37">
        <v>89.990646362304688</v>
      </c>
      <c r="C366" s="37">
        <v>80.838058471679688</v>
      </c>
      <c r="D366" s="35">
        <v>11299922</v>
      </c>
      <c r="E366" s="35" t="s">
        <v>851</v>
      </c>
      <c r="F366" s="35" t="s">
        <v>604</v>
      </c>
    </row>
    <row r="367" spans="1:6">
      <c r="A367" s="35" t="s">
        <v>966</v>
      </c>
      <c r="B367" s="37">
        <v>90.1968994140625</v>
      </c>
      <c r="C367" s="37">
        <v>81.023330688476563</v>
      </c>
      <c r="D367" s="35">
        <v>5829321</v>
      </c>
      <c r="E367" s="35" t="s">
        <v>851</v>
      </c>
      <c r="F367" s="35" t="s">
        <v>604</v>
      </c>
    </row>
    <row r="368" spans="1:6">
      <c r="A368" s="35" t="s">
        <v>967</v>
      </c>
      <c r="B368" s="37">
        <v>90.721893310546875</v>
      </c>
      <c r="C368" s="37">
        <v>81.494941711425781</v>
      </c>
      <c r="D368" s="35">
        <v>8668616</v>
      </c>
      <c r="E368" s="35" t="s">
        <v>851</v>
      </c>
      <c r="F368" s="35" t="s">
        <v>604</v>
      </c>
    </row>
    <row r="369" spans="1:6">
      <c r="A369" s="35" t="s">
        <v>968</v>
      </c>
      <c r="B369" s="37">
        <v>90.328147888183594</v>
      </c>
      <c r="C369" s="37">
        <v>81.141250610351563</v>
      </c>
      <c r="D369" s="35">
        <v>7633032</v>
      </c>
      <c r="E369" s="35" t="s">
        <v>851</v>
      </c>
      <c r="F369" s="35" t="s">
        <v>604</v>
      </c>
    </row>
    <row r="370" spans="1:6">
      <c r="A370" s="35" t="s">
        <v>969</v>
      </c>
      <c r="B370" s="37">
        <v>90.037521362304688</v>
      </c>
      <c r="C370" s="37">
        <v>80.880172729492188</v>
      </c>
      <c r="D370" s="35">
        <v>12300882</v>
      </c>
      <c r="E370" s="35" t="s">
        <v>851</v>
      </c>
      <c r="F370" s="35" t="s">
        <v>604</v>
      </c>
    </row>
    <row r="371" spans="1:6">
      <c r="A371" s="35" t="s">
        <v>970</v>
      </c>
      <c r="B371" s="37">
        <v>89.8687744140625</v>
      </c>
      <c r="C371" s="37">
        <v>80.72857666015625</v>
      </c>
      <c r="D371" s="35">
        <v>11939239</v>
      </c>
      <c r="E371" s="35" t="s">
        <v>851</v>
      </c>
      <c r="F371" s="35" t="s">
        <v>604</v>
      </c>
    </row>
    <row r="372" spans="1:6">
      <c r="A372" s="35" t="s">
        <v>971</v>
      </c>
      <c r="B372" s="37">
        <v>90.787521362304688</v>
      </c>
      <c r="C372" s="37">
        <v>81.553901672363281</v>
      </c>
      <c r="D372" s="35">
        <v>9878285</v>
      </c>
      <c r="E372" s="35" t="s">
        <v>851</v>
      </c>
      <c r="F372" s="35" t="s">
        <v>604</v>
      </c>
    </row>
    <row r="373" spans="1:6">
      <c r="A373" s="35" t="s">
        <v>972</v>
      </c>
      <c r="B373" s="37">
        <v>90.693771362304688</v>
      </c>
      <c r="C373" s="37">
        <v>81.469680786132813</v>
      </c>
      <c r="D373" s="35">
        <v>4245028</v>
      </c>
      <c r="E373" s="35" t="s">
        <v>851</v>
      </c>
      <c r="F373" s="35" t="s">
        <v>604</v>
      </c>
    </row>
    <row r="374" spans="1:6">
      <c r="A374" s="35" t="s">
        <v>973</v>
      </c>
      <c r="B374" s="37">
        <v>88.537521362304688</v>
      </c>
      <c r="C374" s="37">
        <v>79.532722473144531</v>
      </c>
      <c r="D374" s="35">
        <v>26351076</v>
      </c>
      <c r="E374" s="35" t="s">
        <v>851</v>
      </c>
      <c r="F374" s="35" t="s">
        <v>604</v>
      </c>
    </row>
    <row r="375" spans="1:6">
      <c r="A375" s="35" t="s">
        <v>974</v>
      </c>
      <c r="B375" s="37">
        <v>89.803146362304688</v>
      </c>
      <c r="C375" s="37">
        <v>80.66961669921875</v>
      </c>
      <c r="D375" s="35">
        <v>11216973</v>
      </c>
      <c r="E375" s="35" t="s">
        <v>851</v>
      </c>
      <c r="F375" s="35" t="s">
        <v>604</v>
      </c>
    </row>
    <row r="376" spans="1:6">
      <c r="A376" s="35" t="s">
        <v>975</v>
      </c>
      <c r="B376" s="37">
        <v>89.803146362304688</v>
      </c>
      <c r="C376" s="37">
        <v>80.66961669921875</v>
      </c>
      <c r="D376" s="35">
        <v>5336686</v>
      </c>
      <c r="E376" s="35" t="s">
        <v>851</v>
      </c>
      <c r="F376" s="35" t="s">
        <v>604</v>
      </c>
    </row>
    <row r="377" spans="1:6">
      <c r="A377" s="35" t="s">
        <v>976</v>
      </c>
      <c r="B377" s="37">
        <v>90.3375244140625</v>
      </c>
      <c r="C377" s="37">
        <v>81.149658203125</v>
      </c>
      <c r="D377" s="35">
        <v>7095976</v>
      </c>
      <c r="E377" s="35" t="s">
        <v>851</v>
      </c>
      <c r="F377" s="35" t="s">
        <v>604</v>
      </c>
    </row>
    <row r="378" spans="1:6">
      <c r="A378" s="35" t="s">
        <v>977</v>
      </c>
      <c r="B378" s="37">
        <v>89.9156494140625</v>
      </c>
      <c r="C378" s="37">
        <v>80.770698547363281</v>
      </c>
      <c r="D378" s="35">
        <v>7538366</v>
      </c>
      <c r="E378" s="35" t="s">
        <v>851</v>
      </c>
      <c r="F378" s="35" t="s">
        <v>604</v>
      </c>
    </row>
    <row r="379" spans="1:6">
      <c r="A379" s="35" t="s">
        <v>978</v>
      </c>
      <c r="B379" s="37">
        <v>89.625022888183594</v>
      </c>
      <c r="C379" s="37">
        <v>80.509628295898438</v>
      </c>
      <c r="D379" s="35">
        <v>7396014</v>
      </c>
      <c r="E379" s="35" t="s">
        <v>851</v>
      </c>
      <c r="F379" s="35" t="s">
        <v>604</v>
      </c>
    </row>
    <row r="380" spans="1:6">
      <c r="A380" s="35" t="s">
        <v>979</v>
      </c>
      <c r="B380" s="37">
        <v>89.428146362304688</v>
      </c>
      <c r="C380" s="37">
        <v>80.332756042480469</v>
      </c>
      <c r="D380" s="35">
        <v>5566297</v>
      </c>
      <c r="E380" s="35" t="s">
        <v>851</v>
      </c>
      <c r="F380" s="35" t="s">
        <v>604</v>
      </c>
    </row>
    <row r="381" spans="1:6">
      <c r="A381" s="35" t="s">
        <v>980</v>
      </c>
      <c r="B381" s="37">
        <v>89.437522888183594</v>
      </c>
      <c r="C381" s="37">
        <v>80.341194152832031</v>
      </c>
      <c r="D381" s="35">
        <v>3538004</v>
      </c>
      <c r="E381" s="35" t="s">
        <v>851</v>
      </c>
      <c r="F381" s="35" t="s">
        <v>604</v>
      </c>
    </row>
    <row r="382" spans="1:6">
      <c r="A382" s="35" t="s">
        <v>981</v>
      </c>
      <c r="B382" s="37">
        <v>89.671897888183594</v>
      </c>
      <c r="C382" s="37">
        <v>80.551734924316406</v>
      </c>
      <c r="D382" s="35">
        <v>7329358</v>
      </c>
      <c r="E382" s="35" t="s">
        <v>851</v>
      </c>
      <c r="F382" s="35" t="s">
        <v>604</v>
      </c>
    </row>
    <row r="383" spans="1:6">
      <c r="A383" s="35" t="s">
        <v>982</v>
      </c>
      <c r="B383" s="37">
        <v>89.062522888183594</v>
      </c>
      <c r="C383" s="37">
        <v>80.004325866699219</v>
      </c>
      <c r="D383" s="35">
        <v>6884195</v>
      </c>
      <c r="E383" s="35" t="s">
        <v>851</v>
      </c>
      <c r="F383" s="35" t="s">
        <v>604</v>
      </c>
    </row>
    <row r="384" spans="1:6">
      <c r="A384" s="35" t="s">
        <v>983</v>
      </c>
      <c r="B384" s="37">
        <v>88.528144836425781</v>
      </c>
      <c r="C384" s="37">
        <v>79.524307250976563</v>
      </c>
      <c r="D384" s="35">
        <v>8298392</v>
      </c>
      <c r="E384" s="35" t="s">
        <v>851</v>
      </c>
      <c r="F384" s="35" t="s">
        <v>604</v>
      </c>
    </row>
    <row r="385" spans="1:6">
      <c r="A385" s="35" t="s">
        <v>984</v>
      </c>
      <c r="B385" s="37">
        <v>90.515647888183594</v>
      </c>
      <c r="C385" s="37">
        <v>81.309661865234375</v>
      </c>
      <c r="D385" s="35">
        <v>5801342</v>
      </c>
      <c r="E385" s="35" t="s">
        <v>851</v>
      </c>
      <c r="F385" s="35" t="s">
        <v>604</v>
      </c>
    </row>
    <row r="386" spans="1:6">
      <c r="A386" s="35" t="s">
        <v>985</v>
      </c>
      <c r="B386" s="37">
        <v>92.812522888183594</v>
      </c>
      <c r="C386" s="37">
        <v>83.372947692871094</v>
      </c>
      <c r="D386" s="35">
        <v>12378636</v>
      </c>
      <c r="E386" s="35" t="s">
        <v>851</v>
      </c>
      <c r="F386" s="35" t="s">
        <v>604</v>
      </c>
    </row>
    <row r="387" spans="1:6">
      <c r="A387" s="35" t="s">
        <v>986</v>
      </c>
      <c r="B387" s="37">
        <v>92.887519836425781</v>
      </c>
      <c r="C387" s="37">
        <v>83.4403076171875</v>
      </c>
      <c r="D387" s="35">
        <v>6252382</v>
      </c>
      <c r="E387" s="35" t="s">
        <v>851</v>
      </c>
      <c r="F387" s="35" t="s">
        <v>604</v>
      </c>
    </row>
    <row r="388" spans="1:6">
      <c r="A388" s="35" t="s">
        <v>987</v>
      </c>
      <c r="B388" s="37">
        <v>93.600021362304688</v>
      </c>
      <c r="C388" s="37">
        <v>84.080352783203125</v>
      </c>
      <c r="D388" s="35">
        <v>10617160</v>
      </c>
      <c r="E388" s="35" t="s">
        <v>851</v>
      </c>
      <c r="F388" s="35" t="s">
        <v>604</v>
      </c>
    </row>
    <row r="389" spans="1:6">
      <c r="A389" s="35" t="s">
        <v>988</v>
      </c>
      <c r="B389" s="37">
        <v>90.740646362304688</v>
      </c>
      <c r="C389" s="37">
        <v>81.511772155761719</v>
      </c>
      <c r="D389" s="35">
        <v>18579446</v>
      </c>
      <c r="E389" s="35" t="s">
        <v>851</v>
      </c>
      <c r="F389" s="35" t="s">
        <v>604</v>
      </c>
    </row>
    <row r="390" spans="1:6">
      <c r="A390" s="35" t="s">
        <v>989</v>
      </c>
      <c r="B390" s="37">
        <v>90.262519836425781</v>
      </c>
      <c r="C390" s="37">
        <v>81.082290649414063</v>
      </c>
      <c r="D390" s="35">
        <v>18599248</v>
      </c>
      <c r="E390" s="35" t="s">
        <v>851</v>
      </c>
      <c r="F390" s="35" t="s">
        <v>604</v>
      </c>
    </row>
    <row r="391" spans="1:6">
      <c r="A391" s="35" t="s">
        <v>990</v>
      </c>
      <c r="B391" s="37">
        <v>88.4156494140625</v>
      </c>
      <c r="C391" s="37">
        <v>79.423255920410156</v>
      </c>
      <c r="D391" s="35">
        <v>7329390</v>
      </c>
      <c r="E391" s="35" t="s">
        <v>851</v>
      </c>
      <c r="F391" s="35" t="s">
        <v>604</v>
      </c>
    </row>
    <row r="392" spans="1:6">
      <c r="A392" s="35" t="s">
        <v>991</v>
      </c>
      <c r="B392" s="37">
        <v>86.568771362304688</v>
      </c>
      <c r="C392" s="37">
        <v>77.764205932617188</v>
      </c>
      <c r="D392" s="35">
        <v>10042829</v>
      </c>
      <c r="E392" s="35" t="s">
        <v>851</v>
      </c>
      <c r="F392" s="35" t="s">
        <v>604</v>
      </c>
    </row>
    <row r="393" spans="1:6">
      <c r="A393" s="35" t="s">
        <v>992</v>
      </c>
      <c r="B393" s="37">
        <v>86.643768310546875</v>
      </c>
      <c r="C393" s="37">
        <v>77.831588745117188</v>
      </c>
      <c r="D393" s="35">
        <v>12320247</v>
      </c>
      <c r="E393" s="35" t="s">
        <v>851</v>
      </c>
      <c r="F393" s="35" t="s">
        <v>604</v>
      </c>
    </row>
    <row r="394" spans="1:6">
      <c r="A394" s="35" t="s">
        <v>993</v>
      </c>
      <c r="B394" s="37">
        <v>86.390647888183594</v>
      </c>
      <c r="C394" s="37">
        <v>77.604209899902344</v>
      </c>
      <c r="D394" s="35">
        <v>3786724</v>
      </c>
      <c r="E394" s="35" t="s">
        <v>851</v>
      </c>
      <c r="F394" s="35" t="s">
        <v>604</v>
      </c>
    </row>
    <row r="395" spans="1:6">
      <c r="A395" s="35" t="s">
        <v>994</v>
      </c>
      <c r="B395" s="37">
        <v>85.856269836425781</v>
      </c>
      <c r="C395" s="37">
        <v>77.124176025390625</v>
      </c>
      <c r="D395" s="35">
        <v>7523630</v>
      </c>
      <c r="E395" s="35" t="s">
        <v>851</v>
      </c>
      <c r="F395" s="35" t="s">
        <v>604</v>
      </c>
    </row>
    <row r="396" spans="1:6">
      <c r="A396" s="35" t="s">
        <v>995</v>
      </c>
      <c r="B396" s="37">
        <v>83.925018310546875</v>
      </c>
      <c r="C396" s="37">
        <v>75.38934326171875</v>
      </c>
      <c r="D396" s="35">
        <v>8053976</v>
      </c>
      <c r="E396" s="35" t="s">
        <v>851</v>
      </c>
      <c r="F396" s="35" t="s">
        <v>604</v>
      </c>
    </row>
    <row r="397" spans="1:6">
      <c r="A397" s="35" t="s">
        <v>996</v>
      </c>
      <c r="B397" s="37">
        <v>84.843772888183594</v>
      </c>
      <c r="C397" s="37">
        <v>76.21466064453125</v>
      </c>
      <c r="D397" s="35">
        <v>6547449</v>
      </c>
      <c r="E397" s="35" t="s">
        <v>851</v>
      </c>
      <c r="F397" s="35" t="s">
        <v>604</v>
      </c>
    </row>
    <row r="398" spans="1:6">
      <c r="A398" s="35" t="s">
        <v>997</v>
      </c>
      <c r="B398" s="37">
        <v>84.375022888183594</v>
      </c>
      <c r="C398" s="37">
        <v>75.7935791015625</v>
      </c>
      <c r="D398" s="35">
        <v>7134574</v>
      </c>
      <c r="E398" s="35" t="s">
        <v>851</v>
      </c>
      <c r="F398" s="35" t="s">
        <v>604</v>
      </c>
    </row>
    <row r="399" spans="1:6">
      <c r="A399" s="35" t="s">
        <v>998</v>
      </c>
      <c r="B399" s="37">
        <v>84.703147888183594</v>
      </c>
      <c r="C399" s="37">
        <v>76.088325500488281</v>
      </c>
      <c r="D399" s="35">
        <v>6916238</v>
      </c>
      <c r="E399" s="35" t="s">
        <v>851</v>
      </c>
      <c r="F399" s="35" t="s">
        <v>604</v>
      </c>
    </row>
    <row r="400" spans="1:6">
      <c r="A400" s="35" t="s">
        <v>999</v>
      </c>
      <c r="B400" s="37">
        <v>83.793769836425781</v>
      </c>
      <c r="C400" s="37">
        <v>75.271438598632813</v>
      </c>
      <c r="D400" s="35">
        <v>11558738</v>
      </c>
      <c r="E400" s="35" t="s">
        <v>851</v>
      </c>
      <c r="F400" s="35" t="s">
        <v>604</v>
      </c>
    </row>
    <row r="401" spans="1:6">
      <c r="A401" s="35" t="s">
        <v>1000</v>
      </c>
      <c r="B401" s="37">
        <v>83.428146362304688</v>
      </c>
      <c r="C401" s="37">
        <v>74.943008422851563</v>
      </c>
      <c r="D401" s="35">
        <v>8316376</v>
      </c>
      <c r="E401" s="35" t="s">
        <v>851</v>
      </c>
      <c r="F401" s="35" t="s">
        <v>604</v>
      </c>
    </row>
    <row r="402" spans="1:6">
      <c r="A402" s="35" t="s">
        <v>1001</v>
      </c>
      <c r="B402" s="37">
        <v>82.940643310546875</v>
      </c>
      <c r="C402" s="37">
        <v>74.505081176757813</v>
      </c>
      <c r="D402" s="35">
        <v>10485629</v>
      </c>
      <c r="E402" s="35" t="s">
        <v>851</v>
      </c>
      <c r="F402" s="35" t="s">
        <v>604</v>
      </c>
    </row>
    <row r="403" spans="1:6">
      <c r="A403" s="35" t="s">
        <v>1002</v>
      </c>
      <c r="B403" s="37">
        <v>83.990646362304688</v>
      </c>
      <c r="C403" s="37">
        <v>75.448310852050781</v>
      </c>
      <c r="D403" s="35">
        <v>37705734</v>
      </c>
      <c r="E403" s="35" t="s">
        <v>851</v>
      </c>
      <c r="F403" s="35" t="s">
        <v>604</v>
      </c>
    </row>
    <row r="404" spans="1:6">
      <c r="A404" s="35" t="s">
        <v>1003</v>
      </c>
      <c r="B404" s="37">
        <v>83.493766784667969</v>
      </c>
      <c r="C404" s="37">
        <v>75.001968383789063</v>
      </c>
      <c r="D404" s="35">
        <v>8829107</v>
      </c>
      <c r="E404" s="35" t="s">
        <v>851</v>
      </c>
      <c r="F404" s="35" t="s">
        <v>604</v>
      </c>
    </row>
    <row r="405" spans="1:6">
      <c r="A405" s="35" t="s">
        <v>1004</v>
      </c>
      <c r="B405" s="37">
        <v>82.200019836425781</v>
      </c>
      <c r="C405" s="37">
        <v>73.839775085449219</v>
      </c>
      <c r="D405" s="35">
        <v>11076418</v>
      </c>
      <c r="E405" s="35" t="s">
        <v>851</v>
      </c>
      <c r="F405" s="35" t="s">
        <v>604</v>
      </c>
    </row>
    <row r="406" spans="1:6">
      <c r="A406" s="35" t="s">
        <v>1005</v>
      </c>
      <c r="B406" s="37">
        <v>81.965644836425781</v>
      </c>
      <c r="C406" s="37">
        <v>73.629257202148438</v>
      </c>
      <c r="D406" s="35">
        <v>5763107</v>
      </c>
      <c r="E406" s="35" t="s">
        <v>851</v>
      </c>
      <c r="F406" s="35" t="s">
        <v>604</v>
      </c>
    </row>
    <row r="407" spans="1:6">
      <c r="A407" s="35" t="s">
        <v>1006</v>
      </c>
      <c r="B407" s="37">
        <v>82.837516784667969</v>
      </c>
      <c r="C407" s="37">
        <v>74.412452697753906</v>
      </c>
      <c r="D407" s="35">
        <v>8909576</v>
      </c>
      <c r="E407" s="35" t="s">
        <v>851</v>
      </c>
      <c r="F407" s="35" t="s">
        <v>604</v>
      </c>
    </row>
    <row r="408" spans="1:6">
      <c r="A408" s="35" t="s">
        <v>1007</v>
      </c>
      <c r="B408" s="37">
        <v>84.450019836425781</v>
      </c>
      <c r="C408" s="37">
        <v>75.860946655273438</v>
      </c>
      <c r="D408" s="35">
        <v>5891539</v>
      </c>
      <c r="E408" s="35" t="s">
        <v>851</v>
      </c>
      <c r="F408" s="35" t="s">
        <v>604</v>
      </c>
    </row>
    <row r="409" spans="1:6">
      <c r="A409" s="35" t="s">
        <v>1008</v>
      </c>
      <c r="B409" s="37">
        <v>84.168769836425781</v>
      </c>
      <c r="C409" s="37">
        <v>75.608306884765625</v>
      </c>
      <c r="D409" s="35">
        <v>6756803</v>
      </c>
      <c r="E409" s="35" t="s">
        <v>851</v>
      </c>
      <c r="F409" s="35" t="s">
        <v>604</v>
      </c>
    </row>
    <row r="410" spans="1:6">
      <c r="A410" s="35" t="s">
        <v>1009</v>
      </c>
      <c r="B410" s="37">
        <v>84.515647888183594</v>
      </c>
      <c r="C410" s="37">
        <v>75.919898986816406</v>
      </c>
      <c r="D410" s="35">
        <v>7374200</v>
      </c>
      <c r="E410" s="35" t="s">
        <v>851</v>
      </c>
      <c r="F410" s="35" t="s">
        <v>604</v>
      </c>
    </row>
    <row r="411" spans="1:6">
      <c r="A411" s="35" t="s">
        <v>1010</v>
      </c>
      <c r="B411" s="37">
        <v>87.140647888183594</v>
      </c>
      <c r="C411" s="37">
        <v>78.277931213378906</v>
      </c>
      <c r="D411" s="35">
        <v>6822590</v>
      </c>
      <c r="E411" s="35" t="s">
        <v>851</v>
      </c>
      <c r="F411" s="35" t="s">
        <v>604</v>
      </c>
    </row>
    <row r="412" spans="1:6">
      <c r="A412" s="35" t="s">
        <v>1011</v>
      </c>
      <c r="B412" s="37">
        <v>86.362518310546875</v>
      </c>
      <c r="C412" s="37">
        <v>77.578933715820313</v>
      </c>
      <c r="D412" s="35">
        <v>6135518</v>
      </c>
      <c r="E412" s="35" t="s">
        <v>851</v>
      </c>
      <c r="F412" s="35" t="s">
        <v>604</v>
      </c>
    </row>
    <row r="413" spans="1:6">
      <c r="A413" s="35" t="s">
        <v>1012</v>
      </c>
      <c r="B413" s="37">
        <v>87.215644836425781</v>
      </c>
      <c r="C413" s="37">
        <v>78.345298767089844</v>
      </c>
      <c r="D413" s="35">
        <v>3333673</v>
      </c>
      <c r="E413" s="35" t="s">
        <v>851</v>
      </c>
      <c r="F413" s="35" t="s">
        <v>604</v>
      </c>
    </row>
    <row r="414" spans="1:6">
      <c r="A414" s="35" t="s">
        <v>1013</v>
      </c>
      <c r="B414" s="37">
        <v>87.234397888183594</v>
      </c>
      <c r="C414" s="37">
        <v>78.362144470214844</v>
      </c>
      <c r="D414" s="35">
        <v>11587709</v>
      </c>
      <c r="E414" s="35" t="s">
        <v>851</v>
      </c>
      <c r="F414" s="35" t="s">
        <v>604</v>
      </c>
    </row>
    <row r="415" spans="1:6">
      <c r="A415" s="35" t="s">
        <v>1014</v>
      </c>
      <c r="B415" s="37">
        <v>87.8062744140625</v>
      </c>
      <c r="C415" s="37">
        <v>78.875869750976563</v>
      </c>
      <c r="D415" s="35">
        <v>3302127</v>
      </c>
      <c r="E415" s="35" t="s">
        <v>851</v>
      </c>
      <c r="F415" s="35" t="s">
        <v>604</v>
      </c>
    </row>
    <row r="416" spans="1:6">
      <c r="A416" s="35" t="s">
        <v>1015</v>
      </c>
      <c r="B416" s="37">
        <v>86.325019836425781</v>
      </c>
      <c r="C416" s="37">
        <v>77.545257568359375</v>
      </c>
      <c r="D416" s="35">
        <v>4041268</v>
      </c>
      <c r="E416" s="35" t="s">
        <v>851</v>
      </c>
      <c r="F416" s="35" t="s">
        <v>604</v>
      </c>
    </row>
    <row r="417" spans="1:6">
      <c r="A417" s="35" t="s">
        <v>1016</v>
      </c>
      <c r="B417" s="37">
        <v>85.621894836425781</v>
      </c>
      <c r="C417" s="37">
        <v>76.91363525390625</v>
      </c>
      <c r="D417" s="35">
        <v>3176116</v>
      </c>
      <c r="E417" s="35" t="s">
        <v>851</v>
      </c>
      <c r="F417" s="35" t="s">
        <v>604</v>
      </c>
    </row>
    <row r="418" spans="1:6">
      <c r="A418" s="35" t="s">
        <v>1017</v>
      </c>
      <c r="B418" s="37">
        <v>85.8375244140625</v>
      </c>
      <c r="C418" s="37">
        <v>77.107345581054688</v>
      </c>
      <c r="D418" s="35">
        <v>3357785</v>
      </c>
      <c r="E418" s="35" t="s">
        <v>851</v>
      </c>
      <c r="F418" s="35" t="s">
        <v>604</v>
      </c>
    </row>
    <row r="419" spans="1:6">
      <c r="A419" s="35" t="s">
        <v>1018</v>
      </c>
      <c r="B419" s="37">
        <v>85.003143310546875</v>
      </c>
      <c r="C419" s="37">
        <v>76.357818603515625</v>
      </c>
      <c r="D419" s="35">
        <v>3144911</v>
      </c>
      <c r="E419" s="35" t="s">
        <v>851</v>
      </c>
      <c r="F419" s="35" t="s">
        <v>604</v>
      </c>
    </row>
    <row r="420" spans="1:6">
      <c r="A420" s="35" t="s">
        <v>1019</v>
      </c>
      <c r="B420" s="37">
        <v>85.987518310546875</v>
      </c>
      <c r="C420" s="37">
        <v>77.242073059082031</v>
      </c>
      <c r="D420" s="35">
        <v>5596430</v>
      </c>
      <c r="E420" s="35" t="s">
        <v>851</v>
      </c>
      <c r="F420" s="35" t="s">
        <v>604</v>
      </c>
    </row>
    <row r="421" spans="1:6">
      <c r="A421" s="35" t="s">
        <v>1020</v>
      </c>
      <c r="B421" s="37">
        <v>85.893768310546875</v>
      </c>
      <c r="C421" s="37">
        <v>77.157867431640625</v>
      </c>
      <c r="D421" s="35">
        <v>5430270</v>
      </c>
      <c r="E421" s="35" t="s">
        <v>851</v>
      </c>
      <c r="F421" s="35" t="s">
        <v>604</v>
      </c>
    </row>
    <row r="422" spans="1:6">
      <c r="A422" s="35" t="s">
        <v>1021</v>
      </c>
      <c r="B422" s="37">
        <v>85.0406494140625</v>
      </c>
      <c r="C422" s="37">
        <v>76.391510009765625</v>
      </c>
      <c r="D422" s="35">
        <v>3831332</v>
      </c>
      <c r="E422" s="35" t="s">
        <v>851</v>
      </c>
      <c r="F422" s="35" t="s">
        <v>604</v>
      </c>
    </row>
    <row r="423" spans="1:6">
      <c r="A423" s="35" t="s">
        <v>1022</v>
      </c>
      <c r="B423" s="37">
        <v>86.953147888183594</v>
      </c>
      <c r="C423" s="37">
        <v>78.1094970703125</v>
      </c>
      <c r="D423" s="35">
        <v>6269049</v>
      </c>
      <c r="E423" s="35" t="s">
        <v>851</v>
      </c>
      <c r="F423" s="35" t="s">
        <v>604</v>
      </c>
    </row>
    <row r="424" spans="1:6">
      <c r="A424" s="35" t="s">
        <v>1023</v>
      </c>
      <c r="B424" s="37">
        <v>87.4312744140625</v>
      </c>
      <c r="C424" s="37">
        <v>78.538986206054688</v>
      </c>
      <c r="D424" s="35">
        <v>5507907</v>
      </c>
      <c r="E424" s="35" t="s">
        <v>851</v>
      </c>
      <c r="F424" s="35" t="s">
        <v>604</v>
      </c>
    </row>
    <row r="425" spans="1:6">
      <c r="A425" s="35" t="s">
        <v>1024</v>
      </c>
      <c r="B425" s="37">
        <v>87.393768310546875</v>
      </c>
      <c r="C425" s="37">
        <v>78.50531005859375</v>
      </c>
      <c r="D425" s="35">
        <v>5511310</v>
      </c>
      <c r="E425" s="35" t="s">
        <v>851</v>
      </c>
      <c r="F425" s="35" t="s">
        <v>604</v>
      </c>
    </row>
    <row r="426" spans="1:6">
      <c r="A426" s="35" t="s">
        <v>1025</v>
      </c>
      <c r="B426" s="37">
        <v>86.906272888183594</v>
      </c>
      <c r="C426" s="37">
        <v>78.067398071289063</v>
      </c>
      <c r="D426" s="35">
        <v>8818851</v>
      </c>
      <c r="E426" s="35" t="s">
        <v>851</v>
      </c>
      <c r="F426" s="35" t="s">
        <v>604</v>
      </c>
    </row>
    <row r="427" spans="1:6">
      <c r="A427" s="35" t="s">
        <v>1026</v>
      </c>
      <c r="B427" s="37">
        <v>86.9156494140625</v>
      </c>
      <c r="C427" s="37">
        <v>78.075813293457031</v>
      </c>
      <c r="D427" s="35">
        <v>4144553</v>
      </c>
      <c r="E427" s="35" t="s">
        <v>851</v>
      </c>
      <c r="F427" s="35" t="s">
        <v>604</v>
      </c>
    </row>
    <row r="428" spans="1:6">
      <c r="A428" s="35" t="s">
        <v>1027</v>
      </c>
      <c r="B428" s="37">
        <v>87.496894836425781</v>
      </c>
      <c r="C428" s="37">
        <v>78.597938537597656</v>
      </c>
      <c r="D428" s="35">
        <v>4334313</v>
      </c>
      <c r="E428" s="35" t="s">
        <v>851</v>
      </c>
      <c r="F428" s="35" t="s">
        <v>604</v>
      </c>
    </row>
    <row r="429" spans="1:6">
      <c r="A429" s="35" t="s">
        <v>1028</v>
      </c>
      <c r="B429" s="37">
        <v>86.709396362304688</v>
      </c>
      <c r="C429" s="37">
        <v>77.890541076660156</v>
      </c>
      <c r="D429" s="35">
        <v>5486622</v>
      </c>
      <c r="E429" s="35" t="s">
        <v>851</v>
      </c>
      <c r="F429" s="35" t="s">
        <v>604</v>
      </c>
    </row>
    <row r="430" spans="1:6">
      <c r="A430" s="35" t="s">
        <v>1029</v>
      </c>
      <c r="B430" s="37">
        <v>86.568771362304688</v>
      </c>
      <c r="C430" s="37">
        <v>77.764205932617188</v>
      </c>
      <c r="D430" s="35">
        <v>4312617</v>
      </c>
      <c r="E430" s="35" t="s">
        <v>851</v>
      </c>
      <c r="F430" s="35" t="s">
        <v>604</v>
      </c>
    </row>
    <row r="431" spans="1:6">
      <c r="A431" s="35" t="s">
        <v>1030</v>
      </c>
      <c r="B431" s="37">
        <v>86.015647888183594</v>
      </c>
      <c r="C431" s="37">
        <v>77.267341613769531</v>
      </c>
      <c r="D431" s="35">
        <v>3585124</v>
      </c>
      <c r="E431" s="35" t="s">
        <v>851</v>
      </c>
      <c r="F431" s="35" t="s">
        <v>604</v>
      </c>
    </row>
    <row r="432" spans="1:6">
      <c r="A432" s="35" t="s">
        <v>1031</v>
      </c>
      <c r="B432" s="37">
        <v>85.518768310546875</v>
      </c>
      <c r="C432" s="37">
        <v>76.821006774902344</v>
      </c>
      <c r="D432" s="35">
        <v>3316809</v>
      </c>
      <c r="E432" s="35" t="s">
        <v>851</v>
      </c>
      <c r="F432" s="35" t="s">
        <v>604</v>
      </c>
    </row>
    <row r="433" spans="1:6">
      <c r="A433" s="35" t="s">
        <v>1032</v>
      </c>
      <c r="B433" s="37">
        <v>87.225021362304688</v>
      </c>
      <c r="C433" s="37">
        <v>78.353729248046875</v>
      </c>
      <c r="D433" s="35">
        <v>2952121</v>
      </c>
      <c r="E433" s="35" t="s">
        <v>851</v>
      </c>
      <c r="F433" s="35" t="s">
        <v>604</v>
      </c>
    </row>
    <row r="434" spans="1:6">
      <c r="A434" s="35" t="s">
        <v>1033</v>
      </c>
      <c r="B434" s="37">
        <v>88.003143310546875</v>
      </c>
      <c r="C434" s="37">
        <v>79.052688598632813</v>
      </c>
      <c r="D434" s="35">
        <v>6353966</v>
      </c>
      <c r="E434" s="35" t="s">
        <v>851</v>
      </c>
      <c r="F434" s="35" t="s">
        <v>604</v>
      </c>
    </row>
    <row r="435" spans="1:6">
      <c r="A435" s="35" t="s">
        <v>1034</v>
      </c>
      <c r="B435" s="37">
        <v>88.565643310546875</v>
      </c>
      <c r="C435" s="37">
        <v>79.557998657226563</v>
      </c>
      <c r="D435" s="35">
        <v>10907890</v>
      </c>
      <c r="E435" s="35" t="s">
        <v>851</v>
      </c>
      <c r="F435" s="35" t="s">
        <v>604</v>
      </c>
    </row>
    <row r="436" spans="1:6">
      <c r="A436" s="35" t="s">
        <v>1035</v>
      </c>
      <c r="B436" s="37">
        <v>88.959396362304688</v>
      </c>
      <c r="C436" s="37">
        <v>79.911697387695313</v>
      </c>
      <c r="D436" s="35">
        <v>2779631</v>
      </c>
      <c r="E436" s="35" t="s">
        <v>851</v>
      </c>
      <c r="F436" s="35" t="s">
        <v>604</v>
      </c>
    </row>
    <row r="437" spans="1:6">
      <c r="A437" s="35" t="s">
        <v>1036</v>
      </c>
      <c r="B437" s="37">
        <v>88.4156494140625</v>
      </c>
      <c r="C437" s="37">
        <v>79.423255920410156</v>
      </c>
      <c r="D437" s="35">
        <v>2460948</v>
      </c>
      <c r="E437" s="35" t="s">
        <v>851</v>
      </c>
      <c r="F437" s="35" t="s">
        <v>604</v>
      </c>
    </row>
    <row r="438" spans="1:6">
      <c r="A438" s="35" t="s">
        <v>1037</v>
      </c>
      <c r="B438" s="37">
        <v>87.562522888183594</v>
      </c>
      <c r="C438" s="37">
        <v>78.656890869140625</v>
      </c>
      <c r="D438" s="35">
        <v>3686937</v>
      </c>
      <c r="E438" s="35" t="s">
        <v>851</v>
      </c>
      <c r="F438" s="35" t="s">
        <v>604</v>
      </c>
    </row>
    <row r="439" spans="1:6">
      <c r="A439" s="35" t="s">
        <v>1038</v>
      </c>
      <c r="B439" s="37">
        <v>89.175018310546875</v>
      </c>
      <c r="C439" s="37">
        <v>80.105384826660156</v>
      </c>
      <c r="D439" s="35">
        <v>6050638</v>
      </c>
      <c r="E439" s="35" t="s">
        <v>851</v>
      </c>
      <c r="F439" s="35" t="s">
        <v>604</v>
      </c>
    </row>
    <row r="440" spans="1:6">
      <c r="A440" s="35" t="s">
        <v>1039</v>
      </c>
      <c r="B440" s="37">
        <v>90.075019836425781</v>
      </c>
      <c r="C440" s="37">
        <v>80.913856506347656</v>
      </c>
      <c r="D440" s="35">
        <v>5216996</v>
      </c>
      <c r="E440" s="35" t="s">
        <v>851</v>
      </c>
      <c r="F440" s="35" t="s">
        <v>604</v>
      </c>
    </row>
    <row r="441" spans="1:6">
      <c r="A441" s="35" t="s">
        <v>1040</v>
      </c>
      <c r="B441" s="37">
        <v>88.115646362304688</v>
      </c>
      <c r="C441" s="37">
        <v>79.153762817382813</v>
      </c>
      <c r="D441" s="35">
        <v>8381720</v>
      </c>
      <c r="E441" s="35" t="s">
        <v>851</v>
      </c>
      <c r="F441" s="35" t="s">
        <v>604</v>
      </c>
    </row>
    <row r="442" spans="1:6">
      <c r="A442" s="35" t="s">
        <v>1041</v>
      </c>
      <c r="B442" s="37">
        <v>88.500022888183594</v>
      </c>
      <c r="C442" s="37">
        <v>79.499053955078125</v>
      </c>
      <c r="D442" s="35">
        <v>3922249</v>
      </c>
      <c r="E442" s="35" t="s">
        <v>851</v>
      </c>
      <c r="F442" s="35" t="s">
        <v>604</v>
      </c>
    </row>
    <row r="443" spans="1:6">
      <c r="A443" s="35" t="s">
        <v>1042</v>
      </c>
      <c r="B443" s="37">
        <v>89.343772888183594</v>
      </c>
      <c r="C443" s="37">
        <v>80.256980895996094</v>
      </c>
      <c r="D443" s="35">
        <v>3528383</v>
      </c>
      <c r="E443" s="35" t="s">
        <v>851</v>
      </c>
      <c r="F443" s="35" t="s">
        <v>604</v>
      </c>
    </row>
    <row r="444" spans="1:6">
      <c r="A444" s="35" t="s">
        <v>1043</v>
      </c>
      <c r="B444" s="37">
        <v>89.287521362304688</v>
      </c>
      <c r="C444" s="37">
        <v>80.206459045410156</v>
      </c>
      <c r="D444" s="35">
        <v>4507028</v>
      </c>
      <c r="E444" s="35" t="s">
        <v>851</v>
      </c>
      <c r="F444" s="35" t="s">
        <v>604</v>
      </c>
    </row>
    <row r="445" spans="1:6">
      <c r="A445" s="35" t="s">
        <v>1044</v>
      </c>
      <c r="B445" s="37">
        <v>90.600021362304688</v>
      </c>
      <c r="C445" s="37">
        <v>81.385452270507813</v>
      </c>
      <c r="D445" s="35">
        <v>3741476</v>
      </c>
      <c r="E445" s="35" t="s">
        <v>851</v>
      </c>
      <c r="F445" s="35" t="s">
        <v>604</v>
      </c>
    </row>
    <row r="446" spans="1:6">
      <c r="A446" s="35" t="s">
        <v>1045</v>
      </c>
      <c r="B446" s="37">
        <v>90.871894836425781</v>
      </c>
      <c r="C446" s="37">
        <v>81.629676818847656</v>
      </c>
      <c r="D446" s="35">
        <v>4322788</v>
      </c>
      <c r="E446" s="35" t="s">
        <v>851</v>
      </c>
      <c r="F446" s="35" t="s">
        <v>604</v>
      </c>
    </row>
    <row r="447" spans="1:6">
      <c r="A447" s="35" t="s">
        <v>1046</v>
      </c>
      <c r="B447" s="37">
        <v>90.890647888183594</v>
      </c>
      <c r="C447" s="37">
        <v>81.646522521972656</v>
      </c>
      <c r="D447" s="35">
        <v>3227332</v>
      </c>
      <c r="E447" s="35" t="s">
        <v>851</v>
      </c>
      <c r="F447" s="35" t="s">
        <v>604</v>
      </c>
    </row>
    <row r="448" spans="1:6">
      <c r="A448" s="35" t="s">
        <v>1047</v>
      </c>
      <c r="B448" s="37">
        <v>90.450019836425781</v>
      </c>
      <c r="C448" s="37">
        <v>81.250732421875</v>
      </c>
      <c r="D448" s="35">
        <v>2948943</v>
      </c>
      <c r="E448" s="35" t="s">
        <v>851</v>
      </c>
      <c r="F448" s="35" t="s">
        <v>604</v>
      </c>
    </row>
    <row r="449" spans="1:6">
      <c r="A449" s="35" t="s">
        <v>1048</v>
      </c>
      <c r="B449" s="37">
        <v>90.553146362304688</v>
      </c>
      <c r="C449" s="37">
        <v>81.343353271484375</v>
      </c>
      <c r="D449" s="35">
        <v>2863620</v>
      </c>
      <c r="E449" s="35" t="s">
        <v>851</v>
      </c>
      <c r="F449" s="35" t="s">
        <v>604</v>
      </c>
    </row>
    <row r="450" spans="1:6">
      <c r="A450" s="35" t="s">
        <v>1049</v>
      </c>
      <c r="B450" s="37">
        <v>89.812522888183594</v>
      </c>
      <c r="C450" s="37">
        <v>80.678047180175781</v>
      </c>
      <c r="D450" s="35">
        <v>4785278</v>
      </c>
      <c r="E450" s="35" t="s">
        <v>851</v>
      </c>
      <c r="F450" s="35" t="s">
        <v>604</v>
      </c>
    </row>
    <row r="451" spans="1:6">
      <c r="A451" s="35" t="s">
        <v>1050</v>
      </c>
      <c r="B451" s="37">
        <v>89.606269836425781</v>
      </c>
      <c r="C451" s="37">
        <v>80.492790222167969</v>
      </c>
      <c r="D451" s="35">
        <v>4077220</v>
      </c>
      <c r="E451" s="35" t="s">
        <v>851</v>
      </c>
      <c r="F451" s="35" t="s">
        <v>604</v>
      </c>
    </row>
    <row r="452" spans="1:6">
      <c r="A452" s="35" t="s">
        <v>1051</v>
      </c>
      <c r="B452" s="37">
        <v>89.953147888183594</v>
      </c>
      <c r="C452" s="37">
        <v>80.804389953613281</v>
      </c>
      <c r="D452" s="35">
        <v>6108473</v>
      </c>
      <c r="E452" s="35" t="s">
        <v>851</v>
      </c>
      <c r="F452" s="35" t="s">
        <v>604</v>
      </c>
    </row>
    <row r="453" spans="1:6">
      <c r="A453" s="35" t="s">
        <v>1052</v>
      </c>
      <c r="B453" s="37">
        <v>90.281272888183594</v>
      </c>
      <c r="C453" s="37">
        <v>81.099128723144531</v>
      </c>
      <c r="D453" s="35">
        <v>3921167</v>
      </c>
      <c r="E453" s="35" t="s">
        <v>851</v>
      </c>
      <c r="F453" s="35" t="s">
        <v>604</v>
      </c>
    </row>
    <row r="454" spans="1:6">
      <c r="A454" s="35" t="s">
        <v>1053</v>
      </c>
      <c r="B454" s="37">
        <v>88.818771362304688</v>
      </c>
      <c r="C454" s="37">
        <v>79.785362243652344</v>
      </c>
      <c r="D454" s="35">
        <v>10906509</v>
      </c>
      <c r="E454" s="35" t="s">
        <v>851</v>
      </c>
      <c r="F454" s="35" t="s">
        <v>604</v>
      </c>
    </row>
    <row r="455" spans="1:6">
      <c r="A455" s="35" t="s">
        <v>1054</v>
      </c>
      <c r="B455" s="37">
        <v>87.2906494140625</v>
      </c>
      <c r="C455" s="37">
        <v>78.412673950195313</v>
      </c>
      <c r="D455" s="35">
        <v>10272157</v>
      </c>
      <c r="E455" s="35" t="s">
        <v>851</v>
      </c>
      <c r="F455" s="35" t="s">
        <v>604</v>
      </c>
    </row>
    <row r="456" spans="1:6">
      <c r="A456" s="35" t="s">
        <v>1055</v>
      </c>
      <c r="B456" s="37">
        <v>87.328147888183594</v>
      </c>
      <c r="C456" s="37">
        <v>78.44635009765625</v>
      </c>
      <c r="D456" s="35">
        <v>9853933</v>
      </c>
      <c r="E456" s="35" t="s">
        <v>851</v>
      </c>
      <c r="F456" s="35" t="s">
        <v>604</v>
      </c>
    </row>
    <row r="457" spans="1:6">
      <c r="A457" s="35" t="s">
        <v>1056</v>
      </c>
      <c r="B457" s="37">
        <v>85.875022888183594</v>
      </c>
      <c r="C457" s="37">
        <v>77.141029357910156</v>
      </c>
      <c r="D457" s="35">
        <v>14628407</v>
      </c>
      <c r="E457" s="35" t="s">
        <v>851</v>
      </c>
      <c r="F457" s="35" t="s">
        <v>604</v>
      </c>
    </row>
    <row r="458" spans="1:6">
      <c r="A458" s="35" t="s">
        <v>1057</v>
      </c>
      <c r="B458" s="37">
        <v>85.500022888183594</v>
      </c>
      <c r="C458" s="37">
        <v>76.804161071777344</v>
      </c>
      <c r="D458" s="35">
        <v>8750755</v>
      </c>
      <c r="E458" s="35" t="s">
        <v>851</v>
      </c>
      <c r="F458" s="35" t="s">
        <v>604</v>
      </c>
    </row>
    <row r="459" spans="1:6">
      <c r="A459" s="35" t="s">
        <v>1058</v>
      </c>
      <c r="B459" s="37">
        <v>85.434394836425781</v>
      </c>
      <c r="C459" s="37">
        <v>77.083297729492188</v>
      </c>
      <c r="D459" s="35">
        <v>8171731</v>
      </c>
      <c r="E459" s="35" t="s">
        <v>851</v>
      </c>
      <c r="F459" s="35" t="s">
        <v>604</v>
      </c>
    </row>
    <row r="460" spans="1:6">
      <c r="A460" s="35" t="s">
        <v>1059</v>
      </c>
      <c r="B460" s="37">
        <v>85.828147888183594</v>
      </c>
      <c r="C460" s="37">
        <v>77.438560485839844</v>
      </c>
      <c r="D460" s="35">
        <v>4682452</v>
      </c>
      <c r="E460" s="35" t="s">
        <v>851</v>
      </c>
      <c r="F460" s="35" t="s">
        <v>604</v>
      </c>
    </row>
    <row r="461" spans="1:6">
      <c r="A461" s="35" t="s">
        <v>1060</v>
      </c>
      <c r="B461" s="37">
        <v>86.456268310546875</v>
      </c>
      <c r="C461" s="37">
        <v>78.005279541015625</v>
      </c>
      <c r="D461" s="35">
        <v>6599518</v>
      </c>
      <c r="E461" s="35" t="s">
        <v>851</v>
      </c>
      <c r="F461" s="35" t="s">
        <v>604</v>
      </c>
    </row>
    <row r="462" spans="1:6">
      <c r="A462" s="35" t="s">
        <v>1061</v>
      </c>
      <c r="B462" s="37">
        <v>85.9781494140625</v>
      </c>
      <c r="C462" s="37">
        <v>77.573898315429688</v>
      </c>
      <c r="D462" s="35">
        <v>4459769</v>
      </c>
      <c r="E462" s="35" t="s">
        <v>851</v>
      </c>
      <c r="F462" s="35" t="s">
        <v>604</v>
      </c>
    </row>
    <row r="463" spans="1:6">
      <c r="A463" s="35" t="s">
        <v>1062</v>
      </c>
      <c r="B463" s="37">
        <v>86.343772888183594</v>
      </c>
      <c r="C463" s="37">
        <v>77.903778076171875</v>
      </c>
      <c r="D463" s="35">
        <v>7007704</v>
      </c>
      <c r="E463" s="35" t="s">
        <v>851</v>
      </c>
      <c r="F463" s="35" t="s">
        <v>604</v>
      </c>
    </row>
    <row r="464" spans="1:6">
      <c r="A464" s="35" t="s">
        <v>1063</v>
      </c>
      <c r="B464" s="37">
        <v>87.375022888183594</v>
      </c>
      <c r="C464" s="37">
        <v>78.834220886230469</v>
      </c>
      <c r="D464" s="35">
        <v>5274137</v>
      </c>
      <c r="E464" s="35" t="s">
        <v>851</v>
      </c>
      <c r="F464" s="35" t="s">
        <v>604</v>
      </c>
    </row>
    <row r="465" spans="1:6">
      <c r="A465" s="35" t="s">
        <v>1064</v>
      </c>
      <c r="B465" s="37">
        <v>87.984397888183594</v>
      </c>
      <c r="C465" s="37">
        <v>79.384033203125</v>
      </c>
      <c r="D465" s="35">
        <v>4093449</v>
      </c>
      <c r="E465" s="35" t="s">
        <v>851</v>
      </c>
      <c r="F465" s="35" t="s">
        <v>604</v>
      </c>
    </row>
    <row r="466" spans="1:6">
      <c r="A466" s="35" t="s">
        <v>1065</v>
      </c>
      <c r="B466" s="37">
        <v>88.959396362304688</v>
      </c>
      <c r="C466" s="37">
        <v>80.263717651367188</v>
      </c>
      <c r="D466" s="35">
        <v>4523470</v>
      </c>
      <c r="E466" s="35" t="s">
        <v>851</v>
      </c>
      <c r="F466" s="35" t="s">
        <v>604</v>
      </c>
    </row>
    <row r="467" spans="1:6">
      <c r="A467" s="35" t="s">
        <v>1066</v>
      </c>
      <c r="B467" s="37">
        <v>89.381271362304688</v>
      </c>
      <c r="C467" s="37">
        <v>80.644363403320313</v>
      </c>
      <c r="D467" s="35">
        <v>4619060</v>
      </c>
      <c r="E467" s="35" t="s">
        <v>851</v>
      </c>
      <c r="F467" s="35" t="s">
        <v>604</v>
      </c>
    </row>
    <row r="468" spans="1:6">
      <c r="A468" s="35" t="s">
        <v>1067</v>
      </c>
      <c r="B468" s="37">
        <v>89.006271362304688</v>
      </c>
      <c r="C468" s="37">
        <v>80.3060302734375</v>
      </c>
      <c r="D468" s="35">
        <v>5640489</v>
      </c>
      <c r="E468" s="35" t="s">
        <v>851</v>
      </c>
      <c r="F468" s="35" t="s">
        <v>604</v>
      </c>
    </row>
    <row r="469" spans="1:6">
      <c r="A469" s="35" t="s">
        <v>1068</v>
      </c>
      <c r="B469" s="37">
        <v>90.1500244140625</v>
      </c>
      <c r="C469" s="37">
        <v>81.337974548339844</v>
      </c>
      <c r="D469" s="35">
        <v>5667011</v>
      </c>
      <c r="E469" s="35" t="s">
        <v>851</v>
      </c>
      <c r="F469" s="35" t="s">
        <v>604</v>
      </c>
    </row>
    <row r="470" spans="1:6">
      <c r="A470" s="35" t="s">
        <v>1069</v>
      </c>
      <c r="B470" s="37">
        <v>89.128143310546875</v>
      </c>
      <c r="C470" s="37">
        <v>80.415985107421875</v>
      </c>
      <c r="D470" s="35">
        <v>4210692</v>
      </c>
      <c r="E470" s="35" t="s">
        <v>851</v>
      </c>
      <c r="F470" s="35" t="s">
        <v>604</v>
      </c>
    </row>
    <row r="471" spans="1:6">
      <c r="A471" s="35" t="s">
        <v>1070</v>
      </c>
      <c r="B471" s="37">
        <v>89.184394836425781</v>
      </c>
      <c r="C471" s="37">
        <v>80.466743469238281</v>
      </c>
      <c r="D471" s="35">
        <v>3054543</v>
      </c>
      <c r="E471" s="35" t="s">
        <v>851</v>
      </c>
      <c r="F471" s="35" t="s">
        <v>604</v>
      </c>
    </row>
    <row r="472" spans="1:6">
      <c r="A472" s="35" t="s">
        <v>1071</v>
      </c>
      <c r="B472" s="37">
        <v>89.2125244140625</v>
      </c>
      <c r="C472" s="37">
        <v>80.492111206054688</v>
      </c>
      <c r="D472" s="35">
        <v>6829411</v>
      </c>
      <c r="E472" s="35" t="s">
        <v>851</v>
      </c>
      <c r="F472" s="35" t="s">
        <v>604</v>
      </c>
    </row>
    <row r="473" spans="1:6">
      <c r="A473" s="35" t="s">
        <v>1072</v>
      </c>
      <c r="B473" s="37">
        <v>88.968772888183594</v>
      </c>
      <c r="C473" s="37">
        <v>80.272186279296875</v>
      </c>
      <c r="D473" s="35">
        <v>5558777</v>
      </c>
      <c r="E473" s="35" t="s">
        <v>851</v>
      </c>
      <c r="F473" s="35" t="s">
        <v>604</v>
      </c>
    </row>
    <row r="474" spans="1:6">
      <c r="A474" s="35" t="s">
        <v>1073</v>
      </c>
      <c r="B474" s="37">
        <v>91.143768310546875</v>
      </c>
      <c r="C474" s="37">
        <v>82.234588623046875</v>
      </c>
      <c r="D474" s="35">
        <v>8693864</v>
      </c>
      <c r="E474" s="35" t="s">
        <v>851</v>
      </c>
      <c r="F474" s="35" t="s">
        <v>604</v>
      </c>
    </row>
    <row r="475" spans="1:6">
      <c r="A475" s="35" t="s">
        <v>1074</v>
      </c>
      <c r="B475" s="37">
        <v>91.828147888183594</v>
      </c>
      <c r="C475" s="37">
        <v>82.852058410644531</v>
      </c>
      <c r="D475" s="35">
        <v>7528200</v>
      </c>
      <c r="E475" s="35" t="s">
        <v>851</v>
      </c>
      <c r="F475" s="35" t="s">
        <v>604</v>
      </c>
    </row>
    <row r="476" spans="1:6">
      <c r="A476" s="35" t="s">
        <v>1075</v>
      </c>
      <c r="B476" s="37">
        <v>91.6500244140625</v>
      </c>
      <c r="C476" s="37">
        <v>82.691352844238281</v>
      </c>
      <c r="D476" s="35">
        <v>5401139</v>
      </c>
      <c r="E476" s="35" t="s">
        <v>851</v>
      </c>
      <c r="F476" s="35" t="s">
        <v>604</v>
      </c>
    </row>
    <row r="477" spans="1:6">
      <c r="A477" s="35" t="s">
        <v>1076</v>
      </c>
      <c r="B477" s="37">
        <v>91.6031494140625</v>
      </c>
      <c r="C477" s="37">
        <v>82.649055480957031</v>
      </c>
      <c r="D477" s="35">
        <v>5426302</v>
      </c>
      <c r="E477" s="35" t="s">
        <v>851</v>
      </c>
      <c r="F477" s="35" t="s">
        <v>604</v>
      </c>
    </row>
    <row r="478" spans="1:6">
      <c r="A478" s="35" t="s">
        <v>1077</v>
      </c>
      <c r="B478" s="37">
        <v>91.912521362304688</v>
      </c>
      <c r="C478" s="37">
        <v>82.928184509277344</v>
      </c>
      <c r="D478" s="35">
        <v>5423075</v>
      </c>
      <c r="E478" s="35" t="s">
        <v>851</v>
      </c>
      <c r="F478" s="35" t="s">
        <v>604</v>
      </c>
    </row>
    <row r="479" spans="1:6">
      <c r="A479" s="35" t="s">
        <v>1078</v>
      </c>
      <c r="B479" s="37">
        <v>92.596900939941406</v>
      </c>
      <c r="C479" s="37">
        <v>83.545677185058594</v>
      </c>
      <c r="D479" s="35">
        <v>3947295</v>
      </c>
      <c r="E479" s="35" t="s">
        <v>851</v>
      </c>
      <c r="F479" s="35" t="s">
        <v>604</v>
      </c>
    </row>
    <row r="480" spans="1:6">
      <c r="A480" s="35" t="s">
        <v>1079</v>
      </c>
      <c r="B480" s="37">
        <v>92.231269836425781</v>
      </c>
      <c r="C480" s="37">
        <v>83.215774536132813</v>
      </c>
      <c r="D480" s="35">
        <v>3143300</v>
      </c>
      <c r="E480" s="35" t="s">
        <v>851</v>
      </c>
      <c r="F480" s="35" t="s">
        <v>604</v>
      </c>
    </row>
    <row r="481" spans="1:6">
      <c r="A481" s="35" t="s">
        <v>1080</v>
      </c>
      <c r="B481" s="37">
        <v>92.840644836425781</v>
      </c>
      <c r="C481" s="37">
        <v>83.765594482421875</v>
      </c>
      <c r="D481" s="35">
        <v>8801080</v>
      </c>
      <c r="E481" s="35" t="s">
        <v>851</v>
      </c>
      <c r="F481" s="35" t="s">
        <v>604</v>
      </c>
    </row>
    <row r="482" spans="1:6">
      <c r="A482" s="35" t="s">
        <v>1081</v>
      </c>
      <c r="B482" s="37">
        <v>92.831275939941406</v>
      </c>
      <c r="C482" s="37">
        <v>83.75714111328125</v>
      </c>
      <c r="D482" s="35">
        <v>3064671</v>
      </c>
      <c r="E482" s="35" t="s">
        <v>851</v>
      </c>
      <c r="F482" s="35" t="s">
        <v>604</v>
      </c>
    </row>
    <row r="483" spans="1:6">
      <c r="A483" s="35" t="s">
        <v>1082</v>
      </c>
      <c r="B483" s="37">
        <v>90.843772888183594</v>
      </c>
      <c r="C483" s="37">
        <v>81.963912963867188</v>
      </c>
      <c r="D483" s="35">
        <v>3759439</v>
      </c>
      <c r="E483" s="35" t="s">
        <v>851</v>
      </c>
      <c r="F483" s="35" t="s">
        <v>604</v>
      </c>
    </row>
    <row r="484" spans="1:6">
      <c r="A484" s="35" t="s">
        <v>1083</v>
      </c>
      <c r="B484" s="37">
        <v>91.3218994140625</v>
      </c>
      <c r="C484" s="37">
        <v>82.395301818847656</v>
      </c>
      <c r="D484" s="35">
        <v>2914404</v>
      </c>
      <c r="E484" s="35" t="s">
        <v>851</v>
      </c>
      <c r="F484" s="35" t="s">
        <v>604</v>
      </c>
    </row>
    <row r="485" spans="1:6">
      <c r="A485" s="35" t="s">
        <v>1084</v>
      </c>
      <c r="B485" s="37">
        <v>94.003150939941406</v>
      </c>
      <c r="C485" s="37">
        <v>84.814468383789063</v>
      </c>
      <c r="D485" s="35">
        <v>6553246</v>
      </c>
      <c r="E485" s="35" t="s">
        <v>851</v>
      </c>
      <c r="F485" s="35" t="s">
        <v>604</v>
      </c>
    </row>
    <row r="486" spans="1:6">
      <c r="A486" s="35" t="s">
        <v>1085</v>
      </c>
      <c r="B486" s="37">
        <v>92.7750244140625</v>
      </c>
      <c r="C486" s="37">
        <v>83.706375122070313</v>
      </c>
      <c r="D486" s="35">
        <v>9607608</v>
      </c>
      <c r="E486" s="35" t="s">
        <v>851</v>
      </c>
      <c r="F486" s="35" t="s">
        <v>604</v>
      </c>
    </row>
    <row r="487" spans="1:6">
      <c r="A487" s="35" t="s">
        <v>1086</v>
      </c>
      <c r="B487" s="37">
        <v>93.8531494140625</v>
      </c>
      <c r="C487" s="37">
        <v>84.679107666015625</v>
      </c>
      <c r="D487" s="35">
        <v>8848888</v>
      </c>
      <c r="E487" s="35" t="s">
        <v>851</v>
      </c>
      <c r="F487" s="35" t="s">
        <v>604</v>
      </c>
    </row>
    <row r="488" spans="1:6">
      <c r="A488" s="35" t="s">
        <v>1087</v>
      </c>
      <c r="B488" s="37">
        <v>94.546897888183594</v>
      </c>
      <c r="C488" s="37">
        <v>85.305061340332031</v>
      </c>
      <c r="D488" s="35">
        <v>8875816</v>
      </c>
      <c r="E488" s="35" t="s">
        <v>851</v>
      </c>
      <c r="F488" s="35" t="s">
        <v>604</v>
      </c>
    </row>
    <row r="489" spans="1:6">
      <c r="A489" s="35" t="s">
        <v>1088</v>
      </c>
      <c r="B489" s="37">
        <v>93.281272888183594</v>
      </c>
      <c r="C489" s="37">
        <v>84.16314697265625</v>
      </c>
      <c r="D489" s="35">
        <v>3751881</v>
      </c>
      <c r="E489" s="35" t="s">
        <v>851</v>
      </c>
      <c r="F489" s="35" t="s">
        <v>604</v>
      </c>
    </row>
    <row r="490" spans="1:6">
      <c r="A490" s="35" t="s">
        <v>1089</v>
      </c>
      <c r="B490" s="37">
        <v>93.496894836425781</v>
      </c>
      <c r="C490" s="37">
        <v>84.357696533203125</v>
      </c>
      <c r="D490" s="35">
        <v>5951390</v>
      </c>
      <c r="E490" s="35" t="s">
        <v>851</v>
      </c>
      <c r="F490" s="35" t="s">
        <v>604</v>
      </c>
    </row>
    <row r="491" spans="1:6">
      <c r="A491" s="35" t="s">
        <v>1090</v>
      </c>
      <c r="B491" s="37">
        <v>93.8531494140625</v>
      </c>
      <c r="C491" s="37">
        <v>84.679107666015625</v>
      </c>
      <c r="D491" s="35">
        <v>10620082</v>
      </c>
      <c r="E491" s="35" t="s">
        <v>851</v>
      </c>
      <c r="F491" s="35" t="s">
        <v>604</v>
      </c>
    </row>
    <row r="492" spans="1:6">
      <c r="A492" s="35" t="s">
        <v>1091</v>
      </c>
      <c r="B492" s="37">
        <v>95.625022888183594</v>
      </c>
      <c r="C492" s="37">
        <v>86.277809143066406</v>
      </c>
      <c r="D492" s="35">
        <v>14922870</v>
      </c>
      <c r="E492" s="35" t="s">
        <v>851</v>
      </c>
      <c r="F492" s="35" t="s">
        <v>604</v>
      </c>
    </row>
    <row r="493" spans="1:6">
      <c r="A493" s="35" t="s">
        <v>1092</v>
      </c>
      <c r="B493" s="37">
        <v>96.234397888183594</v>
      </c>
      <c r="C493" s="37">
        <v>86.827606201171875</v>
      </c>
      <c r="D493" s="35">
        <v>8062056</v>
      </c>
      <c r="E493" s="35" t="s">
        <v>851</v>
      </c>
      <c r="F493" s="35" t="s">
        <v>604</v>
      </c>
    </row>
    <row r="494" spans="1:6">
      <c r="A494" s="35" t="s">
        <v>1093</v>
      </c>
      <c r="B494" s="37">
        <v>94.500022888183594</v>
      </c>
      <c r="C494" s="37">
        <v>85.262763977050781</v>
      </c>
      <c r="D494" s="35">
        <v>5232713</v>
      </c>
      <c r="E494" s="35" t="s">
        <v>851</v>
      </c>
      <c r="F494" s="35" t="s">
        <v>604</v>
      </c>
    </row>
    <row r="495" spans="1:6">
      <c r="A495" s="35" t="s">
        <v>1094</v>
      </c>
      <c r="B495" s="37">
        <v>95.1656494140625</v>
      </c>
      <c r="C495" s="37">
        <v>85.863327026367188</v>
      </c>
      <c r="D495" s="35">
        <v>3323252</v>
      </c>
      <c r="E495" s="35" t="s">
        <v>851</v>
      </c>
      <c r="F495" s="35" t="s">
        <v>604</v>
      </c>
    </row>
    <row r="496" spans="1:6">
      <c r="A496" s="35" t="s">
        <v>1095</v>
      </c>
      <c r="B496" s="37">
        <v>96.046897888183594</v>
      </c>
      <c r="C496" s="37">
        <v>86.658424377441406</v>
      </c>
      <c r="D496" s="35">
        <v>5380707</v>
      </c>
      <c r="E496" s="35" t="s">
        <v>851</v>
      </c>
      <c r="F496" s="35" t="s">
        <v>604</v>
      </c>
    </row>
    <row r="497" spans="1:6">
      <c r="A497" s="35" t="s">
        <v>1096</v>
      </c>
      <c r="B497" s="37">
        <v>96.740646362304688</v>
      </c>
      <c r="C497" s="37">
        <v>87.284355163574219</v>
      </c>
      <c r="D497" s="35">
        <v>14290321</v>
      </c>
      <c r="E497" s="35" t="s">
        <v>851</v>
      </c>
      <c r="F497" s="35" t="s">
        <v>604</v>
      </c>
    </row>
    <row r="498" spans="1:6">
      <c r="A498" s="35" t="s">
        <v>1097</v>
      </c>
      <c r="B498" s="37">
        <v>96.693771362304688</v>
      </c>
      <c r="C498" s="37">
        <v>87.242080688476563</v>
      </c>
      <c r="D498" s="35">
        <v>8061645</v>
      </c>
      <c r="E498" s="35" t="s">
        <v>851</v>
      </c>
      <c r="F498" s="35" t="s">
        <v>604</v>
      </c>
    </row>
    <row r="499" spans="1:6">
      <c r="A499" s="35" t="s">
        <v>1098</v>
      </c>
      <c r="B499" s="37">
        <v>95.081275939941406</v>
      </c>
      <c r="C499" s="37">
        <v>85.787200927734375</v>
      </c>
      <c r="D499" s="35">
        <v>4160286</v>
      </c>
      <c r="E499" s="35" t="s">
        <v>1099</v>
      </c>
      <c r="F499" s="35" t="s">
        <v>604</v>
      </c>
    </row>
    <row r="500" spans="1:6">
      <c r="A500" s="35" t="s">
        <v>1100</v>
      </c>
      <c r="B500" s="37">
        <v>95.746894836425781</v>
      </c>
      <c r="C500" s="37">
        <v>86.387748718261719</v>
      </c>
      <c r="D500" s="35">
        <v>6502814</v>
      </c>
      <c r="E500" s="35" t="s">
        <v>1099</v>
      </c>
      <c r="F500" s="35" t="s">
        <v>604</v>
      </c>
    </row>
    <row r="501" spans="1:6">
      <c r="A501" s="35" t="s">
        <v>1101</v>
      </c>
      <c r="B501" s="37">
        <v>96.506271362304688</v>
      </c>
      <c r="C501" s="37">
        <v>87.072906494140625</v>
      </c>
      <c r="D501" s="35">
        <v>7980291</v>
      </c>
      <c r="E501" s="35" t="s">
        <v>1099</v>
      </c>
      <c r="F501" s="35" t="s">
        <v>604</v>
      </c>
    </row>
    <row r="502" spans="1:6">
      <c r="A502" s="35" t="s">
        <v>1102</v>
      </c>
      <c r="B502" s="37">
        <v>95.981269836425781</v>
      </c>
      <c r="C502" s="37">
        <v>86.599227905273438</v>
      </c>
      <c r="D502" s="35">
        <v>12196978</v>
      </c>
      <c r="E502" s="35" t="s">
        <v>1099</v>
      </c>
      <c r="F502" s="35" t="s">
        <v>604</v>
      </c>
    </row>
    <row r="503" spans="1:6">
      <c r="A503" s="35" t="s">
        <v>1103</v>
      </c>
      <c r="B503" s="37">
        <v>94.575019836425781</v>
      </c>
      <c r="C503" s="37">
        <v>85.330421447753906</v>
      </c>
      <c r="D503" s="35">
        <v>13798807</v>
      </c>
      <c r="E503" s="35" t="s">
        <v>1099</v>
      </c>
      <c r="F503" s="35" t="s">
        <v>604</v>
      </c>
    </row>
    <row r="504" spans="1:6">
      <c r="A504" s="35" t="s">
        <v>1104</v>
      </c>
      <c r="B504" s="37">
        <v>95.653144836425781</v>
      </c>
      <c r="C504" s="37">
        <v>86.303169250488281</v>
      </c>
      <c r="D504" s="35">
        <v>6303993</v>
      </c>
      <c r="E504" s="35" t="s">
        <v>1099</v>
      </c>
      <c r="F504" s="35" t="s">
        <v>604</v>
      </c>
    </row>
    <row r="505" spans="1:6">
      <c r="A505" s="35" t="s">
        <v>1105</v>
      </c>
      <c r="B505" s="37">
        <v>93.890647888183594</v>
      </c>
      <c r="C505" s="37">
        <v>84.712959289550781</v>
      </c>
      <c r="D505" s="35">
        <v>7258323</v>
      </c>
      <c r="E505" s="35" t="s">
        <v>1099</v>
      </c>
      <c r="F505" s="35" t="s">
        <v>604</v>
      </c>
    </row>
    <row r="506" spans="1:6">
      <c r="A506" s="35" t="s">
        <v>1106</v>
      </c>
      <c r="B506" s="37">
        <v>92.887519836425781</v>
      </c>
      <c r="C506" s="37">
        <v>83.807868957519531</v>
      </c>
      <c r="D506" s="35">
        <v>9674765</v>
      </c>
      <c r="E506" s="35" t="s">
        <v>1099</v>
      </c>
      <c r="F506" s="35" t="s">
        <v>604</v>
      </c>
    </row>
    <row r="507" spans="1:6">
      <c r="A507" s="35" t="s">
        <v>1107</v>
      </c>
      <c r="B507" s="37">
        <v>92.3062744140625</v>
      </c>
      <c r="C507" s="37">
        <v>83.283447265625</v>
      </c>
      <c r="D507" s="35">
        <v>7798259</v>
      </c>
      <c r="E507" s="35" t="s">
        <v>1099</v>
      </c>
      <c r="F507" s="35" t="s">
        <v>604</v>
      </c>
    </row>
    <row r="508" spans="1:6">
      <c r="A508" s="35" t="s">
        <v>1108</v>
      </c>
      <c r="B508" s="37">
        <v>92.625022888183594</v>
      </c>
      <c r="C508" s="37">
        <v>83.571044921875</v>
      </c>
      <c r="D508" s="35">
        <v>6285310</v>
      </c>
      <c r="E508" s="35" t="s">
        <v>1099</v>
      </c>
      <c r="F508" s="35" t="s">
        <v>604</v>
      </c>
    </row>
    <row r="509" spans="1:6">
      <c r="A509" s="35" t="s">
        <v>1109</v>
      </c>
      <c r="B509" s="37">
        <v>93.421897888183594</v>
      </c>
      <c r="C509" s="37">
        <v>84.290023803710938</v>
      </c>
      <c r="D509" s="35">
        <v>6543459</v>
      </c>
      <c r="E509" s="35" t="s">
        <v>1099</v>
      </c>
      <c r="F509" s="35" t="s">
        <v>604</v>
      </c>
    </row>
    <row r="510" spans="1:6">
      <c r="A510" s="35" t="s">
        <v>1110</v>
      </c>
      <c r="B510" s="37">
        <v>93.703147888183594</v>
      </c>
      <c r="C510" s="37">
        <v>84.543785095214844</v>
      </c>
      <c r="D510" s="35">
        <v>5025646</v>
      </c>
      <c r="E510" s="35" t="s">
        <v>1099</v>
      </c>
      <c r="F510" s="35" t="s">
        <v>604</v>
      </c>
    </row>
    <row r="511" spans="1:6">
      <c r="A511" s="35" t="s">
        <v>1111</v>
      </c>
      <c r="B511" s="37">
        <v>92.109397888183594</v>
      </c>
      <c r="C511" s="37">
        <v>83.105819702148438</v>
      </c>
      <c r="D511" s="35">
        <v>8445800</v>
      </c>
      <c r="E511" s="35" t="s">
        <v>1099</v>
      </c>
      <c r="F511" s="35" t="s">
        <v>604</v>
      </c>
    </row>
    <row r="512" spans="1:6">
      <c r="A512" s="35" t="s">
        <v>1112</v>
      </c>
      <c r="B512" s="37">
        <v>92.1656494140625</v>
      </c>
      <c r="C512" s="37">
        <v>83.156570434570313</v>
      </c>
      <c r="D512" s="35">
        <v>6887352</v>
      </c>
      <c r="E512" s="35" t="s">
        <v>1099</v>
      </c>
      <c r="F512" s="35" t="s">
        <v>604</v>
      </c>
    </row>
    <row r="513" spans="1:6">
      <c r="A513" s="35" t="s">
        <v>1113</v>
      </c>
      <c r="B513" s="37">
        <v>92.6812744140625</v>
      </c>
      <c r="C513" s="37">
        <v>83.621795654296875</v>
      </c>
      <c r="D513" s="35">
        <v>11770706</v>
      </c>
      <c r="E513" s="35" t="s">
        <v>1099</v>
      </c>
      <c r="F513" s="35" t="s">
        <v>604</v>
      </c>
    </row>
    <row r="514" spans="1:6">
      <c r="A514" s="35" t="s">
        <v>1114</v>
      </c>
      <c r="B514" s="37">
        <v>92.034400939941406</v>
      </c>
      <c r="C514" s="37">
        <v>83.038169860839844</v>
      </c>
      <c r="D514" s="35">
        <v>60514032</v>
      </c>
      <c r="E514" s="35" t="s">
        <v>1099</v>
      </c>
      <c r="F514" s="35" t="s">
        <v>604</v>
      </c>
    </row>
    <row r="515" spans="1:6">
      <c r="A515" s="35" t="s">
        <v>1115</v>
      </c>
      <c r="B515" s="37">
        <v>93.0093994140625</v>
      </c>
      <c r="C515" s="37">
        <v>83.917854309082031</v>
      </c>
      <c r="D515" s="35">
        <v>19864101</v>
      </c>
      <c r="E515" s="35" t="s">
        <v>1099</v>
      </c>
      <c r="F515" s="35" t="s">
        <v>604</v>
      </c>
    </row>
    <row r="516" spans="1:6">
      <c r="A516" s="35" t="s">
        <v>1116</v>
      </c>
      <c r="B516" s="37">
        <v>92.671897888183594</v>
      </c>
      <c r="C516" s="37">
        <v>83.613357543945313</v>
      </c>
      <c r="D516" s="35">
        <v>12086663</v>
      </c>
      <c r="E516" s="35" t="s">
        <v>1099</v>
      </c>
      <c r="F516" s="35" t="s">
        <v>604</v>
      </c>
    </row>
    <row r="517" spans="1:6">
      <c r="A517" s="35" t="s">
        <v>1117</v>
      </c>
      <c r="B517" s="37">
        <v>92.793769836425781</v>
      </c>
      <c r="C517" s="37">
        <v>83.723304748535156</v>
      </c>
      <c r="D517" s="35">
        <v>5568494</v>
      </c>
      <c r="E517" s="35" t="s">
        <v>1099</v>
      </c>
      <c r="F517" s="35" t="s">
        <v>604</v>
      </c>
    </row>
    <row r="518" spans="1:6">
      <c r="A518" s="35" t="s">
        <v>1118</v>
      </c>
      <c r="B518" s="37">
        <v>93.084396362304688</v>
      </c>
      <c r="C518" s="37">
        <v>83.985511779785156</v>
      </c>
      <c r="D518" s="35">
        <v>4065380</v>
      </c>
      <c r="E518" s="35" t="s">
        <v>1099</v>
      </c>
      <c r="F518" s="35" t="s">
        <v>604</v>
      </c>
    </row>
    <row r="519" spans="1:6">
      <c r="A519" s="35" t="s">
        <v>1119</v>
      </c>
      <c r="B519" s="37">
        <v>93.740646362304688</v>
      </c>
      <c r="C519" s="37">
        <v>84.577613830566406</v>
      </c>
      <c r="D519" s="35">
        <v>4048926</v>
      </c>
      <c r="E519" s="35" t="s">
        <v>1099</v>
      </c>
      <c r="F519" s="35" t="s">
        <v>604</v>
      </c>
    </row>
    <row r="520" spans="1:6">
      <c r="A520" s="35" t="s">
        <v>1120</v>
      </c>
      <c r="B520" s="37">
        <v>93.6187744140625</v>
      </c>
      <c r="C520" s="37">
        <v>84.467658996582031</v>
      </c>
      <c r="D520" s="35">
        <v>2722905</v>
      </c>
      <c r="E520" s="35" t="s">
        <v>1099</v>
      </c>
      <c r="F520" s="35" t="s">
        <v>604</v>
      </c>
    </row>
    <row r="521" spans="1:6">
      <c r="A521" s="35" t="s">
        <v>1121</v>
      </c>
      <c r="B521" s="37">
        <v>94.1812744140625</v>
      </c>
      <c r="C521" s="37">
        <v>84.975181579589844</v>
      </c>
      <c r="D521" s="35">
        <v>5002041</v>
      </c>
      <c r="E521" s="35" t="s">
        <v>1099</v>
      </c>
      <c r="F521" s="35" t="s">
        <v>604</v>
      </c>
    </row>
    <row r="522" spans="1:6">
      <c r="A522" s="35" t="s">
        <v>1122</v>
      </c>
      <c r="B522" s="37">
        <v>95.418769836425781</v>
      </c>
      <c r="C522" s="37">
        <v>86.091705322265625</v>
      </c>
      <c r="D522" s="35">
        <v>7581832</v>
      </c>
      <c r="E522" s="35" t="s">
        <v>1099</v>
      </c>
      <c r="F522" s="35" t="s">
        <v>604</v>
      </c>
    </row>
    <row r="523" spans="1:6">
      <c r="A523" s="35" t="s">
        <v>1123</v>
      </c>
      <c r="B523" s="37">
        <v>93.684394836425781</v>
      </c>
      <c r="C523" s="37">
        <v>84.526863098144531</v>
      </c>
      <c r="D523" s="35">
        <v>4459065</v>
      </c>
      <c r="E523" s="35" t="s">
        <v>1099</v>
      </c>
      <c r="F523" s="35" t="s">
        <v>604</v>
      </c>
    </row>
    <row r="524" spans="1:6">
      <c r="A524" s="35" t="s">
        <v>1124</v>
      </c>
      <c r="B524" s="37">
        <v>94.621894836425781</v>
      </c>
      <c r="C524" s="37">
        <v>85.372734069824219</v>
      </c>
      <c r="D524" s="35">
        <v>3393796</v>
      </c>
      <c r="E524" s="35" t="s">
        <v>1099</v>
      </c>
      <c r="F524" s="35" t="s">
        <v>604</v>
      </c>
    </row>
    <row r="525" spans="1:6">
      <c r="A525" s="35" t="s">
        <v>1125</v>
      </c>
      <c r="B525" s="37">
        <v>95.0718994140625</v>
      </c>
      <c r="C525" s="37">
        <v>85.778755187988281</v>
      </c>
      <c r="D525" s="35">
        <v>6031102</v>
      </c>
      <c r="E525" s="35" t="s">
        <v>1099</v>
      </c>
      <c r="F525" s="35" t="s">
        <v>604</v>
      </c>
    </row>
    <row r="526" spans="1:6">
      <c r="A526" s="35" t="s">
        <v>1126</v>
      </c>
      <c r="B526" s="37">
        <v>94.9312744140625</v>
      </c>
      <c r="C526" s="37">
        <v>85.651870727539063</v>
      </c>
      <c r="D526" s="35">
        <v>3549668</v>
      </c>
      <c r="E526" s="35" t="s">
        <v>1099</v>
      </c>
      <c r="F526" s="35" t="s">
        <v>604</v>
      </c>
    </row>
    <row r="527" spans="1:6">
      <c r="A527" s="35" t="s">
        <v>1127</v>
      </c>
      <c r="B527" s="37">
        <v>96.628150939941406</v>
      </c>
      <c r="C527" s="37">
        <v>87.182868957519531</v>
      </c>
      <c r="D527" s="35">
        <v>7146846</v>
      </c>
      <c r="E527" s="35" t="s">
        <v>1099</v>
      </c>
      <c r="F527" s="35" t="s">
        <v>604</v>
      </c>
    </row>
    <row r="528" spans="1:6">
      <c r="A528" s="35" t="s">
        <v>1128</v>
      </c>
      <c r="B528" s="37">
        <v>95.7281494140625</v>
      </c>
      <c r="C528" s="37">
        <v>86.370841979980469</v>
      </c>
      <c r="D528" s="35">
        <v>7362627</v>
      </c>
      <c r="E528" s="35" t="s">
        <v>1099</v>
      </c>
      <c r="F528" s="35" t="s">
        <v>604</v>
      </c>
    </row>
    <row r="529" spans="1:6">
      <c r="A529" s="35" t="s">
        <v>1129</v>
      </c>
      <c r="B529" s="37">
        <v>98.512527465820313</v>
      </c>
      <c r="C529" s="37">
        <v>88.883056640625</v>
      </c>
      <c r="D529" s="35">
        <v>17123643</v>
      </c>
      <c r="E529" s="35" t="s">
        <v>1099</v>
      </c>
      <c r="F529" s="35" t="s">
        <v>604</v>
      </c>
    </row>
    <row r="530" spans="1:6">
      <c r="A530" s="35" t="s">
        <v>1130</v>
      </c>
      <c r="B530" s="37">
        <v>97.453147888183594</v>
      </c>
      <c r="C530" s="37">
        <v>87.92724609375</v>
      </c>
      <c r="D530" s="35">
        <v>5097614</v>
      </c>
      <c r="E530" s="35" t="s">
        <v>1099</v>
      </c>
      <c r="F530" s="35" t="s">
        <v>604</v>
      </c>
    </row>
    <row r="531" spans="1:6">
      <c r="A531" s="35" t="s">
        <v>1131</v>
      </c>
      <c r="B531" s="37">
        <v>97.725021362304688</v>
      </c>
      <c r="C531" s="37">
        <v>88.172515869140625</v>
      </c>
      <c r="D531" s="35">
        <v>5733070</v>
      </c>
      <c r="E531" s="35" t="s">
        <v>1099</v>
      </c>
      <c r="F531" s="35" t="s">
        <v>604</v>
      </c>
    </row>
    <row r="532" spans="1:6">
      <c r="A532" s="35" t="s">
        <v>1132</v>
      </c>
      <c r="B532" s="37">
        <v>98.700027465820313</v>
      </c>
      <c r="C532" s="37">
        <v>89.052215576171875</v>
      </c>
      <c r="D532" s="35">
        <v>8735341</v>
      </c>
      <c r="E532" s="35" t="s">
        <v>1099</v>
      </c>
      <c r="F532" s="35" t="s">
        <v>604</v>
      </c>
    </row>
    <row r="533" spans="1:6">
      <c r="A533" s="35" t="s">
        <v>1133</v>
      </c>
      <c r="B533" s="37">
        <v>98.437522888183594</v>
      </c>
      <c r="C533" s="37">
        <v>88.815376281738281</v>
      </c>
      <c r="D533" s="35">
        <v>6636990</v>
      </c>
      <c r="E533" s="35" t="s">
        <v>1099</v>
      </c>
      <c r="F533" s="35" t="s">
        <v>604</v>
      </c>
    </row>
    <row r="534" spans="1:6">
      <c r="A534" s="35" t="s">
        <v>1134</v>
      </c>
      <c r="B534" s="37">
        <v>100.58439636230469</v>
      </c>
      <c r="C534" s="37">
        <v>90.752395629882813</v>
      </c>
      <c r="D534" s="35">
        <v>20100101</v>
      </c>
      <c r="E534" s="35" t="s">
        <v>1099</v>
      </c>
      <c r="F534" s="35" t="s">
        <v>604</v>
      </c>
    </row>
    <row r="535" spans="1:6">
      <c r="A535" s="35" t="s">
        <v>1135</v>
      </c>
      <c r="B535" s="37">
        <v>101.06252288818359</v>
      </c>
      <c r="C535" s="37">
        <v>91.183792114257813</v>
      </c>
      <c r="D535" s="35">
        <v>7765843</v>
      </c>
      <c r="E535" s="35" t="s">
        <v>1099</v>
      </c>
      <c r="F535" s="35" t="s">
        <v>604</v>
      </c>
    </row>
    <row r="536" spans="1:6">
      <c r="A536" s="35" t="s">
        <v>1136</v>
      </c>
      <c r="B536" s="37">
        <v>100.23752593994141</v>
      </c>
      <c r="C536" s="37">
        <v>90.439430236816406</v>
      </c>
      <c r="D536" s="35">
        <v>3166943</v>
      </c>
      <c r="E536" s="35" t="s">
        <v>1099</v>
      </c>
      <c r="F536" s="35" t="s">
        <v>604</v>
      </c>
    </row>
    <row r="537" spans="1:6">
      <c r="A537" s="35" t="s">
        <v>1137</v>
      </c>
      <c r="B537" s="37">
        <v>100.52815246582031</v>
      </c>
      <c r="C537" s="37">
        <v>90.701637268066406</v>
      </c>
      <c r="D537" s="35">
        <v>6637379</v>
      </c>
      <c r="E537" s="35" t="s">
        <v>1099</v>
      </c>
      <c r="F537" s="35" t="s">
        <v>604</v>
      </c>
    </row>
    <row r="538" spans="1:6">
      <c r="A538" s="35" t="s">
        <v>1138</v>
      </c>
      <c r="B538" s="37">
        <v>100.40627288818359</v>
      </c>
      <c r="C538" s="37">
        <v>90.591690063476563</v>
      </c>
      <c r="D538" s="35">
        <v>15642998</v>
      </c>
      <c r="E538" s="35" t="s">
        <v>1099</v>
      </c>
      <c r="F538" s="35" t="s">
        <v>604</v>
      </c>
    </row>
    <row r="539" spans="1:6">
      <c r="A539" s="35" t="s">
        <v>1139</v>
      </c>
      <c r="B539" s="37">
        <v>101.46565246582031</v>
      </c>
      <c r="C539" s="37">
        <v>91.547523498535156</v>
      </c>
      <c r="D539" s="35">
        <v>4250820</v>
      </c>
      <c r="E539" s="35" t="s">
        <v>1099</v>
      </c>
      <c r="F539" s="35" t="s">
        <v>604</v>
      </c>
    </row>
    <row r="540" spans="1:6">
      <c r="A540" s="35" t="s">
        <v>1140</v>
      </c>
      <c r="B540" s="37">
        <v>103.43440246582031</v>
      </c>
      <c r="C540" s="37">
        <v>93.323822021484375</v>
      </c>
      <c r="D540" s="35">
        <v>6428073</v>
      </c>
      <c r="E540" s="35" t="s">
        <v>1099</v>
      </c>
      <c r="F540" s="35" t="s">
        <v>604</v>
      </c>
    </row>
    <row r="541" spans="1:6">
      <c r="A541" s="35" t="s">
        <v>1141</v>
      </c>
      <c r="B541" s="37">
        <v>104.1656494140625</v>
      </c>
      <c r="C541" s="37">
        <v>93.983589172363281</v>
      </c>
      <c r="D541" s="35">
        <v>9633970</v>
      </c>
      <c r="E541" s="35" t="s">
        <v>1099</v>
      </c>
      <c r="F541" s="35" t="s">
        <v>604</v>
      </c>
    </row>
    <row r="542" spans="1:6">
      <c r="A542" s="35" t="s">
        <v>1142</v>
      </c>
      <c r="B542" s="37">
        <v>105.1031494140625</v>
      </c>
      <c r="C542" s="37">
        <v>94.829437255859375</v>
      </c>
      <c r="D542" s="35">
        <v>11049943</v>
      </c>
      <c r="E542" s="35" t="s">
        <v>1099</v>
      </c>
      <c r="F542" s="35" t="s">
        <v>604</v>
      </c>
    </row>
    <row r="543" spans="1:6">
      <c r="A543" s="35" t="s">
        <v>1143</v>
      </c>
      <c r="B543" s="37">
        <v>103.01252746582031</v>
      </c>
      <c r="C543" s="37">
        <v>92.943183898925781</v>
      </c>
      <c r="D543" s="35">
        <v>13762215</v>
      </c>
      <c r="E543" s="35" t="s">
        <v>1099</v>
      </c>
      <c r="F543" s="35" t="s">
        <v>604</v>
      </c>
    </row>
    <row r="544" spans="1:6">
      <c r="A544" s="35" t="s">
        <v>1144</v>
      </c>
      <c r="B544" s="37">
        <v>102.35627746582031</v>
      </c>
      <c r="C544" s="37">
        <v>92.351081848144531</v>
      </c>
      <c r="D544" s="35">
        <v>8001795</v>
      </c>
      <c r="E544" s="35" t="s">
        <v>1099</v>
      </c>
      <c r="F544" s="35" t="s">
        <v>604</v>
      </c>
    </row>
    <row r="545" spans="1:6">
      <c r="A545" s="35" t="s">
        <v>1145</v>
      </c>
      <c r="B545" s="37">
        <v>100.67814636230469</v>
      </c>
      <c r="C545" s="37">
        <v>90.83697509765625</v>
      </c>
      <c r="D545" s="35">
        <v>9384610</v>
      </c>
      <c r="E545" s="35" t="s">
        <v>1099</v>
      </c>
      <c r="F545" s="35" t="s">
        <v>604</v>
      </c>
    </row>
    <row r="546" spans="1:6">
      <c r="A546" s="35" t="s">
        <v>1146</v>
      </c>
      <c r="B546" s="37">
        <v>98.690650939941406</v>
      </c>
      <c r="C546" s="37">
        <v>89.04376220703125</v>
      </c>
      <c r="D546" s="35">
        <v>12396076</v>
      </c>
      <c r="E546" s="35" t="s">
        <v>1099</v>
      </c>
      <c r="F546" s="35" t="s">
        <v>604</v>
      </c>
    </row>
    <row r="547" spans="1:6">
      <c r="A547" s="35" t="s">
        <v>1147</v>
      </c>
      <c r="B547" s="37">
        <v>97.125022888183594</v>
      </c>
      <c r="C547" s="37">
        <v>87.631172180175781</v>
      </c>
      <c r="D547" s="35">
        <v>8946043</v>
      </c>
      <c r="E547" s="35" t="s">
        <v>1099</v>
      </c>
      <c r="F547" s="35" t="s">
        <v>604</v>
      </c>
    </row>
    <row r="548" spans="1:6">
      <c r="A548" s="35" t="s">
        <v>1148</v>
      </c>
      <c r="B548" s="37">
        <v>96.037521362304688</v>
      </c>
      <c r="C548" s="37">
        <v>86.649993896484375</v>
      </c>
      <c r="D548" s="35">
        <v>8080517</v>
      </c>
      <c r="E548" s="35" t="s">
        <v>1099</v>
      </c>
      <c r="F548" s="35" t="s">
        <v>604</v>
      </c>
    </row>
    <row r="549" spans="1:6">
      <c r="A549" s="35" t="s">
        <v>1149</v>
      </c>
      <c r="B549" s="37">
        <v>97.818771362304688</v>
      </c>
      <c r="C549" s="37">
        <v>88.257102966308594</v>
      </c>
      <c r="D549" s="35">
        <v>8317803</v>
      </c>
      <c r="E549" s="35" t="s">
        <v>1099</v>
      </c>
      <c r="F549" s="35" t="s">
        <v>604</v>
      </c>
    </row>
    <row r="550" spans="1:6">
      <c r="A550" s="35" t="s">
        <v>1150</v>
      </c>
      <c r="B550" s="37">
        <v>95.718772888183594</v>
      </c>
      <c r="C550" s="37">
        <v>86.362396240234375</v>
      </c>
      <c r="D550" s="35">
        <v>8030288</v>
      </c>
      <c r="E550" s="35" t="s">
        <v>1099</v>
      </c>
      <c r="F550" s="35" t="s">
        <v>604</v>
      </c>
    </row>
    <row r="551" spans="1:6">
      <c r="A551" s="35" t="s">
        <v>1151</v>
      </c>
      <c r="B551" s="37">
        <v>95.456275939941406</v>
      </c>
      <c r="C551" s="37">
        <v>86.125556945800781</v>
      </c>
      <c r="D551" s="35">
        <v>3891671</v>
      </c>
      <c r="E551" s="35" t="s">
        <v>1099</v>
      </c>
      <c r="F551" s="35" t="s">
        <v>604</v>
      </c>
    </row>
    <row r="552" spans="1:6">
      <c r="A552" s="35" t="s">
        <v>1152</v>
      </c>
      <c r="B552" s="37">
        <v>95.343772888183594</v>
      </c>
      <c r="C552" s="37">
        <v>86.024032592773438</v>
      </c>
      <c r="D552" s="35">
        <v>2063458</v>
      </c>
      <c r="E552" s="35" t="s">
        <v>1099</v>
      </c>
      <c r="F552" s="35" t="s">
        <v>604</v>
      </c>
    </row>
    <row r="553" spans="1:6">
      <c r="A553" s="35" t="s">
        <v>1153</v>
      </c>
      <c r="B553" s="37">
        <v>95.9625244140625</v>
      </c>
      <c r="C553" s="37">
        <v>86.582313537597656</v>
      </c>
      <c r="D553" s="35">
        <v>4895705</v>
      </c>
      <c r="E553" s="35" t="s">
        <v>1099</v>
      </c>
      <c r="F553" s="35" t="s">
        <v>604</v>
      </c>
    </row>
    <row r="554" spans="1:6">
      <c r="A554" s="35" t="s">
        <v>1154</v>
      </c>
      <c r="B554" s="37">
        <v>95.643775939941406</v>
      </c>
      <c r="C554" s="37">
        <v>86.294723510742188</v>
      </c>
      <c r="D554" s="35">
        <v>3843239</v>
      </c>
      <c r="E554" s="35" t="s">
        <v>1099</v>
      </c>
      <c r="F554" s="35" t="s">
        <v>604</v>
      </c>
    </row>
    <row r="555" spans="1:6">
      <c r="A555" s="35" t="s">
        <v>1155</v>
      </c>
      <c r="B555" s="37">
        <v>96.318771362304688</v>
      </c>
      <c r="C555" s="37">
        <v>86.903739929199219</v>
      </c>
      <c r="D555" s="35">
        <v>6051953</v>
      </c>
      <c r="E555" s="35" t="s">
        <v>1099</v>
      </c>
      <c r="F555" s="35" t="s">
        <v>604</v>
      </c>
    </row>
    <row r="556" spans="1:6">
      <c r="A556" s="35" t="s">
        <v>1156</v>
      </c>
      <c r="B556" s="37">
        <v>96.206275939941406</v>
      </c>
      <c r="C556" s="37">
        <v>86.802230834960938</v>
      </c>
      <c r="D556" s="35">
        <v>9540496</v>
      </c>
      <c r="E556" s="35" t="s">
        <v>1099</v>
      </c>
      <c r="F556" s="35" t="s">
        <v>604</v>
      </c>
    </row>
    <row r="557" spans="1:6">
      <c r="A557" s="35" t="s">
        <v>1157</v>
      </c>
      <c r="B557" s="37">
        <v>96.9000244140625</v>
      </c>
      <c r="C557" s="37">
        <v>87.42816162109375</v>
      </c>
      <c r="D557" s="35">
        <v>4448070</v>
      </c>
      <c r="E557" s="35" t="s">
        <v>1099</v>
      </c>
      <c r="F557" s="35" t="s">
        <v>604</v>
      </c>
    </row>
    <row r="558" spans="1:6">
      <c r="A558" s="35" t="s">
        <v>1158</v>
      </c>
      <c r="B558" s="37">
        <v>97.237525939941406</v>
      </c>
      <c r="C558" s="37">
        <v>87.732673645019531</v>
      </c>
      <c r="D558" s="35">
        <v>12944967</v>
      </c>
      <c r="E558" s="35" t="s">
        <v>1099</v>
      </c>
      <c r="F558" s="35" t="s">
        <v>604</v>
      </c>
    </row>
    <row r="559" spans="1:6">
      <c r="A559" s="35" t="s">
        <v>1159</v>
      </c>
      <c r="B559" s="37">
        <v>96.881271362304688</v>
      </c>
      <c r="C559" s="37">
        <v>87.411262512207031</v>
      </c>
      <c r="D559" s="35">
        <v>7242552</v>
      </c>
      <c r="E559" s="35" t="s">
        <v>1099</v>
      </c>
      <c r="F559" s="35" t="s">
        <v>604</v>
      </c>
    </row>
    <row r="560" spans="1:6">
      <c r="A560" s="35" t="s">
        <v>1160</v>
      </c>
      <c r="B560" s="37">
        <v>97.350021362304688</v>
      </c>
      <c r="C560" s="37">
        <v>87.834182739257813</v>
      </c>
      <c r="D560" s="35">
        <v>5572713</v>
      </c>
      <c r="E560" s="35" t="s">
        <v>1099</v>
      </c>
      <c r="F560" s="35" t="s">
        <v>604</v>
      </c>
    </row>
    <row r="561" spans="1:6">
      <c r="A561" s="35" t="s">
        <v>1161</v>
      </c>
      <c r="B561" s="37">
        <v>97.500022888183594</v>
      </c>
      <c r="C561" s="37">
        <v>87.969520568847656</v>
      </c>
      <c r="D561" s="35">
        <v>5868339</v>
      </c>
      <c r="E561" s="35" t="s">
        <v>1099</v>
      </c>
      <c r="F561" s="35" t="s">
        <v>604</v>
      </c>
    </row>
    <row r="562" spans="1:6">
      <c r="A562" s="35" t="s">
        <v>1162</v>
      </c>
      <c r="B562" s="37">
        <v>96.675025939941406</v>
      </c>
      <c r="C562" s="37">
        <v>87.22515869140625</v>
      </c>
      <c r="D562" s="35">
        <v>5030668</v>
      </c>
      <c r="E562" s="35" t="s">
        <v>1099</v>
      </c>
      <c r="F562" s="35" t="s">
        <v>604</v>
      </c>
    </row>
    <row r="563" spans="1:6">
      <c r="A563" s="35" t="s">
        <v>1163</v>
      </c>
      <c r="B563" s="37">
        <v>96.656272888183594</v>
      </c>
      <c r="C563" s="37">
        <v>87.208251953125</v>
      </c>
      <c r="D563" s="35">
        <v>4398852</v>
      </c>
      <c r="E563" s="35" t="s">
        <v>1099</v>
      </c>
      <c r="F563" s="35" t="s">
        <v>604</v>
      </c>
    </row>
    <row r="564" spans="1:6">
      <c r="A564" s="35" t="s">
        <v>1164</v>
      </c>
      <c r="B564" s="37">
        <v>96.637527465820313</v>
      </c>
      <c r="C564" s="37">
        <v>87.191329956054688</v>
      </c>
      <c r="D564" s="35">
        <v>3889807</v>
      </c>
      <c r="E564" s="35" t="s">
        <v>1099</v>
      </c>
      <c r="F564" s="35" t="s">
        <v>604</v>
      </c>
    </row>
    <row r="565" spans="1:6">
      <c r="A565" s="35" t="s">
        <v>1165</v>
      </c>
      <c r="B565" s="37">
        <v>100.59377288818359</v>
      </c>
      <c r="C565" s="37">
        <v>90.7608642578125</v>
      </c>
      <c r="D565" s="35">
        <v>1769468</v>
      </c>
      <c r="E565" s="35" t="s">
        <v>1099</v>
      </c>
      <c r="F565" s="35" t="s">
        <v>604</v>
      </c>
    </row>
    <row r="566" spans="1:6">
      <c r="A566" s="35" t="s">
        <v>1166</v>
      </c>
      <c r="B566" s="37">
        <v>98.700027465820313</v>
      </c>
      <c r="C566" s="37">
        <v>89.052215576171875</v>
      </c>
      <c r="D566" s="35">
        <v>10827743</v>
      </c>
      <c r="E566" s="35" t="s">
        <v>1099</v>
      </c>
      <c r="F566" s="35" t="s">
        <v>604</v>
      </c>
    </row>
    <row r="567" spans="1:6">
      <c r="A567" s="35" t="s">
        <v>1167</v>
      </c>
      <c r="B567" s="37">
        <v>98.925025939941406</v>
      </c>
      <c r="C567" s="37">
        <v>89.255241394042969</v>
      </c>
      <c r="D567" s="35">
        <v>3170908</v>
      </c>
      <c r="E567" s="35" t="s">
        <v>1099</v>
      </c>
      <c r="F567" s="35" t="s">
        <v>604</v>
      </c>
    </row>
    <row r="568" spans="1:6">
      <c r="A568" s="35" t="s">
        <v>1168</v>
      </c>
      <c r="B568" s="37">
        <v>99.018775939941406</v>
      </c>
      <c r="C568" s="37">
        <v>89.339813232421875</v>
      </c>
      <c r="D568" s="35">
        <v>4331508</v>
      </c>
      <c r="E568" s="35" t="s">
        <v>1099</v>
      </c>
      <c r="F568" s="35" t="s">
        <v>604</v>
      </c>
    </row>
    <row r="569" spans="1:6">
      <c r="A569" s="35" t="s">
        <v>1169</v>
      </c>
      <c r="B569" s="37">
        <v>97.443771362304688</v>
      </c>
      <c r="C569" s="37">
        <v>87.91876220703125</v>
      </c>
      <c r="D569" s="35">
        <v>6545345</v>
      </c>
      <c r="E569" s="35" t="s">
        <v>1099</v>
      </c>
      <c r="F569" s="35" t="s">
        <v>604</v>
      </c>
    </row>
    <row r="570" spans="1:6">
      <c r="A570" s="35" t="s">
        <v>1170</v>
      </c>
      <c r="B570" s="37">
        <v>100.06877136230469</v>
      </c>
      <c r="C570" s="37">
        <v>90.287178039550781</v>
      </c>
      <c r="D570" s="35">
        <v>20717986</v>
      </c>
      <c r="E570" s="35" t="s">
        <v>1099</v>
      </c>
      <c r="F570" s="35" t="s">
        <v>604</v>
      </c>
    </row>
    <row r="571" spans="1:6">
      <c r="A571" s="35" t="s">
        <v>1171</v>
      </c>
      <c r="B571" s="37">
        <v>100.87502288818359</v>
      </c>
      <c r="C571" s="37">
        <v>91.014625549316406</v>
      </c>
      <c r="D571" s="35">
        <v>7342675</v>
      </c>
      <c r="E571" s="35" t="s">
        <v>1099</v>
      </c>
      <c r="F571" s="35" t="s">
        <v>604</v>
      </c>
    </row>
    <row r="572" spans="1:6">
      <c r="A572" s="35" t="s">
        <v>1172</v>
      </c>
      <c r="B572" s="37">
        <v>101.66252136230469</v>
      </c>
      <c r="C572" s="37">
        <v>91.725135803222656</v>
      </c>
      <c r="D572" s="35">
        <v>7928152</v>
      </c>
      <c r="E572" s="35" t="s">
        <v>1099</v>
      </c>
      <c r="F572" s="35" t="s">
        <v>604</v>
      </c>
    </row>
    <row r="573" spans="1:6">
      <c r="A573" s="35" t="s">
        <v>1173</v>
      </c>
      <c r="B573" s="37">
        <v>100.9312744140625</v>
      </c>
      <c r="C573" s="37">
        <v>91.065383911132813</v>
      </c>
      <c r="D573" s="35">
        <v>7137662</v>
      </c>
      <c r="E573" s="35" t="s">
        <v>1099</v>
      </c>
      <c r="F573" s="35" t="s">
        <v>604</v>
      </c>
    </row>
    <row r="574" spans="1:6">
      <c r="A574" s="35" t="s">
        <v>1174</v>
      </c>
      <c r="B574" s="37">
        <v>107.26877593994141</v>
      </c>
      <c r="C574" s="37">
        <v>96.783393859863281</v>
      </c>
      <c r="D574" s="35">
        <v>43712663</v>
      </c>
      <c r="E574" s="35" t="s">
        <v>1099</v>
      </c>
      <c r="F574" s="35" t="s">
        <v>604</v>
      </c>
    </row>
    <row r="575" spans="1:6">
      <c r="A575" s="35" t="s">
        <v>1175</v>
      </c>
      <c r="B575" s="37">
        <v>109.33127593994141</v>
      </c>
      <c r="C575" s="37">
        <v>98.644294738769531</v>
      </c>
      <c r="D575" s="35">
        <v>17479614</v>
      </c>
      <c r="E575" s="35" t="s">
        <v>1099</v>
      </c>
      <c r="F575" s="35" t="s">
        <v>604</v>
      </c>
    </row>
    <row r="576" spans="1:6">
      <c r="A576" s="35" t="s">
        <v>1176</v>
      </c>
      <c r="B576" s="37">
        <v>108.58127593994141</v>
      </c>
      <c r="C576" s="37">
        <v>97.967597961425781</v>
      </c>
      <c r="D576" s="35">
        <v>8993269</v>
      </c>
      <c r="E576" s="35" t="s">
        <v>1099</v>
      </c>
      <c r="F576" s="35" t="s">
        <v>604</v>
      </c>
    </row>
    <row r="577" spans="1:6">
      <c r="A577" s="35" t="s">
        <v>1177</v>
      </c>
      <c r="B577" s="37">
        <v>108.50627899169922</v>
      </c>
      <c r="C577" s="37">
        <v>97.899940490722656</v>
      </c>
      <c r="D577" s="35">
        <v>7921576</v>
      </c>
      <c r="E577" s="35" t="s">
        <v>1099</v>
      </c>
      <c r="F577" s="35" t="s">
        <v>604</v>
      </c>
    </row>
    <row r="578" spans="1:6">
      <c r="A578" s="35" t="s">
        <v>1178</v>
      </c>
      <c r="B578" s="37">
        <v>108.63752746582031</v>
      </c>
      <c r="C578" s="37">
        <v>98.018348693847656</v>
      </c>
      <c r="D578" s="35">
        <v>15748342</v>
      </c>
      <c r="E578" s="35" t="s">
        <v>1099</v>
      </c>
      <c r="F578" s="35" t="s">
        <v>604</v>
      </c>
    </row>
    <row r="579" spans="1:6">
      <c r="A579" s="35" t="s">
        <v>1179</v>
      </c>
      <c r="B579" s="37">
        <v>108.39377593994141</v>
      </c>
      <c r="C579" s="37">
        <v>97.798423767089844</v>
      </c>
      <c r="D579" s="35">
        <v>6488043</v>
      </c>
      <c r="E579" s="35" t="s">
        <v>1099</v>
      </c>
      <c r="F579" s="35" t="s">
        <v>604</v>
      </c>
    </row>
    <row r="580" spans="1:6">
      <c r="A580" s="35" t="s">
        <v>1180</v>
      </c>
      <c r="B580" s="37">
        <v>108.16877746582031</v>
      </c>
      <c r="C580" s="37">
        <v>97.595428466796875</v>
      </c>
      <c r="D580" s="35">
        <v>6801080</v>
      </c>
      <c r="E580" s="35" t="s">
        <v>1099</v>
      </c>
      <c r="F580" s="35" t="s">
        <v>604</v>
      </c>
    </row>
    <row r="581" spans="1:6">
      <c r="A581" s="35" t="s">
        <v>1181</v>
      </c>
      <c r="B581" s="37">
        <v>110.55002593994141</v>
      </c>
      <c r="C581" s="37">
        <v>99.743896484375</v>
      </c>
      <c r="D581" s="35">
        <v>10760455</v>
      </c>
      <c r="E581" s="35" t="s">
        <v>1099</v>
      </c>
      <c r="F581" s="35" t="s">
        <v>604</v>
      </c>
    </row>
    <row r="582" spans="1:6">
      <c r="A582" s="35" t="s">
        <v>1182</v>
      </c>
      <c r="B582" s="37">
        <v>110.17502593994141</v>
      </c>
      <c r="C582" s="37">
        <v>99.405570983886719</v>
      </c>
      <c r="D582" s="35">
        <v>6469635</v>
      </c>
      <c r="E582" s="35" t="s">
        <v>1099</v>
      </c>
      <c r="F582" s="35" t="s">
        <v>604</v>
      </c>
    </row>
    <row r="583" spans="1:6">
      <c r="A583" s="35" t="s">
        <v>1183</v>
      </c>
      <c r="B583" s="37">
        <v>108.41252899169922</v>
      </c>
      <c r="C583" s="37">
        <v>97.815345764160156</v>
      </c>
      <c r="D583" s="35">
        <v>9722197</v>
      </c>
      <c r="E583" s="35" t="s">
        <v>1099</v>
      </c>
      <c r="F583" s="35" t="s">
        <v>604</v>
      </c>
    </row>
    <row r="584" spans="1:6">
      <c r="A584" s="35" t="s">
        <v>1184</v>
      </c>
      <c r="B584" s="37">
        <v>108.5250244140625</v>
      </c>
      <c r="C584" s="37">
        <v>97.916839599609375</v>
      </c>
      <c r="D584" s="35">
        <v>6796056</v>
      </c>
      <c r="E584" s="35" t="s">
        <v>1099</v>
      </c>
      <c r="F584" s="35" t="s">
        <v>604</v>
      </c>
    </row>
    <row r="585" spans="1:6">
      <c r="A585" s="35" t="s">
        <v>1185</v>
      </c>
      <c r="B585" s="37">
        <v>107.90627288818359</v>
      </c>
      <c r="C585" s="37">
        <v>97.35858154296875</v>
      </c>
      <c r="D585" s="35">
        <v>3921329</v>
      </c>
      <c r="E585" s="35" t="s">
        <v>1099</v>
      </c>
      <c r="F585" s="35" t="s">
        <v>604</v>
      </c>
    </row>
    <row r="586" spans="1:6">
      <c r="A586" s="35" t="s">
        <v>1186</v>
      </c>
      <c r="B586" s="37">
        <v>107.7750244140625</v>
      </c>
      <c r="C586" s="37">
        <v>97.240165710449219</v>
      </c>
      <c r="D586" s="35">
        <v>7279766</v>
      </c>
      <c r="E586" s="35" t="s">
        <v>1099</v>
      </c>
      <c r="F586" s="35" t="s">
        <v>604</v>
      </c>
    </row>
    <row r="587" spans="1:6">
      <c r="A587" s="35" t="s">
        <v>1187</v>
      </c>
      <c r="B587" s="37">
        <v>107.43752288818359</v>
      </c>
      <c r="C587" s="37">
        <v>96.935646057128906</v>
      </c>
      <c r="D587" s="35">
        <v>2906265</v>
      </c>
      <c r="E587" s="35" t="s">
        <v>1099</v>
      </c>
      <c r="F587" s="35" t="s">
        <v>604</v>
      </c>
    </row>
    <row r="588" spans="1:6">
      <c r="A588" s="35" t="s">
        <v>1188</v>
      </c>
      <c r="B588" s="37">
        <v>108.0562744140625</v>
      </c>
      <c r="C588" s="37">
        <v>97.493911743164063</v>
      </c>
      <c r="D588" s="35">
        <v>7222248</v>
      </c>
      <c r="E588" s="35" t="s">
        <v>1099</v>
      </c>
      <c r="F588" s="35" t="s">
        <v>604</v>
      </c>
    </row>
    <row r="589" spans="1:6">
      <c r="A589" s="35" t="s">
        <v>1189</v>
      </c>
      <c r="B589" s="37">
        <v>108.63752746582031</v>
      </c>
      <c r="C589" s="37">
        <v>98.018348693847656</v>
      </c>
      <c r="D589" s="35">
        <v>9466389</v>
      </c>
      <c r="E589" s="35" t="s">
        <v>1099</v>
      </c>
      <c r="F589" s="35" t="s">
        <v>604</v>
      </c>
    </row>
    <row r="590" spans="1:6">
      <c r="A590" s="35" t="s">
        <v>1190</v>
      </c>
      <c r="B590" s="37">
        <v>108.18753051757813</v>
      </c>
      <c r="C590" s="37">
        <v>97.612342834472656</v>
      </c>
      <c r="D590" s="35">
        <v>4292153</v>
      </c>
      <c r="E590" s="35" t="s">
        <v>1099</v>
      </c>
      <c r="F590" s="35" t="s">
        <v>604</v>
      </c>
    </row>
    <row r="591" spans="1:6">
      <c r="A591" s="35" t="s">
        <v>1191</v>
      </c>
      <c r="B591" s="37">
        <v>108.73127746582031</v>
      </c>
      <c r="C591" s="37">
        <v>98.102943420410156</v>
      </c>
      <c r="D591" s="35">
        <v>5363422</v>
      </c>
      <c r="E591" s="35" t="s">
        <v>1099</v>
      </c>
      <c r="F591" s="35" t="s">
        <v>604</v>
      </c>
    </row>
    <row r="592" spans="1:6">
      <c r="A592" s="35" t="s">
        <v>1192</v>
      </c>
      <c r="B592" s="37">
        <v>108.13127899169922</v>
      </c>
      <c r="C592" s="37">
        <v>97.56158447265625</v>
      </c>
      <c r="D592" s="35">
        <v>7032915</v>
      </c>
      <c r="E592" s="35" t="s">
        <v>1099</v>
      </c>
      <c r="F592" s="35" t="s">
        <v>604</v>
      </c>
    </row>
    <row r="593" spans="1:6">
      <c r="A593" s="35" t="s">
        <v>1193</v>
      </c>
      <c r="B593" s="37">
        <v>108.03752899169922</v>
      </c>
      <c r="C593" s="37">
        <v>97.477005004882813</v>
      </c>
      <c r="D593" s="35">
        <v>7948899</v>
      </c>
      <c r="E593" s="35" t="s">
        <v>1099</v>
      </c>
      <c r="F593" s="35" t="s">
        <v>604</v>
      </c>
    </row>
    <row r="594" spans="1:6">
      <c r="A594" s="35" t="s">
        <v>1194</v>
      </c>
      <c r="B594" s="37">
        <v>107.88752746582031</v>
      </c>
      <c r="C594" s="37">
        <v>97.3416748046875</v>
      </c>
      <c r="D594" s="35">
        <v>7613358</v>
      </c>
      <c r="E594" s="35" t="s">
        <v>1099</v>
      </c>
      <c r="F594" s="35" t="s">
        <v>604</v>
      </c>
    </row>
    <row r="595" spans="1:6">
      <c r="A595" s="35" t="s">
        <v>1195</v>
      </c>
      <c r="B595" s="37">
        <v>108.84378051757813</v>
      </c>
      <c r="C595" s="37">
        <v>98.204444885253906</v>
      </c>
      <c r="D595" s="35">
        <v>7238720</v>
      </c>
      <c r="E595" s="35" t="s">
        <v>1099</v>
      </c>
      <c r="F595" s="35" t="s">
        <v>604</v>
      </c>
    </row>
    <row r="596" spans="1:6">
      <c r="A596" s="35" t="s">
        <v>1196</v>
      </c>
      <c r="B596" s="37">
        <v>108.75003051757813</v>
      </c>
      <c r="C596" s="37">
        <v>98.119873046875</v>
      </c>
      <c r="D596" s="35">
        <v>6223409</v>
      </c>
      <c r="E596" s="35" t="s">
        <v>1099</v>
      </c>
      <c r="F596" s="35" t="s">
        <v>604</v>
      </c>
    </row>
    <row r="597" spans="1:6">
      <c r="A597" s="35" t="s">
        <v>1197</v>
      </c>
      <c r="B597" s="37">
        <v>108.5250244140625</v>
      </c>
      <c r="C597" s="37">
        <v>97.916839599609375</v>
      </c>
      <c r="D597" s="35">
        <v>7413579</v>
      </c>
      <c r="E597" s="35" t="s">
        <v>1099</v>
      </c>
      <c r="F597" s="35" t="s">
        <v>604</v>
      </c>
    </row>
    <row r="598" spans="1:6">
      <c r="A598" s="35" t="s">
        <v>1198</v>
      </c>
      <c r="B598" s="37">
        <v>109.01252746582031</v>
      </c>
      <c r="C598" s="37">
        <v>98.356697082519531</v>
      </c>
      <c r="D598" s="35">
        <v>5715785</v>
      </c>
      <c r="E598" s="35" t="s">
        <v>1099</v>
      </c>
      <c r="F598" s="35" t="s">
        <v>604</v>
      </c>
    </row>
    <row r="599" spans="1:6">
      <c r="A599" s="35" t="s">
        <v>1199</v>
      </c>
      <c r="B599" s="37">
        <v>109.03128051757813</v>
      </c>
      <c r="C599" s="37">
        <v>98.373611450195313</v>
      </c>
      <c r="D599" s="35">
        <v>4691806</v>
      </c>
      <c r="E599" s="35" t="s">
        <v>1099</v>
      </c>
      <c r="F599" s="35" t="s">
        <v>604</v>
      </c>
    </row>
    <row r="600" spans="1:6">
      <c r="A600" s="35" t="s">
        <v>1200</v>
      </c>
      <c r="B600" s="37">
        <v>109.20002746582031</v>
      </c>
      <c r="C600" s="37">
        <v>98.52587890625</v>
      </c>
      <c r="D600" s="35">
        <v>4899684</v>
      </c>
      <c r="E600" s="35" t="s">
        <v>1099</v>
      </c>
      <c r="F600" s="35" t="s">
        <v>604</v>
      </c>
    </row>
    <row r="601" spans="1:6">
      <c r="A601" s="35" t="s">
        <v>1201</v>
      </c>
      <c r="B601" s="37">
        <v>112.16252899169922</v>
      </c>
      <c r="C601" s="37">
        <v>101.19879913330078</v>
      </c>
      <c r="D601" s="35">
        <v>27585715</v>
      </c>
      <c r="E601" s="35" t="s">
        <v>1099</v>
      </c>
      <c r="F601" s="35" t="s">
        <v>604</v>
      </c>
    </row>
    <row r="602" spans="1:6">
      <c r="A602" s="35" t="s">
        <v>1202</v>
      </c>
      <c r="B602" s="37">
        <v>111.16877746582031</v>
      </c>
      <c r="C602" s="37">
        <v>100.30217742919922</v>
      </c>
      <c r="D602" s="35">
        <v>8535629</v>
      </c>
      <c r="E602" s="35" t="s">
        <v>1099</v>
      </c>
      <c r="F602" s="35" t="s">
        <v>604</v>
      </c>
    </row>
    <row r="603" spans="1:6">
      <c r="A603" s="35" t="s">
        <v>1203</v>
      </c>
      <c r="B603" s="37">
        <v>111.48752593994141</v>
      </c>
      <c r="C603" s="37">
        <v>100.58975982666016</v>
      </c>
      <c r="D603" s="35">
        <v>8020043</v>
      </c>
      <c r="E603" s="35" t="s">
        <v>1099</v>
      </c>
      <c r="F603" s="35" t="s">
        <v>604</v>
      </c>
    </row>
    <row r="604" spans="1:6">
      <c r="A604" s="35" t="s">
        <v>1204</v>
      </c>
      <c r="B604" s="37">
        <v>111.46878051757813</v>
      </c>
      <c r="C604" s="37">
        <v>100.57284545898438</v>
      </c>
      <c r="D604" s="35">
        <v>7789014</v>
      </c>
      <c r="E604" s="35" t="s">
        <v>1099</v>
      </c>
      <c r="F604" s="35" t="s">
        <v>604</v>
      </c>
    </row>
    <row r="605" spans="1:6">
      <c r="A605" s="35" t="s">
        <v>1205</v>
      </c>
      <c r="B605" s="37">
        <v>111.45002746582031</v>
      </c>
      <c r="C605" s="37">
        <v>100.55592346191406</v>
      </c>
      <c r="D605" s="35">
        <v>8243296</v>
      </c>
      <c r="E605" s="35" t="s">
        <v>1099</v>
      </c>
      <c r="F605" s="35" t="s">
        <v>604</v>
      </c>
    </row>
    <row r="606" spans="1:6">
      <c r="A606" s="35" t="s">
        <v>1206</v>
      </c>
      <c r="B606" s="37">
        <v>112.10627746582031</v>
      </c>
      <c r="C606" s="37">
        <v>101.14802551269531</v>
      </c>
      <c r="D606" s="35">
        <v>8910077</v>
      </c>
      <c r="E606" s="35" t="s">
        <v>1099</v>
      </c>
      <c r="F606" s="35" t="s">
        <v>604</v>
      </c>
    </row>
    <row r="607" spans="1:6">
      <c r="A607" s="35" t="s">
        <v>1207</v>
      </c>
      <c r="B607" s="37">
        <v>112.68753051757813</v>
      </c>
      <c r="C607" s="37">
        <v>101.6724853515625</v>
      </c>
      <c r="D607" s="35">
        <v>12046586</v>
      </c>
      <c r="E607" s="35" t="s">
        <v>1099</v>
      </c>
      <c r="F607" s="35" t="s">
        <v>604</v>
      </c>
    </row>
    <row r="608" spans="1:6">
      <c r="A608" s="35" t="s">
        <v>1208</v>
      </c>
      <c r="B608" s="37">
        <v>112.9312744140625</v>
      </c>
      <c r="C608" s="37">
        <v>101.89239501953125</v>
      </c>
      <c r="D608" s="35">
        <v>14275591</v>
      </c>
      <c r="E608" s="35" t="s">
        <v>1099</v>
      </c>
      <c r="F608" s="35" t="s">
        <v>604</v>
      </c>
    </row>
    <row r="609" spans="1:6">
      <c r="A609" s="35" t="s">
        <v>1209</v>
      </c>
      <c r="B609" s="37">
        <v>111.78752899169922</v>
      </c>
      <c r="C609" s="37">
        <v>100.86045074462891</v>
      </c>
      <c r="D609" s="35">
        <v>20911485</v>
      </c>
      <c r="E609" s="35" t="s">
        <v>1099</v>
      </c>
      <c r="F609" s="35" t="s">
        <v>604</v>
      </c>
    </row>
    <row r="610" spans="1:6">
      <c r="A610" s="35" t="s">
        <v>1210</v>
      </c>
      <c r="B610" s="37">
        <v>110.9625244140625</v>
      </c>
      <c r="C610" s="37">
        <v>100.11607360839844</v>
      </c>
      <c r="D610" s="35">
        <v>17684075</v>
      </c>
      <c r="E610" s="35" t="s">
        <v>1099</v>
      </c>
      <c r="F610" s="35" t="s">
        <v>604</v>
      </c>
    </row>
    <row r="611" spans="1:6">
      <c r="A611" s="35" t="s">
        <v>1211</v>
      </c>
      <c r="B611" s="37">
        <v>106.29377746582031</v>
      </c>
      <c r="C611" s="37">
        <v>95.903701782226563</v>
      </c>
      <c r="D611" s="35">
        <v>15503769</v>
      </c>
      <c r="E611" s="35" t="s">
        <v>1099</v>
      </c>
      <c r="F611" s="35" t="s">
        <v>604</v>
      </c>
    </row>
    <row r="612" spans="1:6">
      <c r="A612" s="35" t="s">
        <v>1212</v>
      </c>
      <c r="B612" s="37">
        <v>107.15627288818359</v>
      </c>
      <c r="C612" s="37">
        <v>96.681877136230469</v>
      </c>
      <c r="D612" s="35">
        <v>15001278</v>
      </c>
      <c r="E612" s="35" t="s">
        <v>1099</v>
      </c>
      <c r="F612" s="35" t="s">
        <v>604</v>
      </c>
    </row>
    <row r="613" spans="1:6">
      <c r="A613" s="35" t="s">
        <v>1213</v>
      </c>
      <c r="B613" s="37">
        <v>108.48752593994141</v>
      </c>
      <c r="C613" s="37">
        <v>97.883010864257813</v>
      </c>
      <c r="D613" s="35">
        <v>4860657</v>
      </c>
      <c r="E613" s="35" t="s">
        <v>1099</v>
      </c>
      <c r="F613" s="35" t="s">
        <v>604</v>
      </c>
    </row>
    <row r="614" spans="1:6">
      <c r="A614" s="35" t="s">
        <v>1214</v>
      </c>
      <c r="B614" s="37">
        <v>108.46878051757813</v>
      </c>
      <c r="C614" s="37">
        <v>97.866096496582031</v>
      </c>
      <c r="D614" s="35">
        <v>4557233</v>
      </c>
      <c r="E614" s="35" t="s">
        <v>1099</v>
      </c>
      <c r="F614" s="35" t="s">
        <v>604</v>
      </c>
    </row>
    <row r="615" spans="1:6">
      <c r="A615" s="35" t="s">
        <v>1215</v>
      </c>
      <c r="B615" s="37">
        <v>109.4625244140625</v>
      </c>
      <c r="C615" s="37">
        <v>98.762702941894531</v>
      </c>
      <c r="D615" s="35">
        <v>5712945</v>
      </c>
      <c r="E615" s="35" t="s">
        <v>1099</v>
      </c>
      <c r="F615" s="35" t="s">
        <v>604</v>
      </c>
    </row>
    <row r="616" spans="1:6">
      <c r="A616" s="35" t="s">
        <v>1216</v>
      </c>
      <c r="B616" s="37">
        <v>109.4625244140625</v>
      </c>
      <c r="C616" s="37">
        <v>98.762702941894531</v>
      </c>
      <c r="D616" s="35">
        <v>4954436</v>
      </c>
      <c r="E616" s="35" t="s">
        <v>1099</v>
      </c>
      <c r="F616" s="35" t="s">
        <v>604</v>
      </c>
    </row>
    <row r="617" spans="1:6">
      <c r="A617" s="35" t="s">
        <v>1217</v>
      </c>
      <c r="B617" s="37">
        <v>110.41877746582031</v>
      </c>
      <c r="C617" s="37">
        <v>99.625473022460938</v>
      </c>
      <c r="D617" s="35">
        <v>8097163</v>
      </c>
      <c r="E617" s="35" t="s">
        <v>1099</v>
      </c>
      <c r="F617" s="35" t="s">
        <v>604</v>
      </c>
    </row>
    <row r="618" spans="1:6">
      <c r="A618" s="35" t="s">
        <v>1218</v>
      </c>
      <c r="B618" s="37">
        <v>109.4625244140625</v>
      </c>
      <c r="C618" s="37">
        <v>98.762702941894531</v>
      </c>
      <c r="D618" s="35">
        <v>3578780</v>
      </c>
      <c r="E618" s="35" t="s">
        <v>1099</v>
      </c>
      <c r="F618" s="35" t="s">
        <v>604</v>
      </c>
    </row>
    <row r="619" spans="1:6">
      <c r="A619" s="35" t="s">
        <v>1219</v>
      </c>
      <c r="B619" s="37">
        <v>108.84378051757813</v>
      </c>
      <c r="C619" s="37">
        <v>98.204444885253906</v>
      </c>
      <c r="D619" s="35">
        <v>4138670</v>
      </c>
      <c r="E619" s="35" t="s">
        <v>1099</v>
      </c>
      <c r="F619" s="35" t="s">
        <v>604</v>
      </c>
    </row>
    <row r="620" spans="1:6">
      <c r="A620" s="35" t="s">
        <v>1220</v>
      </c>
      <c r="B620" s="37">
        <v>108.11252593994141</v>
      </c>
      <c r="C620" s="37">
        <v>97.544662475585938</v>
      </c>
      <c r="D620" s="35">
        <v>6102854</v>
      </c>
      <c r="E620" s="35" t="s">
        <v>1099</v>
      </c>
      <c r="F620" s="35" t="s">
        <v>604</v>
      </c>
    </row>
    <row r="621" spans="1:6">
      <c r="A621" s="35" t="s">
        <v>1221</v>
      </c>
      <c r="B621" s="37">
        <v>107.2125244140625</v>
      </c>
      <c r="C621" s="37">
        <v>96.732620239257813</v>
      </c>
      <c r="D621" s="35">
        <v>10644440</v>
      </c>
      <c r="E621" s="35" t="s">
        <v>1099</v>
      </c>
      <c r="F621" s="35" t="s">
        <v>604</v>
      </c>
    </row>
    <row r="622" spans="1:6">
      <c r="A622" s="35" t="s">
        <v>1222</v>
      </c>
      <c r="B622" s="37">
        <v>105.09377288818359</v>
      </c>
      <c r="C622" s="37">
        <v>94.82098388671875</v>
      </c>
      <c r="D622" s="35">
        <v>4236150</v>
      </c>
      <c r="E622" s="35" t="s">
        <v>1099</v>
      </c>
      <c r="F622" s="35" t="s">
        <v>604</v>
      </c>
    </row>
    <row r="623" spans="1:6">
      <c r="A623" s="35" t="s">
        <v>1223</v>
      </c>
      <c r="B623" s="37">
        <v>106.10627746582031</v>
      </c>
      <c r="C623" s="37">
        <v>95.734527587890625</v>
      </c>
      <c r="D623" s="35">
        <v>3430145</v>
      </c>
      <c r="E623" s="35" t="s">
        <v>1099</v>
      </c>
      <c r="F623" s="35" t="s">
        <v>604</v>
      </c>
    </row>
    <row r="624" spans="1:6">
      <c r="A624" s="35" t="s">
        <v>1224</v>
      </c>
      <c r="B624" s="37">
        <v>106.03127288818359</v>
      </c>
      <c r="C624" s="37">
        <v>95.666847229003906</v>
      </c>
      <c r="D624" s="35">
        <v>2334927</v>
      </c>
      <c r="E624" s="35" t="s">
        <v>1099</v>
      </c>
      <c r="F624" s="35" t="s">
        <v>604</v>
      </c>
    </row>
    <row r="625" spans="1:6">
      <c r="A625" s="35" t="s">
        <v>1225</v>
      </c>
      <c r="B625" s="37">
        <v>106.35002899169922</v>
      </c>
      <c r="C625" s="37">
        <v>95.954475402832031</v>
      </c>
      <c r="D625" s="35">
        <v>1547076</v>
      </c>
      <c r="E625" s="35" t="s">
        <v>1099</v>
      </c>
      <c r="F625" s="35" t="s">
        <v>604</v>
      </c>
    </row>
    <row r="626" spans="1:6">
      <c r="A626" s="35" t="s">
        <v>1226</v>
      </c>
      <c r="B626" s="37">
        <v>107.47502899169922</v>
      </c>
      <c r="C626" s="37">
        <v>96.969474792480469</v>
      </c>
      <c r="D626" s="35">
        <v>3982263</v>
      </c>
      <c r="E626" s="35" t="s">
        <v>1099</v>
      </c>
      <c r="F626" s="35" t="s">
        <v>604</v>
      </c>
    </row>
    <row r="627" spans="1:6">
      <c r="A627" s="35" t="s">
        <v>1227</v>
      </c>
      <c r="B627" s="37">
        <v>107.55002593994141</v>
      </c>
      <c r="C627" s="37">
        <v>97.037139892578125</v>
      </c>
      <c r="D627" s="35">
        <v>1350306</v>
      </c>
      <c r="E627" s="35" t="s">
        <v>1099</v>
      </c>
      <c r="F627" s="35" t="s">
        <v>604</v>
      </c>
    </row>
    <row r="628" spans="1:6">
      <c r="A628" s="35" t="s">
        <v>1228</v>
      </c>
      <c r="B628" s="37">
        <v>107.62502288818359</v>
      </c>
      <c r="C628" s="37">
        <v>97.104804992675781</v>
      </c>
      <c r="D628" s="35">
        <v>2435394</v>
      </c>
      <c r="E628" s="35" t="s">
        <v>1099</v>
      </c>
      <c r="F628" s="35" t="s">
        <v>604</v>
      </c>
    </row>
    <row r="629" spans="1:6">
      <c r="A629" s="35" t="s">
        <v>1229</v>
      </c>
      <c r="B629" s="37">
        <v>108.9937744140625</v>
      </c>
      <c r="C629" s="37">
        <v>98.339767456054688</v>
      </c>
      <c r="D629" s="35">
        <v>5113769</v>
      </c>
      <c r="E629" s="35" t="s">
        <v>1099</v>
      </c>
      <c r="F629" s="35" t="s">
        <v>604</v>
      </c>
    </row>
    <row r="630" spans="1:6">
      <c r="A630" s="35" t="s">
        <v>1230</v>
      </c>
      <c r="B630" s="37">
        <v>110.04377746582031</v>
      </c>
      <c r="C630" s="37">
        <v>99.287139892578125</v>
      </c>
      <c r="D630" s="35">
        <v>4607998</v>
      </c>
      <c r="E630" s="35" t="s">
        <v>1099</v>
      </c>
      <c r="F630" s="35" t="s">
        <v>604</v>
      </c>
    </row>
    <row r="631" spans="1:6">
      <c r="A631" s="35" t="s">
        <v>1231</v>
      </c>
      <c r="B631" s="37">
        <v>109.4625244140625</v>
      </c>
      <c r="C631" s="37">
        <v>98.762702941894531</v>
      </c>
      <c r="D631" s="35">
        <v>4222649</v>
      </c>
      <c r="E631" s="35" t="s">
        <v>1099</v>
      </c>
      <c r="F631" s="35" t="s">
        <v>604</v>
      </c>
    </row>
    <row r="632" spans="1:6">
      <c r="A632" s="35" t="s">
        <v>1232</v>
      </c>
      <c r="B632" s="37">
        <v>109.01252746582031</v>
      </c>
      <c r="C632" s="37">
        <v>98.356697082519531</v>
      </c>
      <c r="D632" s="35">
        <v>6938446</v>
      </c>
      <c r="E632" s="35" t="s">
        <v>1099</v>
      </c>
      <c r="F632" s="35" t="s">
        <v>604</v>
      </c>
    </row>
    <row r="633" spans="1:6">
      <c r="A633" s="35" t="s">
        <v>1233</v>
      </c>
      <c r="B633" s="37">
        <v>108.69377899169922</v>
      </c>
      <c r="C633" s="37">
        <v>98.069099426269531</v>
      </c>
      <c r="D633" s="35">
        <v>9840952</v>
      </c>
      <c r="E633" s="35" t="s">
        <v>1099</v>
      </c>
      <c r="F633" s="35" t="s">
        <v>604</v>
      </c>
    </row>
    <row r="634" spans="1:6">
      <c r="A634" s="35" t="s">
        <v>1234</v>
      </c>
      <c r="B634" s="37">
        <v>110.53128051757813</v>
      </c>
      <c r="C634" s="37">
        <v>99.72698974609375</v>
      </c>
      <c r="D634" s="35">
        <v>14532324</v>
      </c>
      <c r="E634" s="35" t="s">
        <v>1099</v>
      </c>
      <c r="F634" s="35" t="s">
        <v>604</v>
      </c>
    </row>
    <row r="635" spans="1:6">
      <c r="A635" s="35" t="s">
        <v>1235</v>
      </c>
      <c r="B635" s="37">
        <v>109.51877593994141</v>
      </c>
      <c r="C635" s="37">
        <v>98.813453674316406</v>
      </c>
      <c r="D635" s="35">
        <v>739517</v>
      </c>
      <c r="E635" s="35" t="s">
        <v>1099</v>
      </c>
      <c r="F635" s="35" t="s">
        <v>604</v>
      </c>
    </row>
    <row r="636" spans="1:6">
      <c r="A636" s="35" t="s">
        <v>1236</v>
      </c>
      <c r="B636" s="37">
        <v>111.3375244140625</v>
      </c>
      <c r="C636" s="37">
        <v>100.45443725585938</v>
      </c>
      <c r="D636" s="35">
        <v>7465974</v>
      </c>
      <c r="E636" s="35" t="s">
        <v>1099</v>
      </c>
      <c r="F636" s="35" t="s">
        <v>604</v>
      </c>
    </row>
    <row r="637" spans="1:6">
      <c r="A637" s="35" t="s">
        <v>1237</v>
      </c>
      <c r="B637" s="37">
        <v>111.30002593994141</v>
      </c>
      <c r="C637" s="37">
        <v>100.42060089111328</v>
      </c>
      <c r="D637" s="35">
        <v>3978687</v>
      </c>
      <c r="E637" s="35" t="s">
        <v>1099</v>
      </c>
      <c r="F637" s="35" t="s">
        <v>604</v>
      </c>
    </row>
    <row r="638" spans="1:6">
      <c r="A638" s="35" t="s">
        <v>1238</v>
      </c>
      <c r="B638" s="37">
        <v>112.0875244140625</v>
      </c>
      <c r="C638" s="37">
        <v>101.131103515625</v>
      </c>
      <c r="D638" s="35">
        <v>4602841</v>
      </c>
      <c r="E638" s="35" t="s">
        <v>1099</v>
      </c>
      <c r="F638" s="35" t="s">
        <v>604</v>
      </c>
    </row>
    <row r="639" spans="1:6">
      <c r="A639" s="35" t="s">
        <v>1239</v>
      </c>
      <c r="B639" s="37">
        <v>113.36252593994141</v>
      </c>
      <c r="C639" s="37">
        <v>102.28148651123047</v>
      </c>
      <c r="D639" s="35">
        <v>10070656</v>
      </c>
      <c r="E639" s="35" t="s">
        <v>1099</v>
      </c>
      <c r="F639" s="35" t="s">
        <v>604</v>
      </c>
    </row>
    <row r="640" spans="1:6">
      <c r="A640" s="35" t="s">
        <v>1240</v>
      </c>
      <c r="B640" s="37">
        <v>111.35627746582031</v>
      </c>
      <c r="C640" s="37">
        <v>100.47134399414063</v>
      </c>
      <c r="D640" s="35">
        <v>3277807</v>
      </c>
      <c r="E640" s="35" t="s">
        <v>1099</v>
      </c>
      <c r="F640" s="35" t="s">
        <v>604</v>
      </c>
    </row>
    <row r="641" spans="1:6">
      <c r="A641" s="35" t="s">
        <v>1241</v>
      </c>
      <c r="B641" s="37">
        <v>109.96878051757813</v>
      </c>
      <c r="C641" s="37">
        <v>99.219474792480469</v>
      </c>
      <c r="D641" s="35">
        <v>3809919</v>
      </c>
      <c r="E641" s="35" t="s">
        <v>1099</v>
      </c>
      <c r="F641" s="35" t="s">
        <v>604</v>
      </c>
    </row>
    <row r="642" spans="1:6">
      <c r="A642" s="35" t="s">
        <v>1242</v>
      </c>
      <c r="B642" s="37">
        <v>110.26877593994141</v>
      </c>
      <c r="C642" s="37">
        <v>99.490142822265625</v>
      </c>
      <c r="D642" s="35">
        <v>2886132</v>
      </c>
      <c r="E642" s="35" t="s">
        <v>1099</v>
      </c>
      <c r="F642" s="35" t="s">
        <v>604</v>
      </c>
    </row>
    <row r="643" spans="1:6">
      <c r="A643" s="35" t="s">
        <v>1243</v>
      </c>
      <c r="B643" s="37">
        <v>110.08127593994141</v>
      </c>
      <c r="C643" s="37">
        <v>99.320968627929688</v>
      </c>
      <c r="D643" s="35">
        <v>2277490</v>
      </c>
      <c r="E643" s="35" t="s">
        <v>1099</v>
      </c>
      <c r="F643" s="35" t="s">
        <v>604</v>
      </c>
    </row>
    <row r="644" spans="1:6">
      <c r="A644" s="35" t="s">
        <v>1244</v>
      </c>
      <c r="B644" s="37">
        <v>109.96878051757813</v>
      </c>
      <c r="C644" s="37">
        <v>99.219474792480469</v>
      </c>
      <c r="D644" s="35">
        <v>2564335</v>
      </c>
      <c r="E644" s="35" t="s">
        <v>1099</v>
      </c>
      <c r="F644" s="35" t="s">
        <v>604</v>
      </c>
    </row>
    <row r="645" spans="1:6">
      <c r="A645" s="35" t="s">
        <v>1245</v>
      </c>
      <c r="B645" s="37">
        <v>110.45627593994141</v>
      </c>
      <c r="C645" s="37">
        <v>99.659309387207031</v>
      </c>
      <c r="D645" s="35">
        <v>2107524</v>
      </c>
      <c r="E645" s="35" t="s">
        <v>1099</v>
      </c>
      <c r="F645" s="35" t="s">
        <v>604</v>
      </c>
    </row>
    <row r="646" spans="1:6">
      <c r="A646" s="35" t="s">
        <v>1246</v>
      </c>
      <c r="B646" s="37">
        <v>112.44377899169922</v>
      </c>
      <c r="C646" s="37">
        <v>101.45254516601563</v>
      </c>
      <c r="D646" s="35">
        <v>3876529</v>
      </c>
      <c r="E646" s="35" t="s">
        <v>1099</v>
      </c>
      <c r="F646" s="35" t="s">
        <v>604</v>
      </c>
    </row>
    <row r="647" spans="1:6">
      <c r="A647" s="35" t="s">
        <v>1247</v>
      </c>
      <c r="B647" s="37">
        <v>113.34378051757813</v>
      </c>
      <c r="C647" s="37">
        <v>102.26457214355469</v>
      </c>
      <c r="D647" s="35">
        <v>15161185</v>
      </c>
      <c r="E647" s="35" t="s">
        <v>1099</v>
      </c>
      <c r="F647" s="35" t="s">
        <v>604</v>
      </c>
    </row>
    <row r="648" spans="1:6">
      <c r="A648" s="35" t="s">
        <v>1248</v>
      </c>
      <c r="B648" s="37">
        <v>113.4000244140625</v>
      </c>
      <c r="C648" s="37">
        <v>102.31531524658203</v>
      </c>
      <c r="D648" s="35">
        <v>5255548</v>
      </c>
      <c r="E648" s="35" t="s">
        <v>1099</v>
      </c>
      <c r="F648" s="35" t="s">
        <v>604</v>
      </c>
    </row>
    <row r="649" spans="1:6">
      <c r="A649" s="35" t="s">
        <v>1249</v>
      </c>
      <c r="B649" s="37">
        <v>113.43753051757813</v>
      </c>
      <c r="C649" s="37">
        <v>102.34915161132813</v>
      </c>
      <c r="D649" s="35">
        <v>2553036</v>
      </c>
      <c r="E649" s="35" t="s">
        <v>1099</v>
      </c>
      <c r="F649" s="35" t="s">
        <v>604</v>
      </c>
    </row>
    <row r="650" spans="1:6">
      <c r="A650" s="35" t="s">
        <v>1250</v>
      </c>
      <c r="B650" s="37">
        <v>113.4937744140625</v>
      </c>
      <c r="C650" s="37">
        <v>102.39990234375</v>
      </c>
      <c r="D650" s="35">
        <v>4214004</v>
      </c>
      <c r="E650" s="35" t="s">
        <v>1099</v>
      </c>
      <c r="F650" s="35" t="s">
        <v>604</v>
      </c>
    </row>
    <row r="651" spans="1:6">
      <c r="A651" s="35" t="s">
        <v>1251</v>
      </c>
      <c r="B651" s="37">
        <v>111.97502899169922</v>
      </c>
      <c r="C651" s="37">
        <v>101.02960205078125</v>
      </c>
      <c r="D651" s="35">
        <v>2073570</v>
      </c>
      <c r="E651" s="35" t="s">
        <v>1099</v>
      </c>
      <c r="F651" s="35" t="s">
        <v>604</v>
      </c>
    </row>
    <row r="652" spans="1:6">
      <c r="A652" s="35" t="s">
        <v>1252</v>
      </c>
      <c r="B652" s="37">
        <v>111.93753051757813</v>
      </c>
      <c r="C652" s="37">
        <v>100.99576568603516</v>
      </c>
      <c r="D652" s="35">
        <v>3545721</v>
      </c>
      <c r="E652" s="35" t="s">
        <v>1099</v>
      </c>
      <c r="F652" s="35" t="s">
        <v>604</v>
      </c>
    </row>
    <row r="653" spans="1:6">
      <c r="A653" s="35" t="s">
        <v>1253</v>
      </c>
      <c r="B653" s="37">
        <v>111.18753051757813</v>
      </c>
      <c r="C653" s="37">
        <v>100.31909942626953</v>
      </c>
      <c r="D653" s="35">
        <v>3918684</v>
      </c>
      <c r="E653" s="35" t="s">
        <v>1099</v>
      </c>
      <c r="F653" s="35" t="s">
        <v>604</v>
      </c>
    </row>
    <row r="654" spans="1:6">
      <c r="A654" s="35" t="s">
        <v>1254</v>
      </c>
      <c r="B654" s="37">
        <v>111.6187744140625</v>
      </c>
      <c r="C654" s="37">
        <v>100.70817565917969</v>
      </c>
      <c r="D654" s="35">
        <v>4846150</v>
      </c>
      <c r="E654" s="35" t="s">
        <v>1099</v>
      </c>
      <c r="F654" s="35" t="s">
        <v>604</v>
      </c>
    </row>
    <row r="655" spans="1:6">
      <c r="A655" s="35" t="s">
        <v>1255</v>
      </c>
      <c r="B655" s="37">
        <v>110.6812744140625</v>
      </c>
      <c r="C655" s="37">
        <v>99.862327575683594</v>
      </c>
      <c r="D655" s="35">
        <v>4640212</v>
      </c>
      <c r="E655" s="35" t="s">
        <v>1099</v>
      </c>
      <c r="F655" s="35" t="s">
        <v>604</v>
      </c>
    </row>
    <row r="656" spans="1:6">
      <c r="A656" s="35" t="s">
        <v>1256</v>
      </c>
      <c r="B656" s="37">
        <v>110.38127899169922</v>
      </c>
      <c r="C656" s="37">
        <v>99.591644287109375</v>
      </c>
      <c r="D656" s="35">
        <v>5142518</v>
      </c>
      <c r="E656" s="35" t="s">
        <v>1099</v>
      </c>
      <c r="F656" s="35" t="s">
        <v>604</v>
      </c>
    </row>
    <row r="657" spans="1:6">
      <c r="A657" s="35" t="s">
        <v>1257</v>
      </c>
      <c r="B657" s="37">
        <v>110.25003051757813</v>
      </c>
      <c r="C657" s="37">
        <v>99.473228454589844</v>
      </c>
      <c r="D657" s="35">
        <v>5494382</v>
      </c>
      <c r="E657" s="35" t="s">
        <v>1099</v>
      </c>
      <c r="F657" s="35" t="s">
        <v>604</v>
      </c>
    </row>
    <row r="658" spans="1:6">
      <c r="A658" s="35" t="s">
        <v>1258</v>
      </c>
      <c r="B658" s="37">
        <v>110.36252593994141</v>
      </c>
      <c r="C658" s="37">
        <v>99.574745178222656</v>
      </c>
      <c r="D658" s="35">
        <v>3391791</v>
      </c>
      <c r="E658" s="35" t="s">
        <v>1099</v>
      </c>
      <c r="F658" s="35" t="s">
        <v>604</v>
      </c>
    </row>
    <row r="659" spans="1:6">
      <c r="A659" s="35" t="s">
        <v>1259</v>
      </c>
      <c r="B659" s="37">
        <v>110.08127593994141</v>
      </c>
      <c r="C659" s="37">
        <v>99.320968627929688</v>
      </c>
      <c r="D659" s="35">
        <v>1803850</v>
      </c>
      <c r="E659" s="35" t="s">
        <v>1099</v>
      </c>
      <c r="F659" s="35" t="s">
        <v>604</v>
      </c>
    </row>
    <row r="660" spans="1:6">
      <c r="A660" s="35" t="s">
        <v>1260</v>
      </c>
      <c r="B660" s="37">
        <v>109.76252746582031</v>
      </c>
      <c r="C660" s="37">
        <v>99.033393859863281</v>
      </c>
      <c r="D660" s="35">
        <v>4289313</v>
      </c>
      <c r="E660" s="35" t="s">
        <v>1099</v>
      </c>
      <c r="F660" s="35" t="s">
        <v>604</v>
      </c>
    </row>
    <row r="661" spans="1:6">
      <c r="A661" s="35" t="s">
        <v>1261</v>
      </c>
      <c r="B661" s="37">
        <v>110.55002593994141</v>
      </c>
      <c r="C661" s="37">
        <v>99.743896484375</v>
      </c>
      <c r="D661" s="35">
        <v>2796903</v>
      </c>
      <c r="E661" s="35" t="s">
        <v>1099</v>
      </c>
      <c r="F661" s="35" t="s">
        <v>604</v>
      </c>
    </row>
    <row r="662" spans="1:6">
      <c r="A662" s="35" t="s">
        <v>1262</v>
      </c>
      <c r="B662" s="37">
        <v>110.56877899169922</v>
      </c>
      <c r="C662" s="37">
        <v>99.760826110839844</v>
      </c>
      <c r="D662" s="35">
        <v>4009460</v>
      </c>
      <c r="E662" s="35" t="s">
        <v>1099</v>
      </c>
      <c r="F662" s="35" t="s">
        <v>604</v>
      </c>
    </row>
    <row r="663" spans="1:6">
      <c r="A663" s="35" t="s">
        <v>1263</v>
      </c>
      <c r="B663" s="37">
        <v>111.9937744140625</v>
      </c>
      <c r="C663" s="37">
        <v>101.04651641845703</v>
      </c>
      <c r="D663" s="35">
        <v>6735475</v>
      </c>
      <c r="E663" s="35" t="s">
        <v>1099</v>
      </c>
      <c r="F663" s="35" t="s">
        <v>604</v>
      </c>
    </row>
    <row r="664" spans="1:6">
      <c r="A664" s="35" t="s">
        <v>1264</v>
      </c>
      <c r="B664" s="37">
        <v>109.4625244140625</v>
      </c>
      <c r="C664" s="37">
        <v>98.762702941894531</v>
      </c>
      <c r="D664" s="35">
        <v>18265488</v>
      </c>
      <c r="E664" s="35" t="s">
        <v>1099</v>
      </c>
      <c r="F664" s="35" t="s">
        <v>604</v>
      </c>
    </row>
    <row r="665" spans="1:6">
      <c r="A665" s="35" t="s">
        <v>1265</v>
      </c>
      <c r="B665" s="37">
        <v>108.5250244140625</v>
      </c>
      <c r="C665" s="37">
        <v>97.916839599609375</v>
      </c>
      <c r="D665" s="35">
        <v>3808745</v>
      </c>
      <c r="E665" s="35" t="s">
        <v>1099</v>
      </c>
      <c r="F665" s="35" t="s">
        <v>604</v>
      </c>
    </row>
    <row r="666" spans="1:6">
      <c r="A666" s="35" t="s">
        <v>1266</v>
      </c>
      <c r="B666" s="37">
        <v>108.73127746582031</v>
      </c>
      <c r="C666" s="37">
        <v>98.102943420410156</v>
      </c>
      <c r="D666" s="35">
        <v>8790643</v>
      </c>
      <c r="E666" s="35" t="s">
        <v>1099</v>
      </c>
      <c r="F666" s="35" t="s">
        <v>604</v>
      </c>
    </row>
    <row r="667" spans="1:6">
      <c r="A667" s="35" t="s">
        <v>1267</v>
      </c>
      <c r="B667" s="37">
        <v>106.29377746582031</v>
      </c>
      <c r="C667" s="37">
        <v>95.903701782226563</v>
      </c>
      <c r="D667" s="35">
        <v>4956230</v>
      </c>
      <c r="E667" s="35" t="s">
        <v>1099</v>
      </c>
      <c r="F667" s="35" t="s">
        <v>604</v>
      </c>
    </row>
    <row r="668" spans="1:6">
      <c r="A668" s="35" t="s">
        <v>1268</v>
      </c>
      <c r="B668" s="37">
        <v>105.93752288818359</v>
      </c>
      <c r="C668" s="37">
        <v>95.582267761230469</v>
      </c>
      <c r="D668" s="35">
        <v>5759926</v>
      </c>
      <c r="E668" s="35" t="s">
        <v>1099</v>
      </c>
      <c r="F668" s="35" t="s">
        <v>604</v>
      </c>
    </row>
    <row r="669" spans="1:6">
      <c r="A669" s="35" t="s">
        <v>1269</v>
      </c>
      <c r="B669" s="37">
        <v>105.45002746582031</v>
      </c>
      <c r="C669" s="37">
        <v>95.142433166503906</v>
      </c>
      <c r="D669" s="35">
        <v>6731998</v>
      </c>
      <c r="E669" s="35" t="s">
        <v>1099</v>
      </c>
      <c r="F669" s="35" t="s">
        <v>604</v>
      </c>
    </row>
    <row r="670" spans="1:6">
      <c r="A670" s="35" t="s">
        <v>1270</v>
      </c>
      <c r="B670" s="37">
        <v>106.0875244140625</v>
      </c>
      <c r="C670" s="37">
        <v>95.717597961425781</v>
      </c>
      <c r="D670" s="35">
        <v>4843796</v>
      </c>
      <c r="E670" s="35" t="s">
        <v>1099</v>
      </c>
      <c r="F670" s="35" t="s">
        <v>604</v>
      </c>
    </row>
    <row r="671" spans="1:6">
      <c r="A671" s="35" t="s">
        <v>1271</v>
      </c>
      <c r="B671" s="37">
        <v>108.5250244140625</v>
      </c>
      <c r="C671" s="37">
        <v>97.916839599609375</v>
      </c>
      <c r="D671" s="35">
        <v>4125876</v>
      </c>
      <c r="E671" s="35" t="s">
        <v>1099</v>
      </c>
      <c r="F671" s="35" t="s">
        <v>604</v>
      </c>
    </row>
    <row r="672" spans="1:6">
      <c r="A672" s="35" t="s">
        <v>1272</v>
      </c>
      <c r="B672" s="37">
        <v>107.92502593994141</v>
      </c>
      <c r="C672" s="37">
        <v>97.375495910644531</v>
      </c>
      <c r="D672" s="35">
        <v>3314548</v>
      </c>
      <c r="E672" s="35" t="s">
        <v>1099</v>
      </c>
      <c r="F672" s="35" t="s">
        <v>604</v>
      </c>
    </row>
    <row r="673" spans="1:6">
      <c r="A673" s="35" t="s">
        <v>1273</v>
      </c>
      <c r="B673" s="37">
        <v>107.70002746582031</v>
      </c>
      <c r="C673" s="37">
        <v>97.172477722167969</v>
      </c>
      <c r="D673" s="35">
        <v>2911417</v>
      </c>
      <c r="E673" s="35" t="s">
        <v>1099</v>
      </c>
      <c r="F673" s="35" t="s">
        <v>604</v>
      </c>
    </row>
    <row r="674" spans="1:6">
      <c r="A674" s="35" t="s">
        <v>1274</v>
      </c>
      <c r="B674" s="37">
        <v>108.22502899169922</v>
      </c>
      <c r="C674" s="37">
        <v>97.64617919921875</v>
      </c>
      <c r="D674" s="35">
        <v>3375145</v>
      </c>
      <c r="E674" s="35" t="s">
        <v>1099</v>
      </c>
      <c r="F674" s="35" t="s">
        <v>604</v>
      </c>
    </row>
    <row r="675" spans="1:6">
      <c r="A675" s="35" t="s">
        <v>1275</v>
      </c>
      <c r="B675" s="37">
        <v>108.63752746582031</v>
      </c>
      <c r="C675" s="37">
        <v>98.018348693847656</v>
      </c>
      <c r="D675" s="35">
        <v>4930972</v>
      </c>
      <c r="E675" s="35" t="s">
        <v>1099</v>
      </c>
      <c r="F675" s="35" t="s">
        <v>604</v>
      </c>
    </row>
    <row r="676" spans="1:6">
      <c r="A676" s="35" t="s">
        <v>1276</v>
      </c>
      <c r="B676" s="37">
        <v>110.92502593994141</v>
      </c>
      <c r="C676" s="37">
        <v>100.08225250244141</v>
      </c>
      <c r="D676" s="35">
        <v>6890507</v>
      </c>
      <c r="E676" s="35" t="s">
        <v>1099</v>
      </c>
      <c r="F676" s="35" t="s">
        <v>604</v>
      </c>
    </row>
    <row r="677" spans="1:6">
      <c r="A677" s="35" t="s">
        <v>1277</v>
      </c>
      <c r="B677" s="37">
        <v>109.6500244140625</v>
      </c>
      <c r="C677" s="37">
        <v>98.931861877441406</v>
      </c>
      <c r="D677" s="35">
        <v>10183834</v>
      </c>
      <c r="E677" s="35" t="s">
        <v>1099</v>
      </c>
      <c r="F677" s="35" t="s">
        <v>604</v>
      </c>
    </row>
    <row r="678" spans="1:6">
      <c r="A678" s="35" t="s">
        <v>1278</v>
      </c>
      <c r="B678" s="37">
        <v>111.18753051757813</v>
      </c>
      <c r="C678" s="37">
        <v>100.31909942626953</v>
      </c>
      <c r="D678" s="35">
        <v>7081611</v>
      </c>
      <c r="E678" s="35" t="s">
        <v>1099</v>
      </c>
      <c r="F678" s="35" t="s">
        <v>604</v>
      </c>
    </row>
    <row r="679" spans="1:6">
      <c r="A679" s="35" t="s">
        <v>1279</v>
      </c>
      <c r="B679" s="37">
        <v>111.65628051757813</v>
      </c>
      <c r="C679" s="37">
        <v>100.74202728271484</v>
      </c>
      <c r="D679" s="35">
        <v>3711281</v>
      </c>
      <c r="E679" s="35" t="s">
        <v>1099</v>
      </c>
      <c r="F679" s="35" t="s">
        <v>604</v>
      </c>
    </row>
    <row r="680" spans="1:6">
      <c r="A680" s="35" t="s">
        <v>1280</v>
      </c>
      <c r="B680" s="37">
        <v>113.10002899169922</v>
      </c>
      <c r="C680" s="37">
        <v>102.04463958740234</v>
      </c>
      <c r="D680" s="35">
        <v>4689556</v>
      </c>
      <c r="E680" s="35" t="s">
        <v>1099</v>
      </c>
      <c r="F680" s="35" t="s">
        <v>604</v>
      </c>
    </row>
    <row r="681" spans="1:6">
      <c r="A681" s="35" t="s">
        <v>1281</v>
      </c>
      <c r="B681" s="37">
        <v>113.5875244140625</v>
      </c>
      <c r="C681" s="37">
        <v>102.48448944091797</v>
      </c>
      <c r="D681" s="35">
        <v>4948094</v>
      </c>
      <c r="E681" s="35" t="s">
        <v>1099</v>
      </c>
      <c r="F681" s="35" t="s">
        <v>604</v>
      </c>
    </row>
    <row r="682" spans="1:6">
      <c r="A682" s="35" t="s">
        <v>1282</v>
      </c>
      <c r="B682" s="37">
        <v>114.97502899169922</v>
      </c>
      <c r="C682" s="37">
        <v>103.73635864257813</v>
      </c>
      <c r="D682" s="35">
        <v>4841953</v>
      </c>
      <c r="E682" s="35" t="s">
        <v>1099</v>
      </c>
      <c r="F682" s="35" t="s">
        <v>604</v>
      </c>
    </row>
    <row r="683" spans="1:6">
      <c r="A683" s="35" t="s">
        <v>1283</v>
      </c>
      <c r="B683" s="37">
        <v>115.50003051757813</v>
      </c>
      <c r="C683" s="37">
        <v>104.21004486083984</v>
      </c>
      <c r="D683" s="35">
        <v>13459388</v>
      </c>
      <c r="E683" s="35" t="s">
        <v>1099</v>
      </c>
      <c r="F683" s="35" t="s">
        <v>604</v>
      </c>
    </row>
    <row r="684" spans="1:6">
      <c r="A684" s="35" t="s">
        <v>1284</v>
      </c>
      <c r="B684" s="37">
        <v>117.84378051757813</v>
      </c>
      <c r="C684" s="37">
        <v>106.32469940185547</v>
      </c>
      <c r="D684" s="35">
        <v>10069992</v>
      </c>
      <c r="E684" s="35" t="s">
        <v>1099</v>
      </c>
      <c r="F684" s="35" t="s">
        <v>604</v>
      </c>
    </row>
    <row r="685" spans="1:6">
      <c r="A685" s="35" t="s">
        <v>1285</v>
      </c>
      <c r="B685" s="37">
        <v>118.70627593994141</v>
      </c>
      <c r="C685" s="37">
        <v>107.10289001464844</v>
      </c>
      <c r="D685" s="35">
        <v>8934389</v>
      </c>
      <c r="E685" s="35" t="s">
        <v>1099</v>
      </c>
      <c r="F685" s="35" t="s">
        <v>604</v>
      </c>
    </row>
    <row r="686" spans="1:6">
      <c r="A686" s="35" t="s">
        <v>1286</v>
      </c>
      <c r="B686" s="37">
        <v>119.51252746582031</v>
      </c>
      <c r="C686" s="37">
        <v>107.83032989501953</v>
      </c>
      <c r="D686" s="35">
        <v>7665379</v>
      </c>
      <c r="E686" s="35" t="s">
        <v>1099</v>
      </c>
      <c r="F686" s="35" t="s">
        <v>604</v>
      </c>
    </row>
    <row r="687" spans="1:6">
      <c r="A687" s="35" t="s">
        <v>1287</v>
      </c>
      <c r="B687" s="37">
        <v>116.23127746582031</v>
      </c>
      <c r="C687" s="37">
        <v>104.86981201171875</v>
      </c>
      <c r="D687" s="35">
        <v>5860470</v>
      </c>
      <c r="E687" s="35" t="s">
        <v>1099</v>
      </c>
      <c r="F687" s="35" t="s">
        <v>604</v>
      </c>
    </row>
    <row r="688" spans="1:6">
      <c r="A688" s="35" t="s">
        <v>1288</v>
      </c>
      <c r="B688" s="37">
        <v>116.86878204345703</v>
      </c>
      <c r="C688" s="37">
        <v>105.44501495361328</v>
      </c>
      <c r="D688" s="35">
        <v>3905556</v>
      </c>
      <c r="E688" s="35" t="s">
        <v>1099</v>
      </c>
      <c r="F688" s="35" t="s">
        <v>604</v>
      </c>
    </row>
    <row r="689" spans="1:6">
      <c r="A689" s="35" t="s">
        <v>1289</v>
      </c>
      <c r="B689" s="37">
        <v>116.08127593994141</v>
      </c>
      <c r="C689" s="37">
        <v>104.73448181152344</v>
      </c>
      <c r="D689" s="35">
        <v>4301878</v>
      </c>
      <c r="E689" s="35" t="s">
        <v>1099</v>
      </c>
      <c r="F689" s="35" t="s">
        <v>604</v>
      </c>
    </row>
    <row r="690" spans="1:6">
      <c r="A690" s="35" t="s">
        <v>1290</v>
      </c>
      <c r="B690" s="37">
        <v>116.68128204345703</v>
      </c>
      <c r="C690" s="37">
        <v>105.27584075927734</v>
      </c>
      <c r="D690" s="35">
        <v>4760660</v>
      </c>
      <c r="E690" s="35" t="s">
        <v>1099</v>
      </c>
      <c r="F690" s="35" t="s">
        <v>604</v>
      </c>
    </row>
    <row r="691" spans="1:6">
      <c r="A691" s="35" t="s">
        <v>1291</v>
      </c>
      <c r="B691" s="37">
        <v>118.95002746582031</v>
      </c>
      <c r="C691" s="37">
        <v>107.32281494140625</v>
      </c>
      <c r="D691" s="35">
        <v>12201522</v>
      </c>
      <c r="E691" s="35" t="s">
        <v>1099</v>
      </c>
      <c r="F691" s="35" t="s">
        <v>604</v>
      </c>
    </row>
    <row r="692" spans="1:6">
      <c r="A692" s="35" t="s">
        <v>1292</v>
      </c>
      <c r="B692" s="37">
        <v>122.51252746582031</v>
      </c>
      <c r="C692" s="37">
        <v>110.53708648681641</v>
      </c>
      <c r="D692" s="35">
        <v>10163032</v>
      </c>
      <c r="E692" s="35" t="s">
        <v>1099</v>
      </c>
      <c r="F692" s="35" t="s">
        <v>604</v>
      </c>
    </row>
    <row r="693" spans="1:6">
      <c r="A693" s="35" t="s">
        <v>1293</v>
      </c>
      <c r="B693" s="37">
        <v>120.41252899169922</v>
      </c>
      <c r="C693" s="37">
        <v>108.64234924316406</v>
      </c>
      <c r="D693" s="35">
        <v>5643897</v>
      </c>
      <c r="E693" s="35" t="s">
        <v>1099</v>
      </c>
      <c r="F693" s="35" t="s">
        <v>604</v>
      </c>
    </row>
    <row r="694" spans="1:6">
      <c r="A694" s="35" t="s">
        <v>1294</v>
      </c>
      <c r="B694" s="37">
        <v>119.55002593994141</v>
      </c>
      <c r="C694" s="37">
        <v>107.86415863037109</v>
      </c>
      <c r="D694" s="35">
        <v>8433768</v>
      </c>
      <c r="E694" s="35" t="s">
        <v>1099</v>
      </c>
      <c r="F694" s="35" t="s">
        <v>604</v>
      </c>
    </row>
    <row r="695" spans="1:6">
      <c r="A695" s="35" t="s">
        <v>1295</v>
      </c>
      <c r="B695" s="37">
        <v>118.12503051757813</v>
      </c>
      <c r="C695" s="37">
        <v>106.57846832275391</v>
      </c>
      <c r="D695" s="35">
        <v>3187225</v>
      </c>
      <c r="E695" s="35" t="s">
        <v>1099</v>
      </c>
      <c r="F695" s="35" t="s">
        <v>604</v>
      </c>
    </row>
    <row r="696" spans="1:6">
      <c r="A696" s="35" t="s">
        <v>1296</v>
      </c>
      <c r="B696" s="37">
        <v>124.48127746582031</v>
      </c>
      <c r="C696" s="37">
        <v>112.31339263916016</v>
      </c>
      <c r="D696" s="35">
        <v>16443849</v>
      </c>
      <c r="E696" s="35" t="s">
        <v>1099</v>
      </c>
      <c r="F696" s="35" t="s">
        <v>604</v>
      </c>
    </row>
    <row r="697" spans="1:6">
      <c r="A697" s="35" t="s">
        <v>1297</v>
      </c>
      <c r="B697" s="37">
        <v>122.13752746582031</v>
      </c>
      <c r="C697" s="37">
        <v>110.19873809814453</v>
      </c>
      <c r="D697" s="35">
        <v>8113347</v>
      </c>
      <c r="E697" s="35" t="s">
        <v>1099</v>
      </c>
      <c r="F697" s="35" t="s">
        <v>604</v>
      </c>
    </row>
    <row r="698" spans="1:6">
      <c r="A698" s="35" t="s">
        <v>1298</v>
      </c>
      <c r="B698" s="37">
        <v>122.00627899169922</v>
      </c>
      <c r="C698" s="37">
        <v>110.08031463623047</v>
      </c>
      <c r="D698" s="35">
        <v>4722081</v>
      </c>
      <c r="E698" s="35" t="s">
        <v>1099</v>
      </c>
      <c r="F698" s="35" t="s">
        <v>604</v>
      </c>
    </row>
    <row r="699" spans="1:6">
      <c r="A699" s="35" t="s">
        <v>1299</v>
      </c>
      <c r="B699" s="37">
        <v>123.35627746582031</v>
      </c>
      <c r="C699" s="37">
        <v>111.29836273193359</v>
      </c>
      <c r="D699" s="35">
        <v>4288268</v>
      </c>
      <c r="E699" s="35" t="s">
        <v>1099</v>
      </c>
      <c r="F699" s="35" t="s">
        <v>604</v>
      </c>
    </row>
    <row r="700" spans="1:6">
      <c r="A700" s="35" t="s">
        <v>1300</v>
      </c>
      <c r="B700" s="37">
        <v>120.58128356933594</v>
      </c>
      <c r="C700" s="37">
        <v>108.79460906982422</v>
      </c>
      <c r="D700" s="35">
        <v>12193514</v>
      </c>
      <c r="E700" s="35" t="s">
        <v>1099</v>
      </c>
      <c r="F700" s="35" t="s">
        <v>604</v>
      </c>
    </row>
    <row r="701" spans="1:6">
      <c r="A701" s="35" t="s">
        <v>1301</v>
      </c>
      <c r="B701" s="37">
        <v>118.21878051757813</v>
      </c>
      <c r="C701" s="37">
        <v>106.66304016113281</v>
      </c>
      <c r="D701" s="35">
        <v>8613403</v>
      </c>
      <c r="E701" s="35" t="s">
        <v>1099</v>
      </c>
      <c r="F701" s="35" t="s">
        <v>604</v>
      </c>
    </row>
    <row r="702" spans="1:6">
      <c r="A702" s="35" t="s">
        <v>1302</v>
      </c>
      <c r="B702" s="37">
        <v>117.73127746582031</v>
      </c>
      <c r="C702" s="37">
        <v>106.22319793701172</v>
      </c>
      <c r="D702" s="35">
        <v>17542056</v>
      </c>
      <c r="E702" s="35" t="s">
        <v>1099</v>
      </c>
      <c r="F702" s="35" t="s">
        <v>604</v>
      </c>
    </row>
    <row r="703" spans="1:6">
      <c r="A703" s="35" t="s">
        <v>1303</v>
      </c>
      <c r="B703" s="37">
        <v>116.98127746582031</v>
      </c>
      <c r="C703" s="37">
        <v>105.5465087890625</v>
      </c>
      <c r="D703" s="35">
        <v>22129831</v>
      </c>
      <c r="E703" s="35" t="s">
        <v>1099</v>
      </c>
      <c r="F703" s="35" t="s">
        <v>604</v>
      </c>
    </row>
    <row r="704" spans="1:6">
      <c r="A704" s="35" t="s">
        <v>1304</v>
      </c>
      <c r="B704" s="37">
        <v>116.68128204345703</v>
      </c>
      <c r="C704" s="37">
        <v>105.27584075927734</v>
      </c>
      <c r="D704" s="35">
        <v>9397269</v>
      </c>
      <c r="E704" s="35" t="s">
        <v>1099</v>
      </c>
      <c r="F704" s="35" t="s">
        <v>604</v>
      </c>
    </row>
    <row r="705" spans="1:6">
      <c r="A705" s="35" t="s">
        <v>1305</v>
      </c>
      <c r="B705" s="37">
        <v>115.23752593994141</v>
      </c>
      <c r="C705" s="37">
        <v>103.97321319580078</v>
      </c>
      <c r="D705" s="35">
        <v>6079993</v>
      </c>
      <c r="E705" s="35" t="s">
        <v>1099</v>
      </c>
      <c r="F705" s="35" t="s">
        <v>604</v>
      </c>
    </row>
    <row r="706" spans="1:6">
      <c r="A706" s="35" t="s">
        <v>1306</v>
      </c>
      <c r="B706" s="37">
        <v>114.26252746582031</v>
      </c>
      <c r="C706" s="37">
        <v>103.43009185791016</v>
      </c>
      <c r="D706" s="35">
        <v>7530432</v>
      </c>
      <c r="E706" s="35" t="s">
        <v>1099</v>
      </c>
      <c r="F706" s="35" t="s">
        <v>604</v>
      </c>
    </row>
    <row r="707" spans="1:6">
      <c r="A707" s="35" t="s">
        <v>1307</v>
      </c>
      <c r="B707" s="37">
        <v>112.78128051757813</v>
      </c>
      <c r="C707" s="37">
        <v>102.08927917480469</v>
      </c>
      <c r="D707" s="35">
        <v>5872873</v>
      </c>
      <c r="E707" s="35" t="s">
        <v>1099</v>
      </c>
      <c r="F707" s="35" t="s">
        <v>604</v>
      </c>
    </row>
    <row r="708" spans="1:6">
      <c r="A708" s="35" t="s">
        <v>1308</v>
      </c>
      <c r="B708" s="37">
        <v>112.72502899169922</v>
      </c>
      <c r="C708" s="37">
        <v>102.03836059570313</v>
      </c>
      <c r="D708" s="35">
        <v>6713662</v>
      </c>
      <c r="E708" s="35" t="s">
        <v>1099</v>
      </c>
      <c r="F708" s="35" t="s">
        <v>604</v>
      </c>
    </row>
    <row r="709" spans="1:6">
      <c r="A709" s="35" t="s">
        <v>1309</v>
      </c>
      <c r="B709" s="37">
        <v>112.03128051757813</v>
      </c>
      <c r="C709" s="37">
        <v>101.41036987304688</v>
      </c>
      <c r="D709" s="35">
        <v>5851054</v>
      </c>
      <c r="E709" s="35" t="s">
        <v>1099</v>
      </c>
      <c r="F709" s="35" t="s">
        <v>604</v>
      </c>
    </row>
    <row r="710" spans="1:6">
      <c r="A710" s="35" t="s">
        <v>1310</v>
      </c>
      <c r="B710" s="37">
        <v>110.4937744140625</v>
      </c>
      <c r="C710" s="37">
        <v>100.01863098144531</v>
      </c>
      <c r="D710" s="35">
        <v>6489310</v>
      </c>
      <c r="E710" s="35" t="s">
        <v>1099</v>
      </c>
      <c r="F710" s="35" t="s">
        <v>604</v>
      </c>
    </row>
    <row r="711" spans="1:6">
      <c r="A711" s="35" t="s">
        <v>1311</v>
      </c>
      <c r="B711" s="37">
        <v>108.50627899169922</v>
      </c>
      <c r="C711" s="37">
        <v>98.21954345703125</v>
      </c>
      <c r="D711" s="35">
        <v>6662763</v>
      </c>
      <c r="E711" s="35" t="s">
        <v>1099</v>
      </c>
      <c r="F711" s="35" t="s">
        <v>604</v>
      </c>
    </row>
    <row r="712" spans="1:6">
      <c r="A712" s="35" t="s">
        <v>1312</v>
      </c>
      <c r="B712" s="37">
        <v>108.67502593994141</v>
      </c>
      <c r="C712" s="37">
        <v>98.372299194335938</v>
      </c>
      <c r="D712" s="35">
        <v>14125508</v>
      </c>
      <c r="E712" s="35" t="s">
        <v>1099</v>
      </c>
      <c r="F712" s="35" t="s">
        <v>604</v>
      </c>
    </row>
    <row r="713" spans="1:6">
      <c r="A713" s="35" t="s">
        <v>1313</v>
      </c>
      <c r="B713" s="37">
        <v>106.87502288818359</v>
      </c>
      <c r="C713" s="37">
        <v>96.742950439453125</v>
      </c>
      <c r="D713" s="35">
        <v>8405269</v>
      </c>
      <c r="E713" s="35" t="s">
        <v>1099</v>
      </c>
      <c r="F713" s="35" t="s">
        <v>604</v>
      </c>
    </row>
    <row r="714" spans="1:6">
      <c r="A714" s="35" t="s">
        <v>1314</v>
      </c>
      <c r="B714" s="37">
        <v>108.35627746582031</v>
      </c>
      <c r="C714" s="37">
        <v>98.083763122558594</v>
      </c>
      <c r="D714" s="35">
        <v>6722288</v>
      </c>
      <c r="E714" s="35" t="s">
        <v>1099</v>
      </c>
      <c r="F714" s="35" t="s">
        <v>604</v>
      </c>
    </row>
    <row r="715" spans="1:6">
      <c r="A715" s="35" t="s">
        <v>1315</v>
      </c>
      <c r="B715" s="37">
        <v>110.04377746582031</v>
      </c>
      <c r="C715" s="37">
        <v>99.611289978027344</v>
      </c>
      <c r="D715" s="35">
        <v>8063123</v>
      </c>
      <c r="E715" s="35" t="s">
        <v>1099</v>
      </c>
      <c r="F715" s="35" t="s">
        <v>604</v>
      </c>
    </row>
    <row r="716" spans="1:6">
      <c r="A716" s="35" t="s">
        <v>1316</v>
      </c>
      <c r="B716" s="37">
        <v>109.68753051757813</v>
      </c>
      <c r="C716" s="37">
        <v>99.288841247558594</v>
      </c>
      <c r="D716" s="35">
        <v>4415065</v>
      </c>
      <c r="E716" s="35" t="s">
        <v>1099</v>
      </c>
      <c r="F716" s="35" t="s">
        <v>604</v>
      </c>
    </row>
    <row r="717" spans="1:6">
      <c r="A717" s="35" t="s">
        <v>1317</v>
      </c>
      <c r="B717" s="37">
        <v>109.12503051757813</v>
      </c>
      <c r="C717" s="37">
        <v>98.779640197753906</v>
      </c>
      <c r="D717" s="35">
        <v>8209045</v>
      </c>
      <c r="E717" s="35" t="s">
        <v>1099</v>
      </c>
      <c r="F717" s="35" t="s">
        <v>604</v>
      </c>
    </row>
    <row r="718" spans="1:6">
      <c r="A718" s="35" t="s">
        <v>1318</v>
      </c>
      <c r="B718" s="37">
        <v>108.73127746582031</v>
      </c>
      <c r="C718" s="37">
        <v>98.423233032226563</v>
      </c>
      <c r="D718" s="35">
        <v>4420870</v>
      </c>
      <c r="E718" s="35" t="s">
        <v>1099</v>
      </c>
      <c r="F718" s="35" t="s">
        <v>604</v>
      </c>
    </row>
    <row r="719" spans="1:6">
      <c r="A719" s="35" t="s">
        <v>1319</v>
      </c>
      <c r="B719" s="37">
        <v>109.29377746582031</v>
      </c>
      <c r="C719" s="37">
        <v>98.932395935058594</v>
      </c>
      <c r="D719" s="35">
        <v>9160624</v>
      </c>
      <c r="E719" s="35" t="s">
        <v>1099</v>
      </c>
      <c r="F719" s="35" t="s">
        <v>604</v>
      </c>
    </row>
    <row r="720" spans="1:6">
      <c r="A720" s="35" t="s">
        <v>1320</v>
      </c>
      <c r="B720" s="37">
        <v>109.57502746582031</v>
      </c>
      <c r="C720" s="37">
        <v>99.186981201171875</v>
      </c>
      <c r="D720" s="35">
        <v>13748271</v>
      </c>
      <c r="E720" s="35" t="s">
        <v>1099</v>
      </c>
      <c r="F720" s="35" t="s">
        <v>604</v>
      </c>
    </row>
    <row r="721" spans="1:6">
      <c r="A721" s="35" t="s">
        <v>1321</v>
      </c>
      <c r="B721" s="37">
        <v>109.7437744140625</v>
      </c>
      <c r="C721" s="37">
        <v>99.339729309082031</v>
      </c>
      <c r="D721" s="35">
        <v>12838500</v>
      </c>
      <c r="E721" s="35" t="s">
        <v>1099</v>
      </c>
      <c r="F721" s="35" t="s">
        <v>604</v>
      </c>
    </row>
    <row r="722" spans="1:6">
      <c r="A722" s="35" t="s">
        <v>1322</v>
      </c>
      <c r="B722" s="37">
        <v>110.62503051757813</v>
      </c>
      <c r="C722" s="37">
        <v>100.13742828369141</v>
      </c>
      <c r="D722" s="35">
        <v>9779768</v>
      </c>
      <c r="E722" s="35" t="s">
        <v>1099</v>
      </c>
      <c r="F722" s="35" t="s">
        <v>604</v>
      </c>
    </row>
    <row r="723" spans="1:6">
      <c r="A723" s="35" t="s">
        <v>1323</v>
      </c>
      <c r="B723" s="37">
        <v>109.35002899169922</v>
      </c>
      <c r="C723" s="37">
        <v>98.983314514160156</v>
      </c>
      <c r="D723" s="35">
        <v>13418935</v>
      </c>
      <c r="E723" s="35" t="s">
        <v>1099</v>
      </c>
      <c r="F723" s="35" t="s">
        <v>604</v>
      </c>
    </row>
    <row r="724" spans="1:6">
      <c r="A724" s="35" t="s">
        <v>1324</v>
      </c>
      <c r="B724" s="37">
        <v>109.40628051757813</v>
      </c>
      <c r="C724" s="37">
        <v>99.034233093261719</v>
      </c>
      <c r="D724" s="35">
        <v>10467034</v>
      </c>
      <c r="E724" s="35" t="s">
        <v>1099</v>
      </c>
      <c r="F724" s="35" t="s">
        <v>604</v>
      </c>
    </row>
    <row r="725" spans="1:6">
      <c r="A725" s="35" t="s">
        <v>1325</v>
      </c>
      <c r="B725" s="37">
        <v>109.80002593994141</v>
      </c>
      <c r="C725" s="37">
        <v>99.390647888183594</v>
      </c>
      <c r="D725" s="35">
        <v>13724575</v>
      </c>
      <c r="E725" s="35" t="s">
        <v>1099</v>
      </c>
      <c r="F725" s="35" t="s">
        <v>604</v>
      </c>
    </row>
    <row r="726" spans="1:6">
      <c r="A726" s="35" t="s">
        <v>1326</v>
      </c>
      <c r="B726" s="37">
        <v>109.68753051757813</v>
      </c>
      <c r="C726" s="37">
        <v>99.288841247558594</v>
      </c>
      <c r="D726" s="35">
        <v>10895423</v>
      </c>
      <c r="E726" s="35" t="s">
        <v>1099</v>
      </c>
      <c r="F726" s="35" t="s">
        <v>604</v>
      </c>
    </row>
    <row r="727" spans="1:6">
      <c r="A727" s="35" t="s">
        <v>1327</v>
      </c>
      <c r="B727" s="37">
        <v>109.10627746582031</v>
      </c>
      <c r="C727" s="37">
        <v>98.762672424316406</v>
      </c>
      <c r="D727" s="35">
        <v>9996650</v>
      </c>
      <c r="E727" s="35" t="s">
        <v>1099</v>
      </c>
      <c r="F727" s="35" t="s">
        <v>604</v>
      </c>
    </row>
    <row r="728" spans="1:6">
      <c r="A728" s="35" t="s">
        <v>1328</v>
      </c>
      <c r="B728" s="37">
        <v>107.60627746582031</v>
      </c>
      <c r="C728" s="37">
        <v>97.404861450195313</v>
      </c>
      <c r="D728" s="35">
        <v>12604231</v>
      </c>
      <c r="E728" s="35" t="s">
        <v>1099</v>
      </c>
      <c r="F728" s="35" t="s">
        <v>604</v>
      </c>
    </row>
    <row r="729" spans="1:6">
      <c r="A729" s="35" t="s">
        <v>1329</v>
      </c>
      <c r="B729" s="37">
        <v>107.00627899169922</v>
      </c>
      <c r="C729" s="37">
        <v>96.861770629882813</v>
      </c>
      <c r="D729" s="35">
        <v>4868340</v>
      </c>
      <c r="E729" s="35" t="s">
        <v>1099</v>
      </c>
      <c r="F729" s="35" t="s">
        <v>604</v>
      </c>
    </row>
    <row r="730" spans="1:6">
      <c r="A730" s="35" t="s">
        <v>1330</v>
      </c>
      <c r="B730" s="37">
        <v>106.95002746582031</v>
      </c>
      <c r="C730" s="37">
        <v>96.810836791992188</v>
      </c>
      <c r="D730" s="35">
        <v>5387353</v>
      </c>
      <c r="E730" s="35" t="s">
        <v>1099</v>
      </c>
      <c r="F730" s="35" t="s">
        <v>604</v>
      </c>
    </row>
    <row r="731" spans="1:6">
      <c r="A731" s="35" t="s">
        <v>1331</v>
      </c>
      <c r="B731" s="37">
        <v>106.89377593994141</v>
      </c>
      <c r="C731" s="37">
        <v>96.759925842285156</v>
      </c>
      <c r="D731" s="35">
        <v>2681455</v>
      </c>
      <c r="E731" s="35" t="s">
        <v>1099</v>
      </c>
      <c r="F731" s="35" t="s">
        <v>604</v>
      </c>
    </row>
    <row r="732" spans="1:6">
      <c r="A732" s="35" t="s">
        <v>1332</v>
      </c>
      <c r="B732" s="37">
        <v>109.01252746582031</v>
      </c>
      <c r="C732" s="37">
        <v>98.677803039550781</v>
      </c>
      <c r="D732" s="35">
        <v>4658262</v>
      </c>
      <c r="E732" s="35" t="s">
        <v>1099</v>
      </c>
      <c r="F732" s="35" t="s">
        <v>604</v>
      </c>
    </row>
    <row r="733" spans="1:6">
      <c r="A733" s="35" t="s">
        <v>1333</v>
      </c>
      <c r="B733" s="37">
        <v>111.22502899169922</v>
      </c>
      <c r="C733" s="37">
        <v>100.68056488037109</v>
      </c>
      <c r="D733" s="35">
        <v>8546243</v>
      </c>
      <c r="E733" s="35" t="s">
        <v>1099</v>
      </c>
      <c r="F733" s="35" t="s">
        <v>604</v>
      </c>
    </row>
    <row r="734" spans="1:6">
      <c r="A734" s="35" t="s">
        <v>1334</v>
      </c>
      <c r="B734" s="37">
        <v>110.19377899169922</v>
      </c>
      <c r="C734" s="37">
        <v>99.747077941894531</v>
      </c>
      <c r="D734" s="35">
        <v>5547337</v>
      </c>
      <c r="E734" s="35" t="s">
        <v>1099</v>
      </c>
      <c r="F734" s="35" t="s">
        <v>604</v>
      </c>
    </row>
    <row r="735" spans="1:6">
      <c r="A735" s="35" t="s">
        <v>1335</v>
      </c>
      <c r="B735" s="37">
        <v>110.0250244140625</v>
      </c>
      <c r="C735" s="37">
        <v>99.594314575195313</v>
      </c>
      <c r="D735" s="35">
        <v>13181140</v>
      </c>
      <c r="E735" s="35" t="s">
        <v>1099</v>
      </c>
      <c r="F735" s="35" t="s">
        <v>604</v>
      </c>
    </row>
    <row r="736" spans="1:6">
      <c r="A736" s="35" t="s">
        <v>1336</v>
      </c>
      <c r="B736" s="37">
        <v>110.90628051757813</v>
      </c>
      <c r="C736" s="37">
        <v>100.39202880859375</v>
      </c>
      <c r="D736" s="35">
        <v>12891090</v>
      </c>
      <c r="E736" s="35" t="s">
        <v>1099</v>
      </c>
      <c r="F736" s="35" t="s">
        <v>604</v>
      </c>
    </row>
    <row r="737" spans="1:6">
      <c r="A737" s="35" t="s">
        <v>1337</v>
      </c>
      <c r="B737" s="37">
        <v>108.2437744140625</v>
      </c>
      <c r="C737" s="37">
        <v>97.98193359375</v>
      </c>
      <c r="D737" s="35">
        <v>3963271</v>
      </c>
      <c r="E737" s="35" t="s">
        <v>1099</v>
      </c>
      <c r="F737" s="35" t="s">
        <v>604</v>
      </c>
    </row>
    <row r="738" spans="1:6">
      <c r="A738" s="35" t="s">
        <v>1338</v>
      </c>
      <c r="B738" s="37">
        <v>110.10002899169922</v>
      </c>
      <c r="C738" s="37">
        <v>99.662208557128906</v>
      </c>
      <c r="D738" s="35">
        <v>8064555</v>
      </c>
      <c r="E738" s="35" t="s">
        <v>1099</v>
      </c>
      <c r="F738" s="35" t="s">
        <v>604</v>
      </c>
    </row>
    <row r="739" spans="1:6">
      <c r="A739" s="35" t="s">
        <v>1339</v>
      </c>
      <c r="B739" s="37">
        <v>110.71878051757813</v>
      </c>
      <c r="C739" s="37">
        <v>100.22232055664063</v>
      </c>
      <c r="D739" s="35">
        <v>8382829</v>
      </c>
      <c r="E739" s="35" t="s">
        <v>1099</v>
      </c>
      <c r="F739" s="35" t="s">
        <v>604</v>
      </c>
    </row>
    <row r="740" spans="1:6">
      <c r="A740" s="35" t="s">
        <v>1340</v>
      </c>
      <c r="B740" s="37">
        <v>108.16877746582031</v>
      </c>
      <c r="C740" s="37">
        <v>97.914047241210938</v>
      </c>
      <c r="D740" s="35">
        <v>5036841</v>
      </c>
      <c r="E740" s="35" t="s">
        <v>1099</v>
      </c>
      <c r="F740" s="35" t="s">
        <v>604</v>
      </c>
    </row>
    <row r="741" spans="1:6">
      <c r="A741" s="35" t="s">
        <v>1341</v>
      </c>
      <c r="B741" s="37">
        <v>106.7437744140625</v>
      </c>
      <c r="C741" s="37">
        <v>96.624153137207031</v>
      </c>
      <c r="D741" s="35">
        <v>8771707</v>
      </c>
      <c r="E741" s="35" t="s">
        <v>1099</v>
      </c>
      <c r="F741" s="35" t="s">
        <v>604</v>
      </c>
    </row>
    <row r="742" spans="1:6">
      <c r="A742" s="35" t="s">
        <v>1342</v>
      </c>
      <c r="B742" s="37">
        <v>102.75002288818359</v>
      </c>
      <c r="C742" s="37">
        <v>93.009002685546875</v>
      </c>
      <c r="D742" s="35">
        <v>18744243</v>
      </c>
      <c r="E742" s="35" t="s">
        <v>1099</v>
      </c>
      <c r="F742" s="35" t="s">
        <v>604</v>
      </c>
    </row>
    <row r="743" spans="1:6">
      <c r="A743" s="35" t="s">
        <v>1343</v>
      </c>
      <c r="B743" s="37">
        <v>102.76877593994141</v>
      </c>
      <c r="C743" s="37">
        <v>93.025978088378906</v>
      </c>
      <c r="D743" s="35">
        <v>14239615</v>
      </c>
      <c r="E743" s="35" t="s">
        <v>1099</v>
      </c>
      <c r="F743" s="35" t="s">
        <v>604</v>
      </c>
    </row>
    <row r="744" spans="1:6">
      <c r="A744" s="35" t="s">
        <v>1344</v>
      </c>
      <c r="B744" s="37">
        <v>105.4312744140625</v>
      </c>
      <c r="C744" s="37">
        <v>95.436065673828125</v>
      </c>
      <c r="D744" s="35">
        <v>13853121</v>
      </c>
      <c r="E744" s="35" t="s">
        <v>1099</v>
      </c>
      <c r="F744" s="35" t="s">
        <v>604</v>
      </c>
    </row>
    <row r="745" spans="1:6">
      <c r="A745" s="35" t="s">
        <v>1345</v>
      </c>
      <c r="B745" s="37">
        <v>108.6187744140625</v>
      </c>
      <c r="C745" s="37">
        <v>98.321380615234375</v>
      </c>
      <c r="D745" s="35">
        <v>6543819</v>
      </c>
      <c r="E745" s="35" t="s">
        <v>1346</v>
      </c>
      <c r="F745" s="35" t="s">
        <v>604</v>
      </c>
    </row>
    <row r="746" spans="1:6">
      <c r="A746" s="35" t="s">
        <v>1347</v>
      </c>
      <c r="B746" s="37">
        <v>106.4625244140625</v>
      </c>
      <c r="C746" s="37">
        <v>96.369560241699219</v>
      </c>
      <c r="D746" s="35">
        <v>4300609</v>
      </c>
      <c r="E746" s="35" t="s">
        <v>1346</v>
      </c>
      <c r="F746" s="35" t="s">
        <v>604</v>
      </c>
    </row>
    <row r="747" spans="1:6">
      <c r="A747" s="35" t="s">
        <v>1348</v>
      </c>
      <c r="B747" s="37">
        <v>105.60002899169922</v>
      </c>
      <c r="C747" s="37">
        <v>95.588829040527344</v>
      </c>
      <c r="D747" s="35">
        <v>4358041</v>
      </c>
      <c r="E747" s="35" t="s">
        <v>1346</v>
      </c>
      <c r="F747" s="35" t="s">
        <v>604</v>
      </c>
    </row>
    <row r="748" spans="1:6">
      <c r="A748" s="35" t="s">
        <v>1349</v>
      </c>
      <c r="B748" s="37">
        <v>107.34377288818359</v>
      </c>
      <c r="C748" s="37">
        <v>97.167251586914063</v>
      </c>
      <c r="D748" s="35">
        <v>2813628</v>
      </c>
      <c r="E748" s="35" t="s">
        <v>1346</v>
      </c>
      <c r="F748" s="35" t="s">
        <v>604</v>
      </c>
    </row>
    <row r="749" spans="1:6">
      <c r="A749" s="35" t="s">
        <v>1350</v>
      </c>
      <c r="B749" s="37">
        <v>106.48127746582031</v>
      </c>
      <c r="C749" s="37">
        <v>96.386528015136719</v>
      </c>
      <c r="D749" s="35">
        <v>1802274</v>
      </c>
      <c r="E749" s="35" t="s">
        <v>1346</v>
      </c>
      <c r="F749" s="35" t="s">
        <v>604</v>
      </c>
    </row>
    <row r="750" spans="1:6">
      <c r="A750" s="35" t="s">
        <v>1351</v>
      </c>
      <c r="B750" s="37">
        <v>106.89377593994141</v>
      </c>
      <c r="C750" s="37">
        <v>96.759925842285156</v>
      </c>
      <c r="D750" s="35">
        <v>2986425</v>
      </c>
      <c r="E750" s="35" t="s">
        <v>1346</v>
      </c>
      <c r="F750" s="35" t="s">
        <v>604</v>
      </c>
    </row>
    <row r="751" spans="1:6">
      <c r="A751" s="35" t="s">
        <v>1352</v>
      </c>
      <c r="B751" s="37">
        <v>107.25002288818359</v>
      </c>
      <c r="C751" s="37">
        <v>97.0823974609375</v>
      </c>
      <c r="D751" s="35">
        <v>11673823</v>
      </c>
      <c r="E751" s="35" t="s">
        <v>1346</v>
      </c>
      <c r="F751" s="35" t="s">
        <v>604</v>
      </c>
    </row>
    <row r="752" spans="1:6">
      <c r="A752" s="35" t="s">
        <v>1353</v>
      </c>
      <c r="B752" s="37">
        <v>107.13752746582031</v>
      </c>
      <c r="C752" s="37">
        <v>96.980552673339844</v>
      </c>
      <c r="D752" s="35">
        <v>3468465</v>
      </c>
      <c r="E752" s="35" t="s">
        <v>1346</v>
      </c>
      <c r="F752" s="35" t="s">
        <v>604</v>
      </c>
    </row>
    <row r="753" spans="1:6">
      <c r="A753" s="35" t="s">
        <v>1354</v>
      </c>
      <c r="B753" s="37">
        <v>107.56877899169922</v>
      </c>
      <c r="C753" s="37">
        <v>97.370933532714844</v>
      </c>
      <c r="D753" s="35">
        <v>5989886</v>
      </c>
      <c r="E753" s="35" t="s">
        <v>1346</v>
      </c>
      <c r="F753" s="35" t="s">
        <v>604</v>
      </c>
    </row>
    <row r="754" spans="1:6">
      <c r="A754" s="35" t="s">
        <v>1355</v>
      </c>
      <c r="B754" s="37">
        <v>110.3062744140625</v>
      </c>
      <c r="C754" s="37">
        <v>99.848907470703125</v>
      </c>
      <c r="D754" s="35">
        <v>8491437</v>
      </c>
      <c r="E754" s="35" t="s">
        <v>1346</v>
      </c>
      <c r="F754" s="35" t="s">
        <v>604</v>
      </c>
    </row>
    <row r="755" spans="1:6">
      <c r="A755" s="35" t="s">
        <v>1356</v>
      </c>
      <c r="B755" s="37">
        <v>108.7125244140625</v>
      </c>
      <c r="C755" s="37">
        <v>98.406242370605469</v>
      </c>
      <c r="D755" s="35">
        <v>6256147</v>
      </c>
      <c r="E755" s="35" t="s">
        <v>1346</v>
      </c>
      <c r="F755" s="35" t="s">
        <v>604</v>
      </c>
    </row>
    <row r="756" spans="1:6">
      <c r="A756" s="35" t="s">
        <v>1357</v>
      </c>
      <c r="B756" s="37">
        <v>106.78127288818359</v>
      </c>
      <c r="C756" s="37">
        <v>96.658073425292969</v>
      </c>
      <c r="D756" s="35">
        <v>5854046</v>
      </c>
      <c r="E756" s="35" t="s">
        <v>1346</v>
      </c>
      <c r="F756" s="35" t="s">
        <v>604</v>
      </c>
    </row>
    <row r="757" spans="1:6">
      <c r="A757" s="35" t="s">
        <v>1358</v>
      </c>
      <c r="B757" s="37">
        <v>109.7437744140625</v>
      </c>
      <c r="C757" s="37">
        <v>99.339729309082031</v>
      </c>
      <c r="D757" s="35">
        <v>7066675</v>
      </c>
      <c r="E757" s="35" t="s">
        <v>1346</v>
      </c>
      <c r="F757" s="35" t="s">
        <v>604</v>
      </c>
    </row>
    <row r="758" spans="1:6">
      <c r="A758" s="35" t="s">
        <v>1359</v>
      </c>
      <c r="B758" s="37">
        <v>109.66877746582031</v>
      </c>
      <c r="C758" s="37">
        <v>99.271842956542969</v>
      </c>
      <c r="D758" s="35">
        <v>2552252</v>
      </c>
      <c r="E758" s="35" t="s">
        <v>1346</v>
      </c>
      <c r="F758" s="35" t="s">
        <v>604</v>
      </c>
    </row>
    <row r="759" spans="1:6">
      <c r="A759" s="35" t="s">
        <v>1360</v>
      </c>
      <c r="B759" s="37">
        <v>111.76877593994141</v>
      </c>
      <c r="C759" s="37">
        <v>101.17276763916016</v>
      </c>
      <c r="D759" s="35">
        <v>8937349</v>
      </c>
      <c r="E759" s="35" t="s">
        <v>1346</v>
      </c>
      <c r="F759" s="35" t="s">
        <v>604</v>
      </c>
    </row>
    <row r="760" spans="1:6">
      <c r="A760" s="35" t="s">
        <v>1361</v>
      </c>
      <c r="B760" s="37">
        <v>111.50627899169922</v>
      </c>
      <c r="C760" s="37">
        <v>100.93513488769531</v>
      </c>
      <c r="D760" s="35">
        <v>10660490</v>
      </c>
      <c r="E760" s="35" t="s">
        <v>1346</v>
      </c>
      <c r="F760" s="35" t="s">
        <v>604</v>
      </c>
    </row>
    <row r="761" spans="1:6">
      <c r="A761" s="35" t="s">
        <v>1362</v>
      </c>
      <c r="B761" s="37">
        <v>107.60627746582031</v>
      </c>
      <c r="C761" s="37">
        <v>97.404861450195313</v>
      </c>
      <c r="D761" s="35">
        <v>9443424</v>
      </c>
      <c r="E761" s="35" t="s">
        <v>1346</v>
      </c>
      <c r="F761" s="35" t="s">
        <v>604</v>
      </c>
    </row>
    <row r="762" spans="1:6">
      <c r="A762" s="35" t="s">
        <v>1363</v>
      </c>
      <c r="B762" s="37">
        <v>107.6812744140625</v>
      </c>
      <c r="C762" s="37">
        <v>97.472755432128906</v>
      </c>
      <c r="D762" s="35">
        <v>17195110</v>
      </c>
      <c r="E762" s="35" t="s">
        <v>1346</v>
      </c>
      <c r="F762" s="35" t="s">
        <v>604</v>
      </c>
    </row>
    <row r="763" spans="1:6">
      <c r="A763" s="35" t="s">
        <v>1364</v>
      </c>
      <c r="B763" s="37">
        <v>105.50627899169922</v>
      </c>
      <c r="C763" s="37">
        <v>95.503959655761719</v>
      </c>
      <c r="D763" s="35">
        <v>25550129</v>
      </c>
      <c r="E763" s="35" t="s">
        <v>1346</v>
      </c>
      <c r="F763" s="35" t="s">
        <v>604</v>
      </c>
    </row>
    <row r="764" spans="1:6">
      <c r="A764" s="35" t="s">
        <v>1365</v>
      </c>
      <c r="B764" s="37">
        <v>103.5562744140625</v>
      </c>
      <c r="C764" s="37">
        <v>93.738815307617188</v>
      </c>
      <c r="D764" s="35">
        <v>6519427</v>
      </c>
      <c r="E764" s="35" t="s">
        <v>1346</v>
      </c>
      <c r="F764" s="35" t="s">
        <v>604</v>
      </c>
    </row>
    <row r="765" spans="1:6">
      <c r="A765" s="35" t="s">
        <v>1366</v>
      </c>
      <c r="B765" s="37">
        <v>104.53127288818359</v>
      </c>
      <c r="C765" s="37">
        <v>94.621383666992188</v>
      </c>
      <c r="D765" s="35">
        <v>5648769</v>
      </c>
      <c r="E765" s="35" t="s">
        <v>1346</v>
      </c>
      <c r="F765" s="35" t="s">
        <v>604</v>
      </c>
    </row>
    <row r="766" spans="1:6">
      <c r="A766" s="35" t="s">
        <v>1367</v>
      </c>
      <c r="B766" s="37">
        <v>103.33127593994141</v>
      </c>
      <c r="C766" s="37">
        <v>93.535163879394531</v>
      </c>
      <c r="D766" s="35">
        <v>6354939</v>
      </c>
      <c r="E766" s="35" t="s">
        <v>1346</v>
      </c>
      <c r="F766" s="35" t="s">
        <v>604</v>
      </c>
    </row>
    <row r="767" spans="1:6">
      <c r="A767" s="35" t="s">
        <v>1368</v>
      </c>
      <c r="B767" s="37">
        <v>101.79377746582031</v>
      </c>
      <c r="C767" s="37">
        <v>92.143409729003906</v>
      </c>
      <c r="D767" s="35">
        <v>8949440</v>
      </c>
      <c r="E767" s="35" t="s">
        <v>1346</v>
      </c>
      <c r="F767" s="35" t="s">
        <v>604</v>
      </c>
    </row>
    <row r="768" spans="1:6">
      <c r="A768" s="35" t="s">
        <v>1369</v>
      </c>
      <c r="B768" s="37">
        <v>101.2125244140625</v>
      </c>
      <c r="C768" s="37">
        <v>91.617263793945313</v>
      </c>
      <c r="D768" s="35">
        <v>8256123</v>
      </c>
      <c r="E768" s="35" t="s">
        <v>1346</v>
      </c>
      <c r="F768" s="35" t="s">
        <v>604</v>
      </c>
    </row>
    <row r="769" spans="1:6">
      <c r="A769" s="35" t="s">
        <v>1370</v>
      </c>
      <c r="B769" s="37">
        <v>103.03127288818359</v>
      </c>
      <c r="C769" s="37">
        <v>93.263595581054688</v>
      </c>
      <c r="D769" s="35">
        <v>5265878</v>
      </c>
      <c r="E769" s="35" t="s">
        <v>1346</v>
      </c>
      <c r="F769" s="35" t="s">
        <v>604</v>
      </c>
    </row>
    <row r="770" spans="1:6">
      <c r="A770" s="35" t="s">
        <v>1371</v>
      </c>
      <c r="B770" s="37">
        <v>102.28127288818359</v>
      </c>
      <c r="C770" s="37">
        <v>92.584693908691406</v>
      </c>
      <c r="D770" s="35">
        <v>5221180</v>
      </c>
      <c r="E770" s="35" t="s">
        <v>1346</v>
      </c>
      <c r="F770" s="35" t="s">
        <v>604</v>
      </c>
    </row>
    <row r="771" spans="1:6">
      <c r="A771" s="35" t="s">
        <v>1372</v>
      </c>
      <c r="B771" s="37">
        <v>101.34377288818359</v>
      </c>
      <c r="C771" s="37">
        <v>91.736076354980469</v>
      </c>
      <c r="D771" s="35">
        <v>5165820</v>
      </c>
      <c r="E771" s="35" t="s">
        <v>1346</v>
      </c>
      <c r="F771" s="35" t="s">
        <v>604</v>
      </c>
    </row>
    <row r="772" spans="1:6">
      <c r="A772" s="35" t="s">
        <v>1373</v>
      </c>
      <c r="B772" s="37">
        <v>101.41877746582031</v>
      </c>
      <c r="C772" s="37">
        <v>91.803977966308594</v>
      </c>
      <c r="D772" s="35">
        <v>4808846</v>
      </c>
      <c r="E772" s="35" t="s">
        <v>1346</v>
      </c>
      <c r="F772" s="35" t="s">
        <v>604</v>
      </c>
    </row>
    <row r="773" spans="1:6">
      <c r="A773" s="35" t="s">
        <v>1374</v>
      </c>
      <c r="B773" s="37">
        <v>102.2437744140625</v>
      </c>
      <c r="C773" s="37">
        <v>92.550735473632813</v>
      </c>
      <c r="D773" s="35">
        <v>4066852</v>
      </c>
      <c r="E773" s="35" t="s">
        <v>1346</v>
      </c>
      <c r="F773" s="35" t="s">
        <v>604</v>
      </c>
    </row>
    <row r="774" spans="1:6">
      <c r="A774" s="35" t="s">
        <v>1375</v>
      </c>
      <c r="B774" s="37">
        <v>102.13127136230469</v>
      </c>
      <c r="C774" s="37">
        <v>92.448905944824219</v>
      </c>
      <c r="D774" s="35">
        <v>4104721</v>
      </c>
      <c r="E774" s="35" t="s">
        <v>1346</v>
      </c>
      <c r="F774" s="35" t="s">
        <v>604</v>
      </c>
    </row>
    <row r="775" spans="1:6">
      <c r="A775" s="35" t="s">
        <v>1376</v>
      </c>
      <c r="B775" s="37">
        <v>101.62502288818359</v>
      </c>
      <c r="C775" s="37">
        <v>91.99066162109375</v>
      </c>
      <c r="D775" s="35">
        <v>4501617</v>
      </c>
      <c r="E775" s="35" t="s">
        <v>1346</v>
      </c>
      <c r="F775" s="35" t="s">
        <v>604</v>
      </c>
    </row>
    <row r="776" spans="1:6">
      <c r="A776" s="35" t="s">
        <v>1377</v>
      </c>
      <c r="B776" s="37">
        <v>103.01252746582031</v>
      </c>
      <c r="C776" s="37">
        <v>93.246635437011719</v>
      </c>
      <c r="D776" s="35">
        <v>8413891</v>
      </c>
      <c r="E776" s="35" t="s">
        <v>1346</v>
      </c>
      <c r="F776" s="35" t="s">
        <v>604</v>
      </c>
    </row>
    <row r="777" spans="1:6">
      <c r="A777" s="35" t="s">
        <v>1378</v>
      </c>
      <c r="B777" s="37">
        <v>104.38127899169922</v>
      </c>
      <c r="C777" s="37">
        <v>94.485610961914063</v>
      </c>
      <c r="D777" s="35">
        <v>6949715</v>
      </c>
      <c r="E777" s="35" t="s">
        <v>1346</v>
      </c>
      <c r="F777" s="35" t="s">
        <v>604</v>
      </c>
    </row>
    <row r="778" spans="1:6">
      <c r="A778" s="35" t="s">
        <v>1379</v>
      </c>
      <c r="B778" s="37">
        <v>100.8375244140625</v>
      </c>
      <c r="C778" s="37">
        <v>91.277816772460938</v>
      </c>
      <c r="D778" s="35">
        <v>12844244</v>
      </c>
      <c r="E778" s="35" t="s">
        <v>1346</v>
      </c>
      <c r="F778" s="35" t="s">
        <v>604</v>
      </c>
    </row>
    <row r="779" spans="1:6">
      <c r="A779" s="35" t="s">
        <v>1380</v>
      </c>
      <c r="B779" s="37">
        <v>99.318771362304688</v>
      </c>
      <c r="C779" s="37">
        <v>89.903053283691406</v>
      </c>
      <c r="D779" s="35">
        <v>8120387</v>
      </c>
      <c r="E779" s="35" t="s">
        <v>1346</v>
      </c>
      <c r="F779" s="35" t="s">
        <v>604</v>
      </c>
    </row>
    <row r="780" spans="1:6">
      <c r="A780" s="35" t="s">
        <v>1381</v>
      </c>
      <c r="B780" s="37">
        <v>99.356277465820313</v>
      </c>
      <c r="C780" s="37">
        <v>89.936988830566406</v>
      </c>
      <c r="D780" s="35">
        <v>3966732</v>
      </c>
      <c r="E780" s="35" t="s">
        <v>1346</v>
      </c>
      <c r="F780" s="35" t="s">
        <v>604</v>
      </c>
    </row>
    <row r="781" spans="1:6">
      <c r="A781" s="35" t="s">
        <v>1382</v>
      </c>
      <c r="B781" s="37">
        <v>98.793777465820313</v>
      </c>
      <c r="C781" s="37">
        <v>89.427825927734375</v>
      </c>
      <c r="D781" s="35">
        <v>9401189</v>
      </c>
      <c r="E781" s="35" t="s">
        <v>1346</v>
      </c>
      <c r="F781" s="35" t="s">
        <v>604</v>
      </c>
    </row>
    <row r="782" spans="1:6">
      <c r="A782" s="35" t="s">
        <v>1383</v>
      </c>
      <c r="B782" s="37">
        <v>99.131271362304688</v>
      </c>
      <c r="C782" s="37">
        <v>89.733322143554688</v>
      </c>
      <c r="D782" s="35">
        <v>6267787</v>
      </c>
      <c r="E782" s="35" t="s">
        <v>1346</v>
      </c>
      <c r="F782" s="35" t="s">
        <v>604</v>
      </c>
    </row>
    <row r="783" spans="1:6">
      <c r="A783" s="35" t="s">
        <v>1384</v>
      </c>
      <c r="B783" s="37">
        <v>99.225021362304688</v>
      </c>
      <c r="C783" s="37">
        <v>89.818183898925781</v>
      </c>
      <c r="D783" s="35">
        <v>6265014</v>
      </c>
      <c r="E783" s="35" t="s">
        <v>1346</v>
      </c>
      <c r="F783" s="35" t="s">
        <v>604</v>
      </c>
    </row>
    <row r="784" spans="1:6">
      <c r="A784" s="35" t="s">
        <v>1385</v>
      </c>
      <c r="B784" s="37">
        <v>98.737525939941406</v>
      </c>
      <c r="C784" s="37">
        <v>89.376907348632813</v>
      </c>
      <c r="D784" s="35">
        <v>3131052</v>
      </c>
      <c r="E784" s="35" t="s">
        <v>1346</v>
      </c>
      <c r="F784" s="35" t="s">
        <v>604</v>
      </c>
    </row>
    <row r="785" spans="1:6">
      <c r="A785" s="35" t="s">
        <v>1386</v>
      </c>
      <c r="B785" s="37">
        <v>98.625022888183594</v>
      </c>
      <c r="C785" s="37">
        <v>89.275070190429688</v>
      </c>
      <c r="D785" s="35">
        <v>4768596</v>
      </c>
      <c r="E785" s="35" t="s">
        <v>1346</v>
      </c>
      <c r="F785" s="35" t="s">
        <v>604</v>
      </c>
    </row>
    <row r="786" spans="1:6">
      <c r="A786" s="35" t="s">
        <v>1387</v>
      </c>
      <c r="B786" s="37">
        <v>97.818771362304688</v>
      </c>
      <c r="C786" s="37">
        <v>88.545257568359375</v>
      </c>
      <c r="D786" s="35">
        <v>7799451</v>
      </c>
      <c r="E786" s="35" t="s">
        <v>1346</v>
      </c>
      <c r="F786" s="35" t="s">
        <v>604</v>
      </c>
    </row>
    <row r="787" spans="1:6">
      <c r="A787" s="35" t="s">
        <v>1388</v>
      </c>
      <c r="B787" s="37">
        <v>98.2125244140625</v>
      </c>
      <c r="C787" s="37">
        <v>88.901679992675781</v>
      </c>
      <c r="D787" s="35">
        <v>13729428</v>
      </c>
      <c r="E787" s="35" t="s">
        <v>1346</v>
      </c>
      <c r="F787" s="35" t="s">
        <v>604</v>
      </c>
    </row>
    <row r="788" spans="1:6">
      <c r="A788" s="35" t="s">
        <v>1389</v>
      </c>
      <c r="B788" s="37">
        <v>97.725021362304688</v>
      </c>
      <c r="C788" s="37">
        <v>88.460372924804688</v>
      </c>
      <c r="D788" s="35">
        <v>3800052</v>
      </c>
      <c r="E788" s="35" t="s">
        <v>1346</v>
      </c>
      <c r="F788" s="35" t="s">
        <v>604</v>
      </c>
    </row>
    <row r="789" spans="1:6">
      <c r="A789" s="35" t="s">
        <v>1390</v>
      </c>
      <c r="B789" s="37">
        <v>97.5562744140625</v>
      </c>
      <c r="C789" s="37">
        <v>88.307647705078125</v>
      </c>
      <c r="D789" s="35">
        <v>4223321</v>
      </c>
      <c r="E789" s="35" t="s">
        <v>1346</v>
      </c>
      <c r="F789" s="35" t="s">
        <v>604</v>
      </c>
    </row>
    <row r="790" spans="1:6">
      <c r="A790" s="35" t="s">
        <v>1391</v>
      </c>
      <c r="B790" s="37">
        <v>95.718772888183594</v>
      </c>
      <c r="C790" s="37">
        <v>86.644332885742188</v>
      </c>
      <c r="D790" s="35">
        <v>6572043</v>
      </c>
      <c r="E790" s="35" t="s">
        <v>1346</v>
      </c>
      <c r="F790" s="35" t="s">
        <v>604</v>
      </c>
    </row>
    <row r="791" spans="1:6">
      <c r="A791" s="35" t="s">
        <v>1392</v>
      </c>
      <c r="B791" s="37">
        <v>97.218772888183594</v>
      </c>
      <c r="C791" s="37">
        <v>88.00213623046875</v>
      </c>
      <c r="D791" s="35">
        <v>5079518</v>
      </c>
      <c r="E791" s="35" t="s">
        <v>1346</v>
      </c>
      <c r="F791" s="35" t="s">
        <v>604</v>
      </c>
    </row>
    <row r="792" spans="1:6">
      <c r="A792" s="35" t="s">
        <v>1393</v>
      </c>
      <c r="B792" s="37">
        <v>99.225021362304688</v>
      </c>
      <c r="C792" s="37">
        <v>89.818183898925781</v>
      </c>
      <c r="D792" s="35">
        <v>5339491</v>
      </c>
      <c r="E792" s="35" t="s">
        <v>1346</v>
      </c>
      <c r="F792" s="35" t="s">
        <v>604</v>
      </c>
    </row>
    <row r="793" spans="1:6">
      <c r="A793" s="35" t="s">
        <v>1394</v>
      </c>
      <c r="B793" s="37">
        <v>99.000022888183594</v>
      </c>
      <c r="C793" s="37">
        <v>89.614517211914063</v>
      </c>
      <c r="D793" s="35">
        <v>5026132</v>
      </c>
      <c r="E793" s="35" t="s">
        <v>1346</v>
      </c>
      <c r="F793" s="35" t="s">
        <v>604</v>
      </c>
    </row>
    <row r="794" spans="1:6">
      <c r="A794" s="35" t="s">
        <v>1395</v>
      </c>
      <c r="B794" s="37">
        <v>99.1500244140625</v>
      </c>
      <c r="C794" s="37">
        <v>89.75030517578125</v>
      </c>
      <c r="D794" s="35">
        <v>5541131</v>
      </c>
      <c r="E794" s="35" t="s">
        <v>1346</v>
      </c>
      <c r="F794" s="35" t="s">
        <v>604</v>
      </c>
    </row>
    <row r="795" spans="1:6">
      <c r="A795" s="35" t="s">
        <v>1396</v>
      </c>
      <c r="B795" s="37">
        <v>99.918777465820313</v>
      </c>
      <c r="C795" s="37">
        <v>90.446174621582031</v>
      </c>
      <c r="D795" s="35">
        <v>6065963</v>
      </c>
      <c r="E795" s="35" t="s">
        <v>1346</v>
      </c>
      <c r="F795" s="35" t="s">
        <v>604</v>
      </c>
    </row>
    <row r="796" spans="1:6">
      <c r="A796" s="35" t="s">
        <v>1397</v>
      </c>
      <c r="B796" s="37">
        <v>100.80002593994141</v>
      </c>
      <c r="C796" s="37">
        <v>91.243881225585938</v>
      </c>
      <c r="D796" s="35">
        <v>4100905</v>
      </c>
      <c r="E796" s="35" t="s">
        <v>1346</v>
      </c>
      <c r="F796" s="35" t="s">
        <v>604</v>
      </c>
    </row>
    <row r="797" spans="1:6">
      <c r="A797" s="35" t="s">
        <v>1398</v>
      </c>
      <c r="B797" s="37">
        <v>99.9000244140625</v>
      </c>
      <c r="C797" s="37">
        <v>90.429206848144531</v>
      </c>
      <c r="D797" s="35">
        <v>6231142</v>
      </c>
      <c r="E797" s="35" t="s">
        <v>1346</v>
      </c>
      <c r="F797" s="35" t="s">
        <v>604</v>
      </c>
    </row>
    <row r="798" spans="1:6">
      <c r="A798" s="35" t="s">
        <v>1399</v>
      </c>
      <c r="B798" s="37">
        <v>100.0875244140625</v>
      </c>
      <c r="C798" s="37">
        <v>90.598930358886719</v>
      </c>
      <c r="D798" s="35">
        <v>12894495</v>
      </c>
      <c r="E798" s="35" t="s">
        <v>1346</v>
      </c>
      <c r="F798" s="35" t="s">
        <v>604</v>
      </c>
    </row>
    <row r="799" spans="1:6">
      <c r="A799" s="35" t="s">
        <v>1400</v>
      </c>
      <c r="B799" s="37">
        <v>99.656272888183594</v>
      </c>
      <c r="C799" s="37">
        <v>90.208564758300781</v>
      </c>
      <c r="D799" s="35">
        <v>8318768</v>
      </c>
      <c r="E799" s="35" t="s">
        <v>1346</v>
      </c>
      <c r="F799" s="35" t="s">
        <v>604</v>
      </c>
    </row>
    <row r="800" spans="1:6">
      <c r="A800" s="35" t="s">
        <v>1401</v>
      </c>
      <c r="B800" s="37">
        <v>97.875022888183594</v>
      </c>
      <c r="C800" s="37">
        <v>88.596168518066406</v>
      </c>
      <c r="D800" s="35">
        <v>9780146</v>
      </c>
      <c r="E800" s="35" t="s">
        <v>1346</v>
      </c>
      <c r="F800" s="35" t="s">
        <v>604</v>
      </c>
    </row>
    <row r="801" spans="1:6">
      <c r="A801" s="35" t="s">
        <v>1402</v>
      </c>
      <c r="B801" s="37">
        <v>97.387527465820313</v>
      </c>
      <c r="C801" s="37">
        <v>88.154884338378906</v>
      </c>
      <c r="D801" s="35">
        <v>5125212</v>
      </c>
      <c r="E801" s="35" t="s">
        <v>1346</v>
      </c>
      <c r="F801" s="35" t="s">
        <v>604</v>
      </c>
    </row>
    <row r="802" spans="1:6">
      <c r="A802" s="35" t="s">
        <v>1403</v>
      </c>
      <c r="B802" s="37">
        <v>96.9937744140625</v>
      </c>
      <c r="C802" s="37">
        <v>87.798469543457031</v>
      </c>
      <c r="D802" s="35">
        <v>10174400</v>
      </c>
      <c r="E802" s="35" t="s">
        <v>1346</v>
      </c>
      <c r="F802" s="35" t="s">
        <v>604</v>
      </c>
    </row>
    <row r="803" spans="1:6">
      <c r="A803" s="35" t="s">
        <v>1404</v>
      </c>
      <c r="B803" s="37">
        <v>96.843772888183594</v>
      </c>
      <c r="C803" s="37">
        <v>87.662689208984375</v>
      </c>
      <c r="D803" s="35">
        <v>6965470</v>
      </c>
      <c r="E803" s="35" t="s">
        <v>1346</v>
      </c>
      <c r="F803" s="35" t="s">
        <v>604</v>
      </c>
    </row>
    <row r="804" spans="1:6">
      <c r="A804" s="35" t="s">
        <v>1405</v>
      </c>
      <c r="B804" s="37">
        <v>96.562522888183594</v>
      </c>
      <c r="C804" s="37">
        <v>87.408111572265625</v>
      </c>
      <c r="D804" s="35">
        <v>4371876</v>
      </c>
      <c r="E804" s="35" t="s">
        <v>1346</v>
      </c>
      <c r="F804" s="35" t="s">
        <v>604</v>
      </c>
    </row>
    <row r="805" spans="1:6">
      <c r="A805" s="35" t="s">
        <v>1406</v>
      </c>
      <c r="B805" s="37">
        <v>96.600021362304688</v>
      </c>
      <c r="C805" s="37">
        <v>87.442047119140625</v>
      </c>
      <c r="D805" s="35">
        <v>5289660</v>
      </c>
      <c r="E805" s="35" t="s">
        <v>1346</v>
      </c>
      <c r="F805" s="35" t="s">
        <v>604</v>
      </c>
    </row>
    <row r="806" spans="1:6">
      <c r="A806" s="35" t="s">
        <v>1407</v>
      </c>
      <c r="B806" s="37">
        <v>96.018775939941406</v>
      </c>
      <c r="C806" s="37">
        <v>86.915901184082031</v>
      </c>
      <c r="D806" s="35">
        <v>8530568</v>
      </c>
      <c r="E806" s="35" t="s">
        <v>1346</v>
      </c>
      <c r="F806" s="35" t="s">
        <v>604</v>
      </c>
    </row>
    <row r="807" spans="1:6">
      <c r="A807" s="35" t="s">
        <v>1408</v>
      </c>
      <c r="B807" s="37">
        <v>96.412521362304688</v>
      </c>
      <c r="C807" s="37">
        <v>87.272315979003906</v>
      </c>
      <c r="D807" s="35">
        <v>10412698</v>
      </c>
      <c r="E807" s="35" t="s">
        <v>1346</v>
      </c>
      <c r="F807" s="35" t="s">
        <v>604</v>
      </c>
    </row>
    <row r="808" spans="1:6">
      <c r="A808" s="35" t="s">
        <v>1409</v>
      </c>
      <c r="B808" s="37">
        <v>98.062522888183594</v>
      </c>
      <c r="C808" s="37">
        <v>88.765899658203125</v>
      </c>
      <c r="D808" s="35">
        <v>9652752</v>
      </c>
      <c r="E808" s="35" t="s">
        <v>1346</v>
      </c>
      <c r="F808" s="35" t="s">
        <v>604</v>
      </c>
    </row>
    <row r="809" spans="1:6">
      <c r="A809" s="35" t="s">
        <v>1410</v>
      </c>
      <c r="B809" s="37">
        <v>97.725021362304688</v>
      </c>
      <c r="C809" s="37">
        <v>88.460372924804688</v>
      </c>
      <c r="D809" s="35">
        <v>10055613</v>
      </c>
      <c r="E809" s="35" t="s">
        <v>1346</v>
      </c>
      <c r="F809" s="35" t="s">
        <v>604</v>
      </c>
    </row>
    <row r="810" spans="1:6">
      <c r="A810" s="35" t="s">
        <v>1411</v>
      </c>
      <c r="B810" s="37">
        <v>98.2125244140625</v>
      </c>
      <c r="C810" s="37">
        <v>88.901679992675781</v>
      </c>
      <c r="D810" s="35">
        <v>10490968</v>
      </c>
      <c r="E810" s="35" t="s">
        <v>1346</v>
      </c>
      <c r="F810" s="35" t="s">
        <v>604</v>
      </c>
    </row>
    <row r="811" spans="1:6">
      <c r="A811" s="35" t="s">
        <v>1412</v>
      </c>
      <c r="B811" s="37">
        <v>98.231277465820313</v>
      </c>
      <c r="C811" s="37">
        <v>88.918647766113281</v>
      </c>
      <c r="D811" s="35">
        <v>10224848</v>
      </c>
      <c r="E811" s="35" t="s">
        <v>1346</v>
      </c>
      <c r="F811" s="35" t="s">
        <v>604</v>
      </c>
    </row>
    <row r="812" spans="1:6">
      <c r="A812" s="35" t="s">
        <v>1413</v>
      </c>
      <c r="B812" s="37">
        <v>99.037521362304688</v>
      </c>
      <c r="C812" s="37">
        <v>89.648468017578125</v>
      </c>
      <c r="D812" s="35">
        <v>12472818</v>
      </c>
      <c r="E812" s="35" t="s">
        <v>1346</v>
      </c>
      <c r="F812" s="35" t="s">
        <v>604</v>
      </c>
    </row>
    <row r="813" spans="1:6">
      <c r="A813" s="35" t="s">
        <v>1414</v>
      </c>
      <c r="B813" s="37">
        <v>98.550025939941406</v>
      </c>
      <c r="C813" s="37">
        <v>89.207191467285156</v>
      </c>
      <c r="D813" s="35">
        <v>7580592</v>
      </c>
      <c r="E813" s="35" t="s">
        <v>1346</v>
      </c>
      <c r="F813" s="35" t="s">
        <v>604</v>
      </c>
    </row>
    <row r="814" spans="1:6">
      <c r="A814" s="35" t="s">
        <v>1415</v>
      </c>
      <c r="B814" s="37">
        <v>99.356277465820313</v>
      </c>
      <c r="C814" s="37">
        <v>89.936988830566406</v>
      </c>
      <c r="D814" s="35">
        <v>5832667</v>
      </c>
      <c r="E814" s="35" t="s">
        <v>1346</v>
      </c>
      <c r="F814" s="35" t="s">
        <v>604</v>
      </c>
    </row>
    <row r="815" spans="1:6">
      <c r="A815" s="35" t="s">
        <v>1416</v>
      </c>
      <c r="B815" s="37">
        <v>101.47502136230469</v>
      </c>
      <c r="C815" s="37">
        <v>91.854888916015625</v>
      </c>
      <c r="D815" s="35">
        <v>13242228</v>
      </c>
      <c r="E815" s="35" t="s">
        <v>1346</v>
      </c>
      <c r="F815" s="35" t="s">
        <v>604</v>
      </c>
    </row>
    <row r="816" spans="1:6">
      <c r="A816" s="35" t="s">
        <v>1417</v>
      </c>
      <c r="B816" s="37">
        <v>102.03752136230469</v>
      </c>
      <c r="C816" s="37">
        <v>92.364051818847656</v>
      </c>
      <c r="D816" s="35">
        <v>10556522</v>
      </c>
      <c r="E816" s="35" t="s">
        <v>1346</v>
      </c>
      <c r="F816" s="35" t="s">
        <v>604</v>
      </c>
    </row>
    <row r="817" spans="1:6">
      <c r="A817" s="35" t="s">
        <v>1418</v>
      </c>
      <c r="B817" s="37">
        <v>104.79377746582031</v>
      </c>
      <c r="C817" s="37">
        <v>94.859024047851563</v>
      </c>
      <c r="D817" s="35">
        <v>11900279</v>
      </c>
      <c r="E817" s="35" t="s">
        <v>1346</v>
      </c>
      <c r="F817" s="35" t="s">
        <v>604</v>
      </c>
    </row>
    <row r="818" spans="1:6">
      <c r="A818" s="35" t="s">
        <v>1419</v>
      </c>
      <c r="B818" s="37">
        <v>105.31877899169922</v>
      </c>
      <c r="C818" s="37">
        <v>95.334236145019531</v>
      </c>
      <c r="D818" s="35">
        <v>20625128</v>
      </c>
      <c r="E818" s="35" t="s">
        <v>1346</v>
      </c>
      <c r="F818" s="35" t="s">
        <v>604</v>
      </c>
    </row>
    <row r="819" spans="1:6">
      <c r="A819" s="35" t="s">
        <v>1420</v>
      </c>
      <c r="B819" s="37">
        <v>106.16252899169922</v>
      </c>
      <c r="C819" s="37">
        <v>96.097999572753906</v>
      </c>
      <c r="D819" s="35">
        <v>12543791</v>
      </c>
      <c r="E819" s="35" t="s">
        <v>1346</v>
      </c>
      <c r="F819" s="35" t="s">
        <v>604</v>
      </c>
    </row>
    <row r="820" spans="1:6">
      <c r="A820" s="35" t="s">
        <v>1421</v>
      </c>
      <c r="B820" s="37">
        <v>106.4625244140625</v>
      </c>
      <c r="C820" s="37">
        <v>96.369560241699219</v>
      </c>
      <c r="D820" s="35">
        <v>14471569</v>
      </c>
      <c r="E820" s="35" t="s">
        <v>1346</v>
      </c>
      <c r="F820" s="35" t="s">
        <v>604</v>
      </c>
    </row>
    <row r="821" spans="1:6">
      <c r="A821" s="35" t="s">
        <v>1422</v>
      </c>
      <c r="B821" s="37">
        <v>106.80002593994141</v>
      </c>
      <c r="C821" s="37">
        <v>96.675056457519531</v>
      </c>
      <c r="D821" s="35">
        <v>6125915</v>
      </c>
      <c r="E821" s="35" t="s">
        <v>1346</v>
      </c>
      <c r="F821" s="35" t="s">
        <v>604</v>
      </c>
    </row>
    <row r="822" spans="1:6">
      <c r="A822" s="35" t="s">
        <v>1423</v>
      </c>
      <c r="B822" s="37">
        <v>107.17502593994141</v>
      </c>
      <c r="C822" s="37">
        <v>97.014495849609375</v>
      </c>
      <c r="D822" s="35">
        <v>7434390</v>
      </c>
      <c r="E822" s="35" t="s">
        <v>1346</v>
      </c>
      <c r="F822" s="35" t="s">
        <v>604</v>
      </c>
    </row>
    <row r="823" spans="1:6">
      <c r="A823" s="35" t="s">
        <v>1424</v>
      </c>
      <c r="B823" s="37">
        <v>106.12502288818359</v>
      </c>
      <c r="C823" s="37">
        <v>96.064041137695313</v>
      </c>
      <c r="D823" s="35">
        <v>13966393</v>
      </c>
      <c r="E823" s="35" t="s">
        <v>1346</v>
      </c>
      <c r="F823" s="35" t="s">
        <v>604</v>
      </c>
    </row>
    <row r="824" spans="1:6">
      <c r="A824" s="35" t="s">
        <v>1425</v>
      </c>
      <c r="B824" s="37">
        <v>103.66877746582031</v>
      </c>
      <c r="C824" s="37">
        <v>93.840652465820313</v>
      </c>
      <c r="D824" s="35">
        <v>23582642</v>
      </c>
      <c r="E824" s="35" t="s">
        <v>1346</v>
      </c>
      <c r="F824" s="35" t="s">
        <v>604</v>
      </c>
    </row>
    <row r="825" spans="1:6">
      <c r="A825" s="35" t="s">
        <v>1426</v>
      </c>
      <c r="B825" s="37">
        <v>102.35627746582031</v>
      </c>
      <c r="C825" s="37">
        <v>92.652595520019531</v>
      </c>
      <c r="D825" s="35">
        <v>9224277</v>
      </c>
      <c r="E825" s="35" t="s">
        <v>1346</v>
      </c>
      <c r="F825" s="35" t="s">
        <v>604</v>
      </c>
    </row>
    <row r="826" spans="1:6">
      <c r="A826" s="35" t="s">
        <v>1427</v>
      </c>
      <c r="B826" s="37">
        <v>103.01252746582031</v>
      </c>
      <c r="C826" s="37">
        <v>93.246635437011719</v>
      </c>
      <c r="D826" s="35">
        <v>6629507</v>
      </c>
      <c r="E826" s="35" t="s">
        <v>1346</v>
      </c>
      <c r="F826" s="35" t="s">
        <v>604</v>
      </c>
    </row>
    <row r="827" spans="1:6">
      <c r="A827" s="35" t="s">
        <v>1428</v>
      </c>
      <c r="B827" s="37">
        <v>101.7750244140625</v>
      </c>
      <c r="C827" s="37">
        <v>92.126434326171875</v>
      </c>
      <c r="D827" s="35">
        <v>11554893</v>
      </c>
      <c r="E827" s="35" t="s">
        <v>1346</v>
      </c>
      <c r="F827" s="35" t="s">
        <v>604</v>
      </c>
    </row>
    <row r="828" spans="1:6">
      <c r="A828" s="35" t="s">
        <v>1429</v>
      </c>
      <c r="B828" s="37">
        <v>102.93752288818359</v>
      </c>
      <c r="C828" s="37">
        <v>93.178749084472656</v>
      </c>
      <c r="D828" s="35">
        <v>4829553</v>
      </c>
      <c r="E828" s="35" t="s">
        <v>1346</v>
      </c>
      <c r="F828" s="35" t="s">
        <v>604</v>
      </c>
    </row>
    <row r="829" spans="1:6">
      <c r="A829" s="35" t="s">
        <v>1430</v>
      </c>
      <c r="B829" s="37">
        <v>102.4312744140625</v>
      </c>
      <c r="C829" s="37">
        <v>92.720489501953125</v>
      </c>
      <c r="D829" s="35">
        <v>7272923</v>
      </c>
      <c r="E829" s="35" t="s">
        <v>1346</v>
      </c>
      <c r="F829" s="35" t="s">
        <v>604</v>
      </c>
    </row>
    <row r="830" spans="1:6">
      <c r="A830" s="35" t="s">
        <v>1431</v>
      </c>
      <c r="B830" s="37">
        <v>103.6500244140625</v>
      </c>
      <c r="C830" s="37">
        <v>93.823677062988281</v>
      </c>
      <c r="D830" s="35">
        <v>7436176</v>
      </c>
      <c r="E830" s="35" t="s">
        <v>1346</v>
      </c>
      <c r="F830" s="35" t="s">
        <v>604</v>
      </c>
    </row>
    <row r="831" spans="1:6">
      <c r="A831" s="35" t="s">
        <v>1432</v>
      </c>
      <c r="B831" s="37">
        <v>104.00627899169922</v>
      </c>
      <c r="C831" s="37">
        <v>94.146171569824219</v>
      </c>
      <c r="D831" s="35">
        <v>4219572</v>
      </c>
      <c r="E831" s="35" t="s">
        <v>1346</v>
      </c>
      <c r="F831" s="35" t="s">
        <v>604</v>
      </c>
    </row>
    <row r="832" spans="1:6">
      <c r="A832" s="35" t="s">
        <v>1433</v>
      </c>
      <c r="B832" s="37">
        <v>104.66252899169922</v>
      </c>
      <c r="C832" s="37">
        <v>94.740196228027344</v>
      </c>
      <c r="D832" s="35">
        <v>8010016</v>
      </c>
      <c r="E832" s="35" t="s">
        <v>1346</v>
      </c>
      <c r="F832" s="35" t="s">
        <v>604</v>
      </c>
    </row>
    <row r="833" spans="1:6">
      <c r="A833" s="35" t="s">
        <v>1434</v>
      </c>
      <c r="B833" s="37">
        <v>104.25002288818359</v>
      </c>
      <c r="C833" s="37">
        <v>94.366798400878906</v>
      </c>
      <c r="D833" s="35">
        <v>4362841</v>
      </c>
      <c r="E833" s="35" t="s">
        <v>1346</v>
      </c>
      <c r="F833" s="35" t="s">
        <v>604</v>
      </c>
    </row>
    <row r="834" spans="1:6">
      <c r="A834" s="35" t="s">
        <v>1435</v>
      </c>
      <c r="B834" s="37">
        <v>103.89377593994141</v>
      </c>
      <c r="C834" s="37">
        <v>94.044334411621094</v>
      </c>
      <c r="D834" s="35">
        <v>4540062</v>
      </c>
      <c r="E834" s="35" t="s">
        <v>1346</v>
      </c>
      <c r="F834" s="35" t="s">
        <v>604</v>
      </c>
    </row>
    <row r="835" spans="1:6">
      <c r="A835" s="35" t="s">
        <v>1436</v>
      </c>
      <c r="B835" s="37">
        <v>104.04377746582031</v>
      </c>
      <c r="C835" s="37">
        <v>94.18011474609375</v>
      </c>
      <c r="D835" s="35">
        <v>4592433</v>
      </c>
      <c r="E835" s="35" t="s">
        <v>1346</v>
      </c>
      <c r="F835" s="35" t="s">
        <v>604</v>
      </c>
    </row>
    <row r="836" spans="1:6">
      <c r="A836" s="35" t="s">
        <v>1437</v>
      </c>
      <c r="B836" s="37">
        <v>104.43752288818359</v>
      </c>
      <c r="C836" s="37">
        <v>94.536529541015625</v>
      </c>
      <c r="D836" s="35">
        <v>3821153</v>
      </c>
      <c r="E836" s="35" t="s">
        <v>1346</v>
      </c>
      <c r="F836" s="35" t="s">
        <v>604</v>
      </c>
    </row>
    <row r="837" spans="1:6">
      <c r="A837" s="35" t="s">
        <v>1438</v>
      </c>
      <c r="B837" s="37">
        <v>104.51252746582031</v>
      </c>
      <c r="C837" s="37">
        <v>94.604423522949219</v>
      </c>
      <c r="D837" s="35">
        <v>6388521</v>
      </c>
      <c r="E837" s="35" t="s">
        <v>1346</v>
      </c>
      <c r="F837" s="35" t="s">
        <v>604</v>
      </c>
    </row>
    <row r="838" spans="1:6">
      <c r="A838" s="35" t="s">
        <v>1439</v>
      </c>
      <c r="B838" s="37">
        <v>104.56877899169922</v>
      </c>
      <c r="C838" s="37">
        <v>94.65533447265625</v>
      </c>
      <c r="D838" s="35">
        <v>3598180</v>
      </c>
      <c r="E838" s="35" t="s">
        <v>1346</v>
      </c>
      <c r="F838" s="35" t="s">
        <v>604</v>
      </c>
    </row>
    <row r="839" spans="1:6">
      <c r="A839" s="35" t="s">
        <v>1440</v>
      </c>
      <c r="B839" s="37">
        <v>105.69377899169922</v>
      </c>
      <c r="C839" s="37">
        <v>95.673683166503906</v>
      </c>
      <c r="D839" s="35">
        <v>6481139</v>
      </c>
      <c r="E839" s="35" t="s">
        <v>1346</v>
      </c>
      <c r="F839" s="35" t="s">
        <v>604</v>
      </c>
    </row>
    <row r="840" spans="1:6">
      <c r="A840" s="35" t="s">
        <v>1441</v>
      </c>
      <c r="B840" s="37">
        <v>106.89377593994141</v>
      </c>
      <c r="C840" s="37">
        <v>96.759925842285156</v>
      </c>
      <c r="D840" s="35">
        <v>5241916</v>
      </c>
      <c r="E840" s="35" t="s">
        <v>1346</v>
      </c>
      <c r="F840" s="35" t="s">
        <v>604</v>
      </c>
    </row>
    <row r="841" spans="1:6">
      <c r="A841" s="35" t="s">
        <v>1442</v>
      </c>
      <c r="B841" s="37">
        <v>104.79377746582031</v>
      </c>
      <c r="C841" s="37">
        <v>94.859024047851563</v>
      </c>
      <c r="D841" s="35">
        <v>6015278</v>
      </c>
      <c r="E841" s="35" t="s">
        <v>1346</v>
      </c>
      <c r="F841" s="35" t="s">
        <v>604</v>
      </c>
    </row>
    <row r="842" spans="1:6">
      <c r="A842" s="35" t="s">
        <v>1443</v>
      </c>
      <c r="B842" s="37">
        <v>105.01877593994141</v>
      </c>
      <c r="C842" s="37">
        <v>95.06268310546875</v>
      </c>
      <c r="D842" s="35">
        <v>7277246</v>
      </c>
      <c r="E842" s="35" t="s">
        <v>1346</v>
      </c>
      <c r="F842" s="35" t="s">
        <v>604</v>
      </c>
    </row>
    <row r="843" spans="1:6">
      <c r="A843" s="35" t="s">
        <v>1444</v>
      </c>
      <c r="B843" s="37">
        <v>106.89377593994141</v>
      </c>
      <c r="C843" s="37">
        <v>96.759925842285156</v>
      </c>
      <c r="D843" s="35">
        <v>4291894</v>
      </c>
      <c r="E843" s="35" t="s">
        <v>1346</v>
      </c>
      <c r="F843" s="35" t="s">
        <v>604</v>
      </c>
    </row>
    <row r="844" spans="1:6">
      <c r="A844" s="35" t="s">
        <v>1445</v>
      </c>
      <c r="B844" s="37">
        <v>108.35627746582031</v>
      </c>
      <c r="C844" s="37">
        <v>98.083763122558594</v>
      </c>
      <c r="D844" s="35">
        <v>16189619</v>
      </c>
      <c r="E844" s="35" t="s">
        <v>1346</v>
      </c>
      <c r="F844" s="35" t="s">
        <v>604</v>
      </c>
    </row>
    <row r="845" spans="1:6">
      <c r="A845" s="35" t="s">
        <v>1446</v>
      </c>
      <c r="B845" s="37">
        <v>108.65628051757813</v>
      </c>
      <c r="C845" s="37">
        <v>98.355323791503906</v>
      </c>
      <c r="D845" s="35">
        <v>7277960</v>
      </c>
      <c r="E845" s="35" t="s">
        <v>1346</v>
      </c>
      <c r="F845" s="35" t="s">
        <v>604</v>
      </c>
    </row>
    <row r="846" spans="1:6">
      <c r="A846" s="35" t="s">
        <v>1447</v>
      </c>
      <c r="B846" s="37">
        <v>109.5562744140625</v>
      </c>
      <c r="C846" s="37">
        <v>99.170005798339844</v>
      </c>
      <c r="D846" s="35">
        <v>11267031</v>
      </c>
      <c r="E846" s="35" t="s">
        <v>1346</v>
      </c>
      <c r="F846" s="35" t="s">
        <v>604</v>
      </c>
    </row>
    <row r="847" spans="1:6">
      <c r="A847" s="35" t="s">
        <v>1448</v>
      </c>
      <c r="B847" s="37">
        <v>110.94377899169922</v>
      </c>
      <c r="C847" s="37">
        <v>100.42597961425781</v>
      </c>
      <c r="D847" s="35">
        <v>6811390</v>
      </c>
      <c r="E847" s="35" t="s">
        <v>1346</v>
      </c>
      <c r="F847" s="35" t="s">
        <v>604</v>
      </c>
    </row>
    <row r="848" spans="1:6">
      <c r="A848" s="35" t="s">
        <v>1449</v>
      </c>
      <c r="B848" s="37">
        <v>110.85002899169922</v>
      </c>
      <c r="C848" s="37">
        <v>100.34111022949219</v>
      </c>
      <c r="D848" s="35">
        <v>4051198</v>
      </c>
      <c r="E848" s="35" t="s">
        <v>1346</v>
      </c>
      <c r="F848" s="35" t="s">
        <v>604</v>
      </c>
    </row>
    <row r="849" spans="1:6">
      <c r="A849" s="35" t="s">
        <v>1450</v>
      </c>
      <c r="B849" s="37">
        <v>111.28128051757813</v>
      </c>
      <c r="C849" s="37">
        <v>100.73147583007813</v>
      </c>
      <c r="D849" s="35">
        <v>4285462</v>
      </c>
      <c r="E849" s="35" t="s">
        <v>1346</v>
      </c>
      <c r="F849" s="35" t="s">
        <v>604</v>
      </c>
    </row>
    <row r="850" spans="1:6">
      <c r="A850" s="35" t="s">
        <v>1451</v>
      </c>
      <c r="B850" s="37">
        <v>112.10627746582031</v>
      </c>
      <c r="C850" s="37">
        <v>101.47825622558594</v>
      </c>
      <c r="D850" s="35">
        <v>9067763</v>
      </c>
      <c r="E850" s="35" t="s">
        <v>1346</v>
      </c>
      <c r="F850" s="35" t="s">
        <v>604</v>
      </c>
    </row>
    <row r="851" spans="1:6">
      <c r="A851" s="35" t="s">
        <v>1452</v>
      </c>
      <c r="B851" s="37">
        <v>112.96878051757813</v>
      </c>
      <c r="C851" s="37">
        <v>102.25898742675781</v>
      </c>
      <c r="D851" s="35">
        <v>18087318</v>
      </c>
      <c r="E851" s="35" t="s">
        <v>1346</v>
      </c>
      <c r="F851" s="35" t="s">
        <v>604</v>
      </c>
    </row>
    <row r="852" spans="1:6">
      <c r="A852" s="35" t="s">
        <v>1453</v>
      </c>
      <c r="B852" s="37">
        <v>115.63127899169922</v>
      </c>
      <c r="C852" s="37">
        <v>104.66909027099609</v>
      </c>
      <c r="D852" s="35">
        <v>68625769</v>
      </c>
      <c r="E852" s="35" t="s">
        <v>1346</v>
      </c>
      <c r="F852" s="35" t="s">
        <v>604</v>
      </c>
    </row>
    <row r="853" spans="1:6">
      <c r="A853" s="35" t="s">
        <v>1454</v>
      </c>
      <c r="B853" s="37">
        <v>117.50627899169922</v>
      </c>
      <c r="C853" s="37">
        <v>106.36631011962891</v>
      </c>
      <c r="D853" s="35">
        <v>21828613</v>
      </c>
      <c r="E853" s="35" t="s">
        <v>1346</v>
      </c>
      <c r="F853" s="35" t="s">
        <v>604</v>
      </c>
    </row>
    <row r="854" spans="1:6">
      <c r="A854" s="35" t="s">
        <v>1455</v>
      </c>
      <c r="B854" s="37">
        <v>119.56877899169922</v>
      </c>
      <c r="C854" s="37">
        <v>108.23329162597656</v>
      </c>
      <c r="D854" s="35">
        <v>30871477</v>
      </c>
      <c r="E854" s="35" t="s">
        <v>1346</v>
      </c>
      <c r="F854" s="35" t="s">
        <v>604</v>
      </c>
    </row>
    <row r="855" spans="1:6">
      <c r="A855" s="35" t="s">
        <v>1456</v>
      </c>
      <c r="B855" s="37">
        <v>120.45002746582031</v>
      </c>
      <c r="C855" s="37">
        <v>109.03098297119141</v>
      </c>
      <c r="D855" s="35">
        <v>26924326</v>
      </c>
      <c r="E855" s="35" t="s">
        <v>1346</v>
      </c>
      <c r="F855" s="35" t="s">
        <v>604</v>
      </c>
    </row>
    <row r="856" spans="1:6">
      <c r="A856" s="35" t="s">
        <v>1457</v>
      </c>
      <c r="B856" s="37">
        <v>121.76252746582031</v>
      </c>
      <c r="C856" s="37">
        <v>110.21907043457031</v>
      </c>
      <c r="D856" s="35">
        <v>22940730</v>
      </c>
      <c r="E856" s="35" t="s">
        <v>1346</v>
      </c>
      <c r="F856" s="35" t="s">
        <v>604</v>
      </c>
    </row>
    <row r="857" spans="1:6">
      <c r="A857" s="35" t="s">
        <v>1458</v>
      </c>
      <c r="B857" s="37">
        <v>121.87503051757813</v>
      </c>
      <c r="C857" s="37">
        <v>110.32090759277344</v>
      </c>
      <c r="D857" s="35">
        <v>16966961</v>
      </c>
      <c r="E857" s="35" t="s">
        <v>1346</v>
      </c>
      <c r="F857" s="35" t="s">
        <v>604</v>
      </c>
    </row>
    <row r="858" spans="1:6">
      <c r="A858" s="35" t="s">
        <v>1459</v>
      </c>
      <c r="B858" s="37">
        <v>121.48127746582031</v>
      </c>
      <c r="C858" s="37">
        <v>109.9644775390625</v>
      </c>
      <c r="D858" s="35">
        <v>12710847</v>
      </c>
      <c r="E858" s="35" t="s">
        <v>1346</v>
      </c>
      <c r="F858" s="35" t="s">
        <v>604</v>
      </c>
    </row>
    <row r="859" spans="1:6">
      <c r="A859" s="35" t="s">
        <v>1460</v>
      </c>
      <c r="B859" s="37">
        <v>123.28128051757813</v>
      </c>
      <c r="C859" s="37">
        <v>111.59384155273438</v>
      </c>
      <c r="D859" s="35">
        <v>16704169</v>
      </c>
      <c r="E859" s="35" t="s">
        <v>1346</v>
      </c>
      <c r="F859" s="35" t="s">
        <v>604</v>
      </c>
    </row>
    <row r="860" spans="1:6">
      <c r="A860" s="35" t="s">
        <v>1461</v>
      </c>
      <c r="B860" s="37">
        <v>123.82502746582031</v>
      </c>
      <c r="C860" s="37">
        <v>112.08602905273438</v>
      </c>
      <c r="D860" s="35">
        <v>11404741</v>
      </c>
      <c r="E860" s="35" t="s">
        <v>1346</v>
      </c>
      <c r="F860" s="35" t="s">
        <v>604</v>
      </c>
    </row>
    <row r="861" spans="1:6">
      <c r="A861" s="35" t="s">
        <v>1462</v>
      </c>
      <c r="B861" s="37">
        <v>123.71253204345703</v>
      </c>
      <c r="C861" s="37">
        <v>111.98420715332031</v>
      </c>
      <c r="D861" s="35">
        <v>12352938</v>
      </c>
      <c r="E861" s="35" t="s">
        <v>1346</v>
      </c>
      <c r="F861" s="35" t="s">
        <v>604</v>
      </c>
    </row>
    <row r="862" spans="1:6">
      <c r="A862" s="35" t="s">
        <v>1463</v>
      </c>
      <c r="B862" s="37">
        <v>124.70628356933594</v>
      </c>
      <c r="C862" s="37">
        <v>112.88374328613281</v>
      </c>
      <c r="D862" s="35">
        <v>7248678</v>
      </c>
      <c r="E862" s="35" t="s">
        <v>1346</v>
      </c>
      <c r="F862" s="35" t="s">
        <v>604</v>
      </c>
    </row>
    <row r="863" spans="1:6">
      <c r="A863" s="35" t="s">
        <v>1464</v>
      </c>
      <c r="B863" s="37">
        <v>124.76252746582031</v>
      </c>
      <c r="C863" s="37">
        <v>112.93465423583984</v>
      </c>
      <c r="D863" s="35">
        <v>7797531</v>
      </c>
      <c r="E863" s="35" t="s">
        <v>1346</v>
      </c>
      <c r="F863" s="35" t="s">
        <v>604</v>
      </c>
    </row>
    <row r="864" spans="1:6">
      <c r="A864" s="35" t="s">
        <v>1465</v>
      </c>
      <c r="B864" s="37">
        <v>125.70002746582031</v>
      </c>
      <c r="C864" s="37">
        <v>113.78327941894531</v>
      </c>
      <c r="D864" s="35">
        <v>17700584</v>
      </c>
      <c r="E864" s="35" t="s">
        <v>1346</v>
      </c>
      <c r="F864" s="35" t="s">
        <v>604</v>
      </c>
    </row>
    <row r="865" spans="1:6">
      <c r="A865" s="35" t="s">
        <v>1466</v>
      </c>
      <c r="B865" s="37">
        <v>124.76252746582031</v>
      </c>
      <c r="C865" s="37">
        <v>112.93465423583984</v>
      </c>
      <c r="D865" s="35">
        <v>9975645</v>
      </c>
      <c r="E865" s="35" t="s">
        <v>1346</v>
      </c>
      <c r="F865" s="35" t="s">
        <v>604</v>
      </c>
    </row>
    <row r="866" spans="1:6">
      <c r="A866" s="35" t="s">
        <v>1467</v>
      </c>
      <c r="B866" s="37">
        <v>123.11253356933594</v>
      </c>
      <c r="C866" s="37">
        <v>111.44109344482422</v>
      </c>
      <c r="D866" s="35">
        <v>9037680</v>
      </c>
      <c r="E866" s="35" t="s">
        <v>1346</v>
      </c>
      <c r="F866" s="35" t="s">
        <v>604</v>
      </c>
    </row>
    <row r="867" spans="1:6">
      <c r="A867" s="35" t="s">
        <v>1468</v>
      </c>
      <c r="B867" s="37">
        <v>119.71878051757813</v>
      </c>
      <c r="C867" s="37">
        <v>108.36906433105469</v>
      </c>
      <c r="D867" s="35">
        <v>20972861</v>
      </c>
      <c r="E867" s="35" t="s">
        <v>1346</v>
      </c>
      <c r="F867" s="35" t="s">
        <v>604</v>
      </c>
    </row>
    <row r="868" spans="1:6">
      <c r="A868" s="35" t="s">
        <v>1469</v>
      </c>
      <c r="B868" s="37">
        <v>119.60627746582031</v>
      </c>
      <c r="C868" s="37">
        <v>108.26722717285156</v>
      </c>
      <c r="D868" s="35">
        <v>47992758</v>
      </c>
      <c r="E868" s="35" t="s">
        <v>1346</v>
      </c>
      <c r="F868" s="35" t="s">
        <v>604</v>
      </c>
    </row>
    <row r="869" spans="1:6">
      <c r="A869" s="35" t="s">
        <v>1470</v>
      </c>
      <c r="B869" s="37">
        <v>121.50003051757813</v>
      </c>
      <c r="C869" s="37">
        <v>109.98146057128906</v>
      </c>
      <c r="D869" s="35">
        <v>18433179</v>
      </c>
      <c r="E869" s="35" t="s">
        <v>1346</v>
      </c>
      <c r="F869" s="35" t="s">
        <v>604</v>
      </c>
    </row>
    <row r="870" spans="1:6">
      <c r="A870" s="35" t="s">
        <v>1471</v>
      </c>
      <c r="B870" s="37">
        <v>123.80628204345703</v>
      </c>
      <c r="C870" s="37">
        <v>112.06905364990234</v>
      </c>
      <c r="D870" s="35">
        <v>10879266</v>
      </c>
      <c r="E870" s="35" t="s">
        <v>1346</v>
      </c>
      <c r="F870" s="35" t="s">
        <v>604</v>
      </c>
    </row>
    <row r="871" spans="1:6">
      <c r="A871" s="35" t="s">
        <v>1472</v>
      </c>
      <c r="B871" s="37">
        <v>122.81253051757813</v>
      </c>
      <c r="C871" s="37">
        <v>111.16953277587891</v>
      </c>
      <c r="D871" s="35">
        <v>9550589</v>
      </c>
      <c r="E871" s="35" t="s">
        <v>1346</v>
      </c>
      <c r="F871" s="35" t="s">
        <v>604</v>
      </c>
    </row>
    <row r="872" spans="1:6">
      <c r="A872" s="35" t="s">
        <v>1473</v>
      </c>
      <c r="B872" s="37">
        <v>122.11878204345703</v>
      </c>
      <c r="C872" s="37">
        <v>110.54154968261719</v>
      </c>
      <c r="D872" s="35">
        <v>12296495</v>
      </c>
      <c r="E872" s="35" t="s">
        <v>1346</v>
      </c>
      <c r="F872" s="35" t="s">
        <v>604</v>
      </c>
    </row>
    <row r="873" spans="1:6">
      <c r="A873" s="35" t="s">
        <v>1474</v>
      </c>
      <c r="B873" s="37">
        <v>121.98753356933594</v>
      </c>
      <c r="C873" s="37">
        <v>110.42274475097656</v>
      </c>
      <c r="D873" s="35">
        <v>8937680</v>
      </c>
      <c r="E873" s="35" t="s">
        <v>1346</v>
      </c>
      <c r="F873" s="35" t="s">
        <v>604</v>
      </c>
    </row>
    <row r="874" spans="1:6">
      <c r="A874" s="35" t="s">
        <v>1475</v>
      </c>
      <c r="B874" s="37">
        <v>119.06253051757813</v>
      </c>
      <c r="C874" s="37">
        <v>107.77503967285156</v>
      </c>
      <c r="D874" s="35">
        <v>9465389</v>
      </c>
      <c r="E874" s="35" t="s">
        <v>1346</v>
      </c>
      <c r="F874" s="35" t="s">
        <v>604</v>
      </c>
    </row>
    <row r="875" spans="1:6">
      <c r="A875" s="35" t="s">
        <v>1476</v>
      </c>
      <c r="B875" s="37">
        <v>120.61878204345703</v>
      </c>
      <c r="C875" s="37">
        <v>109.18375396728516</v>
      </c>
      <c r="D875" s="35">
        <v>9932090</v>
      </c>
      <c r="E875" s="35" t="s">
        <v>1346</v>
      </c>
      <c r="F875" s="35" t="s">
        <v>604</v>
      </c>
    </row>
    <row r="876" spans="1:6">
      <c r="A876" s="35" t="s">
        <v>1477</v>
      </c>
      <c r="B876" s="37">
        <v>118.48127746582031</v>
      </c>
      <c r="C876" s="37">
        <v>107.24888610839844</v>
      </c>
      <c r="D876" s="35">
        <v>9764277</v>
      </c>
      <c r="E876" s="35" t="s">
        <v>1346</v>
      </c>
      <c r="F876" s="35" t="s">
        <v>604</v>
      </c>
    </row>
    <row r="877" spans="1:6">
      <c r="A877" s="35" t="s">
        <v>1478</v>
      </c>
      <c r="B877" s="37">
        <v>117.39377593994141</v>
      </c>
      <c r="C877" s="37">
        <v>106.26450347900391</v>
      </c>
      <c r="D877" s="35">
        <v>7138056</v>
      </c>
      <c r="E877" s="35" t="s">
        <v>1346</v>
      </c>
      <c r="F877" s="35" t="s">
        <v>604</v>
      </c>
    </row>
    <row r="878" spans="1:6">
      <c r="A878" s="35" t="s">
        <v>1479</v>
      </c>
      <c r="B878" s="37">
        <v>118.61252593994141</v>
      </c>
      <c r="C878" s="37">
        <v>107.36771392822266</v>
      </c>
      <c r="D878" s="35">
        <v>8960733</v>
      </c>
      <c r="E878" s="35" t="s">
        <v>1346</v>
      </c>
      <c r="F878" s="35" t="s">
        <v>604</v>
      </c>
    </row>
    <row r="879" spans="1:6">
      <c r="A879" s="35" t="s">
        <v>1480</v>
      </c>
      <c r="B879" s="37">
        <v>119.98127746582031</v>
      </c>
      <c r="C879" s="37">
        <v>108.606689453125</v>
      </c>
      <c r="D879" s="35">
        <v>8342805</v>
      </c>
      <c r="E879" s="35" t="s">
        <v>1346</v>
      </c>
      <c r="F879" s="35" t="s">
        <v>604</v>
      </c>
    </row>
    <row r="880" spans="1:6">
      <c r="A880" s="35" t="s">
        <v>1481</v>
      </c>
      <c r="B880" s="37">
        <v>119.64377593994141</v>
      </c>
      <c r="C880" s="37">
        <v>108.30118560791016</v>
      </c>
      <c r="D880" s="35">
        <v>8320912</v>
      </c>
      <c r="E880" s="35" t="s">
        <v>1346</v>
      </c>
      <c r="F880" s="35" t="s">
        <v>604</v>
      </c>
    </row>
    <row r="881" spans="1:6">
      <c r="A881" s="35" t="s">
        <v>1482</v>
      </c>
      <c r="B881" s="37">
        <v>121.18128204345703</v>
      </c>
      <c r="C881" s="37">
        <v>109.69293212890625</v>
      </c>
      <c r="D881" s="35">
        <v>12641962</v>
      </c>
      <c r="E881" s="35" t="s">
        <v>1346</v>
      </c>
      <c r="F881" s="35" t="s">
        <v>604</v>
      </c>
    </row>
    <row r="882" spans="1:6">
      <c r="A882" s="35" t="s">
        <v>1483</v>
      </c>
      <c r="B882" s="37">
        <v>121.18128204345703</v>
      </c>
      <c r="C882" s="37">
        <v>109.69293212890625</v>
      </c>
      <c r="D882" s="35">
        <v>7051648</v>
      </c>
      <c r="E882" s="35" t="s">
        <v>1346</v>
      </c>
      <c r="F882" s="35" t="s">
        <v>604</v>
      </c>
    </row>
    <row r="883" spans="1:6">
      <c r="A883" s="35" t="s">
        <v>1484</v>
      </c>
      <c r="B883" s="37">
        <v>120.82502746582031</v>
      </c>
      <c r="C883" s="37">
        <v>109.37043762207031</v>
      </c>
      <c r="D883" s="35">
        <v>4842137</v>
      </c>
      <c r="E883" s="35" t="s">
        <v>1346</v>
      </c>
      <c r="F883" s="35" t="s">
        <v>604</v>
      </c>
    </row>
    <row r="884" spans="1:6">
      <c r="A884" s="35" t="s">
        <v>1485</v>
      </c>
      <c r="B884" s="37">
        <v>115.91252899169922</v>
      </c>
      <c r="C884" s="37">
        <v>104.92366790771484</v>
      </c>
      <c r="D884" s="35">
        <v>10176672</v>
      </c>
      <c r="E884" s="35" t="s">
        <v>1346</v>
      </c>
      <c r="F884" s="35" t="s">
        <v>604</v>
      </c>
    </row>
    <row r="885" spans="1:6">
      <c r="A885" s="35" t="s">
        <v>1486</v>
      </c>
      <c r="B885" s="37">
        <v>115.80002593994141</v>
      </c>
      <c r="C885" s="37">
        <v>104.82183074951172</v>
      </c>
      <c r="D885" s="35">
        <v>12479882</v>
      </c>
      <c r="E885" s="35" t="s">
        <v>1346</v>
      </c>
      <c r="F885" s="35" t="s">
        <v>604</v>
      </c>
    </row>
    <row r="886" spans="1:6">
      <c r="A886" s="35" t="s">
        <v>1487</v>
      </c>
      <c r="B886" s="37">
        <v>119.45627593994141</v>
      </c>
      <c r="C886" s="37">
        <v>108.13145446777344</v>
      </c>
      <c r="D886" s="35">
        <v>37804166</v>
      </c>
      <c r="E886" s="35" t="s">
        <v>1346</v>
      </c>
      <c r="F886" s="35" t="s">
        <v>604</v>
      </c>
    </row>
    <row r="887" spans="1:6">
      <c r="A887" s="35" t="s">
        <v>1488</v>
      </c>
      <c r="B887" s="37">
        <v>120.22502899169922</v>
      </c>
      <c r="C887" s="37">
        <v>108.82732391357422</v>
      </c>
      <c r="D887" s="35">
        <v>11805695</v>
      </c>
      <c r="E887" s="35" t="s">
        <v>1346</v>
      </c>
      <c r="F887" s="35" t="s">
        <v>604</v>
      </c>
    </row>
    <row r="888" spans="1:6">
      <c r="A888" s="35" t="s">
        <v>1489</v>
      </c>
      <c r="B888" s="37">
        <v>123.56253051757813</v>
      </c>
      <c r="C888" s="37">
        <v>111.84843444824219</v>
      </c>
      <c r="D888" s="35">
        <v>6600369</v>
      </c>
      <c r="E888" s="35" t="s">
        <v>1346</v>
      </c>
      <c r="F888" s="35" t="s">
        <v>604</v>
      </c>
    </row>
    <row r="889" spans="1:6">
      <c r="A889" s="35" t="s">
        <v>1490</v>
      </c>
      <c r="B889" s="37">
        <v>122.81253051757813</v>
      </c>
      <c r="C889" s="37">
        <v>111.16953277587891</v>
      </c>
      <c r="D889" s="35">
        <v>9880349</v>
      </c>
      <c r="E889" s="35" t="s">
        <v>1346</v>
      </c>
      <c r="F889" s="35" t="s">
        <v>604</v>
      </c>
    </row>
    <row r="890" spans="1:6">
      <c r="A890" s="35" t="s">
        <v>1491</v>
      </c>
      <c r="B890" s="37">
        <v>124.20002746582031</v>
      </c>
      <c r="C890" s="37">
        <v>112.42548370361328</v>
      </c>
      <c r="D890" s="35">
        <v>8013245</v>
      </c>
      <c r="E890" s="35" t="s">
        <v>1346</v>
      </c>
      <c r="F890" s="35" t="s">
        <v>604</v>
      </c>
    </row>
    <row r="891" spans="1:6">
      <c r="A891" s="35" t="s">
        <v>1492</v>
      </c>
      <c r="B891" s="37">
        <v>123.61878204345703</v>
      </c>
      <c r="C891" s="37">
        <v>111.89936065673828</v>
      </c>
      <c r="D891" s="35">
        <v>6681864</v>
      </c>
      <c r="E891" s="35" t="s">
        <v>1346</v>
      </c>
      <c r="F891" s="35" t="s">
        <v>604</v>
      </c>
    </row>
    <row r="892" spans="1:6">
      <c r="A892" s="35" t="s">
        <v>1493</v>
      </c>
      <c r="B892" s="37">
        <v>119.40003204345703</v>
      </c>
      <c r="C892" s="37">
        <v>108.08053588867188</v>
      </c>
      <c r="D892" s="35">
        <v>9761930</v>
      </c>
      <c r="E892" s="35" t="s">
        <v>1346</v>
      </c>
      <c r="F892" s="35" t="s">
        <v>604</v>
      </c>
    </row>
    <row r="893" spans="1:6">
      <c r="A893" s="35" t="s">
        <v>1494</v>
      </c>
      <c r="B893" s="37">
        <v>121.53752899169922</v>
      </c>
      <c r="C893" s="37">
        <v>110.01540374755859</v>
      </c>
      <c r="D893" s="35">
        <v>6810854</v>
      </c>
      <c r="E893" s="35" t="s">
        <v>1346</v>
      </c>
      <c r="F893" s="35" t="s">
        <v>604</v>
      </c>
    </row>
    <row r="894" spans="1:6">
      <c r="A894" s="35" t="s">
        <v>1495</v>
      </c>
      <c r="B894" s="37">
        <v>121.83753204345703</v>
      </c>
      <c r="C894" s="37">
        <v>110.28695678710938</v>
      </c>
      <c r="D894" s="35">
        <v>6109153</v>
      </c>
      <c r="E894" s="35" t="s">
        <v>1346</v>
      </c>
      <c r="F894" s="35" t="s">
        <v>604</v>
      </c>
    </row>
    <row r="895" spans="1:6">
      <c r="A895" s="35" t="s">
        <v>1496</v>
      </c>
      <c r="B895" s="37">
        <v>122.00627899169922</v>
      </c>
      <c r="C895" s="37">
        <v>110.43972015380859</v>
      </c>
      <c r="D895" s="35">
        <v>380109</v>
      </c>
      <c r="E895" s="35" t="s">
        <v>1346</v>
      </c>
      <c r="F895" s="35" t="s">
        <v>604</v>
      </c>
    </row>
    <row r="896" spans="1:6">
      <c r="A896" s="35" t="s">
        <v>1497</v>
      </c>
      <c r="B896" s="37">
        <v>121.81877899169922</v>
      </c>
      <c r="C896" s="37">
        <v>110.26998138427734</v>
      </c>
      <c r="D896" s="35">
        <v>12329274</v>
      </c>
      <c r="E896" s="35" t="s">
        <v>1346</v>
      </c>
      <c r="F896" s="35" t="s">
        <v>604</v>
      </c>
    </row>
    <row r="897" spans="1:6">
      <c r="A897" s="35" t="s">
        <v>1498</v>
      </c>
      <c r="B897" s="37">
        <v>121.25627899169922</v>
      </c>
      <c r="C897" s="37">
        <v>109.76081085205078</v>
      </c>
      <c r="D897" s="35">
        <v>6897542</v>
      </c>
      <c r="E897" s="35" t="s">
        <v>1346</v>
      </c>
      <c r="F897" s="35" t="s">
        <v>604</v>
      </c>
    </row>
    <row r="898" spans="1:6">
      <c r="A898" s="35" t="s">
        <v>1499</v>
      </c>
      <c r="B898" s="37">
        <v>122.30628204345703</v>
      </c>
      <c r="C898" s="37">
        <v>110.71127319335938</v>
      </c>
      <c r="D898" s="35">
        <v>6101731</v>
      </c>
      <c r="E898" s="35" t="s">
        <v>1346</v>
      </c>
      <c r="F898" s="35" t="s">
        <v>604</v>
      </c>
    </row>
    <row r="899" spans="1:6">
      <c r="A899" s="35" t="s">
        <v>1500</v>
      </c>
      <c r="B899" s="37">
        <v>121.70628356933594</v>
      </c>
      <c r="C899" s="37">
        <v>110.16815185546875</v>
      </c>
      <c r="D899" s="35">
        <v>4883777</v>
      </c>
      <c r="E899" s="35" t="s">
        <v>1346</v>
      </c>
      <c r="F899" s="35" t="s">
        <v>604</v>
      </c>
    </row>
    <row r="900" spans="1:6">
      <c r="A900" s="35" t="s">
        <v>1501</v>
      </c>
      <c r="B900" s="37">
        <v>121.18128204345703</v>
      </c>
      <c r="C900" s="37">
        <v>109.69293212890625</v>
      </c>
      <c r="D900" s="35">
        <v>8942797</v>
      </c>
      <c r="E900" s="35" t="s">
        <v>1346</v>
      </c>
      <c r="F900" s="35" t="s">
        <v>604</v>
      </c>
    </row>
    <row r="901" spans="1:6">
      <c r="A901" s="35" t="s">
        <v>1502</v>
      </c>
      <c r="B901" s="37">
        <v>122.32502746582031</v>
      </c>
      <c r="C901" s="37">
        <v>110.72823333740234</v>
      </c>
      <c r="D901" s="35">
        <v>7275846</v>
      </c>
      <c r="E901" s="35" t="s">
        <v>1346</v>
      </c>
      <c r="F901" s="35" t="s">
        <v>604</v>
      </c>
    </row>
    <row r="902" spans="1:6">
      <c r="A902" s="35" t="s">
        <v>1503</v>
      </c>
      <c r="B902" s="37">
        <v>124.81877899169922</v>
      </c>
      <c r="C902" s="37">
        <v>112.98558807373047</v>
      </c>
      <c r="D902" s="35">
        <v>7513344</v>
      </c>
      <c r="E902" s="35" t="s">
        <v>1346</v>
      </c>
      <c r="F902" s="35" t="s">
        <v>604</v>
      </c>
    </row>
    <row r="903" spans="1:6">
      <c r="A903" s="35" t="s">
        <v>1504</v>
      </c>
      <c r="B903" s="37">
        <v>120.48753356933594</v>
      </c>
      <c r="C903" s="37">
        <v>109.06494903564453</v>
      </c>
      <c r="D903" s="35">
        <v>6907315</v>
      </c>
      <c r="E903" s="35" t="s">
        <v>1346</v>
      </c>
      <c r="F903" s="35" t="s">
        <v>604</v>
      </c>
    </row>
    <row r="904" spans="1:6">
      <c r="A904" s="35" t="s">
        <v>1505</v>
      </c>
      <c r="B904" s="37">
        <v>117.80628204345703</v>
      </c>
      <c r="C904" s="37">
        <v>106.63788604736328</v>
      </c>
      <c r="D904" s="35">
        <v>6943816</v>
      </c>
      <c r="E904" s="35" t="s">
        <v>1346</v>
      </c>
      <c r="F904" s="35" t="s">
        <v>604</v>
      </c>
    </row>
    <row r="905" spans="1:6">
      <c r="A905" s="35" t="s">
        <v>1506</v>
      </c>
      <c r="B905" s="37">
        <v>115.16252899169922</v>
      </c>
      <c r="C905" s="37">
        <v>104.24477386474609</v>
      </c>
      <c r="D905" s="35">
        <v>8239488</v>
      </c>
      <c r="E905" s="35" t="s">
        <v>1346</v>
      </c>
      <c r="F905" s="35" t="s">
        <v>604</v>
      </c>
    </row>
    <row r="906" spans="1:6">
      <c r="A906" s="35" t="s">
        <v>1507</v>
      </c>
      <c r="B906" s="37">
        <v>119.41877746582031</v>
      </c>
      <c r="C906" s="37">
        <v>108.09750366210938</v>
      </c>
      <c r="D906" s="35">
        <v>18657115</v>
      </c>
      <c r="E906" s="35" t="s">
        <v>1346</v>
      </c>
      <c r="F906" s="35" t="s">
        <v>604</v>
      </c>
    </row>
    <row r="907" spans="1:6">
      <c r="A907" s="35" t="s">
        <v>1508</v>
      </c>
      <c r="B907" s="37">
        <v>117.01877593994141</v>
      </c>
      <c r="C907" s="37">
        <v>105.92503356933594</v>
      </c>
      <c r="D907" s="35">
        <v>11458234</v>
      </c>
      <c r="E907" s="35" t="s">
        <v>1346</v>
      </c>
      <c r="F907" s="35" t="s">
        <v>604</v>
      </c>
    </row>
    <row r="908" spans="1:6">
      <c r="A908" s="35" t="s">
        <v>1509</v>
      </c>
      <c r="B908" s="37">
        <v>116.36252593994141</v>
      </c>
      <c r="C908" s="37">
        <v>105.33100128173828</v>
      </c>
      <c r="D908" s="35">
        <v>16926705</v>
      </c>
      <c r="E908" s="35" t="s">
        <v>1346</v>
      </c>
      <c r="F908" s="35" t="s">
        <v>604</v>
      </c>
    </row>
    <row r="909" spans="1:6">
      <c r="A909" s="35" t="s">
        <v>1510</v>
      </c>
      <c r="B909" s="37">
        <v>118.08753204345703</v>
      </c>
      <c r="C909" s="37">
        <v>106.89247131347656</v>
      </c>
      <c r="D909" s="35">
        <v>7793384</v>
      </c>
      <c r="E909" s="35" t="s">
        <v>1346</v>
      </c>
      <c r="F909" s="35" t="s">
        <v>604</v>
      </c>
    </row>
    <row r="910" spans="1:6">
      <c r="A910" s="35" t="s">
        <v>1511</v>
      </c>
      <c r="B910" s="37">
        <v>121.74378204345703</v>
      </c>
      <c r="C910" s="37">
        <v>110.20209503173828</v>
      </c>
      <c r="D910" s="35">
        <v>16991251</v>
      </c>
      <c r="E910" s="35" t="s">
        <v>1346</v>
      </c>
      <c r="F910" s="35" t="s">
        <v>604</v>
      </c>
    </row>
    <row r="911" spans="1:6">
      <c r="A911" s="35" t="s">
        <v>1512</v>
      </c>
      <c r="B911" s="37">
        <v>123.09378051757813</v>
      </c>
      <c r="C911" s="37">
        <v>111.42411041259766</v>
      </c>
      <c r="D911" s="35">
        <v>7115262</v>
      </c>
      <c r="E911" s="35" t="s">
        <v>1346</v>
      </c>
      <c r="F911" s="35" t="s">
        <v>604</v>
      </c>
    </row>
    <row r="912" spans="1:6">
      <c r="A912" s="35" t="s">
        <v>1513</v>
      </c>
      <c r="B912" s="37">
        <v>125.60627746582031</v>
      </c>
      <c r="C912" s="37">
        <v>113.69841766357422</v>
      </c>
      <c r="D912" s="35">
        <v>15925097</v>
      </c>
      <c r="E912" s="35" t="s">
        <v>1346</v>
      </c>
      <c r="F912" s="35" t="s">
        <v>604</v>
      </c>
    </row>
    <row r="913" spans="1:6">
      <c r="A913" s="35" t="s">
        <v>1514</v>
      </c>
      <c r="B913" s="37">
        <v>126.16877746582031</v>
      </c>
      <c r="C913" s="37">
        <v>114.20758819580078</v>
      </c>
      <c r="D913" s="35">
        <v>10264210</v>
      </c>
      <c r="E913" s="35" t="s">
        <v>1346</v>
      </c>
      <c r="F913" s="35" t="s">
        <v>604</v>
      </c>
    </row>
    <row r="914" spans="1:6">
      <c r="A914" s="35" t="s">
        <v>1515</v>
      </c>
      <c r="B914" s="37">
        <v>124.36878204345703</v>
      </c>
      <c r="C914" s="37">
        <v>112.5782470703125</v>
      </c>
      <c r="D914" s="35">
        <v>6232265</v>
      </c>
      <c r="E914" s="35" t="s">
        <v>1346</v>
      </c>
      <c r="F914" s="35" t="s">
        <v>604</v>
      </c>
    </row>
    <row r="915" spans="1:6">
      <c r="A915" s="35" t="s">
        <v>1516</v>
      </c>
      <c r="B915" s="37">
        <v>124.98753356933594</v>
      </c>
      <c r="C915" s="37">
        <v>113.13834381103516</v>
      </c>
      <c r="D915" s="35">
        <v>9264269</v>
      </c>
      <c r="E915" s="35" t="s">
        <v>1346</v>
      </c>
      <c r="F915" s="35" t="s">
        <v>604</v>
      </c>
    </row>
    <row r="916" spans="1:6">
      <c r="A916" s="35" t="s">
        <v>1517</v>
      </c>
      <c r="B916" s="37">
        <v>122.47502899169922</v>
      </c>
      <c r="C916" s="37">
        <v>110.86402130126953</v>
      </c>
      <c r="D916" s="35">
        <v>8528293</v>
      </c>
      <c r="E916" s="35" t="s">
        <v>1346</v>
      </c>
      <c r="F916" s="35" t="s">
        <v>604</v>
      </c>
    </row>
    <row r="917" spans="1:6">
      <c r="A917" s="35" t="s">
        <v>1518</v>
      </c>
      <c r="B917" s="37">
        <v>123.00003051757813</v>
      </c>
      <c r="C917" s="37">
        <v>111.33926391601563</v>
      </c>
      <c r="D917" s="35">
        <v>11795237</v>
      </c>
      <c r="E917" s="35" t="s">
        <v>1346</v>
      </c>
      <c r="F917" s="35" t="s">
        <v>604</v>
      </c>
    </row>
    <row r="918" spans="1:6">
      <c r="A918" s="35" t="s">
        <v>1519</v>
      </c>
      <c r="B918" s="37">
        <v>123.76878356933594</v>
      </c>
      <c r="C918" s="37">
        <v>112.03512573242188</v>
      </c>
      <c r="D918" s="35">
        <v>7028448</v>
      </c>
      <c r="E918" s="35" t="s">
        <v>1346</v>
      </c>
      <c r="F918" s="35" t="s">
        <v>604</v>
      </c>
    </row>
    <row r="919" spans="1:6">
      <c r="A919" s="35" t="s">
        <v>1520</v>
      </c>
      <c r="B919" s="37">
        <v>126.99378204345703</v>
      </c>
      <c r="C919" s="37">
        <v>114.95439147949219</v>
      </c>
      <c r="D919" s="35">
        <v>13728244</v>
      </c>
      <c r="E919" s="35" t="s">
        <v>1346</v>
      </c>
      <c r="F919" s="35" t="s">
        <v>604</v>
      </c>
    </row>
    <row r="920" spans="1:6">
      <c r="A920" s="35" t="s">
        <v>1521</v>
      </c>
      <c r="B920" s="37">
        <v>124.91252899169922</v>
      </c>
      <c r="C920" s="37">
        <v>113.07044219970703</v>
      </c>
      <c r="D920" s="35">
        <v>12792082</v>
      </c>
      <c r="E920" s="35" t="s">
        <v>1346</v>
      </c>
      <c r="F920" s="35" t="s">
        <v>604</v>
      </c>
    </row>
    <row r="921" spans="1:6">
      <c r="A921" s="35" t="s">
        <v>1522</v>
      </c>
      <c r="B921" s="37">
        <v>127.35002899169922</v>
      </c>
      <c r="C921" s="37">
        <v>115.27684783935547</v>
      </c>
      <c r="D921" s="35">
        <v>9162003</v>
      </c>
      <c r="E921" s="35" t="s">
        <v>1346</v>
      </c>
      <c r="F921" s="35" t="s">
        <v>604</v>
      </c>
    </row>
    <row r="922" spans="1:6">
      <c r="A922" s="35" t="s">
        <v>1523</v>
      </c>
      <c r="B922" s="37">
        <v>125.64378356933594</v>
      </c>
      <c r="C922" s="37">
        <v>113.73236846923828</v>
      </c>
      <c r="D922" s="35">
        <v>9864405</v>
      </c>
      <c r="E922" s="35" t="s">
        <v>1346</v>
      </c>
      <c r="F922" s="35" t="s">
        <v>604</v>
      </c>
    </row>
    <row r="923" spans="1:6">
      <c r="A923" s="35" t="s">
        <v>1524</v>
      </c>
      <c r="B923" s="37">
        <v>127.76252746582031</v>
      </c>
      <c r="C923" s="37">
        <v>115.65024566650391</v>
      </c>
      <c r="D923" s="35">
        <v>9978008</v>
      </c>
      <c r="E923" s="35" t="s">
        <v>1346</v>
      </c>
      <c r="F923" s="35" t="s">
        <v>604</v>
      </c>
    </row>
    <row r="924" spans="1:6">
      <c r="A924" s="35" t="s">
        <v>1525</v>
      </c>
      <c r="B924" s="37">
        <v>124.96878051757813</v>
      </c>
      <c r="C924" s="37">
        <v>113.12136840820313</v>
      </c>
      <c r="D924" s="35">
        <v>6421739</v>
      </c>
      <c r="E924" s="35" t="s">
        <v>1346</v>
      </c>
      <c r="F924" s="35" t="s">
        <v>604</v>
      </c>
    </row>
    <row r="925" spans="1:6">
      <c r="A925" s="35" t="s">
        <v>1526</v>
      </c>
      <c r="B925" s="37">
        <v>120.78752899169922</v>
      </c>
      <c r="C925" s="37">
        <v>109.33649444580078</v>
      </c>
      <c r="D925" s="35">
        <v>26209361</v>
      </c>
      <c r="E925" s="35" t="s">
        <v>1346</v>
      </c>
      <c r="F925" s="35" t="s">
        <v>604</v>
      </c>
    </row>
    <row r="926" spans="1:6">
      <c r="A926" s="35" t="s">
        <v>1527</v>
      </c>
      <c r="B926" s="37">
        <v>122.51252746582031</v>
      </c>
      <c r="C926" s="37">
        <v>110.89795684814453</v>
      </c>
      <c r="D926" s="35">
        <v>11285031</v>
      </c>
      <c r="E926" s="35" t="s">
        <v>1346</v>
      </c>
      <c r="F926" s="35" t="s">
        <v>604</v>
      </c>
    </row>
    <row r="927" spans="1:6">
      <c r="A927" s="35" t="s">
        <v>1528</v>
      </c>
      <c r="B927" s="37">
        <v>122.30628204345703</v>
      </c>
      <c r="C927" s="37">
        <v>110.71127319335938</v>
      </c>
      <c r="D927" s="35">
        <v>6281385</v>
      </c>
      <c r="E927" s="35" t="s">
        <v>1346</v>
      </c>
      <c r="F927" s="35" t="s">
        <v>604</v>
      </c>
    </row>
    <row r="928" spans="1:6">
      <c r="A928" s="35" t="s">
        <v>1529</v>
      </c>
      <c r="B928" s="37">
        <v>122.79377746582031</v>
      </c>
      <c r="C928" s="37">
        <v>111.15254974365234</v>
      </c>
      <c r="D928" s="35">
        <v>13527065</v>
      </c>
      <c r="E928" s="35" t="s">
        <v>1346</v>
      </c>
      <c r="F928" s="35" t="s">
        <v>604</v>
      </c>
    </row>
    <row r="929" spans="1:6">
      <c r="A929" s="35" t="s">
        <v>1530</v>
      </c>
      <c r="B929" s="37">
        <v>123.76878356933594</v>
      </c>
      <c r="C929" s="37">
        <v>112.03512573242188</v>
      </c>
      <c r="D929" s="35">
        <v>5945206</v>
      </c>
      <c r="E929" s="35" t="s">
        <v>1346</v>
      </c>
      <c r="F929" s="35" t="s">
        <v>604</v>
      </c>
    </row>
    <row r="930" spans="1:6">
      <c r="A930" s="35" t="s">
        <v>1531</v>
      </c>
      <c r="B930" s="37">
        <v>124.06877899169922</v>
      </c>
      <c r="C930" s="37">
        <v>112.30668640136719</v>
      </c>
      <c r="D930" s="35">
        <v>5696321</v>
      </c>
      <c r="E930" s="35" t="s">
        <v>1346</v>
      </c>
      <c r="F930" s="35" t="s">
        <v>604</v>
      </c>
    </row>
    <row r="931" spans="1:6">
      <c r="A931" s="35" t="s">
        <v>1532</v>
      </c>
      <c r="B931" s="37">
        <v>122.49378204345703</v>
      </c>
      <c r="C931" s="37">
        <v>110.88100433349609</v>
      </c>
      <c r="D931" s="35">
        <v>4036542</v>
      </c>
      <c r="E931" s="35" t="s">
        <v>1346</v>
      </c>
      <c r="F931" s="35" t="s">
        <v>604</v>
      </c>
    </row>
    <row r="932" spans="1:6">
      <c r="A932" s="35" t="s">
        <v>1533</v>
      </c>
      <c r="B932" s="37">
        <v>122.08128356933594</v>
      </c>
      <c r="C932" s="37">
        <v>110.50762176513672</v>
      </c>
      <c r="D932" s="35">
        <v>8822139</v>
      </c>
      <c r="E932" s="35" t="s">
        <v>1346</v>
      </c>
      <c r="F932" s="35" t="s">
        <v>604</v>
      </c>
    </row>
    <row r="933" spans="1:6">
      <c r="A933" s="35" t="s">
        <v>1534</v>
      </c>
      <c r="B933" s="37">
        <v>122.06253051757813</v>
      </c>
      <c r="C933" s="37">
        <v>110.49063873291016</v>
      </c>
      <c r="D933" s="35">
        <v>9446080</v>
      </c>
      <c r="E933" s="35" t="s">
        <v>1346</v>
      </c>
      <c r="F933" s="35" t="s">
        <v>604</v>
      </c>
    </row>
    <row r="934" spans="1:6">
      <c r="A934" s="35" t="s">
        <v>1535</v>
      </c>
      <c r="B934" s="37">
        <v>121.66877746582031</v>
      </c>
      <c r="C934" s="37">
        <v>110.13420867919922</v>
      </c>
      <c r="D934" s="35">
        <v>6414073</v>
      </c>
      <c r="E934" s="35" t="s">
        <v>1346</v>
      </c>
      <c r="F934" s="35" t="s">
        <v>604</v>
      </c>
    </row>
    <row r="935" spans="1:6">
      <c r="A935" s="35" t="s">
        <v>1536</v>
      </c>
      <c r="B935" s="37">
        <v>121.59378051757813</v>
      </c>
      <c r="C935" s="37">
        <v>110.06632232666016</v>
      </c>
      <c r="D935" s="35">
        <v>5076276</v>
      </c>
      <c r="E935" s="35" t="s">
        <v>1346</v>
      </c>
      <c r="F935" s="35" t="s">
        <v>604</v>
      </c>
    </row>
    <row r="936" spans="1:6">
      <c r="A936" s="35" t="s">
        <v>1537</v>
      </c>
      <c r="B936" s="37">
        <v>122.08128356933594</v>
      </c>
      <c r="C936" s="37">
        <v>110.50762176513672</v>
      </c>
      <c r="D936" s="35">
        <v>5559089</v>
      </c>
      <c r="E936" s="35" t="s">
        <v>1346</v>
      </c>
      <c r="F936" s="35" t="s">
        <v>604</v>
      </c>
    </row>
    <row r="937" spans="1:6">
      <c r="A937" s="35" t="s">
        <v>1538</v>
      </c>
      <c r="B937" s="37">
        <v>123.37503051757813</v>
      </c>
      <c r="C937" s="37">
        <v>111.67868804931641</v>
      </c>
      <c r="D937" s="35">
        <v>10474346</v>
      </c>
      <c r="E937" s="35" t="s">
        <v>1346</v>
      </c>
      <c r="F937" s="35" t="s">
        <v>604</v>
      </c>
    </row>
    <row r="938" spans="1:6">
      <c r="A938" s="35" t="s">
        <v>1539</v>
      </c>
      <c r="B938" s="37">
        <v>122.15628051757813</v>
      </c>
      <c r="C938" s="37">
        <v>110.57549285888672</v>
      </c>
      <c r="D938" s="35">
        <v>8265043</v>
      </c>
      <c r="E938" s="35" t="s">
        <v>1346</v>
      </c>
      <c r="F938" s="35" t="s">
        <v>604</v>
      </c>
    </row>
    <row r="939" spans="1:6">
      <c r="A939" s="35" t="s">
        <v>1540</v>
      </c>
      <c r="B939" s="37">
        <v>123.26252746582031</v>
      </c>
      <c r="C939" s="37">
        <v>111.57686614990234</v>
      </c>
      <c r="D939" s="35">
        <v>4263836</v>
      </c>
      <c r="E939" s="35" t="s">
        <v>1346</v>
      </c>
      <c r="F939" s="35" t="s">
        <v>604</v>
      </c>
    </row>
    <row r="940" spans="1:6">
      <c r="A940" s="35" t="s">
        <v>1541</v>
      </c>
      <c r="B940" s="37">
        <v>117.20627593994141</v>
      </c>
      <c r="C940" s="37">
        <v>106.09477233886719</v>
      </c>
      <c r="D940" s="35">
        <v>18435523</v>
      </c>
      <c r="E940" s="35" t="s">
        <v>1346</v>
      </c>
      <c r="F940" s="35" t="s">
        <v>604</v>
      </c>
    </row>
    <row r="941" spans="1:6">
      <c r="A941" s="35" t="s">
        <v>1542</v>
      </c>
      <c r="B941" s="37">
        <v>123.67503356933594</v>
      </c>
      <c r="C941" s="37">
        <v>111.95025634765625</v>
      </c>
      <c r="D941" s="35">
        <v>40188776</v>
      </c>
      <c r="E941" s="35" t="s">
        <v>1346</v>
      </c>
      <c r="F941" s="35" t="s">
        <v>604</v>
      </c>
    </row>
    <row r="942" spans="1:6">
      <c r="A942" s="35" t="s">
        <v>1543</v>
      </c>
      <c r="B942" s="37">
        <v>126.20628356933594</v>
      </c>
      <c r="C942" s="37">
        <v>114.24154663085938</v>
      </c>
      <c r="D942" s="35">
        <v>26390100</v>
      </c>
      <c r="E942" s="35" t="s">
        <v>1346</v>
      </c>
      <c r="F942" s="35" t="s">
        <v>604</v>
      </c>
    </row>
    <row r="943" spans="1:6">
      <c r="A943" s="35" t="s">
        <v>1544</v>
      </c>
      <c r="B943" s="37">
        <v>125.77503204345703</v>
      </c>
      <c r="C943" s="37">
        <v>113.85116577148438</v>
      </c>
      <c r="D943" s="35">
        <v>14104487</v>
      </c>
      <c r="E943" s="35" t="s">
        <v>1346</v>
      </c>
      <c r="F943" s="35" t="s">
        <v>604</v>
      </c>
    </row>
    <row r="944" spans="1:6">
      <c r="A944" s="35" t="s">
        <v>1545</v>
      </c>
      <c r="B944" s="37">
        <v>129.8062744140625</v>
      </c>
      <c r="C944" s="37">
        <v>117.500244140625</v>
      </c>
      <c r="D944" s="35">
        <v>26911902</v>
      </c>
      <c r="E944" s="35" t="s">
        <v>1346</v>
      </c>
      <c r="F944" s="35" t="s">
        <v>604</v>
      </c>
    </row>
    <row r="945" spans="1:6">
      <c r="A945" s="35" t="s">
        <v>1546</v>
      </c>
      <c r="B945" s="37">
        <v>126.67503356933594</v>
      </c>
      <c r="C945" s="37">
        <v>114.66584777832031</v>
      </c>
      <c r="D945" s="35">
        <v>41658250</v>
      </c>
      <c r="E945" s="35" t="s">
        <v>1346</v>
      </c>
      <c r="F945" s="35" t="s">
        <v>604</v>
      </c>
    </row>
    <row r="946" spans="1:6">
      <c r="A946" s="35" t="s">
        <v>1547</v>
      </c>
      <c r="B946" s="37">
        <v>129.93753051757813</v>
      </c>
      <c r="C946" s="37">
        <v>117.61905670166016</v>
      </c>
      <c r="D946" s="35">
        <v>17817926</v>
      </c>
      <c r="E946" s="35" t="s">
        <v>1346</v>
      </c>
      <c r="F946" s="35" t="s">
        <v>604</v>
      </c>
    </row>
    <row r="947" spans="1:6">
      <c r="A947" s="35" t="s">
        <v>1548</v>
      </c>
      <c r="B947" s="37">
        <v>131.83128356933594</v>
      </c>
      <c r="C947" s="37">
        <v>119.33325958251953</v>
      </c>
      <c r="D947" s="35">
        <v>26499796</v>
      </c>
      <c r="E947" s="35" t="s">
        <v>1346</v>
      </c>
      <c r="F947" s="35" t="s">
        <v>604</v>
      </c>
    </row>
    <row r="948" spans="1:6">
      <c r="A948" s="35" t="s">
        <v>1549</v>
      </c>
      <c r="B948" s="37">
        <v>131.90628051757813</v>
      </c>
      <c r="C948" s="37">
        <v>119.40116119384766</v>
      </c>
      <c r="D948" s="35">
        <v>11281453</v>
      </c>
      <c r="E948" s="35" t="s">
        <v>1346</v>
      </c>
      <c r="F948" s="35" t="s">
        <v>604</v>
      </c>
    </row>
    <row r="949" spans="1:6">
      <c r="A949" s="35" t="s">
        <v>1550</v>
      </c>
      <c r="B949" s="37">
        <v>132.54377746582031</v>
      </c>
      <c r="C949" s="37">
        <v>119.97822570800781</v>
      </c>
      <c r="D949" s="35">
        <v>13964137</v>
      </c>
      <c r="E949" s="35" t="s">
        <v>1346</v>
      </c>
      <c r="F949" s="35" t="s">
        <v>604</v>
      </c>
    </row>
    <row r="950" spans="1:6">
      <c r="A950" s="35" t="s">
        <v>1551</v>
      </c>
      <c r="B950" s="37">
        <v>133.18128967285156</v>
      </c>
      <c r="C950" s="37">
        <v>120.5552978515625</v>
      </c>
      <c r="D950" s="35">
        <v>18399880</v>
      </c>
      <c r="E950" s="35" t="s">
        <v>1346</v>
      </c>
      <c r="F950" s="35" t="s">
        <v>604</v>
      </c>
    </row>
    <row r="951" spans="1:6">
      <c r="A951" s="35" t="s">
        <v>1552</v>
      </c>
      <c r="B951" s="37">
        <v>134.77503967285156</v>
      </c>
      <c r="C951" s="37">
        <v>122.34243011474609</v>
      </c>
      <c r="D951" s="35">
        <v>12320260</v>
      </c>
      <c r="E951" s="35" t="s">
        <v>1346</v>
      </c>
      <c r="F951" s="35" t="s">
        <v>604</v>
      </c>
    </row>
    <row r="952" spans="1:6">
      <c r="A952" s="35" t="s">
        <v>1553</v>
      </c>
      <c r="B952" s="37">
        <v>136.21878051757813</v>
      </c>
      <c r="C952" s="37">
        <v>123.65299224853516</v>
      </c>
      <c r="D952" s="35">
        <v>19757160</v>
      </c>
      <c r="E952" s="35" t="s">
        <v>1346</v>
      </c>
      <c r="F952" s="35" t="s">
        <v>604</v>
      </c>
    </row>
    <row r="953" spans="1:6">
      <c r="A953" s="35" t="s">
        <v>1554</v>
      </c>
      <c r="B953" s="37">
        <v>138.45002746582031</v>
      </c>
      <c r="C953" s="37">
        <v>125.67842102050781</v>
      </c>
      <c r="D953" s="35">
        <v>20517517</v>
      </c>
      <c r="E953" s="35" t="s">
        <v>1346</v>
      </c>
      <c r="F953" s="35" t="s">
        <v>604</v>
      </c>
    </row>
    <row r="954" spans="1:6">
      <c r="A954" s="35" t="s">
        <v>1555</v>
      </c>
      <c r="B954" s="37">
        <v>139.33128356933594</v>
      </c>
      <c r="C954" s="37">
        <v>126.47837829589844</v>
      </c>
      <c r="D954" s="35">
        <v>8977608</v>
      </c>
      <c r="E954" s="35" t="s">
        <v>1346</v>
      </c>
      <c r="F954" s="35" t="s">
        <v>604</v>
      </c>
    </row>
    <row r="955" spans="1:6">
      <c r="A955" s="35" t="s">
        <v>1556</v>
      </c>
      <c r="B955" s="37">
        <v>139.21878051757813</v>
      </c>
      <c r="C955" s="37">
        <v>126.37625122070313</v>
      </c>
      <c r="D955" s="35">
        <v>8383256</v>
      </c>
      <c r="E955" s="35" t="s">
        <v>1346</v>
      </c>
      <c r="F955" s="35" t="s">
        <v>604</v>
      </c>
    </row>
    <row r="956" spans="1:6">
      <c r="A956" s="35" t="s">
        <v>1557</v>
      </c>
      <c r="B956" s="37">
        <v>138.16877746582031</v>
      </c>
      <c r="C956" s="37">
        <v>125.42310333251953</v>
      </c>
      <c r="D956" s="35">
        <v>6550401</v>
      </c>
      <c r="E956" s="35" t="s">
        <v>1346</v>
      </c>
      <c r="F956" s="35" t="s">
        <v>604</v>
      </c>
    </row>
    <row r="957" spans="1:6">
      <c r="A957" s="35" t="s">
        <v>1558</v>
      </c>
      <c r="B957" s="37">
        <v>139.57502746582031</v>
      </c>
      <c r="C957" s="37">
        <v>126.69961547851563</v>
      </c>
      <c r="D957" s="35">
        <v>5811361</v>
      </c>
      <c r="E957" s="35" t="s">
        <v>1346</v>
      </c>
      <c r="F957" s="35" t="s">
        <v>604</v>
      </c>
    </row>
    <row r="958" spans="1:6">
      <c r="A958" s="35" t="s">
        <v>1559</v>
      </c>
      <c r="B958" s="37">
        <v>140.10003662109375</v>
      </c>
      <c r="C958" s="37">
        <v>127.17620849609375</v>
      </c>
      <c r="D958" s="35">
        <v>5982481</v>
      </c>
      <c r="E958" s="35" t="s">
        <v>1346</v>
      </c>
      <c r="F958" s="35" t="s">
        <v>604</v>
      </c>
    </row>
    <row r="959" spans="1:6">
      <c r="A959" s="35" t="s">
        <v>1560</v>
      </c>
      <c r="B959" s="37">
        <v>139.76252746582031</v>
      </c>
      <c r="C959" s="37">
        <v>126.86985015869141</v>
      </c>
      <c r="D959" s="35">
        <v>3735809</v>
      </c>
      <c r="E959" s="35" t="s">
        <v>1346</v>
      </c>
      <c r="F959" s="35" t="s">
        <v>604</v>
      </c>
    </row>
    <row r="960" spans="1:6">
      <c r="A960" s="35" t="s">
        <v>1561</v>
      </c>
      <c r="B960" s="37">
        <v>139.89378356933594</v>
      </c>
      <c r="C960" s="37">
        <v>126.98900604248047</v>
      </c>
      <c r="D960" s="35">
        <v>7927406</v>
      </c>
      <c r="E960" s="35" t="s">
        <v>1346</v>
      </c>
      <c r="F960" s="35" t="s">
        <v>604</v>
      </c>
    </row>
    <row r="961" spans="1:6">
      <c r="A961" s="35" t="s">
        <v>1562</v>
      </c>
      <c r="B961" s="37">
        <v>140.62503051757813</v>
      </c>
      <c r="C961" s="37">
        <v>127.65278625488281</v>
      </c>
      <c r="D961" s="35">
        <v>7939320</v>
      </c>
      <c r="E961" s="35" t="s">
        <v>1346</v>
      </c>
      <c r="F961" s="35" t="s">
        <v>604</v>
      </c>
    </row>
    <row r="962" spans="1:6">
      <c r="A962" s="35" t="s">
        <v>1563</v>
      </c>
      <c r="B962" s="37">
        <v>140.66253662109375</v>
      </c>
      <c r="C962" s="37">
        <v>127.68682861328125</v>
      </c>
      <c r="D962" s="35">
        <v>8199603</v>
      </c>
      <c r="E962" s="35" t="s">
        <v>1346</v>
      </c>
      <c r="F962" s="35" t="s">
        <v>604</v>
      </c>
    </row>
    <row r="963" spans="1:6">
      <c r="A963" s="35" t="s">
        <v>1564</v>
      </c>
      <c r="B963" s="37">
        <v>141.03753662109375</v>
      </c>
      <c r="C963" s="37">
        <v>128.02725219726563</v>
      </c>
      <c r="D963" s="35">
        <v>9393792</v>
      </c>
      <c r="E963" s="35" t="s">
        <v>1346</v>
      </c>
      <c r="F963" s="35" t="s">
        <v>604</v>
      </c>
    </row>
    <row r="964" spans="1:6">
      <c r="A964" s="35" t="s">
        <v>1565</v>
      </c>
      <c r="B964" s="37">
        <v>140.85003662109375</v>
      </c>
      <c r="C964" s="37">
        <v>127.85704040527344</v>
      </c>
      <c r="D964" s="35">
        <v>9280197</v>
      </c>
      <c r="E964" s="35" t="s">
        <v>1346</v>
      </c>
      <c r="F964" s="35" t="s">
        <v>604</v>
      </c>
    </row>
    <row r="965" spans="1:6">
      <c r="A965" s="35" t="s">
        <v>1566</v>
      </c>
      <c r="B965" s="37">
        <v>136.29377746582031</v>
      </c>
      <c r="C965" s="37">
        <v>123.72108459472656</v>
      </c>
      <c r="D965" s="35">
        <v>8171619</v>
      </c>
      <c r="E965" s="35" t="s">
        <v>1346</v>
      </c>
      <c r="F965" s="35" t="s">
        <v>604</v>
      </c>
    </row>
    <row r="966" spans="1:6">
      <c r="A966" s="35" t="s">
        <v>1567</v>
      </c>
      <c r="B966" s="37">
        <v>139.57502746582031</v>
      </c>
      <c r="C966" s="37">
        <v>126.69961547851563</v>
      </c>
      <c r="D966" s="35">
        <v>11761287</v>
      </c>
      <c r="E966" s="35" t="s">
        <v>1346</v>
      </c>
      <c r="F966" s="35" t="s">
        <v>604</v>
      </c>
    </row>
    <row r="967" spans="1:6">
      <c r="A967" s="35" t="s">
        <v>1568</v>
      </c>
      <c r="B967" s="37">
        <v>140.45628356933594</v>
      </c>
      <c r="C967" s="37">
        <v>127.49961090087891</v>
      </c>
      <c r="D967" s="35">
        <v>6861558</v>
      </c>
      <c r="E967" s="35" t="s">
        <v>1346</v>
      </c>
      <c r="F967" s="35" t="s">
        <v>604</v>
      </c>
    </row>
    <row r="968" spans="1:6">
      <c r="A968" s="35" t="s">
        <v>1569</v>
      </c>
      <c r="B968" s="37">
        <v>142.03128051757813</v>
      </c>
      <c r="C968" s="37">
        <v>128.92930603027344</v>
      </c>
      <c r="D968" s="35">
        <v>8519101</v>
      </c>
      <c r="E968" s="35" t="s">
        <v>1346</v>
      </c>
      <c r="F968" s="35" t="s">
        <v>604</v>
      </c>
    </row>
    <row r="969" spans="1:6">
      <c r="A969" s="35" t="s">
        <v>1570</v>
      </c>
      <c r="B969" s="37">
        <v>144.52503967285156</v>
      </c>
      <c r="C969" s="37">
        <v>131.19303894042969</v>
      </c>
      <c r="D969" s="35">
        <v>12475916</v>
      </c>
      <c r="E969" s="35" t="s">
        <v>1346</v>
      </c>
      <c r="F969" s="35" t="s">
        <v>604</v>
      </c>
    </row>
    <row r="970" spans="1:6">
      <c r="A970" s="35" t="s">
        <v>1571</v>
      </c>
      <c r="B970" s="37">
        <v>145.36878967285156</v>
      </c>
      <c r="C970" s="37">
        <v>131.95893859863281</v>
      </c>
      <c r="D970" s="35">
        <v>10140096</v>
      </c>
      <c r="E970" s="35" t="s">
        <v>1346</v>
      </c>
      <c r="F970" s="35" t="s">
        <v>604</v>
      </c>
    </row>
    <row r="971" spans="1:6">
      <c r="A971" s="35" t="s">
        <v>1572</v>
      </c>
      <c r="B971" s="37">
        <v>140.40003967285156</v>
      </c>
      <c r="C971" s="37">
        <v>127.44854736328125</v>
      </c>
      <c r="D971" s="35">
        <v>21357373</v>
      </c>
      <c r="E971" s="35" t="s">
        <v>1346</v>
      </c>
      <c r="F971" s="35" t="s">
        <v>604</v>
      </c>
    </row>
    <row r="972" spans="1:6">
      <c r="A972" s="35" t="s">
        <v>1573</v>
      </c>
      <c r="B972" s="37">
        <v>138.33753967285156</v>
      </c>
      <c r="C972" s="37">
        <v>125.57630920410156</v>
      </c>
      <c r="D972" s="35">
        <v>25142033</v>
      </c>
      <c r="E972" s="35" t="s">
        <v>1346</v>
      </c>
      <c r="F972" s="35" t="s">
        <v>604</v>
      </c>
    </row>
    <row r="973" spans="1:6">
      <c r="A973" s="35" t="s">
        <v>1574</v>
      </c>
      <c r="B973" s="37">
        <v>140.88752746582031</v>
      </c>
      <c r="C973" s="37">
        <v>127.89106750488281</v>
      </c>
      <c r="D973" s="35">
        <v>18763773</v>
      </c>
      <c r="E973" s="35" t="s">
        <v>1346</v>
      </c>
      <c r="F973" s="35" t="s">
        <v>604</v>
      </c>
    </row>
    <row r="974" spans="1:6">
      <c r="A974" s="35" t="s">
        <v>1575</v>
      </c>
      <c r="B974" s="37">
        <v>136.35003662109375</v>
      </c>
      <c r="C974" s="37">
        <v>123.77214050292969</v>
      </c>
      <c r="D974" s="35">
        <v>36042630</v>
      </c>
      <c r="E974" s="35" t="s">
        <v>1346</v>
      </c>
      <c r="F974" s="35" t="s">
        <v>604</v>
      </c>
    </row>
    <row r="975" spans="1:6">
      <c r="A975" s="35" t="s">
        <v>1576</v>
      </c>
      <c r="B975" s="37">
        <v>138.72500610351563</v>
      </c>
      <c r="C975" s="37">
        <v>125.92801666259766</v>
      </c>
      <c r="D975" s="35">
        <v>43014120</v>
      </c>
      <c r="E975" s="35" t="s">
        <v>1346</v>
      </c>
      <c r="F975" s="35" t="s">
        <v>604</v>
      </c>
    </row>
    <row r="976" spans="1:6">
      <c r="A976" s="35" t="s">
        <v>1577</v>
      </c>
      <c r="B976" s="37">
        <v>134.42500305175781</v>
      </c>
      <c r="C976" s="37">
        <v>122.02468109130859</v>
      </c>
      <c r="D976" s="35">
        <v>16200268</v>
      </c>
      <c r="E976" s="35" t="s">
        <v>1346</v>
      </c>
      <c r="F976" s="35" t="s">
        <v>604</v>
      </c>
    </row>
    <row r="977" spans="1:6">
      <c r="A977" s="35" t="s">
        <v>1578</v>
      </c>
      <c r="B977" s="37">
        <v>128.85000610351563</v>
      </c>
      <c r="C977" s="37">
        <v>116.96397399902344</v>
      </c>
      <c r="D977" s="35">
        <v>54689738</v>
      </c>
      <c r="E977" s="35" t="s">
        <v>1346</v>
      </c>
      <c r="F977" s="35" t="s">
        <v>604</v>
      </c>
    </row>
    <row r="978" spans="1:6">
      <c r="A978" s="35" t="s">
        <v>1579</v>
      </c>
      <c r="B978" s="37">
        <v>129.875</v>
      </c>
      <c r="C978" s="37">
        <v>117.89441680908203</v>
      </c>
      <c r="D978" s="35">
        <v>14708454</v>
      </c>
      <c r="E978" s="35" t="s">
        <v>1346</v>
      </c>
      <c r="F978" s="35" t="s">
        <v>604</v>
      </c>
    </row>
    <row r="979" spans="1:6">
      <c r="A979" s="35" t="s">
        <v>1580</v>
      </c>
      <c r="B979" s="37">
        <v>130.67500305175781</v>
      </c>
      <c r="C979" s="37">
        <v>118.62062072753906</v>
      </c>
      <c r="D979" s="35">
        <v>12580708</v>
      </c>
      <c r="E979" s="35" t="s">
        <v>1346</v>
      </c>
      <c r="F979" s="35" t="s">
        <v>604</v>
      </c>
    </row>
    <row r="980" spans="1:6">
      <c r="A980" s="35" t="s">
        <v>1581</v>
      </c>
      <c r="B980" s="37">
        <v>128.94999694824219</v>
      </c>
      <c r="C980" s="37">
        <v>117.05473327636719</v>
      </c>
      <c r="D980" s="35">
        <v>14439446</v>
      </c>
      <c r="E980" s="35" t="s">
        <v>1346</v>
      </c>
      <c r="F980" s="35" t="s">
        <v>604</v>
      </c>
    </row>
    <row r="981" spans="1:6">
      <c r="A981" s="35" t="s">
        <v>1582</v>
      </c>
      <c r="B981" s="37">
        <v>128.42500305175781</v>
      </c>
      <c r="C981" s="37">
        <v>116.57817077636719</v>
      </c>
      <c r="D981" s="35">
        <v>8978946</v>
      </c>
      <c r="E981" s="35" t="s">
        <v>1346</v>
      </c>
      <c r="F981" s="35" t="s">
        <v>604</v>
      </c>
    </row>
    <row r="982" spans="1:6">
      <c r="A982" s="35" t="s">
        <v>1583</v>
      </c>
      <c r="B982" s="37">
        <v>131.72500610351563</v>
      </c>
      <c r="C982" s="37">
        <v>119.57376861572266</v>
      </c>
      <c r="D982" s="35">
        <v>17440194</v>
      </c>
      <c r="E982" s="35" t="s">
        <v>1346</v>
      </c>
      <c r="F982" s="35" t="s">
        <v>604</v>
      </c>
    </row>
    <row r="983" spans="1:6">
      <c r="A983" s="35" t="s">
        <v>1584</v>
      </c>
      <c r="B983" s="37">
        <v>128.80000305175781</v>
      </c>
      <c r="C983" s="37">
        <v>116.91857147216797</v>
      </c>
      <c r="D983" s="35">
        <v>11497228</v>
      </c>
      <c r="E983" s="35" t="s">
        <v>1346</v>
      </c>
      <c r="F983" s="35" t="s">
        <v>604</v>
      </c>
    </row>
    <row r="984" spans="1:6">
      <c r="A984" s="35" t="s">
        <v>1585</v>
      </c>
      <c r="B984" s="37">
        <v>128.72500610351563</v>
      </c>
      <c r="C984" s="37">
        <v>116.85050201416016</v>
      </c>
      <c r="D984" s="35">
        <v>10103694</v>
      </c>
      <c r="E984" s="35" t="s">
        <v>1346</v>
      </c>
      <c r="F984" s="35" t="s">
        <v>604</v>
      </c>
    </row>
    <row r="985" spans="1:6">
      <c r="A985" s="35" t="s">
        <v>1586</v>
      </c>
      <c r="B985" s="37">
        <v>130.77499389648438</v>
      </c>
      <c r="C985" s="37">
        <v>118.71138000488281</v>
      </c>
      <c r="D985" s="35">
        <v>12229124</v>
      </c>
      <c r="E985" s="35" t="s">
        <v>1346</v>
      </c>
      <c r="F985" s="35" t="s">
        <v>604</v>
      </c>
    </row>
    <row r="986" spans="1:6">
      <c r="A986" s="35" t="s">
        <v>1587</v>
      </c>
      <c r="B986" s="37">
        <v>130.27499389648438</v>
      </c>
      <c r="C986" s="37">
        <v>118.25753021240234</v>
      </c>
      <c r="D986" s="35">
        <v>6396058</v>
      </c>
      <c r="E986" s="35" t="s">
        <v>1346</v>
      </c>
      <c r="F986" s="35" t="s">
        <v>604</v>
      </c>
    </row>
    <row r="987" spans="1:6">
      <c r="A987" s="35" t="s">
        <v>1588</v>
      </c>
      <c r="B987" s="37">
        <v>128.25</v>
      </c>
      <c r="C987" s="37">
        <v>116.4193115234375</v>
      </c>
      <c r="D987" s="35">
        <v>6747924</v>
      </c>
      <c r="E987" s="35" t="s">
        <v>1346</v>
      </c>
      <c r="F987" s="35" t="s">
        <v>604</v>
      </c>
    </row>
    <row r="988" spans="1:6">
      <c r="A988" s="35" t="s">
        <v>1589</v>
      </c>
      <c r="B988" s="37">
        <v>127.5</v>
      </c>
      <c r="C988" s="37">
        <v>115.73849487304688</v>
      </c>
      <c r="D988" s="35">
        <v>7701032</v>
      </c>
      <c r="E988" s="35" t="s">
        <v>1346</v>
      </c>
      <c r="F988" s="35" t="s">
        <v>604</v>
      </c>
    </row>
    <row r="989" spans="1:6">
      <c r="A989" s="35" t="s">
        <v>1590</v>
      </c>
      <c r="B989" s="37">
        <v>127.27500152587891</v>
      </c>
      <c r="C989" s="37">
        <v>115.53425598144531</v>
      </c>
      <c r="D989" s="35">
        <v>6715462</v>
      </c>
      <c r="E989" s="35" t="s">
        <v>1346</v>
      </c>
      <c r="F989" s="35" t="s">
        <v>604</v>
      </c>
    </row>
    <row r="990" spans="1:6">
      <c r="A990" s="35" t="s">
        <v>1591</v>
      </c>
      <c r="B990" s="37">
        <v>127.375</v>
      </c>
      <c r="C990" s="37">
        <v>115.62501525878906</v>
      </c>
      <c r="D990" s="35">
        <v>14209672</v>
      </c>
      <c r="E990" s="35" t="s">
        <v>1346</v>
      </c>
      <c r="F990" s="35" t="s">
        <v>604</v>
      </c>
    </row>
    <row r="991" spans="1:6">
      <c r="A991" s="35" t="s">
        <v>1592</v>
      </c>
      <c r="B991" s="37">
        <v>130.82499694824219</v>
      </c>
      <c r="C991" s="37">
        <v>118.75678253173828</v>
      </c>
      <c r="D991" s="35">
        <v>14133132</v>
      </c>
      <c r="E991" s="35" t="s">
        <v>1593</v>
      </c>
      <c r="F991" s="35" t="s">
        <v>604</v>
      </c>
    </row>
    <row r="992" spans="1:6">
      <c r="A992" s="35" t="s">
        <v>1594</v>
      </c>
      <c r="B992" s="37">
        <v>130.82499694824219</v>
      </c>
      <c r="C992" s="37">
        <v>118.75678253173828</v>
      </c>
      <c r="D992" s="35">
        <v>7413134</v>
      </c>
      <c r="E992" s="35" t="s">
        <v>1593</v>
      </c>
      <c r="F992" s="35" t="s">
        <v>604</v>
      </c>
    </row>
    <row r="993" spans="1:6">
      <c r="A993" s="35" t="s">
        <v>1595</v>
      </c>
      <c r="B993" s="37">
        <v>130.82499694824219</v>
      </c>
      <c r="C993" s="37">
        <v>118.75678253173828</v>
      </c>
      <c r="D993" s="35">
        <v>7538708</v>
      </c>
      <c r="E993" s="35" t="s">
        <v>1593</v>
      </c>
      <c r="F993" s="35" t="s">
        <v>604</v>
      </c>
    </row>
    <row r="994" spans="1:6">
      <c r="A994" s="35" t="s">
        <v>1596</v>
      </c>
      <c r="B994" s="37">
        <v>129.52499389648438</v>
      </c>
      <c r="C994" s="37">
        <v>117.57669830322266</v>
      </c>
      <c r="D994" s="35">
        <v>12838396</v>
      </c>
      <c r="E994" s="35" t="s">
        <v>1593</v>
      </c>
      <c r="F994" s="35" t="s">
        <v>604</v>
      </c>
    </row>
    <row r="995" spans="1:6">
      <c r="A995" s="35" t="s">
        <v>1597</v>
      </c>
      <c r="B995" s="37">
        <v>131.05000305175781</v>
      </c>
      <c r="C995" s="37">
        <v>118.96102905273438</v>
      </c>
      <c r="D995" s="35">
        <v>7229104</v>
      </c>
      <c r="E995" s="35" t="s">
        <v>1593</v>
      </c>
      <c r="F995" s="35" t="s">
        <v>604</v>
      </c>
    </row>
    <row r="996" spans="1:6">
      <c r="A996" s="35" t="s">
        <v>1598</v>
      </c>
      <c r="B996" s="37">
        <v>131.85000610351563</v>
      </c>
      <c r="C996" s="37">
        <v>119.68722534179688</v>
      </c>
      <c r="D996" s="35">
        <v>7274928</v>
      </c>
      <c r="E996" s="35" t="s">
        <v>1593</v>
      </c>
      <c r="F996" s="35" t="s">
        <v>604</v>
      </c>
    </row>
    <row r="997" spans="1:6">
      <c r="A997" s="35" t="s">
        <v>1599</v>
      </c>
      <c r="B997" s="37">
        <v>136.89999389648438</v>
      </c>
      <c r="C997" s="37">
        <v>124.27136993408203</v>
      </c>
      <c r="D997" s="35">
        <v>27982768</v>
      </c>
      <c r="E997" s="35" t="s">
        <v>1593</v>
      </c>
      <c r="F997" s="35" t="s">
        <v>604</v>
      </c>
    </row>
    <row r="998" spans="1:6">
      <c r="A998" s="35" t="s">
        <v>1600</v>
      </c>
      <c r="B998" s="37">
        <v>140.5</v>
      </c>
      <c r="C998" s="37">
        <v>127.53927612304688</v>
      </c>
      <c r="D998" s="35">
        <v>37061332</v>
      </c>
      <c r="E998" s="35" t="s">
        <v>1593</v>
      </c>
      <c r="F998" s="35" t="s">
        <v>604</v>
      </c>
    </row>
    <row r="999" spans="1:6">
      <c r="A999" s="35" t="s">
        <v>1601</v>
      </c>
      <c r="B999" s="37">
        <v>140.64999389648438</v>
      </c>
      <c r="C999" s="37">
        <v>127.67547607421875</v>
      </c>
      <c r="D999" s="35">
        <v>18883256</v>
      </c>
      <c r="E999" s="35" t="s">
        <v>1593</v>
      </c>
      <c r="F999" s="35" t="s">
        <v>604</v>
      </c>
    </row>
    <row r="1000" spans="1:6">
      <c r="A1000" s="35" t="s">
        <v>1602</v>
      </c>
      <c r="B1000" s="37">
        <v>141.69999694824219</v>
      </c>
      <c r="C1000" s="37">
        <v>128.62858581542969</v>
      </c>
      <c r="D1000" s="35">
        <v>11578108</v>
      </c>
      <c r="E1000" s="35" t="s">
        <v>1593</v>
      </c>
      <c r="F1000" s="35" t="s">
        <v>604</v>
      </c>
    </row>
    <row r="1001" spans="1:6">
      <c r="A1001" s="35" t="s">
        <v>1603</v>
      </c>
      <c r="B1001" s="37">
        <v>143.85000610351563</v>
      </c>
      <c r="C1001" s="37">
        <v>130.58024597167969</v>
      </c>
      <c r="D1001" s="35">
        <v>14134384</v>
      </c>
      <c r="E1001" s="35" t="s">
        <v>1593</v>
      </c>
      <c r="F1001" s="35" t="s">
        <v>604</v>
      </c>
    </row>
    <row r="1002" spans="1:6">
      <c r="A1002" s="35" t="s">
        <v>1604</v>
      </c>
      <c r="B1002" s="37">
        <v>140.44999694824219</v>
      </c>
      <c r="C1002" s="37">
        <v>127.49388885498047</v>
      </c>
      <c r="D1002" s="35">
        <v>40734118</v>
      </c>
      <c r="E1002" s="35" t="s">
        <v>1593</v>
      </c>
      <c r="F1002" s="35" t="s">
        <v>604</v>
      </c>
    </row>
    <row r="1003" spans="1:6">
      <c r="A1003" s="35" t="s">
        <v>1605</v>
      </c>
      <c r="B1003" s="37">
        <v>142.39999389648438</v>
      </c>
      <c r="C1003" s="37">
        <v>129.26402282714844</v>
      </c>
      <c r="D1003" s="35">
        <v>54851156</v>
      </c>
      <c r="E1003" s="35" t="s">
        <v>1593</v>
      </c>
      <c r="F1003" s="35" t="s">
        <v>604</v>
      </c>
    </row>
    <row r="1004" spans="1:6">
      <c r="A1004" s="35" t="s">
        <v>1606</v>
      </c>
      <c r="B1004" s="37">
        <v>144.125</v>
      </c>
      <c r="C1004" s="37">
        <v>130.82991027832031</v>
      </c>
      <c r="D1004" s="35">
        <v>16824108</v>
      </c>
      <c r="E1004" s="35" t="s">
        <v>1593</v>
      </c>
      <c r="F1004" s="35" t="s">
        <v>604</v>
      </c>
    </row>
    <row r="1005" spans="1:6">
      <c r="A1005" s="35" t="s">
        <v>1607</v>
      </c>
      <c r="B1005" s="37">
        <v>145.55000305175781</v>
      </c>
      <c r="C1005" s="37">
        <v>132.12347412109375</v>
      </c>
      <c r="D1005" s="35">
        <v>12355568</v>
      </c>
      <c r="E1005" s="35" t="s">
        <v>1593</v>
      </c>
      <c r="F1005" s="35" t="s">
        <v>604</v>
      </c>
    </row>
    <row r="1006" spans="1:6">
      <c r="A1006" s="35" t="s">
        <v>1608</v>
      </c>
      <c r="B1006" s="37">
        <v>146.52499389648438</v>
      </c>
      <c r="C1006" s="37">
        <v>133.00848388671875</v>
      </c>
      <c r="D1006" s="35">
        <v>18298138</v>
      </c>
      <c r="E1006" s="35" t="s">
        <v>1593</v>
      </c>
      <c r="F1006" s="35" t="s">
        <v>604</v>
      </c>
    </row>
    <row r="1007" spans="1:6">
      <c r="A1007" s="35" t="s">
        <v>1609</v>
      </c>
      <c r="B1007" s="37">
        <v>147.60000610351563</v>
      </c>
      <c r="C1007" s="37">
        <v>133.98431396484375</v>
      </c>
      <c r="D1007" s="35">
        <v>20781632</v>
      </c>
      <c r="E1007" s="35" t="s">
        <v>1593</v>
      </c>
      <c r="F1007" s="35" t="s">
        <v>604</v>
      </c>
    </row>
    <row r="1008" spans="1:6">
      <c r="A1008" s="35" t="s">
        <v>1610</v>
      </c>
      <c r="B1008" s="37">
        <v>147.39999389648438</v>
      </c>
      <c r="C1008" s="37">
        <v>133.80279541015625</v>
      </c>
      <c r="D1008" s="35">
        <v>12393102</v>
      </c>
      <c r="E1008" s="35" t="s">
        <v>1593</v>
      </c>
      <c r="F1008" s="35" t="s">
        <v>604</v>
      </c>
    </row>
    <row r="1009" spans="1:6">
      <c r="A1009" s="35" t="s">
        <v>1611</v>
      </c>
      <c r="B1009" s="37">
        <v>149.27499389648438</v>
      </c>
      <c r="C1009" s="37">
        <v>135.50479125976563</v>
      </c>
      <c r="D1009" s="35">
        <v>14679834</v>
      </c>
      <c r="E1009" s="35" t="s">
        <v>1593</v>
      </c>
      <c r="F1009" s="35" t="s">
        <v>604</v>
      </c>
    </row>
    <row r="1010" spans="1:6">
      <c r="A1010" s="35" t="s">
        <v>1612</v>
      </c>
      <c r="B1010" s="37">
        <v>146.82499694824219</v>
      </c>
      <c r="C1010" s="37">
        <v>133.28082275390625</v>
      </c>
      <c r="D1010" s="35">
        <v>9078250</v>
      </c>
      <c r="E1010" s="35" t="s">
        <v>1593</v>
      </c>
      <c r="F1010" s="35" t="s">
        <v>604</v>
      </c>
    </row>
    <row r="1011" spans="1:6">
      <c r="A1011" s="35" t="s">
        <v>1613</v>
      </c>
      <c r="B1011" s="37">
        <v>145.44999694824219</v>
      </c>
      <c r="C1011" s="37">
        <v>132.03265380859375</v>
      </c>
      <c r="D1011" s="35">
        <v>14816616</v>
      </c>
      <c r="E1011" s="35" t="s">
        <v>1593</v>
      </c>
      <c r="F1011" s="35" t="s">
        <v>604</v>
      </c>
    </row>
    <row r="1012" spans="1:6">
      <c r="A1012" s="35" t="s">
        <v>1614</v>
      </c>
      <c r="B1012" s="37">
        <v>145.42500305175781</v>
      </c>
      <c r="C1012" s="37">
        <v>132.00994873046875</v>
      </c>
      <c r="D1012" s="35">
        <v>8608690</v>
      </c>
      <c r="E1012" s="35" t="s">
        <v>1593</v>
      </c>
      <c r="F1012" s="35" t="s">
        <v>604</v>
      </c>
    </row>
    <row r="1013" spans="1:6">
      <c r="A1013" s="35" t="s">
        <v>1615</v>
      </c>
      <c r="B1013" s="37">
        <v>146.92500305175781</v>
      </c>
      <c r="C1013" s="37">
        <v>133.37159729003906</v>
      </c>
      <c r="D1013" s="35">
        <v>8707688</v>
      </c>
      <c r="E1013" s="35" t="s">
        <v>1593</v>
      </c>
      <c r="F1013" s="35" t="s">
        <v>604</v>
      </c>
    </row>
    <row r="1014" spans="1:6">
      <c r="A1014" s="35" t="s">
        <v>1616</v>
      </c>
      <c r="B1014" s="37">
        <v>145.42500305175781</v>
      </c>
      <c r="C1014" s="37">
        <v>132.00994873046875</v>
      </c>
      <c r="D1014" s="35">
        <v>7904232</v>
      </c>
      <c r="E1014" s="35" t="s">
        <v>1593</v>
      </c>
      <c r="F1014" s="35" t="s">
        <v>604</v>
      </c>
    </row>
    <row r="1015" spans="1:6">
      <c r="A1015" s="35" t="s">
        <v>1617</v>
      </c>
      <c r="B1015" s="37">
        <v>145.52499389648438</v>
      </c>
      <c r="C1015" s="37">
        <v>132.10075378417969</v>
      </c>
      <c r="D1015" s="35">
        <v>7497994</v>
      </c>
      <c r="E1015" s="35" t="s">
        <v>1593</v>
      </c>
      <c r="F1015" s="35" t="s">
        <v>604</v>
      </c>
    </row>
    <row r="1016" spans="1:6">
      <c r="A1016" s="35" t="s">
        <v>1618</v>
      </c>
      <c r="B1016" s="37">
        <v>145.17500305175781</v>
      </c>
      <c r="C1016" s="37">
        <v>131.78305053710938</v>
      </c>
      <c r="D1016" s="35">
        <v>6133344</v>
      </c>
      <c r="E1016" s="35" t="s">
        <v>1593</v>
      </c>
      <c r="F1016" s="35" t="s">
        <v>604</v>
      </c>
    </row>
    <row r="1017" spans="1:6">
      <c r="A1017" s="35" t="s">
        <v>1619</v>
      </c>
      <c r="B1017" s="37">
        <v>144.55000305175781</v>
      </c>
      <c r="C1017" s="37">
        <v>131.21571350097656</v>
      </c>
      <c r="D1017" s="35">
        <v>8563900</v>
      </c>
      <c r="E1017" s="35" t="s">
        <v>1593</v>
      </c>
      <c r="F1017" s="35" t="s">
        <v>604</v>
      </c>
    </row>
    <row r="1018" spans="1:6">
      <c r="A1018" s="35" t="s">
        <v>1620</v>
      </c>
      <c r="B1018" s="37">
        <v>142.30000305175781</v>
      </c>
      <c r="C1018" s="37">
        <v>129.17323303222656</v>
      </c>
      <c r="D1018" s="35">
        <v>16740848</v>
      </c>
      <c r="E1018" s="35" t="s">
        <v>1593</v>
      </c>
      <c r="F1018" s="35" t="s">
        <v>604</v>
      </c>
    </row>
    <row r="1019" spans="1:6">
      <c r="A1019" s="35" t="s">
        <v>1621</v>
      </c>
      <c r="B1019" s="37">
        <v>141.5</v>
      </c>
      <c r="C1019" s="37">
        <v>128.44703674316406</v>
      </c>
      <c r="D1019" s="35">
        <v>8631244</v>
      </c>
      <c r="E1019" s="35" t="s">
        <v>1593</v>
      </c>
      <c r="F1019" s="35" t="s">
        <v>604</v>
      </c>
    </row>
    <row r="1020" spans="1:6">
      <c r="A1020" s="35" t="s">
        <v>1622</v>
      </c>
      <c r="B1020" s="37">
        <v>142.67500305175781</v>
      </c>
      <c r="C1020" s="37">
        <v>129.51365661621094</v>
      </c>
      <c r="D1020" s="35">
        <v>7191096</v>
      </c>
      <c r="E1020" s="35" t="s">
        <v>1593</v>
      </c>
      <c r="F1020" s="35" t="s">
        <v>604</v>
      </c>
    </row>
    <row r="1021" spans="1:6">
      <c r="A1021" s="35" t="s">
        <v>1623</v>
      </c>
      <c r="B1021" s="37">
        <v>143.19999694824219</v>
      </c>
      <c r="C1021" s="37">
        <v>129.99021911621094</v>
      </c>
      <c r="D1021" s="35">
        <v>6713562</v>
      </c>
      <c r="E1021" s="35" t="s">
        <v>1593</v>
      </c>
      <c r="F1021" s="35" t="s">
        <v>604</v>
      </c>
    </row>
    <row r="1022" spans="1:6">
      <c r="A1022" s="35" t="s">
        <v>1624</v>
      </c>
      <c r="B1022" s="37">
        <v>145.125</v>
      </c>
      <c r="C1022" s="37">
        <v>131.73765563964844</v>
      </c>
      <c r="D1022" s="35">
        <v>8366922</v>
      </c>
      <c r="E1022" s="35" t="s">
        <v>1593</v>
      </c>
      <c r="F1022" s="35" t="s">
        <v>604</v>
      </c>
    </row>
    <row r="1023" spans="1:6">
      <c r="A1023" s="35" t="s">
        <v>1625</v>
      </c>
      <c r="B1023" s="37">
        <v>143.44999694824219</v>
      </c>
      <c r="C1023" s="37">
        <v>130.21714782714844</v>
      </c>
      <c r="D1023" s="35">
        <v>5029334</v>
      </c>
      <c r="E1023" s="35" t="s">
        <v>1593</v>
      </c>
      <c r="F1023" s="35" t="s">
        <v>604</v>
      </c>
    </row>
    <row r="1024" spans="1:6">
      <c r="A1024" s="35" t="s">
        <v>1626</v>
      </c>
      <c r="B1024" s="37">
        <v>141.55000305175781</v>
      </c>
      <c r="C1024" s="37">
        <v>128.492431640625</v>
      </c>
      <c r="D1024" s="35">
        <v>15300108</v>
      </c>
      <c r="E1024" s="35" t="s">
        <v>1593</v>
      </c>
      <c r="F1024" s="35" t="s">
        <v>604</v>
      </c>
    </row>
    <row r="1025" spans="1:6">
      <c r="A1025" s="35" t="s">
        <v>1627</v>
      </c>
      <c r="B1025" s="37">
        <v>141.10000610351563</v>
      </c>
      <c r="C1025" s="37">
        <v>128.08392333984375</v>
      </c>
      <c r="D1025" s="35">
        <v>9712568</v>
      </c>
      <c r="E1025" s="35" t="s">
        <v>1593</v>
      </c>
      <c r="F1025" s="35" t="s">
        <v>604</v>
      </c>
    </row>
    <row r="1026" spans="1:6">
      <c r="A1026" s="35" t="s">
        <v>1628</v>
      </c>
      <c r="B1026" s="37">
        <v>141.44999694824219</v>
      </c>
      <c r="C1026" s="37">
        <v>128.40165710449219</v>
      </c>
      <c r="D1026" s="35">
        <v>9855298</v>
      </c>
      <c r="E1026" s="35" t="s">
        <v>1593</v>
      </c>
      <c r="F1026" s="35" t="s">
        <v>604</v>
      </c>
    </row>
    <row r="1027" spans="1:6">
      <c r="A1027" s="35" t="s">
        <v>1629</v>
      </c>
      <c r="B1027" s="37">
        <v>140.25</v>
      </c>
      <c r="C1027" s="37">
        <v>127.31235504150391</v>
      </c>
      <c r="D1027" s="35">
        <v>10900622</v>
      </c>
      <c r="E1027" s="35" t="s">
        <v>1593</v>
      </c>
      <c r="F1027" s="35" t="s">
        <v>604</v>
      </c>
    </row>
    <row r="1028" spans="1:6">
      <c r="A1028" s="35" t="s">
        <v>1630</v>
      </c>
      <c r="B1028" s="37">
        <v>141.47500610351563</v>
      </c>
      <c r="C1028" s="37">
        <v>128.42436218261719</v>
      </c>
      <c r="D1028" s="35">
        <v>88274856</v>
      </c>
      <c r="E1028" s="35" t="s">
        <v>1593</v>
      </c>
      <c r="F1028" s="35" t="s">
        <v>604</v>
      </c>
    </row>
    <row r="1029" spans="1:6">
      <c r="A1029" s="35" t="s">
        <v>1631</v>
      </c>
      <c r="B1029" s="37">
        <v>142.85000610351563</v>
      </c>
      <c r="C1029" s="37">
        <v>129.67251586914063</v>
      </c>
      <c r="D1029" s="35">
        <v>11011746</v>
      </c>
      <c r="E1029" s="35" t="s">
        <v>1593</v>
      </c>
      <c r="F1029" s="35" t="s">
        <v>604</v>
      </c>
    </row>
    <row r="1030" spans="1:6">
      <c r="A1030" s="35" t="s">
        <v>1632</v>
      </c>
      <c r="B1030" s="37">
        <v>144</v>
      </c>
      <c r="C1030" s="37">
        <v>130.71641540527344</v>
      </c>
      <c r="D1030" s="35">
        <v>23151914</v>
      </c>
      <c r="E1030" s="35" t="s">
        <v>1593</v>
      </c>
      <c r="F1030" s="35" t="s">
        <v>604</v>
      </c>
    </row>
    <row r="1031" spans="1:6">
      <c r="A1031" s="35" t="s">
        <v>1633</v>
      </c>
      <c r="B1031" s="37">
        <v>143.19999694824219</v>
      </c>
      <c r="C1031" s="37">
        <v>129.99021911621094</v>
      </c>
      <c r="D1031" s="35">
        <v>14648962</v>
      </c>
      <c r="E1031" s="35" t="s">
        <v>1593</v>
      </c>
      <c r="F1031" s="35" t="s">
        <v>604</v>
      </c>
    </row>
    <row r="1032" spans="1:6">
      <c r="A1032" s="35" t="s">
        <v>1634</v>
      </c>
      <c r="B1032" s="37">
        <v>145.64999389648438</v>
      </c>
      <c r="C1032" s="37">
        <v>132.21418762207031</v>
      </c>
      <c r="D1032" s="35">
        <v>11706676</v>
      </c>
      <c r="E1032" s="35" t="s">
        <v>1593</v>
      </c>
      <c r="F1032" s="35" t="s">
        <v>604</v>
      </c>
    </row>
    <row r="1033" spans="1:6">
      <c r="A1033" s="35" t="s">
        <v>1635</v>
      </c>
      <c r="B1033" s="37">
        <v>146.875</v>
      </c>
      <c r="C1033" s="37">
        <v>133.32623291015625</v>
      </c>
      <c r="D1033" s="35">
        <v>22163334</v>
      </c>
      <c r="E1033" s="35" t="s">
        <v>1593</v>
      </c>
      <c r="F1033" s="35" t="s">
        <v>604</v>
      </c>
    </row>
    <row r="1034" spans="1:6">
      <c r="A1034" s="35" t="s">
        <v>1636</v>
      </c>
      <c r="B1034" s="37">
        <v>145.75</v>
      </c>
      <c r="C1034" s="37">
        <v>132.30497741699219</v>
      </c>
      <c r="D1034" s="35">
        <v>17201760</v>
      </c>
      <c r="E1034" s="35" t="s">
        <v>1593</v>
      </c>
      <c r="F1034" s="35" t="s">
        <v>604</v>
      </c>
    </row>
    <row r="1035" spans="1:6">
      <c r="A1035" s="35" t="s">
        <v>1637</v>
      </c>
      <c r="B1035" s="37">
        <v>147.52499389648438</v>
      </c>
      <c r="C1035" s="37">
        <v>133.91624450683594</v>
      </c>
      <c r="D1035" s="35">
        <v>13569768</v>
      </c>
      <c r="E1035" s="35" t="s">
        <v>1593</v>
      </c>
      <c r="F1035" s="35" t="s">
        <v>604</v>
      </c>
    </row>
    <row r="1036" spans="1:6">
      <c r="A1036" s="35" t="s">
        <v>1638</v>
      </c>
      <c r="B1036" s="37">
        <v>148.55000305175781</v>
      </c>
      <c r="C1036" s="37">
        <v>134.84671020507813</v>
      </c>
      <c r="D1036" s="35">
        <v>14963786</v>
      </c>
      <c r="E1036" s="35" t="s">
        <v>1593</v>
      </c>
      <c r="F1036" s="35" t="s">
        <v>604</v>
      </c>
    </row>
    <row r="1037" spans="1:6">
      <c r="A1037" s="35" t="s">
        <v>1639</v>
      </c>
      <c r="B1037" s="37">
        <v>148.85000610351563</v>
      </c>
      <c r="C1037" s="37">
        <v>135.1190185546875</v>
      </c>
      <c r="D1037" s="35">
        <v>14468168</v>
      </c>
      <c r="E1037" s="35" t="s">
        <v>1593</v>
      </c>
      <c r="F1037" s="35" t="s">
        <v>604</v>
      </c>
    </row>
    <row r="1038" spans="1:6">
      <c r="A1038" s="35" t="s">
        <v>1640</v>
      </c>
      <c r="B1038" s="37">
        <v>149</v>
      </c>
      <c r="C1038" s="37">
        <v>135.25518798828125</v>
      </c>
      <c r="D1038" s="35">
        <v>12445080</v>
      </c>
      <c r="E1038" s="35" t="s">
        <v>1593</v>
      </c>
      <c r="F1038" s="35" t="s">
        <v>604</v>
      </c>
    </row>
    <row r="1039" spans="1:6">
      <c r="A1039" s="35" t="s">
        <v>1641</v>
      </c>
      <c r="B1039" s="37">
        <v>149.19999694824219</v>
      </c>
      <c r="C1039" s="37">
        <v>135.43673706054688</v>
      </c>
      <c r="D1039" s="35">
        <v>10004562</v>
      </c>
      <c r="E1039" s="35" t="s">
        <v>1593</v>
      </c>
      <c r="F1039" s="35" t="s">
        <v>604</v>
      </c>
    </row>
    <row r="1040" spans="1:6">
      <c r="A1040" s="35" t="s">
        <v>1642</v>
      </c>
      <c r="B1040" s="37">
        <v>149.39999389648438</v>
      </c>
      <c r="C1040" s="37">
        <v>135.61827087402344</v>
      </c>
      <c r="D1040" s="35">
        <v>15931606</v>
      </c>
      <c r="E1040" s="35" t="s">
        <v>1593</v>
      </c>
      <c r="F1040" s="35" t="s">
        <v>604</v>
      </c>
    </row>
    <row r="1041" spans="1:6">
      <c r="A1041" s="35" t="s">
        <v>1643</v>
      </c>
      <c r="B1041" s="37">
        <v>149.57499694824219</v>
      </c>
      <c r="C1041" s="37">
        <v>135.77716064453125</v>
      </c>
      <c r="D1041" s="35">
        <v>12357208</v>
      </c>
      <c r="E1041" s="35" t="s">
        <v>1593</v>
      </c>
      <c r="F1041" s="35" t="s">
        <v>604</v>
      </c>
    </row>
    <row r="1042" spans="1:6">
      <c r="A1042" s="35" t="s">
        <v>1644</v>
      </c>
      <c r="B1042" s="37">
        <v>149</v>
      </c>
      <c r="C1042" s="37">
        <v>135.25518798828125</v>
      </c>
      <c r="D1042" s="35">
        <v>16803584</v>
      </c>
      <c r="E1042" s="35" t="s">
        <v>1593</v>
      </c>
      <c r="F1042" s="35" t="s">
        <v>604</v>
      </c>
    </row>
    <row r="1043" spans="1:6">
      <c r="A1043" s="35" t="s">
        <v>1645</v>
      </c>
      <c r="B1043" s="37">
        <v>147.02499389648438</v>
      </c>
      <c r="C1043" s="37">
        <v>133.46237182617188</v>
      </c>
      <c r="D1043" s="35">
        <v>23805922</v>
      </c>
      <c r="E1043" s="35" t="s">
        <v>1593</v>
      </c>
      <c r="F1043" s="35" t="s">
        <v>604</v>
      </c>
    </row>
    <row r="1044" spans="1:6">
      <c r="A1044" s="35" t="s">
        <v>1646</v>
      </c>
      <c r="B1044" s="37">
        <v>143.47500610351563</v>
      </c>
      <c r="C1044" s="37">
        <v>130.2398681640625</v>
      </c>
      <c r="D1044" s="35">
        <v>19120844</v>
      </c>
      <c r="E1044" s="35" t="s">
        <v>1593</v>
      </c>
      <c r="F1044" s="35" t="s">
        <v>604</v>
      </c>
    </row>
    <row r="1045" spans="1:6">
      <c r="A1045" s="35" t="s">
        <v>1647</v>
      </c>
      <c r="B1045" s="37">
        <v>142.92500305175781</v>
      </c>
      <c r="C1045" s="37">
        <v>129.74058532714844</v>
      </c>
      <c r="D1045" s="35">
        <v>12954516</v>
      </c>
      <c r="E1045" s="35" t="s">
        <v>1593</v>
      </c>
      <c r="F1045" s="35" t="s">
        <v>604</v>
      </c>
    </row>
    <row r="1046" spans="1:6">
      <c r="A1046" s="35" t="s">
        <v>1648</v>
      </c>
      <c r="B1046" s="37">
        <v>141.94999694824219</v>
      </c>
      <c r="C1046" s="37">
        <v>128.85549926757813</v>
      </c>
      <c r="D1046" s="35">
        <v>6343478</v>
      </c>
      <c r="E1046" s="35" t="s">
        <v>1593</v>
      </c>
      <c r="F1046" s="35" t="s">
        <v>604</v>
      </c>
    </row>
    <row r="1047" spans="1:6">
      <c r="A1047" s="35" t="s">
        <v>1649</v>
      </c>
      <c r="B1047" s="37">
        <v>142.64999389648438</v>
      </c>
      <c r="C1047" s="37">
        <v>129.49095153808594</v>
      </c>
      <c r="D1047" s="35">
        <v>5619496</v>
      </c>
      <c r="E1047" s="35" t="s">
        <v>1593</v>
      </c>
      <c r="F1047" s="35" t="s">
        <v>604</v>
      </c>
    </row>
    <row r="1048" spans="1:6">
      <c r="A1048" s="35" t="s">
        <v>1650</v>
      </c>
      <c r="B1048" s="37">
        <v>143.07499694824219</v>
      </c>
      <c r="C1048" s="37">
        <v>129.87673950195313</v>
      </c>
      <c r="D1048" s="35">
        <v>4663538</v>
      </c>
      <c r="E1048" s="35" t="s">
        <v>1593</v>
      </c>
      <c r="F1048" s="35" t="s">
        <v>604</v>
      </c>
    </row>
    <row r="1049" spans="1:6">
      <c r="A1049" s="35" t="s">
        <v>1651</v>
      </c>
      <c r="B1049" s="37">
        <v>141.05000305175781</v>
      </c>
      <c r="C1049" s="37">
        <v>128.03855895996094</v>
      </c>
      <c r="D1049" s="35">
        <v>10178400</v>
      </c>
      <c r="E1049" s="35" t="s">
        <v>1593</v>
      </c>
      <c r="F1049" s="35" t="s">
        <v>604</v>
      </c>
    </row>
    <row r="1050" spans="1:6">
      <c r="A1050" s="35" t="s">
        <v>1652</v>
      </c>
      <c r="B1050" s="37">
        <v>140.25</v>
      </c>
      <c r="C1050" s="37">
        <v>127.31235504150391</v>
      </c>
      <c r="D1050" s="35">
        <v>6298778</v>
      </c>
      <c r="E1050" s="35" t="s">
        <v>1593</v>
      </c>
      <c r="F1050" s="35" t="s">
        <v>604</v>
      </c>
    </row>
    <row r="1051" spans="1:6">
      <c r="A1051" s="35" t="s">
        <v>1653</v>
      </c>
      <c r="B1051" s="37">
        <v>141</v>
      </c>
      <c r="C1051" s="37">
        <v>127.99317932128906</v>
      </c>
      <c r="D1051" s="35">
        <v>3471842</v>
      </c>
      <c r="E1051" s="35" t="s">
        <v>1593</v>
      </c>
      <c r="F1051" s="35" t="s">
        <v>604</v>
      </c>
    </row>
    <row r="1052" spans="1:6">
      <c r="A1052" s="35" t="s">
        <v>1654</v>
      </c>
      <c r="B1052" s="37">
        <v>142.125</v>
      </c>
      <c r="C1052" s="37">
        <v>129.01438903808594</v>
      </c>
      <c r="D1052" s="35">
        <v>5218738</v>
      </c>
      <c r="E1052" s="35" t="s">
        <v>1593</v>
      </c>
      <c r="F1052" s="35" t="s">
        <v>604</v>
      </c>
    </row>
    <row r="1053" spans="1:6">
      <c r="A1053" s="35" t="s">
        <v>1655</v>
      </c>
      <c r="B1053" s="37">
        <v>141.42500305175781</v>
      </c>
      <c r="C1053" s="37">
        <v>128.37896728515625</v>
      </c>
      <c r="D1053" s="35">
        <v>2516552</v>
      </c>
      <c r="E1053" s="35" t="s">
        <v>1593</v>
      </c>
      <c r="F1053" s="35" t="s">
        <v>604</v>
      </c>
    </row>
    <row r="1054" spans="1:6">
      <c r="A1054" s="35" t="s">
        <v>1656</v>
      </c>
      <c r="B1054" s="37">
        <v>141.92500305175781</v>
      </c>
      <c r="C1054" s="37">
        <v>128.83285522460938</v>
      </c>
      <c r="D1054" s="35">
        <v>3256662</v>
      </c>
      <c r="E1054" s="35" t="s">
        <v>1593</v>
      </c>
      <c r="F1054" s="35" t="s">
        <v>604</v>
      </c>
    </row>
    <row r="1055" spans="1:6">
      <c r="A1055" s="35" t="s">
        <v>1657</v>
      </c>
      <c r="B1055" s="37">
        <v>135.92500305175781</v>
      </c>
      <c r="C1055" s="37">
        <v>123.38632202148438</v>
      </c>
      <c r="D1055" s="35">
        <v>9170926</v>
      </c>
      <c r="E1055" s="35" t="s">
        <v>1593</v>
      </c>
      <c r="F1055" s="35" t="s">
        <v>604</v>
      </c>
    </row>
    <row r="1056" spans="1:6">
      <c r="A1056" s="35" t="s">
        <v>1658</v>
      </c>
      <c r="B1056" s="37">
        <v>133.44999694824219</v>
      </c>
      <c r="C1056" s="37">
        <v>121.13962554931641</v>
      </c>
      <c r="D1056" s="35">
        <v>7149570</v>
      </c>
      <c r="E1056" s="35" t="s">
        <v>1593</v>
      </c>
      <c r="F1056" s="35" t="s">
        <v>604</v>
      </c>
    </row>
    <row r="1057" spans="1:6">
      <c r="A1057" s="35" t="s">
        <v>1659</v>
      </c>
      <c r="B1057" s="37">
        <v>132.75</v>
      </c>
      <c r="C1057" s="37">
        <v>120.50418853759766</v>
      </c>
      <c r="D1057" s="35">
        <v>5240124</v>
      </c>
      <c r="E1057" s="35" t="s">
        <v>1593</v>
      </c>
      <c r="F1057" s="35" t="s">
        <v>604</v>
      </c>
    </row>
    <row r="1058" spans="1:6">
      <c r="A1058" s="35" t="s">
        <v>1660</v>
      </c>
      <c r="B1058" s="37">
        <v>133.47500610351563</v>
      </c>
      <c r="C1058" s="37">
        <v>121.16233062744141</v>
      </c>
      <c r="D1058" s="35">
        <v>5561126</v>
      </c>
      <c r="E1058" s="35" t="s">
        <v>1593</v>
      </c>
      <c r="F1058" s="35" t="s">
        <v>604</v>
      </c>
    </row>
    <row r="1059" spans="1:6">
      <c r="A1059" s="35" t="s">
        <v>1661</v>
      </c>
      <c r="B1059" s="37">
        <v>133.875</v>
      </c>
      <c r="C1059" s="37">
        <v>121.52543640136719</v>
      </c>
      <c r="D1059" s="35">
        <v>5383786</v>
      </c>
      <c r="E1059" s="35" t="s">
        <v>1593</v>
      </c>
      <c r="F1059" s="35" t="s">
        <v>604</v>
      </c>
    </row>
    <row r="1060" spans="1:6">
      <c r="A1060" s="35" t="s">
        <v>1662</v>
      </c>
      <c r="B1060" s="37">
        <v>129.47500610351563</v>
      </c>
      <c r="C1060" s="37">
        <v>117.53130340576172</v>
      </c>
      <c r="D1060" s="35">
        <v>15190556</v>
      </c>
      <c r="E1060" s="35" t="s">
        <v>1593</v>
      </c>
      <c r="F1060" s="35" t="s">
        <v>604</v>
      </c>
    </row>
    <row r="1061" spans="1:6">
      <c r="A1061" s="35" t="s">
        <v>1663</v>
      </c>
      <c r="B1061" s="37">
        <v>129.94999694824219</v>
      </c>
      <c r="C1061" s="37">
        <v>117.96249389648438</v>
      </c>
      <c r="D1061" s="35">
        <v>9494898</v>
      </c>
      <c r="E1061" s="35" t="s">
        <v>1593</v>
      </c>
      <c r="F1061" s="35" t="s">
        <v>604</v>
      </c>
    </row>
    <row r="1062" spans="1:6">
      <c r="A1062" s="35" t="s">
        <v>1664</v>
      </c>
      <c r="B1062" s="37">
        <v>130</v>
      </c>
      <c r="C1062" s="37">
        <v>118.00788116455078</v>
      </c>
      <c r="D1062" s="35">
        <v>9723314</v>
      </c>
      <c r="E1062" s="35" t="s">
        <v>1593</v>
      </c>
      <c r="F1062" s="35" t="s">
        <v>604</v>
      </c>
    </row>
    <row r="1063" spans="1:6">
      <c r="A1063" s="35" t="s">
        <v>1665</v>
      </c>
      <c r="B1063" s="37">
        <v>129.80000305175781</v>
      </c>
      <c r="C1063" s="37">
        <v>117.82633972167969</v>
      </c>
      <c r="D1063" s="35">
        <v>11637538</v>
      </c>
      <c r="E1063" s="35" t="s">
        <v>1593</v>
      </c>
      <c r="F1063" s="35" t="s">
        <v>604</v>
      </c>
    </row>
    <row r="1064" spans="1:6">
      <c r="A1064" s="35" t="s">
        <v>1666</v>
      </c>
      <c r="B1064" s="37">
        <v>134.55000305175781</v>
      </c>
      <c r="C1064" s="37">
        <v>122.13814544677734</v>
      </c>
      <c r="D1064" s="35">
        <v>42054706</v>
      </c>
      <c r="E1064" s="35" t="s">
        <v>1593</v>
      </c>
      <c r="F1064" s="35" t="s">
        <v>604</v>
      </c>
    </row>
    <row r="1065" spans="1:6">
      <c r="A1065" s="35" t="s">
        <v>1667</v>
      </c>
      <c r="B1065" s="37">
        <v>132.35000610351563</v>
      </c>
      <c r="C1065" s="37">
        <v>120.14112091064453</v>
      </c>
      <c r="D1065" s="35">
        <v>8459390</v>
      </c>
      <c r="E1065" s="35" t="s">
        <v>1593</v>
      </c>
      <c r="F1065" s="35" t="s">
        <v>604</v>
      </c>
    </row>
    <row r="1066" spans="1:6">
      <c r="A1066" s="35" t="s">
        <v>1668</v>
      </c>
      <c r="B1066" s="37">
        <v>132.39999389648438</v>
      </c>
      <c r="C1066" s="37">
        <v>120.18647766113281</v>
      </c>
      <c r="D1066" s="35">
        <v>8839780</v>
      </c>
      <c r="E1066" s="35" t="s">
        <v>1593</v>
      </c>
      <c r="F1066" s="35" t="s">
        <v>604</v>
      </c>
    </row>
    <row r="1067" spans="1:6">
      <c r="A1067" s="35" t="s">
        <v>1669</v>
      </c>
      <c r="B1067" s="37">
        <v>132.25</v>
      </c>
      <c r="C1067" s="37">
        <v>120.05033111572266</v>
      </c>
      <c r="D1067" s="35">
        <v>9361236</v>
      </c>
      <c r="E1067" s="35" t="s">
        <v>1593</v>
      </c>
      <c r="F1067" s="35" t="s">
        <v>604</v>
      </c>
    </row>
    <row r="1068" spans="1:6">
      <c r="A1068" s="35" t="s">
        <v>1670</v>
      </c>
      <c r="B1068" s="37">
        <v>132.10000610351563</v>
      </c>
      <c r="C1068" s="37">
        <v>119.91416931152344</v>
      </c>
      <c r="D1068" s="35">
        <v>4498944</v>
      </c>
      <c r="E1068" s="35" t="s">
        <v>1593</v>
      </c>
      <c r="F1068" s="35" t="s">
        <v>604</v>
      </c>
    </row>
    <row r="1069" spans="1:6">
      <c r="A1069" s="35" t="s">
        <v>1671</v>
      </c>
      <c r="B1069" s="37">
        <v>131.125</v>
      </c>
      <c r="C1069" s="37">
        <v>119.02911376953125</v>
      </c>
      <c r="D1069" s="35">
        <v>9982362</v>
      </c>
      <c r="E1069" s="35" t="s">
        <v>1593</v>
      </c>
      <c r="F1069" s="35" t="s">
        <v>604</v>
      </c>
    </row>
    <row r="1070" spans="1:6">
      <c r="A1070" s="35" t="s">
        <v>1672</v>
      </c>
      <c r="B1070" s="37">
        <v>131.80000305175781</v>
      </c>
      <c r="C1070" s="37">
        <v>119.64185333251953</v>
      </c>
      <c r="D1070" s="35">
        <v>5438744</v>
      </c>
      <c r="E1070" s="35" t="s">
        <v>1593</v>
      </c>
      <c r="F1070" s="35" t="s">
        <v>604</v>
      </c>
    </row>
    <row r="1071" spans="1:6">
      <c r="A1071" s="35" t="s">
        <v>1673</v>
      </c>
      <c r="B1071" s="37">
        <v>131.19999694824219</v>
      </c>
      <c r="C1071" s="37">
        <v>119.09717559814453</v>
      </c>
      <c r="D1071" s="35">
        <v>5764526</v>
      </c>
      <c r="E1071" s="35" t="s">
        <v>1593</v>
      </c>
      <c r="F1071" s="35" t="s">
        <v>604</v>
      </c>
    </row>
    <row r="1072" spans="1:6">
      <c r="A1072" s="35" t="s">
        <v>1674</v>
      </c>
      <c r="B1072" s="37">
        <v>131.14999389648438</v>
      </c>
      <c r="C1072" s="37">
        <v>119.05178070068359</v>
      </c>
      <c r="D1072" s="35">
        <v>4830174</v>
      </c>
      <c r="E1072" s="35" t="s">
        <v>1593</v>
      </c>
      <c r="F1072" s="35" t="s">
        <v>604</v>
      </c>
    </row>
    <row r="1073" spans="1:6">
      <c r="A1073" s="35" t="s">
        <v>1675</v>
      </c>
      <c r="B1073" s="37">
        <v>132.64999389648438</v>
      </c>
      <c r="C1073" s="37">
        <v>120.41342163085938</v>
      </c>
      <c r="D1073" s="35">
        <v>5698432</v>
      </c>
      <c r="E1073" s="35" t="s">
        <v>1593</v>
      </c>
      <c r="F1073" s="35" t="s">
        <v>604</v>
      </c>
    </row>
    <row r="1074" spans="1:6">
      <c r="A1074" s="35" t="s">
        <v>1676</v>
      </c>
      <c r="B1074" s="37">
        <v>135.19999694824219</v>
      </c>
      <c r="C1074" s="37">
        <v>122.72818756103516</v>
      </c>
      <c r="D1074" s="35">
        <v>35302414</v>
      </c>
      <c r="E1074" s="35" t="s">
        <v>1593</v>
      </c>
      <c r="F1074" s="35" t="s">
        <v>604</v>
      </c>
    </row>
    <row r="1075" spans="1:6">
      <c r="A1075" s="35" t="s">
        <v>1677</v>
      </c>
      <c r="B1075" s="37">
        <v>131.82499694824219</v>
      </c>
      <c r="C1075" s="37">
        <v>119.66452789306641</v>
      </c>
      <c r="D1075" s="35">
        <v>9957332</v>
      </c>
      <c r="E1075" s="35" t="s">
        <v>1593</v>
      </c>
      <c r="F1075" s="35" t="s">
        <v>604</v>
      </c>
    </row>
    <row r="1076" spans="1:6">
      <c r="A1076" s="35" t="s">
        <v>1678</v>
      </c>
      <c r="B1076" s="37">
        <v>131</v>
      </c>
      <c r="C1076" s="37">
        <v>118.91562652587891</v>
      </c>
      <c r="D1076" s="35">
        <v>7665468</v>
      </c>
      <c r="E1076" s="35" t="s">
        <v>1593</v>
      </c>
      <c r="F1076" s="35" t="s">
        <v>604</v>
      </c>
    </row>
    <row r="1077" spans="1:6">
      <c r="A1077" s="35" t="s">
        <v>1679</v>
      </c>
      <c r="B1077" s="37">
        <v>129.44999694824219</v>
      </c>
      <c r="C1077" s="37">
        <v>117.50861358642578</v>
      </c>
      <c r="D1077" s="35">
        <v>7906452</v>
      </c>
      <c r="E1077" s="35" t="s">
        <v>1593</v>
      </c>
      <c r="F1077" s="35" t="s">
        <v>604</v>
      </c>
    </row>
    <row r="1078" spans="1:6">
      <c r="A1078" s="35" t="s">
        <v>1680</v>
      </c>
      <c r="B1078" s="37">
        <v>131.27499389648438</v>
      </c>
      <c r="C1078" s="37">
        <v>119.16524505615234</v>
      </c>
      <c r="D1078" s="35">
        <v>7992066</v>
      </c>
      <c r="E1078" s="35" t="s">
        <v>1593</v>
      </c>
      <c r="F1078" s="35" t="s">
        <v>604</v>
      </c>
    </row>
    <row r="1079" spans="1:6">
      <c r="A1079" s="35" t="s">
        <v>1681</v>
      </c>
      <c r="B1079" s="37">
        <v>132.875</v>
      </c>
      <c r="C1079" s="37">
        <v>120.61766052246094</v>
      </c>
      <c r="D1079" s="35">
        <v>7250870</v>
      </c>
      <c r="E1079" s="35" t="s">
        <v>1593</v>
      </c>
      <c r="F1079" s="35" t="s">
        <v>604</v>
      </c>
    </row>
    <row r="1080" spans="1:6">
      <c r="A1080" s="35" t="s">
        <v>1682</v>
      </c>
      <c r="B1080" s="37">
        <v>131.75</v>
      </c>
      <c r="C1080" s="37">
        <v>119.59645843505859</v>
      </c>
      <c r="D1080" s="35">
        <v>7060998</v>
      </c>
      <c r="E1080" s="35" t="s">
        <v>1593</v>
      </c>
      <c r="F1080" s="35" t="s">
        <v>604</v>
      </c>
    </row>
    <row r="1081" spans="1:6">
      <c r="A1081" s="35" t="s">
        <v>1683</v>
      </c>
      <c r="B1081" s="37">
        <v>129.25</v>
      </c>
      <c r="C1081" s="37">
        <v>117.32706451416016</v>
      </c>
      <c r="D1081" s="35">
        <v>4380900</v>
      </c>
      <c r="E1081" s="35" t="s">
        <v>1593</v>
      </c>
      <c r="F1081" s="35" t="s">
        <v>604</v>
      </c>
    </row>
    <row r="1082" spans="1:6">
      <c r="A1082" s="35" t="s">
        <v>1684</v>
      </c>
      <c r="B1082" s="37">
        <v>125.52500152587891</v>
      </c>
      <c r="C1082" s="37">
        <v>113.94568634033203</v>
      </c>
      <c r="D1082" s="35">
        <v>8706726</v>
      </c>
      <c r="E1082" s="35" t="s">
        <v>1593</v>
      </c>
      <c r="F1082" s="35" t="s">
        <v>604</v>
      </c>
    </row>
    <row r="1083" spans="1:6">
      <c r="A1083" s="35" t="s">
        <v>1685</v>
      </c>
      <c r="B1083" s="37">
        <v>124.59999847412109</v>
      </c>
      <c r="C1083" s="37">
        <v>113.10601043701172</v>
      </c>
      <c r="D1083" s="35">
        <v>9944870</v>
      </c>
      <c r="E1083" s="35" t="s">
        <v>1593</v>
      </c>
      <c r="F1083" s="35" t="s">
        <v>604</v>
      </c>
    </row>
    <row r="1084" spans="1:6">
      <c r="A1084" s="35" t="s">
        <v>1686</v>
      </c>
      <c r="B1084" s="37">
        <v>126.05000305175781</v>
      </c>
      <c r="C1084" s="37">
        <v>114.42225646972656</v>
      </c>
      <c r="D1084" s="35">
        <v>5540152</v>
      </c>
      <c r="E1084" s="35" t="s">
        <v>1593</v>
      </c>
      <c r="F1084" s="35" t="s">
        <v>604</v>
      </c>
    </row>
    <row r="1085" spans="1:6">
      <c r="A1085" s="35" t="s">
        <v>1687</v>
      </c>
      <c r="B1085" s="37">
        <v>126.65000152587891</v>
      </c>
      <c r="C1085" s="37">
        <v>114.96691131591797</v>
      </c>
      <c r="D1085" s="35">
        <v>15930242</v>
      </c>
      <c r="E1085" s="35" t="s">
        <v>1593</v>
      </c>
      <c r="F1085" s="35" t="s">
        <v>604</v>
      </c>
    </row>
    <row r="1086" spans="1:6">
      <c r="A1086" s="35" t="s">
        <v>1688</v>
      </c>
      <c r="B1086" s="37">
        <v>126.19999694824219</v>
      </c>
      <c r="C1086" s="37">
        <v>114.55841064453125</v>
      </c>
      <c r="D1086" s="35">
        <v>6826530</v>
      </c>
      <c r="E1086" s="35" t="s">
        <v>1593</v>
      </c>
      <c r="F1086" s="35" t="s">
        <v>604</v>
      </c>
    </row>
    <row r="1087" spans="1:6">
      <c r="A1087" s="35" t="s">
        <v>1689</v>
      </c>
      <c r="B1087" s="37">
        <v>126.02500152587891</v>
      </c>
      <c r="C1087" s="37">
        <v>114.39956665039063</v>
      </c>
      <c r="D1087" s="35">
        <v>6739804</v>
      </c>
      <c r="E1087" s="35" t="s">
        <v>1593</v>
      </c>
      <c r="F1087" s="35" t="s">
        <v>604</v>
      </c>
    </row>
    <row r="1088" spans="1:6">
      <c r="A1088" s="35" t="s">
        <v>1690</v>
      </c>
      <c r="B1088" s="37">
        <v>125.69999694824219</v>
      </c>
      <c r="C1088" s="37">
        <v>114.10453033447266</v>
      </c>
      <c r="D1088" s="35">
        <v>9793938</v>
      </c>
      <c r="E1088" s="35" t="s">
        <v>1593</v>
      </c>
      <c r="F1088" s="35" t="s">
        <v>604</v>
      </c>
    </row>
    <row r="1089" spans="1:6">
      <c r="A1089" s="35" t="s">
        <v>1691</v>
      </c>
      <c r="B1089" s="37">
        <v>124.55000305175781</v>
      </c>
      <c r="C1089" s="37">
        <v>113.06063842773438</v>
      </c>
      <c r="D1089" s="35">
        <v>6529420</v>
      </c>
      <c r="E1089" s="35" t="s">
        <v>1593</v>
      </c>
      <c r="F1089" s="35" t="s">
        <v>604</v>
      </c>
    </row>
    <row r="1090" spans="1:6">
      <c r="A1090" s="35" t="s">
        <v>1692</v>
      </c>
      <c r="B1090" s="37">
        <v>125.05000305175781</v>
      </c>
      <c r="C1090" s="37">
        <v>113.51449584960938</v>
      </c>
      <c r="D1090" s="35">
        <v>8045102</v>
      </c>
      <c r="E1090" s="35" t="s">
        <v>1593</v>
      </c>
      <c r="F1090" s="35" t="s">
        <v>604</v>
      </c>
    </row>
    <row r="1091" spans="1:6">
      <c r="A1091" s="35" t="s">
        <v>1693</v>
      </c>
      <c r="B1091" s="37">
        <v>124.625</v>
      </c>
      <c r="C1091" s="37">
        <v>113.12871551513672</v>
      </c>
      <c r="D1091" s="35">
        <v>5363314</v>
      </c>
      <c r="E1091" s="35" t="s">
        <v>1593</v>
      </c>
      <c r="F1091" s="35" t="s">
        <v>604</v>
      </c>
    </row>
    <row r="1092" spans="1:6">
      <c r="A1092" s="35" t="s">
        <v>1694</v>
      </c>
      <c r="B1092" s="37">
        <v>124.40000152587891</v>
      </c>
      <c r="C1092" s="37">
        <v>112.92446899414063</v>
      </c>
      <c r="D1092" s="35">
        <v>5438102</v>
      </c>
      <c r="E1092" s="35" t="s">
        <v>1593</v>
      </c>
      <c r="F1092" s="35" t="s">
        <v>604</v>
      </c>
    </row>
    <row r="1093" spans="1:6">
      <c r="A1093" s="35" t="s">
        <v>1695</v>
      </c>
      <c r="B1093" s="37">
        <v>127.19999694824219</v>
      </c>
      <c r="C1093" s="37">
        <v>115.46617126464844</v>
      </c>
      <c r="D1093" s="35">
        <v>8368026</v>
      </c>
      <c r="E1093" s="35" t="s">
        <v>1593</v>
      </c>
      <c r="F1093" s="35" t="s">
        <v>604</v>
      </c>
    </row>
    <row r="1094" spans="1:6">
      <c r="A1094" s="35" t="s">
        <v>1696</v>
      </c>
      <c r="B1094" s="37">
        <v>126.82499694824219</v>
      </c>
      <c r="C1094" s="37">
        <v>115.12577056884766</v>
      </c>
      <c r="D1094" s="35">
        <v>4411118</v>
      </c>
      <c r="E1094" s="35" t="s">
        <v>1593</v>
      </c>
      <c r="F1094" s="35" t="s">
        <v>604</v>
      </c>
    </row>
    <row r="1095" spans="1:6">
      <c r="A1095" s="35" t="s">
        <v>1697</v>
      </c>
      <c r="B1095" s="37">
        <v>128.02499389648438</v>
      </c>
      <c r="C1095" s="37">
        <v>116.21507263183594</v>
      </c>
      <c r="D1095" s="35">
        <v>6606662</v>
      </c>
      <c r="E1095" s="35" t="s">
        <v>1593</v>
      </c>
      <c r="F1095" s="35" t="s">
        <v>604</v>
      </c>
    </row>
    <row r="1096" spans="1:6">
      <c r="A1096" s="35" t="s">
        <v>1698</v>
      </c>
      <c r="B1096" s="37">
        <v>127.80000305175781</v>
      </c>
      <c r="C1096" s="37">
        <v>116.01081848144531</v>
      </c>
      <c r="D1096" s="35">
        <v>8811234</v>
      </c>
      <c r="E1096" s="35" t="s">
        <v>1593</v>
      </c>
      <c r="F1096" s="35" t="s">
        <v>604</v>
      </c>
    </row>
    <row r="1097" spans="1:6">
      <c r="A1097" s="35" t="s">
        <v>1699</v>
      </c>
      <c r="B1097" s="37">
        <v>126</v>
      </c>
      <c r="C1097" s="37">
        <v>114.37687683105469</v>
      </c>
      <c r="D1097" s="35">
        <v>22872104</v>
      </c>
      <c r="E1097" s="35" t="s">
        <v>1593</v>
      </c>
      <c r="F1097" s="35" t="s">
        <v>604</v>
      </c>
    </row>
    <row r="1098" spans="1:6">
      <c r="A1098" s="35" t="s">
        <v>1700</v>
      </c>
      <c r="B1098" s="37">
        <v>127.80000305175781</v>
      </c>
      <c r="C1098" s="37">
        <v>116.01081848144531</v>
      </c>
      <c r="D1098" s="35">
        <v>11581912</v>
      </c>
      <c r="E1098" s="35" t="s">
        <v>1593</v>
      </c>
      <c r="F1098" s="35" t="s">
        <v>604</v>
      </c>
    </row>
    <row r="1099" spans="1:6">
      <c r="A1099" s="35" t="s">
        <v>1701</v>
      </c>
      <c r="B1099" s="37">
        <v>124.07499694824219</v>
      </c>
      <c r="C1099" s="37">
        <v>112.62942504882813</v>
      </c>
      <c r="D1099" s="35">
        <v>19598224</v>
      </c>
      <c r="E1099" s="35" t="s">
        <v>1593</v>
      </c>
      <c r="F1099" s="35" t="s">
        <v>604</v>
      </c>
    </row>
    <row r="1100" spans="1:6">
      <c r="A1100" s="35" t="s">
        <v>1702</v>
      </c>
      <c r="B1100" s="37">
        <v>122.27500152587891</v>
      </c>
      <c r="C1100" s="37">
        <v>110.99547576904297</v>
      </c>
      <c r="D1100" s="35">
        <v>9329514</v>
      </c>
      <c r="E1100" s="35" t="s">
        <v>1593</v>
      </c>
      <c r="F1100" s="35" t="s">
        <v>604</v>
      </c>
    </row>
    <row r="1101" spans="1:6">
      <c r="A1101" s="35" t="s">
        <v>1703</v>
      </c>
      <c r="B1101" s="37">
        <v>122.67500305175781</v>
      </c>
      <c r="C1101" s="37">
        <v>111.35860443115234</v>
      </c>
      <c r="D1101" s="35">
        <v>7620240</v>
      </c>
      <c r="E1101" s="35" t="s">
        <v>1593</v>
      </c>
      <c r="F1101" s="35" t="s">
        <v>604</v>
      </c>
    </row>
    <row r="1102" spans="1:6">
      <c r="A1102" s="35" t="s">
        <v>1704</v>
      </c>
      <c r="B1102" s="37">
        <v>123.55000305175781</v>
      </c>
      <c r="C1102" s="37">
        <v>112.15287780761719</v>
      </c>
      <c r="D1102" s="35">
        <v>7950382</v>
      </c>
      <c r="E1102" s="35" t="s">
        <v>1593</v>
      </c>
      <c r="F1102" s="35" t="s">
        <v>604</v>
      </c>
    </row>
    <row r="1103" spans="1:6">
      <c r="A1103" s="35" t="s">
        <v>1705</v>
      </c>
      <c r="B1103" s="37">
        <v>122.07499694824219</v>
      </c>
      <c r="C1103" s="37">
        <v>110.81393432617188</v>
      </c>
      <c r="D1103" s="35">
        <v>6329530</v>
      </c>
      <c r="E1103" s="35" t="s">
        <v>1593</v>
      </c>
      <c r="F1103" s="35" t="s">
        <v>604</v>
      </c>
    </row>
    <row r="1104" spans="1:6">
      <c r="A1104" s="35" t="s">
        <v>1706</v>
      </c>
      <c r="B1104" s="37">
        <v>122.15000152587891</v>
      </c>
      <c r="C1104" s="37">
        <v>110.88201904296875</v>
      </c>
      <c r="D1104" s="35">
        <v>5052560</v>
      </c>
      <c r="E1104" s="35" t="s">
        <v>1593</v>
      </c>
      <c r="F1104" s="35" t="s">
        <v>604</v>
      </c>
    </row>
    <row r="1105" spans="1:6">
      <c r="A1105" s="35" t="s">
        <v>1707</v>
      </c>
      <c r="B1105" s="37">
        <v>120.75</v>
      </c>
      <c r="C1105" s="37">
        <v>109.61117553710938</v>
      </c>
      <c r="D1105" s="35">
        <v>5137674</v>
      </c>
      <c r="E1105" s="35" t="s">
        <v>1593</v>
      </c>
      <c r="F1105" s="35" t="s">
        <v>604</v>
      </c>
    </row>
    <row r="1106" spans="1:6">
      <c r="A1106" s="35" t="s">
        <v>1708</v>
      </c>
      <c r="B1106" s="37">
        <v>122.97499847412109</v>
      </c>
      <c r="C1106" s="37">
        <v>111.63092041015625</v>
      </c>
      <c r="D1106" s="35">
        <v>12392500</v>
      </c>
      <c r="E1106" s="35" t="s">
        <v>1593</v>
      </c>
      <c r="F1106" s="35" t="s">
        <v>604</v>
      </c>
    </row>
    <row r="1107" spans="1:6">
      <c r="A1107" s="35" t="s">
        <v>1709</v>
      </c>
      <c r="B1107" s="37">
        <v>119.67500305175781</v>
      </c>
      <c r="C1107" s="37">
        <v>108.63533020019531</v>
      </c>
      <c r="D1107" s="35">
        <v>13553962</v>
      </c>
      <c r="E1107" s="35" t="s">
        <v>1593</v>
      </c>
      <c r="F1107" s="35" t="s">
        <v>604</v>
      </c>
    </row>
    <row r="1108" spans="1:6">
      <c r="A1108" s="35" t="s">
        <v>1710</v>
      </c>
      <c r="B1108" s="37">
        <v>120.34999847412109</v>
      </c>
      <c r="C1108" s="37">
        <v>109.24806976318359</v>
      </c>
      <c r="D1108" s="35">
        <v>11536662</v>
      </c>
      <c r="E1108" s="35" t="s">
        <v>1593</v>
      </c>
      <c r="F1108" s="35" t="s">
        <v>604</v>
      </c>
    </row>
    <row r="1109" spans="1:6">
      <c r="A1109" s="35" t="s">
        <v>1711</v>
      </c>
      <c r="B1109" s="37">
        <v>119.40000152587891</v>
      </c>
      <c r="C1109" s="37">
        <v>108.38569641113281</v>
      </c>
      <c r="D1109" s="35">
        <v>7209996</v>
      </c>
      <c r="E1109" s="35" t="s">
        <v>1593</v>
      </c>
      <c r="F1109" s="35" t="s">
        <v>604</v>
      </c>
    </row>
    <row r="1110" spans="1:6">
      <c r="A1110" s="35" t="s">
        <v>1712</v>
      </c>
      <c r="B1110" s="37">
        <v>118.55000305175781</v>
      </c>
      <c r="C1110" s="37">
        <v>107.61410522460938</v>
      </c>
      <c r="D1110" s="35">
        <v>10777480</v>
      </c>
      <c r="E1110" s="35" t="s">
        <v>1593</v>
      </c>
      <c r="F1110" s="35" t="s">
        <v>604</v>
      </c>
    </row>
    <row r="1111" spans="1:6">
      <c r="A1111" s="35" t="s">
        <v>1713</v>
      </c>
      <c r="B1111" s="37">
        <v>118.30000305175781</v>
      </c>
      <c r="C1111" s="37">
        <v>107.38718414306641</v>
      </c>
      <c r="D1111" s="35">
        <v>6383350</v>
      </c>
      <c r="E1111" s="35" t="s">
        <v>1593</v>
      </c>
      <c r="F1111" s="35" t="s">
        <v>604</v>
      </c>
    </row>
    <row r="1112" spans="1:6">
      <c r="A1112" s="35" t="s">
        <v>1714</v>
      </c>
      <c r="B1112" s="37">
        <v>119.90000152587891</v>
      </c>
      <c r="C1112" s="37">
        <v>108.83958435058594</v>
      </c>
      <c r="D1112" s="35">
        <v>6597906</v>
      </c>
      <c r="E1112" s="35" t="s">
        <v>1593</v>
      </c>
      <c r="F1112" s="35" t="s">
        <v>604</v>
      </c>
    </row>
    <row r="1113" spans="1:6">
      <c r="A1113" s="35" t="s">
        <v>1715</v>
      </c>
      <c r="B1113" s="37">
        <v>116.75</v>
      </c>
      <c r="C1113" s="37">
        <v>105.98014068603516</v>
      </c>
      <c r="D1113" s="35">
        <v>8754660</v>
      </c>
      <c r="E1113" s="35" t="s">
        <v>1593</v>
      </c>
      <c r="F1113" s="35" t="s">
        <v>604</v>
      </c>
    </row>
    <row r="1114" spans="1:6">
      <c r="A1114" s="35" t="s">
        <v>1716</v>
      </c>
      <c r="B1114" s="37">
        <v>117.92500305175781</v>
      </c>
      <c r="C1114" s="37">
        <v>107.04676818847656</v>
      </c>
      <c r="D1114" s="35">
        <v>9570460</v>
      </c>
      <c r="E1114" s="35" t="s">
        <v>1593</v>
      </c>
      <c r="F1114" s="35" t="s">
        <v>604</v>
      </c>
    </row>
    <row r="1115" spans="1:6">
      <c r="A1115" s="35" t="s">
        <v>1717</v>
      </c>
      <c r="B1115" s="37">
        <v>118.84999847412109</v>
      </c>
      <c r="C1115" s="37">
        <v>107.88644409179688</v>
      </c>
      <c r="D1115" s="35">
        <v>5951042</v>
      </c>
      <c r="E1115" s="35" t="s">
        <v>1593</v>
      </c>
      <c r="F1115" s="35" t="s">
        <v>604</v>
      </c>
    </row>
    <row r="1116" spans="1:6">
      <c r="A1116" s="35" t="s">
        <v>1718</v>
      </c>
      <c r="B1116" s="37">
        <v>118.52500152587891</v>
      </c>
      <c r="C1116" s="37">
        <v>107.59142303466797</v>
      </c>
      <c r="D1116" s="35">
        <v>4447336</v>
      </c>
      <c r="E1116" s="35" t="s">
        <v>1593</v>
      </c>
      <c r="F1116" s="35" t="s">
        <v>604</v>
      </c>
    </row>
    <row r="1117" spans="1:6">
      <c r="A1117" s="35" t="s">
        <v>1719</v>
      </c>
      <c r="B1117" s="37">
        <v>118.875</v>
      </c>
      <c r="C1117" s="37">
        <v>107.90912628173828</v>
      </c>
      <c r="D1117" s="35">
        <v>4556276</v>
      </c>
      <c r="E1117" s="35" t="s">
        <v>1593</v>
      </c>
      <c r="F1117" s="35" t="s">
        <v>604</v>
      </c>
    </row>
    <row r="1118" spans="1:6">
      <c r="A1118" s="35" t="s">
        <v>1720</v>
      </c>
      <c r="B1118" s="37">
        <v>119.59999847412109</v>
      </c>
      <c r="C1118" s="37">
        <v>108.56724548339844</v>
      </c>
      <c r="D1118" s="35">
        <v>4135724</v>
      </c>
      <c r="E1118" s="35" t="s">
        <v>1593</v>
      </c>
      <c r="F1118" s="35" t="s">
        <v>604</v>
      </c>
    </row>
    <row r="1119" spans="1:6">
      <c r="A1119" s="35" t="s">
        <v>1721</v>
      </c>
      <c r="B1119" s="37">
        <v>119.72499847412109</v>
      </c>
      <c r="C1119" s="37">
        <v>108.68071746826172</v>
      </c>
      <c r="D1119" s="35">
        <v>5316578</v>
      </c>
      <c r="E1119" s="35" t="s">
        <v>1593</v>
      </c>
      <c r="F1119" s="35" t="s">
        <v>604</v>
      </c>
    </row>
    <row r="1120" spans="1:6">
      <c r="A1120" s="35" t="s">
        <v>1722</v>
      </c>
      <c r="B1120" s="37">
        <v>121.72499847412109</v>
      </c>
      <c r="C1120" s="37">
        <v>110.49623870849609</v>
      </c>
      <c r="D1120" s="35">
        <v>7184274</v>
      </c>
      <c r="E1120" s="35" t="s">
        <v>1593</v>
      </c>
      <c r="F1120" s="35" t="s">
        <v>604</v>
      </c>
    </row>
    <row r="1121" spans="1:6">
      <c r="A1121" s="35" t="s">
        <v>1723</v>
      </c>
      <c r="B1121" s="37">
        <v>121.82499694824219</v>
      </c>
      <c r="C1121" s="37">
        <v>110.58699798583984</v>
      </c>
      <c r="D1121" s="35">
        <v>17103786</v>
      </c>
      <c r="E1121" s="35" t="s">
        <v>1593</v>
      </c>
      <c r="F1121" s="35" t="s">
        <v>604</v>
      </c>
    </row>
    <row r="1122" spans="1:6">
      <c r="A1122" s="35" t="s">
        <v>1724</v>
      </c>
      <c r="B1122" s="37">
        <v>124.44999694824219</v>
      </c>
      <c r="C1122" s="37">
        <v>112.96984100341797</v>
      </c>
      <c r="D1122" s="35">
        <v>32571658</v>
      </c>
      <c r="E1122" s="35" t="s">
        <v>1593</v>
      </c>
      <c r="F1122" s="35" t="s">
        <v>604</v>
      </c>
    </row>
    <row r="1123" spans="1:6">
      <c r="A1123" s="35" t="s">
        <v>1725</v>
      </c>
      <c r="B1123" s="37">
        <v>123.92500305175781</v>
      </c>
      <c r="C1123" s="37">
        <v>112.49327850341797</v>
      </c>
      <c r="D1123" s="35">
        <v>10324480</v>
      </c>
      <c r="E1123" s="35" t="s">
        <v>1593</v>
      </c>
      <c r="F1123" s="35" t="s">
        <v>604</v>
      </c>
    </row>
    <row r="1124" spans="1:6">
      <c r="A1124" s="35" t="s">
        <v>1726</v>
      </c>
      <c r="B1124" s="37">
        <v>124.44999694824219</v>
      </c>
      <c r="C1124" s="37">
        <v>112.96984100341797</v>
      </c>
      <c r="D1124" s="35">
        <v>5528778</v>
      </c>
      <c r="E1124" s="35" t="s">
        <v>1593</v>
      </c>
      <c r="F1124" s="35" t="s">
        <v>604</v>
      </c>
    </row>
    <row r="1125" spans="1:6">
      <c r="A1125" s="35" t="s">
        <v>1727</v>
      </c>
      <c r="B1125" s="37">
        <v>126.77500152587891</v>
      </c>
      <c r="C1125" s="37">
        <v>115.08037567138672</v>
      </c>
      <c r="D1125" s="35">
        <v>12546576</v>
      </c>
      <c r="E1125" s="35" t="s">
        <v>1593</v>
      </c>
      <c r="F1125" s="35" t="s">
        <v>604</v>
      </c>
    </row>
    <row r="1126" spans="1:6">
      <c r="A1126" s="35" t="s">
        <v>1728</v>
      </c>
      <c r="B1126" s="37">
        <v>127.17500305175781</v>
      </c>
      <c r="C1126" s="37">
        <v>115.4434814453125</v>
      </c>
      <c r="D1126" s="35">
        <v>5348508</v>
      </c>
      <c r="E1126" s="35" t="s">
        <v>1593</v>
      </c>
      <c r="F1126" s="35" t="s">
        <v>604</v>
      </c>
    </row>
    <row r="1127" spans="1:6">
      <c r="A1127" s="35" t="s">
        <v>1729</v>
      </c>
      <c r="B1127" s="37">
        <v>124.80000305175781</v>
      </c>
      <c r="C1127" s="37">
        <v>113.28756713867188</v>
      </c>
      <c r="D1127" s="35">
        <v>7834196</v>
      </c>
      <c r="E1127" s="35" t="s">
        <v>1593</v>
      </c>
      <c r="F1127" s="35" t="s">
        <v>604</v>
      </c>
    </row>
    <row r="1128" spans="1:6">
      <c r="A1128" s="35" t="s">
        <v>1730</v>
      </c>
      <c r="B1128" s="37">
        <v>126.5</v>
      </c>
      <c r="C1128" s="37">
        <v>114.83074951171875</v>
      </c>
      <c r="D1128" s="35">
        <v>6530578</v>
      </c>
      <c r="E1128" s="35" t="s">
        <v>1593</v>
      </c>
      <c r="F1128" s="35" t="s">
        <v>604</v>
      </c>
    </row>
    <row r="1129" spans="1:6">
      <c r="A1129" s="35" t="s">
        <v>1731</v>
      </c>
      <c r="B1129" s="37">
        <v>126.82499694824219</v>
      </c>
      <c r="C1129" s="37">
        <v>115.12577056884766</v>
      </c>
      <c r="D1129" s="35">
        <v>630698</v>
      </c>
      <c r="E1129" s="35" t="s">
        <v>1593</v>
      </c>
      <c r="F1129" s="35" t="s">
        <v>604</v>
      </c>
    </row>
    <row r="1130" spans="1:6">
      <c r="A1130" s="35" t="s">
        <v>1732</v>
      </c>
      <c r="B1130" s="37">
        <v>127.59999847412109</v>
      </c>
      <c r="C1130" s="37">
        <v>115.82927703857422</v>
      </c>
      <c r="D1130" s="35">
        <v>6382884</v>
      </c>
      <c r="E1130" s="35" t="s">
        <v>1593</v>
      </c>
      <c r="F1130" s="35" t="s">
        <v>604</v>
      </c>
    </row>
    <row r="1131" spans="1:6">
      <c r="A1131" s="35" t="s">
        <v>1733</v>
      </c>
      <c r="B1131" s="37">
        <v>127.375</v>
      </c>
      <c r="C1131" s="37">
        <v>115.62501525878906</v>
      </c>
      <c r="D1131" s="35">
        <v>8119090</v>
      </c>
      <c r="E1131" s="35" t="s">
        <v>1593</v>
      </c>
      <c r="F1131" s="35" t="s">
        <v>604</v>
      </c>
    </row>
    <row r="1132" spans="1:6">
      <c r="A1132" s="35" t="s">
        <v>1734</v>
      </c>
      <c r="B1132" s="37">
        <v>129.64999389648438</v>
      </c>
      <c r="C1132" s="37">
        <v>117.69016265869141</v>
      </c>
      <c r="D1132" s="35">
        <v>6992524</v>
      </c>
      <c r="E1132" s="35" t="s">
        <v>1593</v>
      </c>
      <c r="F1132" s="35" t="s">
        <v>604</v>
      </c>
    </row>
    <row r="1133" spans="1:6">
      <c r="A1133" s="35" t="s">
        <v>1735</v>
      </c>
      <c r="B1133" s="37">
        <v>129.30000305175781</v>
      </c>
      <c r="C1133" s="37">
        <v>117.37245941162109</v>
      </c>
      <c r="D1133" s="35">
        <v>5061842</v>
      </c>
      <c r="E1133" s="35" t="s">
        <v>1593</v>
      </c>
      <c r="F1133" s="35" t="s">
        <v>604</v>
      </c>
    </row>
    <row r="1134" spans="1:6">
      <c r="A1134" s="35" t="s">
        <v>1736</v>
      </c>
      <c r="B1134" s="37">
        <v>128.30000305175781</v>
      </c>
      <c r="C1134" s="37">
        <v>116.46468353271484</v>
      </c>
      <c r="D1134" s="35">
        <v>3841070</v>
      </c>
      <c r="E1134" s="35" t="s">
        <v>1593</v>
      </c>
      <c r="F1134" s="35" t="s">
        <v>604</v>
      </c>
    </row>
    <row r="1135" spans="1:6">
      <c r="A1135" s="35" t="s">
        <v>1737</v>
      </c>
      <c r="B1135" s="37">
        <v>129.25</v>
      </c>
      <c r="C1135" s="37">
        <v>117.32706451416016</v>
      </c>
      <c r="D1135" s="35">
        <v>3169448</v>
      </c>
      <c r="E1135" s="35" t="s">
        <v>1593</v>
      </c>
      <c r="F1135" s="35" t="s">
        <v>604</v>
      </c>
    </row>
    <row r="1136" spans="1:6">
      <c r="A1136" s="35" t="s">
        <v>1738</v>
      </c>
      <c r="B1136" s="37">
        <v>128.42500305175781</v>
      </c>
      <c r="C1136" s="37">
        <v>116.57817077636719</v>
      </c>
      <c r="D1136" s="35">
        <v>3255238</v>
      </c>
      <c r="E1136" s="35" t="s">
        <v>1593</v>
      </c>
      <c r="F1136" s="35" t="s">
        <v>604</v>
      </c>
    </row>
    <row r="1137" spans="1:6">
      <c r="A1137" s="35" t="s">
        <v>1739</v>
      </c>
      <c r="B1137" s="37">
        <v>129.82499694824219</v>
      </c>
      <c r="C1137" s="37">
        <v>117.84900665283203</v>
      </c>
      <c r="D1137" s="35">
        <v>4253934</v>
      </c>
      <c r="E1137" s="35" t="s">
        <v>1593</v>
      </c>
      <c r="F1137" s="35" t="s">
        <v>604</v>
      </c>
    </row>
    <row r="1138" spans="1:6">
      <c r="A1138" s="35" t="s">
        <v>1740</v>
      </c>
      <c r="B1138" s="37">
        <v>128.19999694824219</v>
      </c>
      <c r="C1138" s="37">
        <v>116.37393188476563</v>
      </c>
      <c r="D1138" s="35">
        <v>3079708</v>
      </c>
      <c r="E1138" s="35" t="s">
        <v>1593</v>
      </c>
      <c r="F1138" s="35" t="s">
        <v>604</v>
      </c>
    </row>
    <row r="1139" spans="1:6">
      <c r="A1139" s="35" t="s">
        <v>1741</v>
      </c>
      <c r="B1139" s="37">
        <v>128.22500610351563</v>
      </c>
      <c r="C1139" s="37">
        <v>116.39662170410156</v>
      </c>
      <c r="D1139" s="35">
        <v>3804758</v>
      </c>
      <c r="E1139" s="35" t="s">
        <v>1593</v>
      </c>
      <c r="F1139" s="35" t="s">
        <v>604</v>
      </c>
    </row>
    <row r="1140" spans="1:6">
      <c r="A1140" s="35" t="s">
        <v>1742</v>
      </c>
      <c r="B1140" s="37">
        <v>126.55000305175781</v>
      </c>
      <c r="C1140" s="37">
        <v>114.87612152099609</v>
      </c>
      <c r="D1140" s="35">
        <v>3722946</v>
      </c>
      <c r="E1140" s="35" t="s">
        <v>1593</v>
      </c>
      <c r="F1140" s="35" t="s">
        <v>604</v>
      </c>
    </row>
    <row r="1141" spans="1:6">
      <c r="A1141" s="35" t="s">
        <v>1743</v>
      </c>
      <c r="B1141" s="37">
        <v>126.375</v>
      </c>
      <c r="C1141" s="37">
        <v>114.71728515625</v>
      </c>
      <c r="D1141" s="35">
        <v>5796412</v>
      </c>
      <c r="E1141" s="35" t="s">
        <v>1593</v>
      </c>
      <c r="F1141" s="35" t="s">
        <v>604</v>
      </c>
    </row>
    <row r="1142" spans="1:6">
      <c r="A1142" s="35" t="s">
        <v>1744</v>
      </c>
      <c r="B1142" s="37">
        <v>126.27500152587891</v>
      </c>
      <c r="C1142" s="37">
        <v>114.62651062011719</v>
      </c>
      <c r="D1142" s="35">
        <v>2425834</v>
      </c>
      <c r="E1142" s="35" t="s">
        <v>1593</v>
      </c>
      <c r="F1142" s="35" t="s">
        <v>604</v>
      </c>
    </row>
    <row r="1143" spans="1:6">
      <c r="A1143" s="35" t="s">
        <v>1745</v>
      </c>
      <c r="B1143" s="37">
        <v>124.72499847412109</v>
      </c>
      <c r="C1143" s="37">
        <v>113.21949005126953</v>
      </c>
      <c r="D1143" s="35">
        <v>5756874</v>
      </c>
      <c r="E1143" s="35" t="s">
        <v>1593</v>
      </c>
      <c r="F1143" s="35" t="s">
        <v>604</v>
      </c>
    </row>
    <row r="1144" spans="1:6">
      <c r="A1144" s="35" t="s">
        <v>1746</v>
      </c>
      <c r="B1144" s="37">
        <v>125.19999694824219</v>
      </c>
      <c r="C1144" s="37">
        <v>113.65066528320313</v>
      </c>
      <c r="D1144" s="35">
        <v>4061312</v>
      </c>
      <c r="E1144" s="35" t="s">
        <v>1593</v>
      </c>
      <c r="F1144" s="35" t="s">
        <v>604</v>
      </c>
    </row>
    <row r="1145" spans="1:6">
      <c r="A1145" s="35" t="s">
        <v>1747</v>
      </c>
      <c r="B1145" s="37">
        <v>124.44999694824219</v>
      </c>
      <c r="C1145" s="37">
        <v>112.96984100341797</v>
      </c>
      <c r="D1145" s="35">
        <v>2988298</v>
      </c>
      <c r="E1145" s="35" t="s">
        <v>1593</v>
      </c>
      <c r="F1145" s="35" t="s">
        <v>604</v>
      </c>
    </row>
    <row r="1146" spans="1:6">
      <c r="A1146" s="35" t="s">
        <v>1748</v>
      </c>
      <c r="B1146" s="37">
        <v>123.77500152587891</v>
      </c>
      <c r="C1146" s="37">
        <v>112.35710906982422</v>
      </c>
      <c r="D1146" s="35">
        <v>3488196</v>
      </c>
      <c r="E1146" s="35" t="s">
        <v>1593</v>
      </c>
      <c r="F1146" s="35" t="s">
        <v>604</v>
      </c>
    </row>
    <row r="1147" spans="1:6">
      <c r="A1147" s="35" t="s">
        <v>1749</v>
      </c>
      <c r="B1147" s="37">
        <v>121.55000305175781</v>
      </c>
      <c r="C1147" s="37">
        <v>110.33737182617188</v>
      </c>
      <c r="D1147" s="35">
        <v>8183112</v>
      </c>
      <c r="E1147" s="35" t="s">
        <v>1593</v>
      </c>
      <c r="F1147" s="35" t="s">
        <v>604</v>
      </c>
    </row>
    <row r="1148" spans="1:6">
      <c r="A1148" s="35" t="s">
        <v>1750</v>
      </c>
      <c r="B1148" s="37">
        <v>121.5</v>
      </c>
      <c r="C1148" s="37">
        <v>110.29198455810547</v>
      </c>
      <c r="D1148" s="35">
        <v>3782394</v>
      </c>
      <c r="E1148" s="35" t="s">
        <v>1593</v>
      </c>
      <c r="F1148" s="35" t="s">
        <v>604</v>
      </c>
    </row>
    <row r="1149" spans="1:6">
      <c r="A1149" s="35" t="s">
        <v>1751</v>
      </c>
      <c r="B1149" s="37">
        <v>118.77500152587891</v>
      </c>
      <c r="C1149" s="37">
        <v>107.81835174560547</v>
      </c>
      <c r="D1149" s="35">
        <v>15380804</v>
      </c>
      <c r="E1149" s="35" t="s">
        <v>1593</v>
      </c>
      <c r="F1149" s="35" t="s">
        <v>604</v>
      </c>
    </row>
    <row r="1150" spans="1:6">
      <c r="A1150" s="35" t="s">
        <v>1752</v>
      </c>
      <c r="B1150" s="37">
        <v>120.02500152587891</v>
      </c>
      <c r="C1150" s="37">
        <v>108.95304870605469</v>
      </c>
      <c r="D1150" s="35">
        <v>3894494</v>
      </c>
      <c r="E1150" s="35" t="s">
        <v>1593</v>
      </c>
      <c r="F1150" s="35" t="s">
        <v>604</v>
      </c>
    </row>
    <row r="1151" spans="1:6">
      <c r="A1151" s="35" t="s">
        <v>1753</v>
      </c>
      <c r="B1151" s="37">
        <v>119.90000152587891</v>
      </c>
      <c r="C1151" s="37">
        <v>108.83958435058594</v>
      </c>
      <c r="D1151" s="35">
        <v>3198740</v>
      </c>
      <c r="E1151" s="35" t="s">
        <v>1593</v>
      </c>
      <c r="F1151" s="35" t="s">
        <v>604</v>
      </c>
    </row>
    <row r="1152" spans="1:6">
      <c r="A1152" s="35" t="s">
        <v>1754</v>
      </c>
      <c r="B1152" s="37">
        <v>118.84999847412109</v>
      </c>
      <c r="C1152" s="37">
        <v>107.88644409179688</v>
      </c>
      <c r="D1152" s="35">
        <v>5333922</v>
      </c>
      <c r="E1152" s="35" t="s">
        <v>1593</v>
      </c>
      <c r="F1152" s="35" t="s">
        <v>604</v>
      </c>
    </row>
    <row r="1153" spans="1:6">
      <c r="A1153" s="35" t="s">
        <v>1755</v>
      </c>
      <c r="B1153" s="37">
        <v>119.30000305175781</v>
      </c>
      <c r="C1153" s="37">
        <v>108.294921875</v>
      </c>
      <c r="D1153" s="35">
        <v>7259920</v>
      </c>
      <c r="E1153" s="35" t="s">
        <v>1593</v>
      </c>
      <c r="F1153" s="35" t="s">
        <v>604</v>
      </c>
    </row>
    <row r="1154" spans="1:6">
      <c r="A1154" s="35" t="s">
        <v>1756</v>
      </c>
      <c r="B1154" s="37">
        <v>118.40000152587891</v>
      </c>
      <c r="C1154" s="37">
        <v>107.47795104980469</v>
      </c>
      <c r="D1154" s="35">
        <v>5730370</v>
      </c>
      <c r="E1154" s="35" t="s">
        <v>1593</v>
      </c>
      <c r="F1154" s="35" t="s">
        <v>604</v>
      </c>
    </row>
    <row r="1155" spans="1:6">
      <c r="A1155" s="35" t="s">
        <v>1757</v>
      </c>
      <c r="B1155" s="37">
        <v>121.09999847412109</v>
      </c>
      <c r="C1155" s="37">
        <v>109.92887115478516</v>
      </c>
      <c r="D1155" s="35">
        <v>6671932</v>
      </c>
      <c r="E1155" s="35" t="s">
        <v>1593</v>
      </c>
      <c r="F1155" s="35" t="s">
        <v>604</v>
      </c>
    </row>
    <row r="1156" spans="1:6">
      <c r="A1156" s="35" t="s">
        <v>1758</v>
      </c>
      <c r="B1156" s="37">
        <v>121.84999847412109</v>
      </c>
      <c r="C1156" s="37">
        <v>110.60968780517578</v>
      </c>
      <c r="D1156" s="35">
        <v>5226290</v>
      </c>
      <c r="E1156" s="35" t="s">
        <v>1593</v>
      </c>
      <c r="F1156" s="35" t="s">
        <v>604</v>
      </c>
    </row>
    <row r="1157" spans="1:6">
      <c r="A1157" s="35" t="s">
        <v>1759</v>
      </c>
      <c r="B1157" s="37">
        <v>120.5</v>
      </c>
      <c r="C1157" s="37">
        <v>109.38423156738281</v>
      </c>
      <c r="D1157" s="35">
        <v>2735116</v>
      </c>
      <c r="E1157" s="35" t="s">
        <v>1593</v>
      </c>
      <c r="F1157" s="35" t="s">
        <v>604</v>
      </c>
    </row>
    <row r="1158" spans="1:6">
      <c r="A1158" s="35" t="s">
        <v>1760</v>
      </c>
      <c r="B1158" s="37">
        <v>120.19999694824219</v>
      </c>
      <c r="C1158" s="37">
        <v>109.11190032958984</v>
      </c>
      <c r="D1158" s="35">
        <v>2414590</v>
      </c>
      <c r="E1158" s="35" t="s">
        <v>1593</v>
      </c>
      <c r="F1158" s="35" t="s">
        <v>604</v>
      </c>
    </row>
    <row r="1159" spans="1:6">
      <c r="A1159" s="35" t="s">
        <v>1761</v>
      </c>
      <c r="B1159" s="37">
        <v>119.07499694824219</v>
      </c>
      <c r="C1159" s="37">
        <v>108.09067535400391</v>
      </c>
      <c r="D1159" s="35">
        <v>4411226</v>
      </c>
      <c r="E1159" s="35" t="s">
        <v>1593</v>
      </c>
      <c r="F1159" s="35" t="s">
        <v>604</v>
      </c>
    </row>
    <row r="1160" spans="1:6">
      <c r="A1160" s="35" t="s">
        <v>1762</v>
      </c>
      <c r="B1160" s="37">
        <v>120.02500152587891</v>
      </c>
      <c r="C1160" s="37">
        <v>108.95304870605469</v>
      </c>
      <c r="D1160" s="35">
        <v>4775320</v>
      </c>
      <c r="E1160" s="35" t="s">
        <v>1593</v>
      </c>
      <c r="F1160" s="35" t="s">
        <v>604</v>
      </c>
    </row>
    <row r="1161" spans="1:6">
      <c r="A1161" s="35" t="s">
        <v>1763</v>
      </c>
      <c r="B1161" s="37">
        <v>119.72499847412109</v>
      </c>
      <c r="C1161" s="37">
        <v>108.68071746826172</v>
      </c>
      <c r="D1161" s="35">
        <v>2811896</v>
      </c>
      <c r="E1161" s="35" t="s">
        <v>1593</v>
      </c>
      <c r="F1161" s="35" t="s">
        <v>604</v>
      </c>
    </row>
    <row r="1162" spans="1:6">
      <c r="A1162" s="35" t="s">
        <v>1764</v>
      </c>
      <c r="B1162" s="37">
        <v>121.92500305175781</v>
      </c>
      <c r="C1162" s="37">
        <v>110.67777252197266</v>
      </c>
      <c r="D1162" s="35">
        <v>8623666</v>
      </c>
      <c r="E1162" s="35" t="s">
        <v>1593</v>
      </c>
      <c r="F1162" s="35" t="s">
        <v>604</v>
      </c>
    </row>
    <row r="1163" spans="1:6">
      <c r="A1163" s="35" t="s">
        <v>1765</v>
      </c>
      <c r="B1163" s="37">
        <v>121.57499694824219</v>
      </c>
      <c r="C1163" s="37">
        <v>110.36006927490234</v>
      </c>
      <c r="D1163" s="35">
        <v>5685154</v>
      </c>
      <c r="E1163" s="35" t="s">
        <v>1593</v>
      </c>
      <c r="F1163" s="35" t="s">
        <v>604</v>
      </c>
    </row>
    <row r="1164" spans="1:6">
      <c r="A1164" s="35" t="s">
        <v>1766</v>
      </c>
      <c r="B1164" s="37">
        <v>122.375</v>
      </c>
      <c r="C1164" s="37">
        <v>111.08626556396484</v>
      </c>
      <c r="D1164" s="35">
        <v>4422758</v>
      </c>
      <c r="E1164" s="35" t="s">
        <v>1593</v>
      </c>
      <c r="F1164" s="35" t="s">
        <v>604</v>
      </c>
    </row>
    <row r="1165" spans="1:6">
      <c r="A1165" s="35" t="s">
        <v>1767</v>
      </c>
      <c r="B1165" s="37">
        <v>124.15000152587891</v>
      </c>
      <c r="C1165" s="37">
        <v>112.697509765625</v>
      </c>
      <c r="D1165" s="35">
        <v>10598214</v>
      </c>
      <c r="E1165" s="35" t="s">
        <v>1593</v>
      </c>
      <c r="F1165" s="35" t="s">
        <v>604</v>
      </c>
    </row>
    <row r="1166" spans="1:6">
      <c r="A1166" s="35" t="s">
        <v>1768</v>
      </c>
      <c r="B1166" s="37">
        <v>124.59999847412109</v>
      </c>
      <c r="C1166" s="37">
        <v>113.10601043701172</v>
      </c>
      <c r="D1166" s="35">
        <v>4968422</v>
      </c>
      <c r="E1166" s="35" t="s">
        <v>1593</v>
      </c>
      <c r="F1166" s="35" t="s">
        <v>604</v>
      </c>
    </row>
    <row r="1167" spans="1:6">
      <c r="A1167" s="35" t="s">
        <v>1769</v>
      </c>
      <c r="B1167" s="37">
        <v>125.90000152587891</v>
      </c>
      <c r="C1167" s="37">
        <v>114.28610229492188</v>
      </c>
      <c r="D1167" s="35">
        <v>10423252</v>
      </c>
      <c r="E1167" s="35" t="s">
        <v>1593</v>
      </c>
      <c r="F1167" s="35" t="s">
        <v>604</v>
      </c>
    </row>
    <row r="1168" spans="1:6">
      <c r="A1168" s="35" t="s">
        <v>1770</v>
      </c>
      <c r="B1168" s="37">
        <v>126.92500305175781</v>
      </c>
      <c r="C1168" s="37">
        <v>115.21653747558594</v>
      </c>
      <c r="D1168" s="35">
        <v>3701304</v>
      </c>
      <c r="E1168" s="35" t="s">
        <v>1593</v>
      </c>
      <c r="F1168" s="35" t="s">
        <v>604</v>
      </c>
    </row>
    <row r="1169" spans="1:6">
      <c r="A1169" s="35" t="s">
        <v>1771</v>
      </c>
      <c r="B1169" s="37">
        <v>126.125</v>
      </c>
      <c r="C1169" s="37">
        <v>114.49033355712891</v>
      </c>
      <c r="D1169" s="35">
        <v>3088960</v>
      </c>
      <c r="E1169" s="35" t="s">
        <v>1593</v>
      </c>
      <c r="F1169" s="35" t="s">
        <v>604</v>
      </c>
    </row>
    <row r="1170" spans="1:6">
      <c r="A1170" s="35" t="s">
        <v>1772</v>
      </c>
      <c r="B1170" s="37">
        <v>125.15000152587891</v>
      </c>
      <c r="C1170" s="37">
        <v>113.60529327392578</v>
      </c>
      <c r="D1170" s="35">
        <v>4052868</v>
      </c>
      <c r="E1170" s="35" t="s">
        <v>1593</v>
      </c>
      <c r="F1170" s="35" t="s">
        <v>604</v>
      </c>
    </row>
    <row r="1171" spans="1:6">
      <c r="A1171" s="35" t="s">
        <v>1773</v>
      </c>
      <c r="B1171" s="37">
        <v>123.77500152587891</v>
      </c>
      <c r="C1171" s="37">
        <v>112.35710906982422</v>
      </c>
      <c r="D1171" s="35">
        <v>5022240</v>
      </c>
      <c r="E1171" s="35" t="s">
        <v>1593</v>
      </c>
      <c r="F1171" s="35" t="s">
        <v>604</v>
      </c>
    </row>
    <row r="1172" spans="1:6">
      <c r="A1172" s="35" t="s">
        <v>1774</v>
      </c>
      <c r="B1172" s="37">
        <v>124.47499847412109</v>
      </c>
      <c r="C1172" s="37">
        <v>112.9925537109375</v>
      </c>
      <c r="D1172" s="35">
        <v>4333614</v>
      </c>
      <c r="E1172" s="35" t="s">
        <v>1593</v>
      </c>
      <c r="F1172" s="35" t="s">
        <v>604</v>
      </c>
    </row>
    <row r="1173" spans="1:6">
      <c r="A1173" s="35" t="s">
        <v>1775</v>
      </c>
      <c r="B1173" s="37">
        <v>122.90000152587891</v>
      </c>
      <c r="C1173" s="37">
        <v>111.56283569335938</v>
      </c>
      <c r="D1173" s="35">
        <v>4329828</v>
      </c>
      <c r="E1173" s="35" t="s">
        <v>1593</v>
      </c>
      <c r="F1173" s="35" t="s">
        <v>604</v>
      </c>
    </row>
    <row r="1174" spans="1:6">
      <c r="A1174" s="35" t="s">
        <v>1776</v>
      </c>
      <c r="B1174" s="37">
        <v>123.84999847412109</v>
      </c>
      <c r="C1174" s="37">
        <v>112.42520141601563</v>
      </c>
      <c r="D1174" s="35">
        <v>2827732</v>
      </c>
      <c r="E1174" s="35" t="s">
        <v>1593</v>
      </c>
      <c r="F1174" s="35" t="s">
        <v>604</v>
      </c>
    </row>
    <row r="1175" spans="1:6">
      <c r="A1175" s="35" t="s">
        <v>1777</v>
      </c>
      <c r="B1175" s="37">
        <v>124.15000152587891</v>
      </c>
      <c r="C1175" s="37">
        <v>112.697509765625</v>
      </c>
      <c r="D1175" s="35">
        <v>2887932</v>
      </c>
      <c r="E1175" s="35" t="s">
        <v>1593</v>
      </c>
      <c r="F1175" s="35" t="s">
        <v>604</v>
      </c>
    </row>
    <row r="1176" spans="1:6">
      <c r="A1176" s="35" t="s">
        <v>1778</v>
      </c>
      <c r="B1176" s="37">
        <v>125.55000305175781</v>
      </c>
      <c r="C1176" s="37">
        <v>113.9683837890625</v>
      </c>
      <c r="D1176" s="35">
        <v>6762808</v>
      </c>
      <c r="E1176" s="35" t="s">
        <v>1593</v>
      </c>
      <c r="F1176" s="35" t="s">
        <v>604</v>
      </c>
    </row>
    <row r="1177" spans="1:6">
      <c r="A1177" s="35" t="s">
        <v>1779</v>
      </c>
      <c r="B1177" s="37">
        <v>126.07499694824219</v>
      </c>
      <c r="C1177" s="37">
        <v>114.44495391845703</v>
      </c>
      <c r="D1177" s="35">
        <v>9133390</v>
      </c>
      <c r="E1177" s="35" t="s">
        <v>1593</v>
      </c>
      <c r="F1177" s="35" t="s">
        <v>604</v>
      </c>
    </row>
    <row r="1178" spans="1:6">
      <c r="A1178" s="35" t="s">
        <v>1780</v>
      </c>
      <c r="B1178" s="37">
        <v>127.59999847412109</v>
      </c>
      <c r="C1178" s="37">
        <v>115.82927703857422</v>
      </c>
      <c r="D1178" s="35">
        <v>8805574</v>
      </c>
      <c r="E1178" s="35" t="s">
        <v>1593</v>
      </c>
      <c r="F1178" s="35" t="s">
        <v>604</v>
      </c>
    </row>
    <row r="1179" spans="1:6">
      <c r="A1179" s="35" t="s">
        <v>1781</v>
      </c>
      <c r="B1179" s="37">
        <v>127.40000152587891</v>
      </c>
      <c r="C1179" s="37">
        <v>115.64773559570313</v>
      </c>
      <c r="D1179" s="35">
        <v>5588820</v>
      </c>
      <c r="E1179" s="35" t="s">
        <v>1593</v>
      </c>
      <c r="F1179" s="35" t="s">
        <v>604</v>
      </c>
    </row>
    <row r="1180" spans="1:6">
      <c r="A1180" s="35" t="s">
        <v>1782</v>
      </c>
      <c r="B1180" s="37">
        <v>126.82499694824219</v>
      </c>
      <c r="C1180" s="37">
        <v>115.12577056884766</v>
      </c>
      <c r="D1180" s="35">
        <v>4990046</v>
      </c>
      <c r="E1180" s="35" t="s">
        <v>1593</v>
      </c>
      <c r="F1180" s="35" t="s">
        <v>604</v>
      </c>
    </row>
    <row r="1181" spans="1:6">
      <c r="A1181" s="35" t="s">
        <v>1783</v>
      </c>
      <c r="B1181" s="37">
        <v>125.875</v>
      </c>
      <c r="C1181" s="37">
        <v>114.26340484619141</v>
      </c>
      <c r="D1181" s="35">
        <v>4113154</v>
      </c>
      <c r="E1181" s="35" t="s">
        <v>1593</v>
      </c>
      <c r="F1181" s="35" t="s">
        <v>604</v>
      </c>
    </row>
    <row r="1182" spans="1:6">
      <c r="A1182" s="35" t="s">
        <v>1784</v>
      </c>
      <c r="B1182" s="37">
        <v>127.40000152587891</v>
      </c>
      <c r="C1182" s="37">
        <v>115.64773559570313</v>
      </c>
      <c r="D1182" s="35">
        <v>13927198</v>
      </c>
      <c r="E1182" s="35" t="s">
        <v>1593</v>
      </c>
      <c r="F1182" s="35" t="s">
        <v>604</v>
      </c>
    </row>
    <row r="1183" spans="1:6">
      <c r="A1183" s="35" t="s">
        <v>1785</v>
      </c>
      <c r="B1183" s="37">
        <v>128.60000610351563</v>
      </c>
      <c r="C1183" s="37">
        <v>116.73703002929688</v>
      </c>
      <c r="D1183" s="35">
        <v>14593554</v>
      </c>
      <c r="E1183" s="35" t="s">
        <v>1593</v>
      </c>
      <c r="F1183" s="35" t="s">
        <v>604</v>
      </c>
    </row>
    <row r="1184" spans="1:6">
      <c r="A1184" s="35" t="s">
        <v>1786</v>
      </c>
      <c r="B1184" s="37">
        <v>124.125</v>
      </c>
      <c r="C1184" s="37">
        <v>112.67483520507813</v>
      </c>
      <c r="D1184" s="35">
        <v>20280902</v>
      </c>
      <c r="E1184" s="35" t="s">
        <v>1593</v>
      </c>
      <c r="F1184" s="35" t="s">
        <v>604</v>
      </c>
    </row>
    <row r="1185" spans="1:6">
      <c r="A1185" s="35" t="s">
        <v>1787</v>
      </c>
      <c r="B1185" s="37">
        <v>125.22499847412109</v>
      </c>
      <c r="C1185" s="37">
        <v>113.67337036132813</v>
      </c>
      <c r="D1185" s="35">
        <v>17623672</v>
      </c>
      <c r="E1185" s="35" t="s">
        <v>1593</v>
      </c>
      <c r="F1185" s="35" t="s">
        <v>604</v>
      </c>
    </row>
    <row r="1186" spans="1:6">
      <c r="A1186" s="35" t="s">
        <v>1788</v>
      </c>
      <c r="B1186" s="37">
        <v>125.55000305175781</v>
      </c>
      <c r="C1186" s="37">
        <v>113.9683837890625</v>
      </c>
      <c r="D1186" s="35">
        <v>8281636</v>
      </c>
      <c r="E1186" s="35" t="s">
        <v>1593</v>
      </c>
      <c r="F1186" s="35" t="s">
        <v>604</v>
      </c>
    </row>
    <row r="1187" spans="1:6">
      <c r="A1187" s="35" t="s">
        <v>1789</v>
      </c>
      <c r="B1187" s="37">
        <v>124</v>
      </c>
      <c r="C1187" s="37">
        <v>112.56135559082031</v>
      </c>
      <c r="D1187" s="35">
        <v>3817166</v>
      </c>
      <c r="E1187" s="35" t="s">
        <v>1593</v>
      </c>
      <c r="F1187" s="35" t="s">
        <v>604</v>
      </c>
    </row>
    <row r="1188" spans="1:6">
      <c r="A1188" s="35" t="s">
        <v>1790</v>
      </c>
      <c r="B1188" s="37">
        <v>123.55000305175781</v>
      </c>
      <c r="C1188" s="37">
        <v>112.15287780761719</v>
      </c>
      <c r="D1188" s="35">
        <v>3015884</v>
      </c>
      <c r="E1188" s="35" t="s">
        <v>1593</v>
      </c>
      <c r="F1188" s="35" t="s">
        <v>604</v>
      </c>
    </row>
    <row r="1189" spans="1:6">
      <c r="A1189" s="35" t="s">
        <v>1791</v>
      </c>
      <c r="B1189" s="37">
        <v>122.92500305175781</v>
      </c>
      <c r="C1189" s="37">
        <v>111.58551788330078</v>
      </c>
      <c r="D1189" s="35">
        <v>6800848</v>
      </c>
      <c r="E1189" s="35" t="s">
        <v>1593</v>
      </c>
      <c r="F1189" s="35" t="s">
        <v>604</v>
      </c>
    </row>
    <row r="1190" spans="1:6">
      <c r="A1190" s="35" t="s">
        <v>1792</v>
      </c>
      <c r="B1190" s="37">
        <v>124.34999847412109</v>
      </c>
      <c r="C1190" s="37">
        <v>112.87908172607422</v>
      </c>
      <c r="D1190" s="35">
        <v>3393088</v>
      </c>
      <c r="E1190" s="35" t="s">
        <v>1593</v>
      </c>
      <c r="F1190" s="35" t="s">
        <v>604</v>
      </c>
    </row>
    <row r="1191" spans="1:6">
      <c r="A1191" s="35" t="s">
        <v>1793</v>
      </c>
      <c r="B1191" s="37">
        <v>123.80000305175781</v>
      </c>
      <c r="C1191" s="37">
        <v>112.83351898193359</v>
      </c>
      <c r="D1191" s="35">
        <v>3421554</v>
      </c>
      <c r="E1191" s="35" t="s">
        <v>1593</v>
      </c>
      <c r="F1191" s="35" t="s">
        <v>604</v>
      </c>
    </row>
    <row r="1192" spans="1:6">
      <c r="A1192" s="35" t="s">
        <v>1794</v>
      </c>
      <c r="B1192" s="37">
        <v>122.67500305175781</v>
      </c>
      <c r="C1192" s="37">
        <v>111.80817413330078</v>
      </c>
      <c r="D1192" s="35">
        <v>3306994</v>
      </c>
      <c r="E1192" s="35" t="s">
        <v>1593</v>
      </c>
      <c r="F1192" s="35" t="s">
        <v>604</v>
      </c>
    </row>
    <row r="1193" spans="1:6">
      <c r="A1193" s="35" t="s">
        <v>1795</v>
      </c>
      <c r="B1193" s="37">
        <v>122.02500152587891</v>
      </c>
      <c r="C1193" s="37">
        <v>111.21574401855469</v>
      </c>
      <c r="D1193" s="35">
        <v>4272362</v>
      </c>
      <c r="E1193" s="35" t="s">
        <v>1593</v>
      </c>
      <c r="F1193" s="35" t="s">
        <v>604</v>
      </c>
    </row>
    <row r="1194" spans="1:6">
      <c r="A1194" s="35" t="s">
        <v>1796</v>
      </c>
      <c r="B1194" s="37">
        <v>123.375</v>
      </c>
      <c r="C1194" s="37">
        <v>112.44615173339844</v>
      </c>
      <c r="D1194" s="35">
        <v>4009378</v>
      </c>
      <c r="E1194" s="35" t="s">
        <v>1593</v>
      </c>
      <c r="F1194" s="35" t="s">
        <v>604</v>
      </c>
    </row>
    <row r="1195" spans="1:6">
      <c r="A1195" s="35" t="s">
        <v>1797</v>
      </c>
      <c r="B1195" s="37">
        <v>120.34999847412109</v>
      </c>
      <c r="C1195" s="37">
        <v>109.68911743164063</v>
      </c>
      <c r="D1195" s="35">
        <v>4294930</v>
      </c>
      <c r="E1195" s="35" t="s">
        <v>1593</v>
      </c>
      <c r="F1195" s="35" t="s">
        <v>604</v>
      </c>
    </row>
    <row r="1196" spans="1:6">
      <c r="A1196" s="35" t="s">
        <v>1798</v>
      </c>
      <c r="B1196" s="37">
        <v>118.40000152587891</v>
      </c>
      <c r="C1196" s="37">
        <v>107.911865234375</v>
      </c>
      <c r="D1196" s="35">
        <v>11107276</v>
      </c>
      <c r="E1196" s="35" t="s">
        <v>1593</v>
      </c>
      <c r="F1196" s="35" t="s">
        <v>604</v>
      </c>
    </row>
    <row r="1197" spans="1:6">
      <c r="A1197" s="35" t="s">
        <v>1799</v>
      </c>
      <c r="B1197" s="37">
        <v>118.69999694824219</v>
      </c>
      <c r="C1197" s="37">
        <v>108.18527984619141</v>
      </c>
      <c r="D1197" s="35">
        <v>8463660</v>
      </c>
      <c r="E1197" s="35" t="s">
        <v>1593</v>
      </c>
      <c r="F1197" s="35" t="s">
        <v>604</v>
      </c>
    </row>
    <row r="1198" spans="1:6">
      <c r="A1198" s="35" t="s">
        <v>1800</v>
      </c>
      <c r="B1198" s="37">
        <v>120.125</v>
      </c>
      <c r="C1198" s="37">
        <v>109.48405456542969</v>
      </c>
      <c r="D1198" s="35">
        <v>6329512</v>
      </c>
      <c r="E1198" s="35" t="s">
        <v>1593</v>
      </c>
      <c r="F1198" s="35" t="s">
        <v>604</v>
      </c>
    </row>
    <row r="1199" spans="1:6">
      <c r="A1199" s="35" t="s">
        <v>1801</v>
      </c>
      <c r="B1199" s="37">
        <v>121.125</v>
      </c>
      <c r="C1199" s="37">
        <v>110.39547729492188</v>
      </c>
      <c r="D1199" s="35">
        <v>7751206</v>
      </c>
      <c r="E1199" s="35" t="s">
        <v>1593</v>
      </c>
      <c r="F1199" s="35" t="s">
        <v>604</v>
      </c>
    </row>
    <row r="1200" spans="1:6">
      <c r="A1200" s="35" t="s">
        <v>1802</v>
      </c>
      <c r="B1200" s="37">
        <v>121.82499694824219</v>
      </c>
      <c r="C1200" s="37">
        <v>111.03345489501953</v>
      </c>
      <c r="D1200" s="35">
        <v>6112396</v>
      </c>
      <c r="E1200" s="35" t="s">
        <v>1593</v>
      </c>
      <c r="F1200" s="35" t="s">
        <v>604</v>
      </c>
    </row>
    <row r="1201" spans="1:6">
      <c r="A1201" s="35" t="s">
        <v>1803</v>
      </c>
      <c r="B1201" s="37">
        <v>121.97499847412109</v>
      </c>
      <c r="C1201" s="37">
        <v>111.170166015625</v>
      </c>
      <c r="D1201" s="35">
        <v>5519024</v>
      </c>
      <c r="E1201" s="35" t="s">
        <v>1593</v>
      </c>
      <c r="F1201" s="35" t="s">
        <v>604</v>
      </c>
    </row>
    <row r="1202" spans="1:6">
      <c r="A1202" s="35" t="s">
        <v>1804</v>
      </c>
      <c r="B1202" s="37">
        <v>120.44999694824219</v>
      </c>
      <c r="C1202" s="37">
        <v>109.78025054931641</v>
      </c>
      <c r="D1202" s="35">
        <v>4517992</v>
      </c>
      <c r="E1202" s="35" t="s">
        <v>1593</v>
      </c>
      <c r="F1202" s="35" t="s">
        <v>604</v>
      </c>
    </row>
    <row r="1203" spans="1:6">
      <c r="A1203" s="35" t="s">
        <v>1805</v>
      </c>
      <c r="B1203" s="37">
        <v>120.625</v>
      </c>
      <c r="C1203" s="37">
        <v>109.93975067138672</v>
      </c>
      <c r="D1203" s="35">
        <v>5460620</v>
      </c>
      <c r="E1203" s="35" t="s">
        <v>1593</v>
      </c>
      <c r="F1203" s="35" t="s">
        <v>604</v>
      </c>
    </row>
    <row r="1204" spans="1:6">
      <c r="A1204" s="35" t="s">
        <v>1806</v>
      </c>
      <c r="B1204" s="37">
        <v>122.22499847412109</v>
      </c>
      <c r="C1204" s="37">
        <v>111.39801788330078</v>
      </c>
      <c r="D1204" s="35">
        <v>6838800</v>
      </c>
      <c r="E1204" s="35" t="s">
        <v>1593</v>
      </c>
      <c r="F1204" s="35" t="s">
        <v>604</v>
      </c>
    </row>
    <row r="1205" spans="1:6">
      <c r="A1205" s="35" t="s">
        <v>1807</v>
      </c>
      <c r="B1205" s="37">
        <v>121.875</v>
      </c>
      <c r="C1205" s="37">
        <v>111.07902526855469</v>
      </c>
      <c r="D1205" s="35">
        <v>4829910</v>
      </c>
      <c r="E1205" s="35" t="s">
        <v>1593</v>
      </c>
      <c r="F1205" s="35" t="s">
        <v>604</v>
      </c>
    </row>
    <row r="1206" spans="1:6">
      <c r="A1206" s="35" t="s">
        <v>1808</v>
      </c>
      <c r="B1206" s="37">
        <v>121.44999694824219</v>
      </c>
      <c r="C1206" s="37">
        <v>110.69165802001953</v>
      </c>
      <c r="D1206" s="35">
        <v>3619586</v>
      </c>
      <c r="E1206" s="35" t="s">
        <v>1593</v>
      </c>
      <c r="F1206" s="35" t="s">
        <v>604</v>
      </c>
    </row>
    <row r="1207" spans="1:6">
      <c r="A1207" s="35" t="s">
        <v>1809</v>
      </c>
      <c r="B1207" s="37">
        <v>121.90000152587891</v>
      </c>
      <c r="C1207" s="37">
        <v>111.10181427001953</v>
      </c>
      <c r="D1207" s="35">
        <v>2035556</v>
      </c>
      <c r="E1207" s="35" t="s">
        <v>1593</v>
      </c>
      <c r="F1207" s="35" t="s">
        <v>604</v>
      </c>
    </row>
    <row r="1208" spans="1:6">
      <c r="A1208" s="35" t="s">
        <v>1810</v>
      </c>
      <c r="B1208" s="37">
        <v>122.02500152587891</v>
      </c>
      <c r="C1208" s="37">
        <v>111.21574401855469</v>
      </c>
      <c r="D1208" s="35">
        <v>2505274</v>
      </c>
      <c r="E1208" s="35" t="s">
        <v>1593</v>
      </c>
      <c r="F1208" s="35" t="s">
        <v>604</v>
      </c>
    </row>
    <row r="1209" spans="1:6">
      <c r="A1209" s="35" t="s">
        <v>1811</v>
      </c>
      <c r="B1209" s="37">
        <v>123.80000305175781</v>
      </c>
      <c r="C1209" s="37">
        <v>112.83351898193359</v>
      </c>
      <c r="D1209" s="35">
        <v>3570768</v>
      </c>
      <c r="E1209" s="35" t="s">
        <v>1593</v>
      </c>
      <c r="F1209" s="35" t="s">
        <v>604</v>
      </c>
    </row>
    <row r="1210" spans="1:6">
      <c r="A1210" s="35" t="s">
        <v>1812</v>
      </c>
      <c r="B1210" s="37">
        <v>122.84999847412109</v>
      </c>
      <c r="C1210" s="37">
        <v>111.9676513671875</v>
      </c>
      <c r="D1210" s="35">
        <v>4241614</v>
      </c>
      <c r="E1210" s="35" t="s">
        <v>1593</v>
      </c>
      <c r="F1210" s="35" t="s">
        <v>604</v>
      </c>
    </row>
    <row r="1211" spans="1:6">
      <c r="A1211" s="35" t="s">
        <v>1813</v>
      </c>
      <c r="B1211" s="37">
        <v>122.09999847412109</v>
      </c>
      <c r="C1211" s="37">
        <v>111.28410339355469</v>
      </c>
      <c r="D1211" s="35">
        <v>7043950</v>
      </c>
      <c r="E1211" s="35" t="s">
        <v>1593</v>
      </c>
      <c r="F1211" s="35" t="s">
        <v>604</v>
      </c>
    </row>
    <row r="1212" spans="1:6">
      <c r="A1212" s="35" t="s">
        <v>1814</v>
      </c>
      <c r="B1212" s="37">
        <v>122.05000305175781</v>
      </c>
      <c r="C1212" s="37">
        <v>111.238525390625</v>
      </c>
      <c r="D1212" s="35">
        <v>5059572</v>
      </c>
      <c r="E1212" s="35" t="s">
        <v>1593</v>
      </c>
      <c r="F1212" s="35" t="s">
        <v>604</v>
      </c>
    </row>
    <row r="1213" spans="1:6">
      <c r="A1213" s="35" t="s">
        <v>1815</v>
      </c>
      <c r="B1213" s="37">
        <v>119.94999694824219</v>
      </c>
      <c r="C1213" s="37">
        <v>109.32454681396484</v>
      </c>
      <c r="D1213" s="35">
        <v>7988388</v>
      </c>
      <c r="E1213" s="35" t="s">
        <v>1593</v>
      </c>
      <c r="F1213" s="35" t="s">
        <v>604</v>
      </c>
    </row>
    <row r="1214" spans="1:6">
      <c r="A1214" s="35" t="s">
        <v>1816</v>
      </c>
      <c r="B1214" s="37">
        <v>115.80000305175781</v>
      </c>
      <c r="C1214" s="37">
        <v>105.54217529296875</v>
      </c>
      <c r="D1214" s="35">
        <v>9733628</v>
      </c>
      <c r="E1214" s="35" t="s">
        <v>1593</v>
      </c>
      <c r="F1214" s="35" t="s">
        <v>604</v>
      </c>
    </row>
    <row r="1215" spans="1:6">
      <c r="A1215" s="35" t="s">
        <v>1817</v>
      </c>
      <c r="B1215" s="37">
        <v>110.72499847412109</v>
      </c>
      <c r="C1215" s="37">
        <v>100.91672515869141</v>
      </c>
      <c r="D1215" s="35">
        <v>11274618</v>
      </c>
      <c r="E1215" s="35" t="s">
        <v>1593</v>
      </c>
      <c r="F1215" s="35" t="s">
        <v>604</v>
      </c>
    </row>
    <row r="1216" spans="1:6">
      <c r="A1216" s="35" t="s">
        <v>1818</v>
      </c>
      <c r="B1216" s="37">
        <v>110.40000152587891</v>
      </c>
      <c r="C1216" s="37">
        <v>100.62050628662109</v>
      </c>
      <c r="D1216" s="35">
        <v>11532350</v>
      </c>
      <c r="E1216" s="35" t="s">
        <v>1593</v>
      </c>
      <c r="F1216" s="35" t="s">
        <v>604</v>
      </c>
    </row>
    <row r="1217" spans="1:6">
      <c r="A1217" s="35" t="s">
        <v>1819</v>
      </c>
      <c r="B1217" s="37">
        <v>111.84999847412109</v>
      </c>
      <c r="C1217" s="37">
        <v>101.94207763671875</v>
      </c>
      <c r="D1217" s="35">
        <v>10346226</v>
      </c>
      <c r="E1217" s="35" t="s">
        <v>1593</v>
      </c>
      <c r="F1217" s="35" t="s">
        <v>604</v>
      </c>
    </row>
    <row r="1218" spans="1:6">
      <c r="A1218" s="35" t="s">
        <v>1820</v>
      </c>
      <c r="B1218" s="37">
        <v>114.42500305175781</v>
      </c>
      <c r="C1218" s="37">
        <v>104.28896331787109</v>
      </c>
      <c r="D1218" s="35">
        <v>9036356</v>
      </c>
      <c r="E1218" s="35" t="s">
        <v>1593</v>
      </c>
      <c r="F1218" s="35" t="s">
        <v>604</v>
      </c>
    </row>
    <row r="1219" spans="1:6">
      <c r="A1219" s="35" t="s">
        <v>1821</v>
      </c>
      <c r="B1219" s="37">
        <v>114.84999847412109</v>
      </c>
      <c r="C1219" s="37">
        <v>104.67632293701172</v>
      </c>
      <c r="D1219" s="35">
        <v>5941556</v>
      </c>
      <c r="E1219" s="35" t="s">
        <v>1593</v>
      </c>
      <c r="F1219" s="35" t="s">
        <v>604</v>
      </c>
    </row>
    <row r="1220" spans="1:6">
      <c r="A1220" s="35" t="s">
        <v>1822</v>
      </c>
      <c r="B1220" s="37">
        <v>111.77500152587891</v>
      </c>
      <c r="C1220" s="37">
        <v>101.87370300292969</v>
      </c>
      <c r="D1220" s="35">
        <v>5868566</v>
      </c>
      <c r="E1220" s="35" t="s">
        <v>1593</v>
      </c>
      <c r="F1220" s="35" t="s">
        <v>604</v>
      </c>
    </row>
    <row r="1221" spans="1:6">
      <c r="A1221" s="35" t="s">
        <v>1823</v>
      </c>
      <c r="B1221" s="37">
        <v>107.19999694824219</v>
      </c>
      <c r="C1221" s="37">
        <v>97.703971862792969</v>
      </c>
      <c r="D1221" s="35">
        <v>17462228</v>
      </c>
      <c r="E1221" s="35" t="s">
        <v>1593</v>
      </c>
      <c r="F1221" s="35" t="s">
        <v>604</v>
      </c>
    </row>
    <row r="1222" spans="1:6">
      <c r="A1222" s="35" t="s">
        <v>1824</v>
      </c>
      <c r="B1222" s="37">
        <v>106.55000305175781</v>
      </c>
      <c r="C1222" s="37">
        <v>97.111549377441406</v>
      </c>
      <c r="D1222" s="35">
        <v>12270332</v>
      </c>
      <c r="E1222" s="35" t="s">
        <v>1593</v>
      </c>
      <c r="F1222" s="35" t="s">
        <v>604</v>
      </c>
    </row>
    <row r="1223" spans="1:6">
      <c r="A1223" s="35" t="s">
        <v>1825</v>
      </c>
      <c r="B1223" s="37">
        <v>99.550003051757813</v>
      </c>
      <c r="C1223" s="37">
        <v>90.731643676757813</v>
      </c>
      <c r="D1223" s="35">
        <v>10764010</v>
      </c>
      <c r="E1223" s="35" t="s">
        <v>1593</v>
      </c>
      <c r="F1223" s="35" t="s">
        <v>604</v>
      </c>
    </row>
    <row r="1224" spans="1:6">
      <c r="A1224" s="35" t="s">
        <v>1826</v>
      </c>
      <c r="B1224" s="37">
        <v>98.699996948242188</v>
      </c>
      <c r="C1224" s="37">
        <v>89.956916809082031</v>
      </c>
      <c r="D1224" s="35">
        <v>13043196</v>
      </c>
      <c r="E1224" s="35" t="s">
        <v>1593</v>
      </c>
      <c r="F1224" s="35" t="s">
        <v>604</v>
      </c>
    </row>
    <row r="1225" spans="1:6">
      <c r="A1225" s="35" t="s">
        <v>1827</v>
      </c>
      <c r="B1225" s="37">
        <v>89.875</v>
      </c>
      <c r="C1225" s="37">
        <v>81.913665771484375</v>
      </c>
      <c r="D1225" s="35">
        <v>11201148</v>
      </c>
      <c r="E1225" s="35" t="s">
        <v>1593</v>
      </c>
      <c r="F1225" s="35" t="s">
        <v>604</v>
      </c>
    </row>
    <row r="1226" spans="1:6">
      <c r="A1226" s="35" t="s">
        <v>1828</v>
      </c>
      <c r="B1226" s="37">
        <v>86.550003051757813</v>
      </c>
      <c r="C1226" s="37">
        <v>78.883201599121094</v>
      </c>
      <c r="D1226" s="35">
        <v>12175374</v>
      </c>
      <c r="E1226" s="35" t="s">
        <v>1593</v>
      </c>
      <c r="F1226" s="35" t="s">
        <v>604</v>
      </c>
    </row>
    <row r="1227" spans="1:6">
      <c r="A1227" s="35" t="s">
        <v>1829</v>
      </c>
      <c r="B1227" s="37">
        <v>84.974998474121094</v>
      </c>
      <c r="C1227" s="37">
        <v>77.447715759277344</v>
      </c>
      <c r="D1227" s="35">
        <v>12733198</v>
      </c>
      <c r="E1227" s="35" t="s">
        <v>1593</v>
      </c>
      <c r="F1227" s="35" t="s">
        <v>604</v>
      </c>
    </row>
    <row r="1228" spans="1:6">
      <c r="A1228" s="35" t="s">
        <v>1830</v>
      </c>
      <c r="B1228" s="37">
        <v>81.175003051757813</v>
      </c>
      <c r="C1228" s="37">
        <v>73.984329223632813</v>
      </c>
      <c r="D1228" s="35">
        <v>11980172</v>
      </c>
      <c r="E1228" s="35" t="s">
        <v>1593</v>
      </c>
      <c r="F1228" s="35" t="s">
        <v>604</v>
      </c>
    </row>
    <row r="1229" spans="1:6">
      <c r="A1229" s="35" t="s">
        <v>1831</v>
      </c>
      <c r="B1229" s="37">
        <v>89.599998474121094</v>
      </c>
      <c r="C1229" s="37">
        <v>81.663017272949219</v>
      </c>
      <c r="D1229" s="35">
        <v>20319490</v>
      </c>
      <c r="E1229" s="35" t="s">
        <v>1593</v>
      </c>
      <c r="F1229" s="35" t="s">
        <v>604</v>
      </c>
    </row>
    <row r="1230" spans="1:6">
      <c r="A1230" s="35" t="s">
        <v>1832</v>
      </c>
      <c r="B1230" s="37">
        <v>85.074996948242188</v>
      </c>
      <c r="C1230" s="37">
        <v>77.538848876953125</v>
      </c>
      <c r="D1230" s="35">
        <v>10720786</v>
      </c>
      <c r="E1230" s="35" t="s">
        <v>1593</v>
      </c>
      <c r="F1230" s="35" t="s">
        <v>604</v>
      </c>
    </row>
    <row r="1231" spans="1:6">
      <c r="A1231" s="35" t="s">
        <v>1833</v>
      </c>
      <c r="B1231" s="37">
        <v>88.175003051757813</v>
      </c>
      <c r="C1231" s="37">
        <v>80.364265441894531</v>
      </c>
      <c r="D1231" s="35">
        <v>12061562</v>
      </c>
      <c r="E1231" s="35" t="s">
        <v>1593</v>
      </c>
      <c r="F1231" s="35" t="s">
        <v>604</v>
      </c>
    </row>
    <row r="1232" spans="1:6">
      <c r="A1232" s="35" t="s">
        <v>1834</v>
      </c>
      <c r="B1232" s="37">
        <v>87.324996948242188</v>
      </c>
      <c r="C1232" s="37">
        <v>79.589553833007813</v>
      </c>
      <c r="D1232" s="35">
        <v>13456292</v>
      </c>
      <c r="E1232" s="35" t="s">
        <v>1593</v>
      </c>
      <c r="F1232" s="35" t="s">
        <v>604</v>
      </c>
    </row>
    <row r="1233" spans="1:6">
      <c r="A1233" s="35" t="s">
        <v>1835</v>
      </c>
      <c r="B1233" s="37">
        <v>91.300003051757813</v>
      </c>
      <c r="C1233" s="37">
        <v>83.212425231933594</v>
      </c>
      <c r="D1233" s="35">
        <v>10247690</v>
      </c>
      <c r="E1233" s="35" t="s">
        <v>1593</v>
      </c>
      <c r="F1233" s="35" t="s">
        <v>604</v>
      </c>
    </row>
    <row r="1234" spans="1:6">
      <c r="A1234" s="35" t="s">
        <v>1836</v>
      </c>
      <c r="B1234" s="37">
        <v>91.75</v>
      </c>
      <c r="C1234" s="37">
        <v>83.622581481933594</v>
      </c>
      <c r="D1234" s="35">
        <v>13535120</v>
      </c>
      <c r="E1234" s="35" t="s">
        <v>1593</v>
      </c>
      <c r="F1234" s="35" t="s">
        <v>604</v>
      </c>
    </row>
    <row r="1235" spans="1:6">
      <c r="A1235" s="35" t="s">
        <v>1837</v>
      </c>
      <c r="B1235" s="37">
        <v>92.074996948242188</v>
      </c>
      <c r="C1235" s="37">
        <v>83.918777465820313</v>
      </c>
      <c r="D1235" s="35">
        <v>7334804</v>
      </c>
      <c r="E1235" s="35" t="s">
        <v>1593</v>
      </c>
      <c r="F1235" s="35" t="s">
        <v>604</v>
      </c>
    </row>
    <row r="1236" spans="1:6">
      <c r="A1236" s="35" t="s">
        <v>1838</v>
      </c>
      <c r="B1236" s="37">
        <v>98.349998474121094</v>
      </c>
      <c r="C1236" s="37">
        <v>89.637916564941406</v>
      </c>
      <c r="D1236" s="35">
        <v>10615252</v>
      </c>
      <c r="E1236" s="35" t="s">
        <v>1593</v>
      </c>
      <c r="F1236" s="35" t="s">
        <v>604</v>
      </c>
    </row>
    <row r="1237" spans="1:6">
      <c r="A1237" s="35" t="s">
        <v>1839</v>
      </c>
      <c r="B1237" s="37">
        <v>94.75</v>
      </c>
      <c r="C1237" s="37">
        <v>86.356819152832031</v>
      </c>
      <c r="D1237" s="35">
        <v>9875668</v>
      </c>
      <c r="E1237" s="35" t="s">
        <v>1840</v>
      </c>
      <c r="F1237" s="35" t="s">
        <v>604</v>
      </c>
    </row>
    <row r="1238" spans="1:6">
      <c r="A1238" s="35" t="s">
        <v>1841</v>
      </c>
      <c r="B1238" s="37">
        <v>90</v>
      </c>
      <c r="C1238" s="37">
        <v>82.027587890625</v>
      </c>
      <c r="D1238" s="35">
        <v>13147474</v>
      </c>
      <c r="E1238" s="35" t="s">
        <v>1840</v>
      </c>
      <c r="F1238" s="35" t="s">
        <v>604</v>
      </c>
    </row>
    <row r="1239" spans="1:6">
      <c r="A1239" s="35" t="s">
        <v>1842</v>
      </c>
      <c r="B1239" s="37">
        <v>95.949996948242188</v>
      </c>
      <c r="C1239" s="37">
        <v>87.450523376464844</v>
      </c>
      <c r="D1239" s="35">
        <v>9562862</v>
      </c>
      <c r="E1239" s="35" t="s">
        <v>1840</v>
      </c>
      <c r="F1239" s="35" t="s">
        <v>604</v>
      </c>
    </row>
    <row r="1240" spans="1:6">
      <c r="A1240" s="35" t="s">
        <v>1843</v>
      </c>
      <c r="B1240" s="37">
        <v>96.449996948242188</v>
      </c>
      <c r="C1240" s="37">
        <v>87.906227111816406</v>
      </c>
      <c r="D1240" s="35">
        <v>10275308</v>
      </c>
      <c r="E1240" s="35" t="s">
        <v>1840</v>
      </c>
      <c r="F1240" s="35" t="s">
        <v>604</v>
      </c>
    </row>
    <row r="1241" spans="1:6">
      <c r="A1241" s="35" t="s">
        <v>1844</v>
      </c>
      <c r="B1241" s="37">
        <v>98.349998474121094</v>
      </c>
      <c r="C1241" s="37">
        <v>89.637916564941406</v>
      </c>
      <c r="D1241" s="35">
        <v>6930346</v>
      </c>
      <c r="E1241" s="35" t="s">
        <v>1840</v>
      </c>
      <c r="F1241" s="35" t="s">
        <v>604</v>
      </c>
    </row>
    <row r="1242" spans="1:6">
      <c r="A1242" s="35" t="s">
        <v>1845</v>
      </c>
      <c r="B1242" s="37">
        <v>94.599998474121094</v>
      </c>
      <c r="C1242" s="37">
        <v>86.220115661621094</v>
      </c>
      <c r="D1242" s="35">
        <v>12384376</v>
      </c>
      <c r="E1242" s="35" t="s">
        <v>1840</v>
      </c>
      <c r="F1242" s="35" t="s">
        <v>604</v>
      </c>
    </row>
    <row r="1243" spans="1:6">
      <c r="A1243" s="35" t="s">
        <v>1846</v>
      </c>
      <c r="B1243" s="37">
        <v>93.275001525878906</v>
      </c>
      <c r="C1243" s="37">
        <v>85.012481689453125</v>
      </c>
      <c r="D1243" s="35">
        <v>22652006</v>
      </c>
      <c r="E1243" s="35" t="s">
        <v>1840</v>
      </c>
      <c r="F1243" s="35" t="s">
        <v>604</v>
      </c>
    </row>
    <row r="1244" spans="1:6">
      <c r="A1244" s="35" t="s">
        <v>1847</v>
      </c>
      <c r="B1244" s="37">
        <v>93.925003051757813</v>
      </c>
      <c r="C1244" s="37">
        <v>85.604904174804688</v>
      </c>
      <c r="D1244" s="35">
        <v>43380846</v>
      </c>
      <c r="E1244" s="35" t="s">
        <v>1840</v>
      </c>
      <c r="F1244" s="35" t="s">
        <v>604</v>
      </c>
    </row>
    <row r="1245" spans="1:6">
      <c r="A1245" s="35" t="s">
        <v>1848</v>
      </c>
      <c r="B1245" s="37">
        <v>93.5</v>
      </c>
      <c r="C1245" s="37">
        <v>85.217559814453125</v>
      </c>
      <c r="D1245" s="35">
        <v>13212894</v>
      </c>
      <c r="E1245" s="35" t="s">
        <v>1840</v>
      </c>
      <c r="F1245" s="35" t="s">
        <v>604</v>
      </c>
    </row>
    <row r="1246" spans="1:6">
      <c r="A1246" s="35" t="s">
        <v>1849</v>
      </c>
      <c r="B1246" s="37">
        <v>90.550003051757813</v>
      </c>
      <c r="C1246" s="37">
        <v>82.52886962890625</v>
      </c>
      <c r="D1246" s="35">
        <v>16203026</v>
      </c>
      <c r="E1246" s="35" t="s">
        <v>1840</v>
      </c>
      <c r="F1246" s="35" t="s">
        <v>604</v>
      </c>
    </row>
    <row r="1247" spans="1:6">
      <c r="A1247" s="35" t="s">
        <v>1850</v>
      </c>
      <c r="B1247" s="37">
        <v>89.025001525878906</v>
      </c>
      <c r="C1247" s="37">
        <v>81.138954162597656</v>
      </c>
      <c r="D1247" s="35">
        <v>18086618</v>
      </c>
      <c r="E1247" s="35" t="s">
        <v>1840</v>
      </c>
      <c r="F1247" s="35" t="s">
        <v>604</v>
      </c>
    </row>
    <row r="1248" spans="1:6">
      <c r="A1248" s="35" t="s">
        <v>1851</v>
      </c>
      <c r="B1248" s="37">
        <v>89.275001525878906</v>
      </c>
      <c r="C1248" s="37">
        <v>81.366813659667969</v>
      </c>
      <c r="D1248" s="35">
        <v>10621898</v>
      </c>
      <c r="E1248" s="35" t="s">
        <v>1840</v>
      </c>
      <c r="F1248" s="35" t="s">
        <v>604</v>
      </c>
    </row>
    <row r="1249" spans="1:6">
      <c r="A1249" s="35" t="s">
        <v>1852</v>
      </c>
      <c r="B1249" s="37">
        <v>90.449996948242188</v>
      </c>
      <c r="C1249" s="37">
        <v>82.437721252441406</v>
      </c>
      <c r="D1249" s="35">
        <v>11104460</v>
      </c>
      <c r="E1249" s="35" t="s">
        <v>1840</v>
      </c>
      <c r="F1249" s="35" t="s">
        <v>604</v>
      </c>
    </row>
    <row r="1250" spans="1:6">
      <c r="A1250" s="35" t="s">
        <v>1853</v>
      </c>
      <c r="B1250" s="37">
        <v>88.875</v>
      </c>
      <c r="C1250" s="37">
        <v>81.002250671386719</v>
      </c>
      <c r="D1250" s="35">
        <v>9282278</v>
      </c>
      <c r="E1250" s="35" t="s">
        <v>1840</v>
      </c>
      <c r="F1250" s="35" t="s">
        <v>604</v>
      </c>
    </row>
    <row r="1251" spans="1:6">
      <c r="A1251" s="35" t="s">
        <v>1854</v>
      </c>
      <c r="B1251" s="37">
        <v>91.025001525878906</v>
      </c>
      <c r="C1251" s="37">
        <v>82.9617919921875</v>
      </c>
      <c r="D1251" s="35">
        <v>18283250</v>
      </c>
      <c r="E1251" s="35" t="s">
        <v>1840</v>
      </c>
      <c r="F1251" s="35" t="s">
        <v>604</v>
      </c>
    </row>
    <row r="1252" spans="1:6">
      <c r="A1252" s="35" t="s">
        <v>1855</v>
      </c>
      <c r="B1252" s="37">
        <v>89.849998474121094</v>
      </c>
      <c r="C1252" s="37">
        <v>81.890884399414063</v>
      </c>
      <c r="D1252" s="35">
        <v>13329834</v>
      </c>
      <c r="E1252" s="35" t="s">
        <v>1840</v>
      </c>
      <c r="F1252" s="35" t="s">
        <v>604</v>
      </c>
    </row>
    <row r="1253" spans="1:6">
      <c r="A1253" s="35" t="s">
        <v>1856</v>
      </c>
      <c r="B1253" s="37">
        <v>90.324996948242188</v>
      </c>
      <c r="C1253" s="37">
        <v>82.323806762695313</v>
      </c>
      <c r="D1253" s="35">
        <v>10060582</v>
      </c>
      <c r="E1253" s="35" t="s">
        <v>1840</v>
      </c>
      <c r="F1253" s="35" t="s">
        <v>604</v>
      </c>
    </row>
    <row r="1254" spans="1:6">
      <c r="A1254" s="35" t="s">
        <v>1857</v>
      </c>
      <c r="B1254" s="37">
        <v>95.474998474121094</v>
      </c>
      <c r="C1254" s="37">
        <v>87.017593383789063</v>
      </c>
      <c r="D1254" s="35">
        <v>17667854</v>
      </c>
      <c r="E1254" s="35" t="s">
        <v>1840</v>
      </c>
      <c r="F1254" s="35" t="s">
        <v>604</v>
      </c>
    </row>
    <row r="1255" spans="1:6">
      <c r="A1255" s="35" t="s">
        <v>1858</v>
      </c>
      <c r="B1255" s="37">
        <v>95.025001525878906</v>
      </c>
      <c r="C1255" s="37">
        <v>86.607460021972656</v>
      </c>
      <c r="D1255" s="35">
        <v>17140740</v>
      </c>
      <c r="E1255" s="35" t="s">
        <v>1840</v>
      </c>
      <c r="F1255" s="35" t="s">
        <v>604</v>
      </c>
    </row>
    <row r="1256" spans="1:6">
      <c r="A1256" s="35" t="s">
        <v>1859</v>
      </c>
      <c r="B1256" s="37">
        <v>92.099998474121094</v>
      </c>
      <c r="C1256" s="37">
        <v>83.941574096679688</v>
      </c>
      <c r="D1256" s="35">
        <v>13864778</v>
      </c>
      <c r="E1256" s="35" t="s">
        <v>1840</v>
      </c>
      <c r="F1256" s="35" t="s">
        <v>604</v>
      </c>
    </row>
    <row r="1257" spans="1:6">
      <c r="A1257" s="35" t="s">
        <v>1860</v>
      </c>
      <c r="B1257" s="37">
        <v>93.525001525878906</v>
      </c>
      <c r="C1257" s="37">
        <v>85.2403564453125</v>
      </c>
      <c r="D1257" s="35">
        <v>10885580</v>
      </c>
      <c r="E1257" s="35" t="s">
        <v>1840</v>
      </c>
      <c r="F1257" s="35" t="s">
        <v>604</v>
      </c>
    </row>
    <row r="1258" spans="1:6">
      <c r="A1258" s="35" t="s">
        <v>1861</v>
      </c>
      <c r="B1258" s="37">
        <v>92.050003051757813</v>
      </c>
      <c r="C1258" s="37">
        <v>83.89599609375</v>
      </c>
      <c r="D1258" s="35">
        <v>11402138</v>
      </c>
      <c r="E1258" s="35" t="s">
        <v>1840</v>
      </c>
      <c r="F1258" s="35" t="s">
        <v>604</v>
      </c>
    </row>
    <row r="1259" spans="1:6">
      <c r="A1259" s="35" t="s">
        <v>1862</v>
      </c>
      <c r="B1259" s="37">
        <v>92</v>
      </c>
      <c r="C1259" s="37">
        <v>83.850433349609375</v>
      </c>
      <c r="D1259" s="35">
        <v>8227344</v>
      </c>
      <c r="E1259" s="35" t="s">
        <v>1840</v>
      </c>
      <c r="F1259" s="35" t="s">
        <v>604</v>
      </c>
    </row>
    <row r="1260" spans="1:6">
      <c r="A1260" s="35" t="s">
        <v>1863</v>
      </c>
      <c r="B1260" s="37">
        <v>92.349998474121094</v>
      </c>
      <c r="C1260" s="37">
        <v>84.169418334960938</v>
      </c>
      <c r="D1260" s="35">
        <v>8787666</v>
      </c>
      <c r="E1260" s="35" t="s">
        <v>1840</v>
      </c>
      <c r="F1260" s="35" t="s">
        <v>604</v>
      </c>
    </row>
    <row r="1261" spans="1:6">
      <c r="A1261" s="35" t="s">
        <v>1864</v>
      </c>
      <c r="B1261" s="37">
        <v>93.525001525878906</v>
      </c>
      <c r="C1261" s="37">
        <v>85.2403564453125</v>
      </c>
      <c r="D1261" s="35">
        <v>7030818</v>
      </c>
      <c r="E1261" s="35" t="s">
        <v>1840</v>
      </c>
      <c r="F1261" s="35" t="s">
        <v>604</v>
      </c>
    </row>
    <row r="1262" spans="1:6">
      <c r="A1262" s="35" t="s">
        <v>1865</v>
      </c>
      <c r="B1262" s="37">
        <v>94.849998474121094</v>
      </c>
      <c r="C1262" s="37">
        <v>86.447967529296875</v>
      </c>
      <c r="D1262" s="35">
        <v>10560968</v>
      </c>
      <c r="E1262" s="35" t="s">
        <v>1840</v>
      </c>
      <c r="F1262" s="35" t="s">
        <v>604</v>
      </c>
    </row>
    <row r="1263" spans="1:6">
      <c r="A1263" s="35" t="s">
        <v>1866</v>
      </c>
      <c r="B1263" s="37">
        <v>93</v>
      </c>
      <c r="C1263" s="37">
        <v>84.7618408203125</v>
      </c>
      <c r="D1263" s="35">
        <v>10324394</v>
      </c>
      <c r="E1263" s="35" t="s">
        <v>1840</v>
      </c>
      <c r="F1263" s="35" t="s">
        <v>604</v>
      </c>
    </row>
    <row r="1264" spans="1:6">
      <c r="A1264" s="35" t="s">
        <v>1867</v>
      </c>
      <c r="B1264" s="37">
        <v>91.900001525878906</v>
      </c>
      <c r="C1264" s="37">
        <v>83.759284973144531</v>
      </c>
      <c r="D1264" s="35">
        <v>6849030</v>
      </c>
      <c r="E1264" s="35" t="s">
        <v>1840</v>
      </c>
      <c r="F1264" s="35" t="s">
        <v>604</v>
      </c>
    </row>
    <row r="1265" spans="1:6">
      <c r="A1265" s="35" t="s">
        <v>1868</v>
      </c>
      <c r="B1265" s="37">
        <v>91.099998474121094</v>
      </c>
      <c r="C1265" s="37">
        <v>83.0301513671875</v>
      </c>
      <c r="D1265" s="35">
        <v>14454486</v>
      </c>
      <c r="E1265" s="35" t="s">
        <v>1840</v>
      </c>
      <c r="F1265" s="35" t="s">
        <v>604</v>
      </c>
    </row>
    <row r="1266" spans="1:6">
      <c r="A1266" s="35" t="s">
        <v>1869</v>
      </c>
      <c r="B1266" s="37">
        <v>92.199996948242188</v>
      </c>
      <c r="C1266" s="37">
        <v>84.032699584960938</v>
      </c>
      <c r="D1266" s="35">
        <v>11486668</v>
      </c>
      <c r="E1266" s="35" t="s">
        <v>1840</v>
      </c>
      <c r="F1266" s="35" t="s">
        <v>604</v>
      </c>
    </row>
    <row r="1267" spans="1:6">
      <c r="A1267" s="35" t="s">
        <v>1870</v>
      </c>
      <c r="B1267" s="37">
        <v>92.474998474121094</v>
      </c>
      <c r="C1267" s="37">
        <v>84.283348083496094</v>
      </c>
      <c r="D1267" s="35">
        <v>15415706</v>
      </c>
      <c r="E1267" s="35" t="s">
        <v>1840</v>
      </c>
      <c r="F1267" s="35" t="s">
        <v>604</v>
      </c>
    </row>
    <row r="1268" spans="1:6">
      <c r="A1268" s="35" t="s">
        <v>1871</v>
      </c>
      <c r="B1268" s="37">
        <v>94.550003051757813</v>
      </c>
      <c r="C1268" s="37">
        <v>86.174537658691406</v>
      </c>
      <c r="D1268" s="35">
        <v>14258230</v>
      </c>
      <c r="E1268" s="35" t="s">
        <v>1840</v>
      </c>
      <c r="F1268" s="35" t="s">
        <v>604</v>
      </c>
    </row>
    <row r="1269" spans="1:6">
      <c r="A1269" s="35" t="s">
        <v>1872</v>
      </c>
      <c r="B1269" s="37">
        <v>94.5</v>
      </c>
      <c r="C1269" s="37">
        <v>86.12896728515625</v>
      </c>
      <c r="D1269" s="35">
        <v>9177652</v>
      </c>
      <c r="E1269" s="35" t="s">
        <v>1840</v>
      </c>
      <c r="F1269" s="35" t="s">
        <v>604</v>
      </c>
    </row>
    <row r="1270" spans="1:6">
      <c r="A1270" s="35" t="s">
        <v>1873</v>
      </c>
      <c r="B1270" s="37">
        <v>94.400001525878906</v>
      </c>
      <c r="C1270" s="37">
        <v>86.037841796875</v>
      </c>
      <c r="D1270" s="35">
        <v>11822268</v>
      </c>
      <c r="E1270" s="35" t="s">
        <v>1840</v>
      </c>
      <c r="F1270" s="35" t="s">
        <v>604</v>
      </c>
    </row>
    <row r="1271" spans="1:6">
      <c r="A1271" s="35" t="s">
        <v>1874</v>
      </c>
      <c r="B1271" s="37">
        <v>100.625</v>
      </c>
      <c r="C1271" s="37">
        <v>91.711395263671875</v>
      </c>
      <c r="D1271" s="35">
        <v>36165936</v>
      </c>
      <c r="E1271" s="35" t="s">
        <v>1840</v>
      </c>
      <c r="F1271" s="35" t="s">
        <v>604</v>
      </c>
    </row>
    <row r="1272" spans="1:6">
      <c r="A1272" s="35" t="s">
        <v>1875</v>
      </c>
      <c r="B1272" s="37">
        <v>99.675003051757813</v>
      </c>
      <c r="C1272" s="37">
        <v>90.845558166503906</v>
      </c>
      <c r="D1272" s="35">
        <v>24695246</v>
      </c>
      <c r="E1272" s="35" t="s">
        <v>1840</v>
      </c>
      <c r="F1272" s="35" t="s">
        <v>604</v>
      </c>
    </row>
    <row r="1273" spans="1:6">
      <c r="A1273" s="35" t="s">
        <v>1876</v>
      </c>
      <c r="B1273" s="37">
        <v>106.40000152587891</v>
      </c>
      <c r="C1273" s="37">
        <v>96.974845886230469</v>
      </c>
      <c r="D1273" s="35">
        <v>61260422</v>
      </c>
      <c r="E1273" s="35" t="s">
        <v>1840</v>
      </c>
      <c r="F1273" s="35" t="s">
        <v>604</v>
      </c>
    </row>
    <row r="1274" spans="1:6">
      <c r="A1274" s="35" t="s">
        <v>1877</v>
      </c>
      <c r="B1274" s="37">
        <v>107.52500152587891</v>
      </c>
      <c r="C1274" s="37">
        <v>98.00018310546875</v>
      </c>
      <c r="D1274" s="35">
        <v>26749248</v>
      </c>
      <c r="E1274" s="35" t="s">
        <v>1840</v>
      </c>
      <c r="F1274" s="35" t="s">
        <v>604</v>
      </c>
    </row>
    <row r="1275" spans="1:6">
      <c r="A1275" s="35" t="s">
        <v>1878</v>
      </c>
      <c r="B1275" s="37">
        <v>107.92500305175781</v>
      </c>
      <c r="C1275" s="37">
        <v>98.364753723144531</v>
      </c>
      <c r="D1275" s="35">
        <v>12812554</v>
      </c>
      <c r="E1275" s="35" t="s">
        <v>1840</v>
      </c>
      <c r="F1275" s="35" t="s">
        <v>604</v>
      </c>
    </row>
    <row r="1276" spans="1:6">
      <c r="A1276" s="35" t="s">
        <v>1879</v>
      </c>
      <c r="B1276" s="37">
        <v>105.67500305175781</v>
      </c>
      <c r="C1276" s="37">
        <v>96.314056396484375</v>
      </c>
      <c r="D1276" s="35">
        <v>16844202</v>
      </c>
      <c r="E1276" s="35" t="s">
        <v>1840</v>
      </c>
      <c r="F1276" s="35" t="s">
        <v>604</v>
      </c>
    </row>
    <row r="1277" spans="1:6">
      <c r="A1277" s="35" t="s">
        <v>1880</v>
      </c>
      <c r="B1277" s="37">
        <v>108.125</v>
      </c>
      <c r="C1277" s="37">
        <v>98.547042846679688</v>
      </c>
      <c r="D1277" s="35">
        <v>14794936</v>
      </c>
      <c r="E1277" s="35" t="s">
        <v>1840</v>
      </c>
      <c r="F1277" s="35" t="s">
        <v>604</v>
      </c>
    </row>
    <row r="1278" spans="1:6">
      <c r="A1278" s="35" t="s">
        <v>1881</v>
      </c>
      <c r="B1278" s="37">
        <v>109.375</v>
      </c>
      <c r="C1278" s="37">
        <v>99.686309814453125</v>
      </c>
      <c r="D1278" s="35">
        <v>14491168</v>
      </c>
      <c r="E1278" s="35" t="s">
        <v>1840</v>
      </c>
      <c r="F1278" s="35" t="s">
        <v>604</v>
      </c>
    </row>
    <row r="1279" spans="1:6">
      <c r="A1279" s="35" t="s">
        <v>1882</v>
      </c>
      <c r="B1279" s="37">
        <v>113.22499847412109</v>
      </c>
      <c r="C1279" s="37">
        <v>103.19526672363281</v>
      </c>
      <c r="D1279" s="35">
        <v>24427392</v>
      </c>
      <c r="E1279" s="35" t="s">
        <v>1840</v>
      </c>
      <c r="F1279" s="35" t="s">
        <v>604</v>
      </c>
    </row>
    <row r="1280" spans="1:6">
      <c r="A1280" s="35" t="s">
        <v>1883</v>
      </c>
      <c r="B1280" s="37">
        <v>109.17500305175781</v>
      </c>
      <c r="C1280" s="37">
        <v>99.5040283203125</v>
      </c>
      <c r="D1280" s="35">
        <v>15690504</v>
      </c>
      <c r="E1280" s="35" t="s">
        <v>1840</v>
      </c>
      <c r="F1280" s="35" t="s">
        <v>604</v>
      </c>
    </row>
    <row r="1281" spans="1:6">
      <c r="A1281" s="35" t="s">
        <v>1884</v>
      </c>
      <c r="B1281" s="37">
        <v>108.5</v>
      </c>
      <c r="C1281" s="37">
        <v>98.888816833496094</v>
      </c>
      <c r="D1281" s="35">
        <v>14787292</v>
      </c>
      <c r="E1281" s="35" t="s">
        <v>1840</v>
      </c>
      <c r="F1281" s="35" t="s">
        <v>604</v>
      </c>
    </row>
    <row r="1282" spans="1:6">
      <c r="A1282" s="35" t="s">
        <v>1885</v>
      </c>
      <c r="B1282" s="37">
        <v>106.44999694824219</v>
      </c>
      <c r="C1282" s="37">
        <v>97.020408630371094</v>
      </c>
      <c r="D1282" s="35">
        <v>12497490</v>
      </c>
      <c r="E1282" s="35" t="s">
        <v>1840</v>
      </c>
      <c r="F1282" s="35" t="s">
        <v>604</v>
      </c>
    </row>
    <row r="1283" spans="1:6">
      <c r="A1283" s="35" t="s">
        <v>1886</v>
      </c>
      <c r="B1283" s="37">
        <v>103.94999694824219</v>
      </c>
      <c r="C1283" s="37">
        <v>94.741874694824219</v>
      </c>
      <c r="D1283" s="35">
        <v>12418688</v>
      </c>
      <c r="E1283" s="35" t="s">
        <v>1840</v>
      </c>
      <c r="F1283" s="35" t="s">
        <v>604</v>
      </c>
    </row>
    <row r="1284" spans="1:6">
      <c r="A1284" s="35" t="s">
        <v>1887</v>
      </c>
      <c r="B1284" s="37">
        <v>106.90000152587891</v>
      </c>
      <c r="C1284" s="37">
        <v>97.430549621582031</v>
      </c>
      <c r="D1284" s="35">
        <v>28511450</v>
      </c>
      <c r="E1284" s="35" t="s">
        <v>1840</v>
      </c>
      <c r="F1284" s="35" t="s">
        <v>604</v>
      </c>
    </row>
    <row r="1285" spans="1:6">
      <c r="A1285" s="35" t="s">
        <v>1888</v>
      </c>
      <c r="B1285" s="37">
        <v>106.19999694824219</v>
      </c>
      <c r="C1285" s="37">
        <v>96.792549133300781</v>
      </c>
      <c r="D1285" s="35">
        <v>15921712</v>
      </c>
      <c r="E1285" s="35" t="s">
        <v>1840</v>
      </c>
      <c r="F1285" s="35" t="s">
        <v>604</v>
      </c>
    </row>
    <row r="1286" spans="1:6">
      <c r="A1286" s="35" t="s">
        <v>1889</v>
      </c>
      <c r="B1286" s="37">
        <v>108.90000152587891</v>
      </c>
      <c r="C1286" s="37">
        <v>99.253379821777344</v>
      </c>
      <c r="D1286" s="35">
        <v>27938908</v>
      </c>
      <c r="E1286" s="35" t="s">
        <v>1840</v>
      </c>
      <c r="F1286" s="35" t="s">
        <v>604</v>
      </c>
    </row>
    <row r="1287" spans="1:6">
      <c r="A1287" s="35" t="s">
        <v>1890</v>
      </c>
      <c r="B1287" s="37">
        <v>109.07499694824219</v>
      </c>
      <c r="C1287" s="37">
        <v>99.412887573242188</v>
      </c>
      <c r="D1287" s="35">
        <v>12408426</v>
      </c>
      <c r="E1287" s="35" t="s">
        <v>1840</v>
      </c>
      <c r="F1287" s="35" t="s">
        <v>604</v>
      </c>
    </row>
    <row r="1288" spans="1:6">
      <c r="A1288" s="35" t="s">
        <v>1891</v>
      </c>
      <c r="B1288" s="37">
        <v>111.02500152587891</v>
      </c>
      <c r="C1288" s="37">
        <v>101.19015502929688</v>
      </c>
      <c r="D1288" s="35">
        <v>22447354</v>
      </c>
      <c r="E1288" s="35" t="s">
        <v>1840</v>
      </c>
      <c r="F1288" s="35" t="s">
        <v>604</v>
      </c>
    </row>
    <row r="1289" spans="1:6">
      <c r="A1289" s="35" t="s">
        <v>1892</v>
      </c>
      <c r="B1289" s="37">
        <v>109.02500152587891</v>
      </c>
      <c r="C1289" s="37">
        <v>99.367317199707031</v>
      </c>
      <c r="D1289" s="35">
        <v>12961806</v>
      </c>
      <c r="E1289" s="35" t="s">
        <v>1840</v>
      </c>
      <c r="F1289" s="35" t="s">
        <v>604</v>
      </c>
    </row>
    <row r="1290" spans="1:6">
      <c r="A1290" s="35" t="s">
        <v>1893</v>
      </c>
      <c r="B1290" s="37">
        <v>110.30000305175781</v>
      </c>
      <c r="C1290" s="37">
        <v>100.52936553955078</v>
      </c>
      <c r="D1290" s="35">
        <v>14850298</v>
      </c>
      <c r="E1290" s="35" t="s">
        <v>1840</v>
      </c>
      <c r="F1290" s="35" t="s">
        <v>604</v>
      </c>
    </row>
    <row r="1291" spans="1:6">
      <c r="A1291" s="35" t="s">
        <v>1894</v>
      </c>
      <c r="B1291" s="37">
        <v>109.09999847412109</v>
      </c>
      <c r="C1291" s="37">
        <v>99.4356689453125</v>
      </c>
      <c r="D1291" s="35">
        <v>16492172</v>
      </c>
      <c r="E1291" s="35" t="s">
        <v>1840</v>
      </c>
      <c r="F1291" s="35" t="s">
        <v>604</v>
      </c>
    </row>
    <row r="1292" spans="1:6">
      <c r="A1292" s="35" t="s">
        <v>1895</v>
      </c>
      <c r="B1292" s="37">
        <v>109.09999847412109</v>
      </c>
      <c r="C1292" s="37">
        <v>99.4356689453125</v>
      </c>
      <c r="D1292" s="35">
        <v>10193692</v>
      </c>
      <c r="E1292" s="35" t="s">
        <v>1840</v>
      </c>
      <c r="F1292" s="35" t="s">
        <v>604</v>
      </c>
    </row>
    <row r="1293" spans="1:6">
      <c r="A1293" s="35" t="s">
        <v>1896</v>
      </c>
      <c r="B1293" s="37">
        <v>112.72499847412109</v>
      </c>
      <c r="C1293" s="37">
        <v>102.73955535888672</v>
      </c>
      <c r="D1293" s="35">
        <v>38389012</v>
      </c>
      <c r="E1293" s="35" t="s">
        <v>1840</v>
      </c>
      <c r="F1293" s="35" t="s">
        <v>604</v>
      </c>
    </row>
    <row r="1294" spans="1:6">
      <c r="A1294" s="35" t="s">
        <v>1897</v>
      </c>
      <c r="B1294" s="37">
        <v>109.84999847412109</v>
      </c>
      <c r="C1294" s="37">
        <v>100.11922454833984</v>
      </c>
      <c r="D1294" s="35">
        <v>13374148</v>
      </c>
      <c r="E1294" s="35" t="s">
        <v>1840</v>
      </c>
      <c r="F1294" s="35" t="s">
        <v>604</v>
      </c>
    </row>
    <row r="1295" spans="1:6">
      <c r="A1295" s="35" t="s">
        <v>1898</v>
      </c>
      <c r="B1295" s="37">
        <v>109.82499694824219</v>
      </c>
      <c r="C1295" s="37">
        <v>100.096435546875</v>
      </c>
      <c r="D1295" s="35">
        <v>11001386</v>
      </c>
      <c r="E1295" s="35" t="s">
        <v>1840</v>
      </c>
      <c r="F1295" s="35" t="s">
        <v>604</v>
      </c>
    </row>
    <row r="1296" spans="1:6">
      <c r="A1296" s="35" t="s">
        <v>1899</v>
      </c>
      <c r="B1296" s="37">
        <v>109.52500152587891</v>
      </c>
      <c r="C1296" s="37">
        <v>99.823013305664063</v>
      </c>
      <c r="D1296" s="35">
        <v>7905234</v>
      </c>
      <c r="E1296" s="35" t="s">
        <v>1840</v>
      </c>
      <c r="F1296" s="35" t="s">
        <v>604</v>
      </c>
    </row>
    <row r="1297" spans="1:6">
      <c r="A1297" s="35" t="s">
        <v>1900</v>
      </c>
      <c r="B1297" s="37">
        <v>112.09999847412109</v>
      </c>
      <c r="C1297" s="37">
        <v>102.169921875</v>
      </c>
      <c r="D1297" s="35">
        <v>14359882</v>
      </c>
      <c r="E1297" s="35" t="s">
        <v>1840</v>
      </c>
      <c r="F1297" s="35" t="s">
        <v>604</v>
      </c>
    </row>
    <row r="1298" spans="1:6">
      <c r="A1298" s="35" t="s">
        <v>1901</v>
      </c>
      <c r="B1298" s="37">
        <v>112.40000152587891</v>
      </c>
      <c r="C1298" s="37">
        <v>102.443359375</v>
      </c>
      <c r="D1298" s="35">
        <v>10838912</v>
      </c>
      <c r="E1298" s="35" t="s">
        <v>1840</v>
      </c>
      <c r="F1298" s="35" t="s">
        <v>604</v>
      </c>
    </row>
    <row r="1299" spans="1:6">
      <c r="A1299" s="35" t="s">
        <v>1902</v>
      </c>
      <c r="B1299" s="37">
        <v>111.32499694824219</v>
      </c>
      <c r="C1299" s="37">
        <v>101.46357727050781</v>
      </c>
      <c r="D1299" s="35">
        <v>15175628</v>
      </c>
      <c r="E1299" s="35" t="s">
        <v>1840</v>
      </c>
      <c r="F1299" s="35" t="s">
        <v>604</v>
      </c>
    </row>
    <row r="1300" spans="1:6">
      <c r="A1300" s="35" t="s">
        <v>1903</v>
      </c>
      <c r="B1300" s="37">
        <v>112.44999694824219</v>
      </c>
      <c r="C1300" s="37">
        <v>102.48892211914063</v>
      </c>
      <c r="D1300" s="35">
        <v>18235138</v>
      </c>
      <c r="E1300" s="35" t="s">
        <v>1840</v>
      </c>
      <c r="F1300" s="35" t="s">
        <v>604</v>
      </c>
    </row>
    <row r="1301" spans="1:6">
      <c r="A1301" s="35" t="s">
        <v>1904</v>
      </c>
      <c r="B1301" s="37">
        <v>111.55000305175781</v>
      </c>
      <c r="C1301" s="37">
        <v>101.66864776611328</v>
      </c>
      <c r="D1301" s="35">
        <v>14152368</v>
      </c>
      <c r="E1301" s="35" t="s">
        <v>1840</v>
      </c>
      <c r="F1301" s="35" t="s">
        <v>604</v>
      </c>
    </row>
    <row r="1302" spans="1:6">
      <c r="A1302" s="35" t="s">
        <v>1905</v>
      </c>
      <c r="B1302" s="37">
        <v>110.80000305175781</v>
      </c>
      <c r="C1302" s="37">
        <v>100.98506927490234</v>
      </c>
      <c r="D1302" s="35">
        <v>13417996</v>
      </c>
      <c r="E1302" s="35" t="s">
        <v>1840</v>
      </c>
      <c r="F1302" s="35" t="s">
        <v>604</v>
      </c>
    </row>
    <row r="1303" spans="1:6">
      <c r="A1303" s="35" t="s">
        <v>1906</v>
      </c>
      <c r="B1303" s="37">
        <v>111.05000305175781</v>
      </c>
      <c r="C1303" s="37">
        <v>101.21294403076172</v>
      </c>
      <c r="D1303" s="35">
        <v>9097518</v>
      </c>
      <c r="E1303" s="35" t="s">
        <v>1840</v>
      </c>
      <c r="F1303" s="35" t="s">
        <v>604</v>
      </c>
    </row>
    <row r="1304" spans="1:6">
      <c r="A1304" s="35" t="s">
        <v>1907</v>
      </c>
      <c r="B1304" s="37">
        <v>113.80000305175781</v>
      </c>
      <c r="C1304" s="37">
        <v>103.71933746337891</v>
      </c>
      <c r="D1304" s="35">
        <v>24694620</v>
      </c>
      <c r="E1304" s="35" t="s">
        <v>1840</v>
      </c>
      <c r="F1304" s="35" t="s">
        <v>604</v>
      </c>
    </row>
    <row r="1305" spans="1:6">
      <c r="A1305" s="35" t="s">
        <v>1908</v>
      </c>
      <c r="B1305" s="37">
        <v>112.5</v>
      </c>
      <c r="C1305" s="37">
        <v>102.53448486328125</v>
      </c>
      <c r="D1305" s="35">
        <v>27877134</v>
      </c>
      <c r="E1305" s="35" t="s">
        <v>1840</v>
      </c>
      <c r="F1305" s="35" t="s">
        <v>604</v>
      </c>
    </row>
    <row r="1306" spans="1:6">
      <c r="A1306" s="35" t="s">
        <v>1909</v>
      </c>
      <c r="B1306" s="37">
        <v>131.375</v>
      </c>
      <c r="C1306" s="37">
        <v>119.73749542236328</v>
      </c>
      <c r="D1306" s="35">
        <v>260735176</v>
      </c>
      <c r="E1306" s="35" t="s">
        <v>1840</v>
      </c>
      <c r="F1306" s="35" t="s">
        <v>604</v>
      </c>
    </row>
    <row r="1307" spans="1:6">
      <c r="A1307" s="35" t="s">
        <v>1910</v>
      </c>
      <c r="B1307" s="37">
        <v>130.94999694824219</v>
      </c>
      <c r="C1307" s="37">
        <v>119.35012817382813</v>
      </c>
      <c r="D1307" s="35">
        <v>104555854</v>
      </c>
      <c r="E1307" s="35" t="s">
        <v>1840</v>
      </c>
      <c r="F1307" s="35" t="s">
        <v>604</v>
      </c>
    </row>
    <row r="1308" spans="1:6">
      <c r="A1308" s="35" t="s">
        <v>1911</v>
      </c>
      <c r="B1308" s="37">
        <v>130.67500305175781</v>
      </c>
      <c r="C1308" s="37">
        <v>119.09950256347656</v>
      </c>
      <c r="D1308" s="35">
        <v>37713024</v>
      </c>
      <c r="E1308" s="35" t="s">
        <v>1840</v>
      </c>
      <c r="F1308" s="35" t="s">
        <v>604</v>
      </c>
    </row>
    <row r="1309" spans="1:6">
      <c r="A1309" s="35" t="s">
        <v>1912</v>
      </c>
      <c r="B1309" s="37">
        <v>135.39999389648438</v>
      </c>
      <c r="C1309" s="37">
        <v>123.40594482421875</v>
      </c>
      <c r="D1309" s="35">
        <v>42789980</v>
      </c>
      <c r="E1309" s="35" t="s">
        <v>1840</v>
      </c>
      <c r="F1309" s="35" t="s">
        <v>604</v>
      </c>
    </row>
    <row r="1310" spans="1:6">
      <c r="A1310" s="35" t="s">
        <v>1913</v>
      </c>
      <c r="B1310" s="37">
        <v>135.67500305175781</v>
      </c>
      <c r="C1310" s="37">
        <v>123.65660858154297</v>
      </c>
      <c r="D1310" s="35">
        <v>65998100</v>
      </c>
      <c r="E1310" s="35" t="s">
        <v>1840</v>
      </c>
      <c r="F1310" s="35" t="s">
        <v>604</v>
      </c>
    </row>
    <row r="1311" spans="1:6">
      <c r="A1311" s="35" t="s">
        <v>1914</v>
      </c>
      <c r="B1311" s="37">
        <v>133</v>
      </c>
      <c r="C1311" s="37">
        <v>121.21855163574219</v>
      </c>
      <c r="D1311" s="35">
        <v>25167708</v>
      </c>
      <c r="E1311" s="35" t="s">
        <v>1840</v>
      </c>
      <c r="F1311" s="35" t="s">
        <v>604</v>
      </c>
    </row>
    <row r="1312" spans="1:6">
      <c r="A1312" s="35" t="s">
        <v>1915</v>
      </c>
      <c r="B1312" s="37">
        <v>133.30000305175781</v>
      </c>
      <c r="C1312" s="37">
        <v>121.49197387695313</v>
      </c>
      <c r="D1312" s="35">
        <v>20736656</v>
      </c>
      <c r="E1312" s="35" t="s">
        <v>1840</v>
      </c>
      <c r="F1312" s="35" t="s">
        <v>604</v>
      </c>
    </row>
    <row r="1313" spans="1:6">
      <c r="A1313" s="35" t="s">
        <v>1916</v>
      </c>
      <c r="B1313" s="37">
        <v>135.27499389648438</v>
      </c>
      <c r="C1313" s="37">
        <v>123.29201507568359</v>
      </c>
      <c r="D1313" s="35">
        <v>44244246</v>
      </c>
      <c r="E1313" s="35" t="s">
        <v>1840</v>
      </c>
      <c r="F1313" s="35" t="s">
        <v>604</v>
      </c>
    </row>
    <row r="1314" spans="1:6">
      <c r="A1314" s="35" t="s">
        <v>1917</v>
      </c>
      <c r="B1314" s="37">
        <v>134.42500305175781</v>
      </c>
      <c r="C1314" s="37">
        <v>122.51731109619141</v>
      </c>
      <c r="D1314" s="35">
        <v>27980494</v>
      </c>
      <c r="E1314" s="35" t="s">
        <v>1840</v>
      </c>
      <c r="F1314" s="35" t="s">
        <v>604</v>
      </c>
    </row>
    <row r="1315" spans="1:6">
      <c r="A1315" s="35" t="s">
        <v>1918</v>
      </c>
      <c r="B1315" s="37">
        <v>137.72500610351563</v>
      </c>
      <c r="C1315" s="37">
        <v>125.52501678466797</v>
      </c>
      <c r="D1315" s="35">
        <v>28087614</v>
      </c>
      <c r="E1315" s="35" t="s">
        <v>1840</v>
      </c>
      <c r="F1315" s="35" t="s">
        <v>604</v>
      </c>
    </row>
    <row r="1316" spans="1:6">
      <c r="A1316" s="35" t="s">
        <v>1919</v>
      </c>
      <c r="B1316" s="37">
        <v>138.5</v>
      </c>
      <c r="C1316" s="37">
        <v>126.23133087158203</v>
      </c>
      <c r="D1316" s="35">
        <v>21567278</v>
      </c>
      <c r="E1316" s="35" t="s">
        <v>1840</v>
      </c>
      <c r="F1316" s="35" t="s">
        <v>604</v>
      </c>
    </row>
    <row r="1317" spans="1:6">
      <c r="A1317" s="35" t="s">
        <v>1920</v>
      </c>
      <c r="B1317" s="37">
        <v>142.05000305175781</v>
      </c>
      <c r="C1317" s="37">
        <v>129.46687316894531</v>
      </c>
      <c r="D1317" s="35">
        <v>51694590</v>
      </c>
      <c r="E1317" s="35" t="s">
        <v>1840</v>
      </c>
      <c r="F1317" s="35" t="s">
        <v>604</v>
      </c>
    </row>
    <row r="1318" spans="1:6">
      <c r="A1318" s="35" t="s">
        <v>1921</v>
      </c>
      <c r="B1318" s="37">
        <v>140.47500610351563</v>
      </c>
      <c r="C1318" s="37">
        <v>128.03138732910156</v>
      </c>
      <c r="D1318" s="35">
        <v>33401320</v>
      </c>
      <c r="E1318" s="35" t="s">
        <v>1840</v>
      </c>
      <c r="F1318" s="35" t="s">
        <v>604</v>
      </c>
    </row>
    <row r="1319" spans="1:6">
      <c r="A1319" s="35" t="s">
        <v>1922</v>
      </c>
      <c r="B1319" s="37">
        <v>140.77499389648438</v>
      </c>
      <c r="C1319" s="37">
        <v>128.30479431152344</v>
      </c>
      <c r="D1319" s="35">
        <v>17817526</v>
      </c>
      <c r="E1319" s="35" t="s">
        <v>1840</v>
      </c>
      <c r="F1319" s="35" t="s">
        <v>604</v>
      </c>
    </row>
    <row r="1320" spans="1:6">
      <c r="A1320" s="35" t="s">
        <v>1923</v>
      </c>
      <c r="B1320" s="37">
        <v>140.52499389648438</v>
      </c>
      <c r="C1320" s="37">
        <v>128.07695007324219</v>
      </c>
      <c r="D1320" s="35">
        <v>16239042</v>
      </c>
      <c r="E1320" s="35" t="s">
        <v>1840</v>
      </c>
      <c r="F1320" s="35" t="s">
        <v>604</v>
      </c>
    </row>
    <row r="1321" spans="1:6">
      <c r="A1321" s="35" t="s">
        <v>1924</v>
      </c>
      <c r="B1321" s="37">
        <v>139.10000610351563</v>
      </c>
      <c r="C1321" s="37">
        <v>126.77819061279297</v>
      </c>
      <c r="D1321" s="35">
        <v>14690906</v>
      </c>
      <c r="E1321" s="35" t="s">
        <v>1840</v>
      </c>
      <c r="F1321" s="35" t="s">
        <v>604</v>
      </c>
    </row>
    <row r="1322" spans="1:6">
      <c r="A1322" s="35" t="s">
        <v>1925</v>
      </c>
      <c r="B1322" s="37">
        <v>139.82499694824219</v>
      </c>
      <c r="C1322" s="37">
        <v>127.43898773193359</v>
      </c>
      <c r="D1322" s="35">
        <v>20305210</v>
      </c>
      <c r="E1322" s="35" t="s">
        <v>1840</v>
      </c>
      <c r="F1322" s="35" t="s">
        <v>604</v>
      </c>
    </row>
    <row r="1323" spans="1:6">
      <c r="A1323" s="35" t="s">
        <v>1926</v>
      </c>
      <c r="B1323" s="37">
        <v>138.69999694824219</v>
      </c>
      <c r="C1323" s="37">
        <v>126.41363525390625</v>
      </c>
      <c r="D1323" s="35">
        <v>14642400</v>
      </c>
      <c r="E1323" s="35" t="s">
        <v>1840</v>
      </c>
      <c r="F1323" s="35" t="s">
        <v>604</v>
      </c>
    </row>
    <row r="1324" spans="1:6">
      <c r="A1324" s="35" t="s">
        <v>1927</v>
      </c>
      <c r="B1324" s="37">
        <v>138.69999694824219</v>
      </c>
      <c r="C1324" s="37">
        <v>126.41363525390625</v>
      </c>
      <c r="D1324" s="35">
        <v>12621492</v>
      </c>
      <c r="E1324" s="35" t="s">
        <v>1840</v>
      </c>
      <c r="F1324" s="35" t="s">
        <v>604</v>
      </c>
    </row>
    <row r="1325" spans="1:6">
      <c r="A1325" s="35" t="s">
        <v>1928</v>
      </c>
      <c r="B1325" s="37">
        <v>139.82499694824219</v>
      </c>
      <c r="C1325" s="37">
        <v>127.43898773193359</v>
      </c>
      <c r="D1325" s="35">
        <v>20157816</v>
      </c>
      <c r="E1325" s="35" t="s">
        <v>1840</v>
      </c>
      <c r="F1325" s="35" t="s">
        <v>604</v>
      </c>
    </row>
    <row r="1326" spans="1:6">
      <c r="A1326" s="35" t="s">
        <v>1929</v>
      </c>
      <c r="B1326" s="37">
        <v>138.10000610351563</v>
      </c>
      <c r="C1326" s="37">
        <v>125.86679077148438</v>
      </c>
      <c r="D1326" s="35">
        <v>17807334</v>
      </c>
      <c r="E1326" s="35" t="s">
        <v>1840</v>
      </c>
      <c r="F1326" s="35" t="s">
        <v>604</v>
      </c>
    </row>
    <row r="1327" spans="1:6">
      <c r="A1327" s="35" t="s">
        <v>1930</v>
      </c>
      <c r="B1327" s="37">
        <v>138.5</v>
      </c>
      <c r="C1327" s="37">
        <v>126.23133087158203</v>
      </c>
      <c r="D1327" s="35">
        <v>19307912</v>
      </c>
      <c r="E1327" s="35" t="s">
        <v>1840</v>
      </c>
      <c r="F1327" s="35" t="s">
        <v>604</v>
      </c>
    </row>
    <row r="1328" spans="1:6">
      <c r="A1328" s="35" t="s">
        <v>1931</v>
      </c>
      <c r="B1328" s="37">
        <v>138.25</v>
      </c>
      <c r="C1328" s="37">
        <v>126.00347900390625</v>
      </c>
      <c r="D1328" s="35">
        <v>13163422</v>
      </c>
      <c r="E1328" s="35" t="s">
        <v>1840</v>
      </c>
      <c r="F1328" s="35" t="s">
        <v>604</v>
      </c>
    </row>
    <row r="1329" spans="1:6">
      <c r="A1329" s="35" t="s">
        <v>1932</v>
      </c>
      <c r="B1329" s="37">
        <v>140.97500610351563</v>
      </c>
      <c r="C1329" s="37">
        <v>128.48712158203125</v>
      </c>
      <c r="D1329" s="35">
        <v>29094008</v>
      </c>
      <c r="E1329" s="35" t="s">
        <v>1840</v>
      </c>
      <c r="F1329" s="35" t="s">
        <v>604</v>
      </c>
    </row>
    <row r="1330" spans="1:6">
      <c r="A1330" s="35" t="s">
        <v>1933</v>
      </c>
      <c r="B1330" s="37">
        <v>141.35000610351563</v>
      </c>
      <c r="C1330" s="37">
        <v>128.82890319824219</v>
      </c>
      <c r="D1330" s="35">
        <v>24108414</v>
      </c>
      <c r="E1330" s="35" t="s">
        <v>1840</v>
      </c>
      <c r="F1330" s="35" t="s">
        <v>604</v>
      </c>
    </row>
    <row r="1331" spans="1:6">
      <c r="A1331" s="35" t="s">
        <v>1934</v>
      </c>
      <c r="B1331" s="37">
        <v>139.875</v>
      </c>
      <c r="C1331" s="37">
        <v>127.48455047607422</v>
      </c>
      <c r="D1331" s="35">
        <v>18745042</v>
      </c>
      <c r="E1331" s="35" t="s">
        <v>1840</v>
      </c>
      <c r="F1331" s="35" t="s">
        <v>604</v>
      </c>
    </row>
    <row r="1332" spans="1:6">
      <c r="A1332" s="35" t="s">
        <v>1935</v>
      </c>
      <c r="B1332" s="37">
        <v>137.10000610351563</v>
      </c>
      <c r="C1332" s="37">
        <v>124.95538330078125</v>
      </c>
      <c r="D1332" s="35">
        <v>19783530</v>
      </c>
      <c r="E1332" s="35" t="s">
        <v>1840</v>
      </c>
      <c r="F1332" s="35" t="s">
        <v>604</v>
      </c>
    </row>
    <row r="1333" spans="1:6">
      <c r="A1333" s="35" t="s">
        <v>1936</v>
      </c>
      <c r="B1333" s="37">
        <v>136.67500305175781</v>
      </c>
      <c r="C1333" s="37">
        <v>124.56801605224609</v>
      </c>
      <c r="D1333" s="35">
        <v>15939272</v>
      </c>
      <c r="E1333" s="35" t="s">
        <v>1840</v>
      </c>
      <c r="F1333" s="35" t="s">
        <v>604</v>
      </c>
    </row>
    <row r="1334" spans="1:6">
      <c r="A1334" s="35" t="s">
        <v>1937</v>
      </c>
      <c r="B1334" s="37">
        <v>136.35000610351563</v>
      </c>
      <c r="C1334" s="37">
        <v>124.27179718017578</v>
      </c>
      <c r="D1334" s="35">
        <v>12309628</v>
      </c>
      <c r="E1334" s="35" t="s">
        <v>1840</v>
      </c>
      <c r="F1334" s="35" t="s">
        <v>604</v>
      </c>
    </row>
    <row r="1335" spans="1:6">
      <c r="A1335" s="35" t="s">
        <v>1938</v>
      </c>
      <c r="B1335" s="37">
        <v>134.97500610351563</v>
      </c>
      <c r="C1335" s="37">
        <v>123.01860046386719</v>
      </c>
      <c r="D1335" s="35">
        <v>15592276</v>
      </c>
      <c r="E1335" s="35" t="s">
        <v>1840</v>
      </c>
      <c r="F1335" s="35" t="s">
        <v>604</v>
      </c>
    </row>
    <row r="1336" spans="1:6">
      <c r="A1336" s="35" t="s">
        <v>1939</v>
      </c>
      <c r="B1336" s="37">
        <v>136.02499389648438</v>
      </c>
      <c r="C1336" s="37">
        <v>123.97559356689453</v>
      </c>
      <c r="D1336" s="35">
        <v>19265334</v>
      </c>
      <c r="E1336" s="35" t="s">
        <v>1840</v>
      </c>
      <c r="F1336" s="35" t="s">
        <v>604</v>
      </c>
    </row>
    <row r="1337" spans="1:6">
      <c r="A1337" s="35" t="s">
        <v>1940</v>
      </c>
      <c r="B1337" s="37">
        <v>136.17500305175781</v>
      </c>
      <c r="C1337" s="37">
        <v>124.11229705810547</v>
      </c>
      <c r="D1337" s="35">
        <v>12380336</v>
      </c>
      <c r="E1337" s="35" t="s">
        <v>1840</v>
      </c>
      <c r="F1337" s="35" t="s">
        <v>604</v>
      </c>
    </row>
    <row r="1338" spans="1:6">
      <c r="A1338" s="35" t="s">
        <v>1941</v>
      </c>
      <c r="B1338" s="37">
        <v>136.02499389648438</v>
      </c>
      <c r="C1338" s="37">
        <v>123.97559356689453</v>
      </c>
      <c r="D1338" s="35">
        <v>15199568</v>
      </c>
      <c r="E1338" s="35" t="s">
        <v>1840</v>
      </c>
      <c r="F1338" s="35" t="s">
        <v>604</v>
      </c>
    </row>
    <row r="1339" spans="1:6">
      <c r="A1339" s="35" t="s">
        <v>1942</v>
      </c>
      <c r="B1339" s="37">
        <v>135.64999389648438</v>
      </c>
      <c r="C1339" s="37">
        <v>123.63381958007813</v>
      </c>
      <c r="D1339" s="35">
        <v>41141934</v>
      </c>
      <c r="E1339" s="35" t="s">
        <v>1840</v>
      </c>
      <c r="F1339" s="35" t="s">
        <v>604</v>
      </c>
    </row>
    <row r="1340" spans="1:6">
      <c r="A1340" s="35" t="s">
        <v>1943</v>
      </c>
      <c r="B1340" s="37">
        <v>135.80000305175781</v>
      </c>
      <c r="C1340" s="37">
        <v>123.77052307128906</v>
      </c>
      <c r="D1340" s="35">
        <v>24586106</v>
      </c>
      <c r="E1340" s="35" t="s">
        <v>1840</v>
      </c>
      <c r="F1340" s="35" t="s">
        <v>604</v>
      </c>
    </row>
    <row r="1341" spans="1:6">
      <c r="A1341" s="35" t="s">
        <v>1944</v>
      </c>
      <c r="B1341" s="37">
        <v>136.85000610351563</v>
      </c>
      <c r="C1341" s="37">
        <v>124.72750854492188</v>
      </c>
      <c r="D1341" s="35">
        <v>16863810</v>
      </c>
      <c r="E1341" s="35" t="s">
        <v>1840</v>
      </c>
      <c r="F1341" s="35" t="s">
        <v>604</v>
      </c>
    </row>
    <row r="1342" spans="1:6">
      <c r="A1342" s="35" t="s">
        <v>1945</v>
      </c>
      <c r="B1342" s="37">
        <v>141.42500305175781</v>
      </c>
      <c r="C1342" s="37">
        <v>128.89724731445313</v>
      </c>
      <c r="D1342" s="35">
        <v>49790330</v>
      </c>
      <c r="E1342" s="35" t="s">
        <v>1840</v>
      </c>
      <c r="F1342" s="35" t="s">
        <v>604</v>
      </c>
    </row>
    <row r="1343" spans="1:6">
      <c r="A1343" s="35" t="s">
        <v>1946</v>
      </c>
      <c r="B1343" s="37">
        <v>138</v>
      </c>
      <c r="C1343" s="37">
        <v>125.77565765380859</v>
      </c>
      <c r="D1343" s="35">
        <v>21415428</v>
      </c>
      <c r="E1343" s="35" t="s">
        <v>1840</v>
      </c>
      <c r="F1343" s="35" t="s">
        <v>604</v>
      </c>
    </row>
    <row r="1344" spans="1:6">
      <c r="A1344" s="35" t="s">
        <v>1947</v>
      </c>
      <c r="B1344" s="37">
        <v>139.375</v>
      </c>
      <c r="C1344" s="37">
        <v>127.02883911132813</v>
      </c>
      <c r="D1344" s="35">
        <v>16651534</v>
      </c>
      <c r="E1344" s="35" t="s">
        <v>1840</v>
      </c>
      <c r="F1344" s="35" t="s">
        <v>604</v>
      </c>
    </row>
    <row r="1345" spans="1:6">
      <c r="A1345" s="35" t="s">
        <v>1948</v>
      </c>
      <c r="B1345" s="37">
        <v>141.27499389648438</v>
      </c>
      <c r="C1345" s="37">
        <v>128.76052856445313</v>
      </c>
      <c r="D1345" s="35">
        <v>44589722</v>
      </c>
      <c r="E1345" s="35" t="s">
        <v>1840</v>
      </c>
      <c r="F1345" s="35" t="s">
        <v>604</v>
      </c>
    </row>
    <row r="1346" spans="1:6">
      <c r="A1346" s="35" t="s">
        <v>1949</v>
      </c>
      <c r="B1346" s="37">
        <v>141.42500305175781</v>
      </c>
      <c r="C1346" s="37">
        <v>128.89724731445313</v>
      </c>
      <c r="D1346" s="35">
        <v>45588720</v>
      </c>
      <c r="E1346" s="35" t="s">
        <v>1840</v>
      </c>
      <c r="F1346" s="35" t="s">
        <v>604</v>
      </c>
    </row>
    <row r="1347" spans="1:6">
      <c r="A1347" s="35" t="s">
        <v>1950</v>
      </c>
      <c r="B1347" s="37">
        <v>142.27499389648438</v>
      </c>
      <c r="C1347" s="37">
        <v>129.67195129394531</v>
      </c>
      <c r="D1347" s="35">
        <v>19035804</v>
      </c>
      <c r="E1347" s="35" t="s">
        <v>1840</v>
      </c>
      <c r="F1347" s="35" t="s">
        <v>604</v>
      </c>
    </row>
    <row r="1348" spans="1:6">
      <c r="A1348" s="35" t="s">
        <v>1951</v>
      </c>
      <c r="B1348" s="37">
        <v>146.64999389648438</v>
      </c>
      <c r="C1348" s="37">
        <v>133.65940856933594</v>
      </c>
      <c r="D1348" s="35">
        <v>83871852</v>
      </c>
      <c r="E1348" s="35" t="s">
        <v>1840</v>
      </c>
      <c r="F1348" s="35" t="s">
        <v>604</v>
      </c>
    </row>
    <row r="1349" spans="1:6">
      <c r="A1349" s="35" t="s">
        <v>1952</v>
      </c>
      <c r="B1349" s="37">
        <v>153.60000610351563</v>
      </c>
      <c r="C1349" s="37">
        <v>139.99375915527344</v>
      </c>
      <c r="D1349" s="35">
        <v>76179084</v>
      </c>
      <c r="E1349" s="35" t="s">
        <v>1840</v>
      </c>
      <c r="F1349" s="35" t="s">
        <v>604</v>
      </c>
    </row>
    <row r="1350" spans="1:6">
      <c r="A1350" s="35" t="s">
        <v>1953</v>
      </c>
      <c r="B1350" s="37">
        <v>153.67500305175781</v>
      </c>
      <c r="C1350" s="37">
        <v>140.06211853027344</v>
      </c>
      <c r="D1350" s="35">
        <v>56312624</v>
      </c>
      <c r="E1350" s="35" t="s">
        <v>1840</v>
      </c>
      <c r="F1350" s="35" t="s">
        <v>604</v>
      </c>
    </row>
    <row r="1351" spans="1:6">
      <c r="A1351" s="35" t="s">
        <v>1954</v>
      </c>
      <c r="B1351" s="37">
        <v>156.07499694824219</v>
      </c>
      <c r="C1351" s="37">
        <v>142.24949645996094</v>
      </c>
      <c r="D1351" s="35">
        <v>29986974</v>
      </c>
      <c r="E1351" s="35" t="s">
        <v>1840</v>
      </c>
      <c r="F1351" s="35" t="s">
        <v>604</v>
      </c>
    </row>
    <row r="1352" spans="1:6">
      <c r="A1352" s="35" t="s">
        <v>1955</v>
      </c>
      <c r="B1352" s="37">
        <v>155.85000610351563</v>
      </c>
      <c r="C1352" s="37">
        <v>142.04446411132813</v>
      </c>
      <c r="D1352" s="35">
        <v>53623304</v>
      </c>
      <c r="E1352" s="35" t="s">
        <v>1840</v>
      </c>
      <c r="F1352" s="35" t="s">
        <v>604</v>
      </c>
    </row>
    <row r="1353" spans="1:6">
      <c r="A1353" s="35" t="s">
        <v>1956</v>
      </c>
      <c r="B1353" s="37">
        <v>158.25</v>
      </c>
      <c r="C1353" s="37">
        <v>144.23185729980469</v>
      </c>
      <c r="D1353" s="35">
        <v>36975462</v>
      </c>
      <c r="E1353" s="35" t="s">
        <v>1840</v>
      </c>
      <c r="F1353" s="35" t="s">
        <v>604</v>
      </c>
    </row>
    <row r="1354" spans="1:6">
      <c r="A1354" s="35" t="s">
        <v>1957</v>
      </c>
      <c r="B1354" s="37">
        <v>155.94999694824219</v>
      </c>
      <c r="C1354" s="37">
        <v>142.13557434082031</v>
      </c>
      <c r="D1354" s="35">
        <v>45477692</v>
      </c>
      <c r="E1354" s="35" t="s">
        <v>1840</v>
      </c>
      <c r="F1354" s="35" t="s">
        <v>604</v>
      </c>
    </row>
    <row r="1355" spans="1:6">
      <c r="A1355" s="35" t="s">
        <v>1958</v>
      </c>
      <c r="B1355" s="37">
        <v>156.125</v>
      </c>
      <c r="C1355" s="37">
        <v>142.29510498046875</v>
      </c>
      <c r="D1355" s="35">
        <v>47020668</v>
      </c>
      <c r="E1355" s="35" t="s">
        <v>1840</v>
      </c>
      <c r="F1355" s="35" t="s">
        <v>604</v>
      </c>
    </row>
    <row r="1356" spans="1:6">
      <c r="A1356" s="35" t="s">
        <v>1959</v>
      </c>
      <c r="B1356" s="37">
        <v>157.42500305175781</v>
      </c>
      <c r="C1356" s="37">
        <v>143.47990417480469</v>
      </c>
      <c r="D1356" s="35">
        <v>44278872</v>
      </c>
      <c r="E1356" s="35" t="s">
        <v>1840</v>
      </c>
      <c r="F1356" s="35" t="s">
        <v>604</v>
      </c>
    </row>
    <row r="1357" spans="1:6">
      <c r="A1357" s="35" t="s">
        <v>1960</v>
      </c>
      <c r="B1357" s="37">
        <v>152.35000610351563</v>
      </c>
      <c r="C1357" s="37">
        <v>138.85450744628906</v>
      </c>
      <c r="D1357" s="35">
        <v>35838302</v>
      </c>
      <c r="E1357" s="35" t="s">
        <v>1840</v>
      </c>
      <c r="F1357" s="35" t="s">
        <v>604</v>
      </c>
    </row>
    <row r="1358" spans="1:6">
      <c r="A1358" s="35" t="s">
        <v>1961</v>
      </c>
      <c r="B1358" s="37">
        <v>156.94999694824219</v>
      </c>
      <c r="C1358" s="37">
        <v>143.04701232910156</v>
      </c>
      <c r="D1358" s="35">
        <v>44013790</v>
      </c>
      <c r="E1358" s="35" t="s">
        <v>1840</v>
      </c>
      <c r="F1358" s="35" t="s">
        <v>604</v>
      </c>
    </row>
    <row r="1359" spans="1:6">
      <c r="A1359" s="35" t="s">
        <v>1962</v>
      </c>
      <c r="B1359" s="37">
        <v>155.77499389648438</v>
      </c>
      <c r="C1359" s="37">
        <v>141.97610473632813</v>
      </c>
      <c r="D1359" s="35">
        <v>24921524</v>
      </c>
      <c r="E1359" s="35" t="s">
        <v>1840</v>
      </c>
      <c r="F1359" s="35" t="s">
        <v>604</v>
      </c>
    </row>
    <row r="1360" spans="1:6">
      <c r="A1360" s="35" t="s">
        <v>1963</v>
      </c>
      <c r="B1360" s="37">
        <v>155.75</v>
      </c>
      <c r="C1360" s="37">
        <v>141.95329284667969</v>
      </c>
      <c r="D1360" s="35">
        <v>29660738</v>
      </c>
      <c r="E1360" s="35" t="s">
        <v>1840</v>
      </c>
      <c r="F1360" s="35" t="s">
        <v>604</v>
      </c>
    </row>
    <row r="1361" spans="1:6">
      <c r="A1361" s="35" t="s">
        <v>1964</v>
      </c>
      <c r="B1361" s="37">
        <v>156.77499389648438</v>
      </c>
      <c r="C1361" s="37">
        <v>142.88749694824219</v>
      </c>
      <c r="D1361" s="35">
        <v>24786634</v>
      </c>
      <c r="E1361" s="35" t="s">
        <v>1840</v>
      </c>
      <c r="F1361" s="35" t="s">
        <v>604</v>
      </c>
    </row>
    <row r="1362" spans="1:6">
      <c r="A1362" s="35" t="s">
        <v>1965</v>
      </c>
      <c r="B1362" s="37">
        <v>156.52499389648438</v>
      </c>
      <c r="C1362" s="37">
        <v>142.65963745117188</v>
      </c>
      <c r="D1362" s="35">
        <v>18514618</v>
      </c>
      <c r="E1362" s="35" t="s">
        <v>1840</v>
      </c>
      <c r="F1362" s="35" t="s">
        <v>604</v>
      </c>
    </row>
    <row r="1363" spans="1:6">
      <c r="A1363" s="35" t="s">
        <v>1966</v>
      </c>
      <c r="B1363" s="37">
        <v>166.97500610351563</v>
      </c>
      <c r="C1363" s="37">
        <v>152.1839599609375</v>
      </c>
      <c r="D1363" s="35">
        <v>77811262</v>
      </c>
      <c r="E1363" s="35" t="s">
        <v>1840</v>
      </c>
      <c r="F1363" s="35" t="s">
        <v>604</v>
      </c>
    </row>
    <row r="1364" spans="1:6">
      <c r="A1364" s="35" t="s">
        <v>1967</v>
      </c>
      <c r="B1364" s="37">
        <v>165.02499389648438</v>
      </c>
      <c r="C1364" s="37">
        <v>150.40667724609375</v>
      </c>
      <c r="D1364" s="35">
        <v>55159848</v>
      </c>
      <c r="E1364" s="35" t="s">
        <v>1840</v>
      </c>
      <c r="F1364" s="35" t="s">
        <v>604</v>
      </c>
    </row>
    <row r="1365" spans="1:6">
      <c r="A1365" s="35" t="s">
        <v>1968</v>
      </c>
      <c r="B1365" s="37">
        <v>167.64999389648438</v>
      </c>
      <c r="C1365" s="37">
        <v>152.7991943359375</v>
      </c>
      <c r="D1365" s="35">
        <v>35479916</v>
      </c>
      <c r="E1365" s="35" t="s">
        <v>1840</v>
      </c>
      <c r="F1365" s="35" t="s">
        <v>604</v>
      </c>
    </row>
    <row r="1366" spans="1:6">
      <c r="A1366" s="35" t="s">
        <v>1969</v>
      </c>
      <c r="B1366" s="37">
        <v>179.72500610351563</v>
      </c>
      <c r="C1366" s="37">
        <v>163.80455017089844</v>
      </c>
      <c r="D1366" s="35">
        <v>214540492</v>
      </c>
      <c r="E1366" s="35" t="s">
        <v>1840</v>
      </c>
      <c r="F1366" s="35" t="s">
        <v>604</v>
      </c>
    </row>
    <row r="1367" spans="1:6">
      <c r="A1367" s="35" t="s">
        <v>1970</v>
      </c>
      <c r="B1367" s="37">
        <v>187</v>
      </c>
      <c r="C1367" s="37">
        <v>170.43511962890625</v>
      </c>
      <c r="D1367" s="35">
        <v>110861504</v>
      </c>
      <c r="E1367" s="35" t="s">
        <v>1840</v>
      </c>
      <c r="F1367" s="35" t="s">
        <v>604</v>
      </c>
    </row>
    <row r="1368" spans="1:6">
      <c r="A1368" s="35" t="s">
        <v>1971</v>
      </c>
      <c r="B1368" s="37">
        <v>188.75</v>
      </c>
      <c r="C1368" s="37">
        <v>172.03009033203125</v>
      </c>
      <c r="D1368" s="35">
        <v>105931918</v>
      </c>
      <c r="E1368" s="35" t="s">
        <v>1840</v>
      </c>
      <c r="F1368" s="35" t="s">
        <v>604</v>
      </c>
    </row>
    <row r="1369" spans="1:6">
      <c r="A1369" s="35" t="s">
        <v>1972</v>
      </c>
      <c r="B1369" s="37">
        <v>187.97500610351563</v>
      </c>
      <c r="C1369" s="37">
        <v>171.32374572753906</v>
      </c>
      <c r="D1369" s="35">
        <v>72176286</v>
      </c>
      <c r="E1369" s="35" t="s">
        <v>1840</v>
      </c>
      <c r="F1369" s="35" t="s">
        <v>604</v>
      </c>
    </row>
    <row r="1370" spans="1:6">
      <c r="A1370" s="35" t="s">
        <v>1973</v>
      </c>
      <c r="B1370" s="37">
        <v>175.22500610351563</v>
      </c>
      <c r="C1370" s="37">
        <v>159.70317077636719</v>
      </c>
      <c r="D1370" s="35">
        <v>148263902</v>
      </c>
      <c r="E1370" s="35" t="s">
        <v>1840</v>
      </c>
      <c r="F1370" s="35" t="s">
        <v>604</v>
      </c>
    </row>
    <row r="1371" spans="1:6">
      <c r="A1371" s="35" t="s">
        <v>1974</v>
      </c>
      <c r="B1371" s="37">
        <v>170.80000305175781</v>
      </c>
      <c r="C1371" s="37">
        <v>155.67013549804688</v>
      </c>
      <c r="D1371" s="35">
        <v>77922358</v>
      </c>
      <c r="E1371" s="35" t="s">
        <v>1840</v>
      </c>
      <c r="F1371" s="35" t="s">
        <v>604</v>
      </c>
    </row>
    <row r="1372" spans="1:6">
      <c r="A1372" s="35" t="s">
        <v>1975</v>
      </c>
      <c r="B1372" s="37">
        <v>169.82499694824219</v>
      </c>
      <c r="C1372" s="37">
        <v>154.78150939941406</v>
      </c>
      <c r="D1372" s="35">
        <v>50488458</v>
      </c>
      <c r="E1372" s="35" t="s">
        <v>1840</v>
      </c>
      <c r="F1372" s="35" t="s">
        <v>604</v>
      </c>
    </row>
    <row r="1373" spans="1:6">
      <c r="A1373" s="35" t="s">
        <v>1976</v>
      </c>
      <c r="B1373" s="37">
        <v>171.60000610351563</v>
      </c>
      <c r="C1373" s="37">
        <v>156.39926147460938</v>
      </c>
      <c r="D1373" s="35">
        <v>25693748</v>
      </c>
      <c r="E1373" s="35" t="s">
        <v>1840</v>
      </c>
      <c r="F1373" s="35" t="s">
        <v>604</v>
      </c>
    </row>
    <row r="1374" spans="1:6">
      <c r="A1374" s="35" t="s">
        <v>1977</v>
      </c>
      <c r="B1374" s="37">
        <v>173.375</v>
      </c>
      <c r="C1374" s="37">
        <v>158.01704406738281</v>
      </c>
      <c r="D1374" s="35">
        <v>33993548</v>
      </c>
      <c r="E1374" s="35" t="s">
        <v>1840</v>
      </c>
      <c r="F1374" s="35" t="s">
        <v>604</v>
      </c>
    </row>
    <row r="1375" spans="1:6">
      <c r="A1375" s="35" t="s">
        <v>1978</v>
      </c>
      <c r="B1375" s="37">
        <v>171.72500610351563</v>
      </c>
      <c r="C1375" s="37">
        <v>156.51322937011719</v>
      </c>
      <c r="D1375" s="35">
        <v>19934922</v>
      </c>
      <c r="E1375" s="35" t="s">
        <v>1840</v>
      </c>
      <c r="F1375" s="35" t="s">
        <v>604</v>
      </c>
    </row>
    <row r="1376" spans="1:6">
      <c r="A1376" s="35" t="s">
        <v>1979</v>
      </c>
      <c r="B1376" s="37">
        <v>172.22500610351563</v>
      </c>
      <c r="C1376" s="37">
        <v>156.96890258789063</v>
      </c>
      <c r="D1376" s="35">
        <v>19082496</v>
      </c>
      <c r="E1376" s="35" t="s">
        <v>1840</v>
      </c>
      <c r="F1376" s="35" t="s">
        <v>604</v>
      </c>
    </row>
    <row r="1377" spans="1:6">
      <c r="A1377" s="35" t="s">
        <v>1980</v>
      </c>
      <c r="B1377" s="37">
        <v>171.19999694824219</v>
      </c>
      <c r="C1377" s="37">
        <v>156.03471374511719</v>
      </c>
      <c r="D1377" s="35">
        <v>17346096</v>
      </c>
      <c r="E1377" s="35" t="s">
        <v>1840</v>
      </c>
      <c r="F1377" s="35" t="s">
        <v>604</v>
      </c>
    </row>
    <row r="1378" spans="1:6">
      <c r="A1378" s="35" t="s">
        <v>1981</v>
      </c>
      <c r="B1378" s="37">
        <v>169.89999389648438</v>
      </c>
      <c r="C1378" s="37">
        <v>154.84983825683594</v>
      </c>
      <c r="D1378" s="35">
        <v>17390338</v>
      </c>
      <c r="E1378" s="35" t="s">
        <v>1840</v>
      </c>
      <c r="F1378" s="35" t="s">
        <v>604</v>
      </c>
    </row>
    <row r="1379" spans="1:6">
      <c r="A1379" s="35" t="s">
        <v>1982</v>
      </c>
      <c r="B1379" s="37">
        <v>167.02499389648438</v>
      </c>
      <c r="C1379" s="37">
        <v>152.22952270507813</v>
      </c>
      <c r="D1379" s="35">
        <v>19821156</v>
      </c>
      <c r="E1379" s="35" t="s">
        <v>1840</v>
      </c>
      <c r="F1379" s="35" t="s">
        <v>604</v>
      </c>
    </row>
    <row r="1380" spans="1:6">
      <c r="A1380" s="35" t="s">
        <v>1983</v>
      </c>
      <c r="B1380" s="37">
        <v>167.82499694824219</v>
      </c>
      <c r="C1380" s="37">
        <v>152.95867919921875</v>
      </c>
      <c r="D1380" s="35">
        <v>17969178</v>
      </c>
      <c r="E1380" s="35" t="s">
        <v>1840</v>
      </c>
      <c r="F1380" s="35" t="s">
        <v>604</v>
      </c>
    </row>
    <row r="1381" spans="1:6">
      <c r="A1381" s="35" t="s">
        <v>1984</v>
      </c>
      <c r="B1381" s="37">
        <v>168.72500610351563</v>
      </c>
      <c r="C1381" s="37">
        <v>153.77896118164063</v>
      </c>
      <c r="D1381" s="35">
        <v>14479922</v>
      </c>
      <c r="E1381" s="35" t="s">
        <v>1840</v>
      </c>
      <c r="F1381" s="35" t="s">
        <v>604</v>
      </c>
    </row>
    <row r="1382" spans="1:6">
      <c r="A1382" s="35" t="s">
        <v>1985</v>
      </c>
      <c r="B1382" s="37">
        <v>170.35000610351563</v>
      </c>
      <c r="C1382" s="37">
        <v>155.260009765625</v>
      </c>
      <c r="D1382" s="35">
        <v>22991068</v>
      </c>
      <c r="E1382" s="35" t="s">
        <v>1840</v>
      </c>
      <c r="F1382" s="35" t="s">
        <v>604</v>
      </c>
    </row>
    <row r="1383" spans="1:6">
      <c r="A1383" s="35" t="s">
        <v>1986</v>
      </c>
      <c r="B1383" s="37">
        <v>167.39999389648438</v>
      </c>
      <c r="C1383" s="37">
        <v>152.57131958007813</v>
      </c>
      <c r="D1383" s="35">
        <v>9662266</v>
      </c>
      <c r="E1383" s="35" t="s">
        <v>1840</v>
      </c>
      <c r="F1383" s="35" t="s">
        <v>604</v>
      </c>
    </row>
    <row r="1384" spans="1:6">
      <c r="A1384" s="35" t="s">
        <v>1987</v>
      </c>
      <c r="B1384" s="37">
        <v>167.82499694824219</v>
      </c>
      <c r="C1384" s="37">
        <v>152.95867919921875</v>
      </c>
      <c r="D1384" s="35">
        <v>9515596</v>
      </c>
      <c r="E1384" s="35" t="s">
        <v>1840</v>
      </c>
      <c r="F1384" s="35" t="s">
        <v>604</v>
      </c>
    </row>
    <row r="1385" spans="1:6">
      <c r="A1385" s="35" t="s">
        <v>1988</v>
      </c>
      <c r="B1385" s="37">
        <v>171.47500610351563</v>
      </c>
      <c r="C1385" s="37">
        <v>156.28535461425781</v>
      </c>
      <c r="D1385" s="35">
        <v>30763800</v>
      </c>
      <c r="E1385" s="35" t="s">
        <v>1840</v>
      </c>
      <c r="F1385" s="35" t="s">
        <v>604</v>
      </c>
    </row>
    <row r="1386" spans="1:6">
      <c r="A1386" s="35" t="s">
        <v>1989</v>
      </c>
      <c r="B1386" s="37">
        <v>172.69999694824219</v>
      </c>
      <c r="C1386" s="37">
        <v>157.40184020996094</v>
      </c>
      <c r="D1386" s="35">
        <v>11204872</v>
      </c>
      <c r="E1386" s="35" t="s">
        <v>1840</v>
      </c>
      <c r="F1386" s="35" t="s">
        <v>604</v>
      </c>
    </row>
    <row r="1387" spans="1:6">
      <c r="A1387" s="35" t="s">
        <v>1990</v>
      </c>
      <c r="B1387" s="37">
        <v>172.875</v>
      </c>
      <c r="C1387" s="37">
        <v>157.56134033203125</v>
      </c>
      <c r="D1387" s="35">
        <v>10915586</v>
      </c>
      <c r="E1387" s="35" t="s">
        <v>1840</v>
      </c>
      <c r="F1387" s="35" t="s">
        <v>604</v>
      </c>
    </row>
    <row r="1388" spans="1:6">
      <c r="A1388" s="35" t="s">
        <v>1991</v>
      </c>
      <c r="B1388" s="37">
        <v>175.97500610351563</v>
      </c>
      <c r="C1388" s="37">
        <v>160.38674926757813</v>
      </c>
      <c r="D1388" s="35">
        <v>14214570</v>
      </c>
      <c r="E1388" s="35" t="s">
        <v>1840</v>
      </c>
      <c r="F1388" s="35" t="s">
        <v>604</v>
      </c>
    </row>
    <row r="1389" spans="1:6">
      <c r="A1389" s="35" t="s">
        <v>1992</v>
      </c>
      <c r="B1389" s="37">
        <v>171.14999389648438</v>
      </c>
      <c r="C1389" s="37">
        <v>155.9891357421875</v>
      </c>
      <c r="D1389" s="35">
        <v>18099240</v>
      </c>
      <c r="E1389" s="35" t="s">
        <v>1840</v>
      </c>
      <c r="F1389" s="35" t="s">
        <v>604</v>
      </c>
    </row>
    <row r="1390" spans="1:6">
      <c r="A1390" s="35" t="s">
        <v>1993</v>
      </c>
      <c r="B1390" s="37">
        <v>173.375</v>
      </c>
      <c r="C1390" s="37">
        <v>158.01704406738281</v>
      </c>
      <c r="D1390" s="35">
        <v>15275758</v>
      </c>
      <c r="E1390" s="35" t="s">
        <v>1840</v>
      </c>
      <c r="F1390" s="35" t="s">
        <v>604</v>
      </c>
    </row>
    <row r="1391" spans="1:6">
      <c r="A1391" s="35" t="s">
        <v>1994</v>
      </c>
      <c r="B1391" s="37">
        <v>172.77499389648438</v>
      </c>
      <c r="C1391" s="37">
        <v>157.47018432617188</v>
      </c>
      <c r="D1391" s="35">
        <v>10228848</v>
      </c>
      <c r="E1391" s="35" t="s">
        <v>1840</v>
      </c>
      <c r="F1391" s="35" t="s">
        <v>604</v>
      </c>
    </row>
    <row r="1392" spans="1:6">
      <c r="A1392" s="35" t="s">
        <v>1995</v>
      </c>
      <c r="B1392" s="37">
        <v>172.07499694824219</v>
      </c>
      <c r="C1392" s="37">
        <v>156.83218383789063</v>
      </c>
      <c r="D1392" s="35">
        <v>9455776</v>
      </c>
      <c r="E1392" s="35" t="s">
        <v>1840</v>
      </c>
      <c r="F1392" s="35" t="s">
        <v>604</v>
      </c>
    </row>
    <row r="1393" spans="1:6">
      <c r="A1393" s="35" t="s">
        <v>1996</v>
      </c>
      <c r="B1393" s="37">
        <v>172.72500610351563</v>
      </c>
      <c r="C1393" s="37">
        <v>157.42462158203125</v>
      </c>
      <c r="D1393" s="35">
        <v>1498484</v>
      </c>
      <c r="E1393" s="35" t="s">
        <v>1840</v>
      </c>
      <c r="F1393" s="35" t="s">
        <v>604</v>
      </c>
    </row>
    <row r="1394" spans="1:6">
      <c r="A1394" s="35" t="s">
        <v>1997</v>
      </c>
      <c r="B1394" s="37">
        <v>174.35000610351563</v>
      </c>
      <c r="C1394" s="37">
        <v>158.90567016601563</v>
      </c>
      <c r="D1394" s="35">
        <v>13307668</v>
      </c>
      <c r="E1394" s="35" t="s">
        <v>1840</v>
      </c>
      <c r="F1394" s="35" t="s">
        <v>604</v>
      </c>
    </row>
    <row r="1395" spans="1:6">
      <c r="A1395" s="35" t="s">
        <v>1998</v>
      </c>
      <c r="B1395" s="37">
        <v>172.64999389648438</v>
      </c>
      <c r="C1395" s="37">
        <v>157.35626220703125</v>
      </c>
      <c r="D1395" s="35">
        <v>14815616</v>
      </c>
      <c r="E1395" s="35" t="s">
        <v>1840</v>
      </c>
      <c r="F1395" s="35" t="s">
        <v>604</v>
      </c>
    </row>
    <row r="1396" spans="1:6">
      <c r="A1396" s="35" t="s">
        <v>1999</v>
      </c>
      <c r="B1396" s="37">
        <v>171.30000305175781</v>
      </c>
      <c r="C1396" s="37">
        <v>156.12586975097656</v>
      </c>
      <c r="D1396" s="35">
        <v>22113702</v>
      </c>
      <c r="E1396" s="35" t="s">
        <v>1840</v>
      </c>
      <c r="F1396" s="35" t="s">
        <v>604</v>
      </c>
    </row>
    <row r="1397" spans="1:6">
      <c r="A1397" s="35" t="s">
        <v>2000</v>
      </c>
      <c r="B1397" s="37">
        <v>173.14999389648438</v>
      </c>
      <c r="C1397" s="37">
        <v>157.81195068359375</v>
      </c>
      <c r="D1397" s="35">
        <v>12362786</v>
      </c>
      <c r="E1397" s="35" t="s">
        <v>1840</v>
      </c>
      <c r="F1397" s="35" t="s">
        <v>604</v>
      </c>
    </row>
    <row r="1398" spans="1:6">
      <c r="A1398" s="35" t="s">
        <v>2001</v>
      </c>
      <c r="B1398" s="37">
        <v>177.92500305175781</v>
      </c>
      <c r="C1398" s="37">
        <v>162.16400146484375</v>
      </c>
      <c r="D1398" s="35">
        <v>20666694</v>
      </c>
      <c r="E1398" s="35" t="s">
        <v>1840</v>
      </c>
      <c r="F1398" s="35" t="s">
        <v>604</v>
      </c>
    </row>
    <row r="1399" spans="1:6">
      <c r="A1399" s="35" t="s">
        <v>2002</v>
      </c>
      <c r="B1399" s="37">
        <v>177.75</v>
      </c>
      <c r="C1399" s="37">
        <v>162.00450134277344</v>
      </c>
      <c r="D1399" s="35">
        <v>20184882</v>
      </c>
      <c r="E1399" s="35" t="s">
        <v>1840</v>
      </c>
      <c r="F1399" s="35" t="s">
        <v>604</v>
      </c>
    </row>
    <row r="1400" spans="1:6">
      <c r="A1400" s="35" t="s">
        <v>2003</v>
      </c>
      <c r="B1400" s="37">
        <v>175</v>
      </c>
      <c r="C1400" s="37">
        <v>159.49810791015625</v>
      </c>
      <c r="D1400" s="35">
        <v>13624676</v>
      </c>
      <c r="E1400" s="35" t="s">
        <v>1840</v>
      </c>
      <c r="F1400" s="35" t="s">
        <v>604</v>
      </c>
    </row>
    <row r="1401" spans="1:6">
      <c r="A1401" s="35" t="s">
        <v>2004</v>
      </c>
      <c r="B1401" s="37">
        <v>177.42500305175781</v>
      </c>
      <c r="C1401" s="37">
        <v>161.70828247070313</v>
      </c>
      <c r="D1401" s="35">
        <v>14732740</v>
      </c>
      <c r="E1401" s="35" t="s">
        <v>1840</v>
      </c>
      <c r="F1401" s="35" t="s">
        <v>604</v>
      </c>
    </row>
    <row r="1402" spans="1:6">
      <c r="A1402" s="35" t="s">
        <v>2005</v>
      </c>
      <c r="B1402" s="37">
        <v>175.25</v>
      </c>
      <c r="C1402" s="37">
        <v>159.72593688964844</v>
      </c>
      <c r="D1402" s="35">
        <v>24804168</v>
      </c>
      <c r="E1402" s="35" t="s">
        <v>1840</v>
      </c>
      <c r="F1402" s="35" t="s">
        <v>604</v>
      </c>
    </row>
    <row r="1403" spans="1:6">
      <c r="A1403" s="35" t="s">
        <v>2006</v>
      </c>
      <c r="B1403" s="37">
        <v>176.42500305175781</v>
      </c>
      <c r="C1403" s="37">
        <v>160.796875</v>
      </c>
      <c r="D1403" s="35">
        <v>21387134</v>
      </c>
      <c r="E1403" s="35" t="s">
        <v>1840</v>
      </c>
      <c r="F1403" s="35" t="s">
        <v>604</v>
      </c>
    </row>
    <row r="1404" spans="1:6">
      <c r="A1404" s="35" t="s">
        <v>2007</v>
      </c>
      <c r="B1404" s="37">
        <v>179.44999694824219</v>
      </c>
      <c r="C1404" s="37">
        <v>163.55389404296875</v>
      </c>
      <c r="D1404" s="35">
        <v>18868154</v>
      </c>
      <c r="E1404" s="35" t="s">
        <v>1840</v>
      </c>
      <c r="F1404" s="35" t="s">
        <v>604</v>
      </c>
    </row>
    <row r="1405" spans="1:6">
      <c r="A1405" s="35" t="s">
        <v>2008</v>
      </c>
      <c r="B1405" s="37">
        <v>180.14999389648438</v>
      </c>
      <c r="C1405" s="37">
        <v>164.19190979003906</v>
      </c>
      <c r="D1405" s="35">
        <v>21394090</v>
      </c>
      <c r="E1405" s="35" t="s">
        <v>1840</v>
      </c>
      <c r="F1405" s="35" t="s">
        <v>604</v>
      </c>
    </row>
    <row r="1406" spans="1:6">
      <c r="A1406" s="35" t="s">
        <v>2009</v>
      </c>
      <c r="B1406" s="37">
        <v>180.39999389648438</v>
      </c>
      <c r="C1406" s="37">
        <v>164.41975402832031</v>
      </c>
      <c r="D1406" s="35">
        <v>14854786</v>
      </c>
      <c r="E1406" s="35" t="s">
        <v>1840</v>
      </c>
      <c r="F1406" s="35" t="s">
        <v>604</v>
      </c>
    </row>
    <row r="1407" spans="1:6">
      <c r="A1407" s="35" t="s">
        <v>2010</v>
      </c>
      <c r="B1407" s="37">
        <v>179.22500610351563</v>
      </c>
      <c r="C1407" s="37">
        <v>163.34883117675781</v>
      </c>
      <c r="D1407" s="35">
        <v>16784766</v>
      </c>
      <c r="E1407" s="35" t="s">
        <v>1840</v>
      </c>
      <c r="F1407" s="35" t="s">
        <v>604</v>
      </c>
    </row>
    <row r="1408" spans="1:6">
      <c r="A1408" s="35" t="s">
        <v>2011</v>
      </c>
      <c r="B1408" s="37">
        <v>181.85000610351563</v>
      </c>
      <c r="C1408" s="37">
        <v>165.74130249023438</v>
      </c>
      <c r="D1408" s="35">
        <v>23626602</v>
      </c>
      <c r="E1408" s="35" t="s">
        <v>1840</v>
      </c>
      <c r="F1408" s="35" t="s">
        <v>604</v>
      </c>
    </row>
    <row r="1409" spans="1:6">
      <c r="A1409" s="35" t="s">
        <v>2012</v>
      </c>
      <c r="B1409" s="37">
        <v>179.75</v>
      </c>
      <c r="C1409" s="37">
        <v>163.82733154296875</v>
      </c>
      <c r="D1409" s="35">
        <v>36275376</v>
      </c>
      <c r="E1409" s="35" t="s">
        <v>1840</v>
      </c>
      <c r="F1409" s="35" t="s">
        <v>604</v>
      </c>
    </row>
    <row r="1410" spans="1:6">
      <c r="A1410" s="35" t="s">
        <v>2013</v>
      </c>
      <c r="B1410" s="37">
        <v>177.94999694824219</v>
      </c>
      <c r="C1410" s="37">
        <v>162.18678283691406</v>
      </c>
      <c r="D1410" s="35">
        <v>13794794</v>
      </c>
      <c r="E1410" s="35" t="s">
        <v>1840</v>
      </c>
      <c r="F1410" s="35" t="s">
        <v>604</v>
      </c>
    </row>
    <row r="1411" spans="1:6">
      <c r="A1411" s="35" t="s">
        <v>2014</v>
      </c>
      <c r="B1411" s="37">
        <v>176.75</v>
      </c>
      <c r="C1411" s="37">
        <v>161.09309387207031</v>
      </c>
      <c r="D1411" s="35">
        <v>11727232</v>
      </c>
      <c r="E1411" s="35" t="s">
        <v>1840</v>
      </c>
      <c r="F1411" s="35" t="s">
        <v>604</v>
      </c>
    </row>
    <row r="1412" spans="1:6">
      <c r="A1412" s="35" t="s">
        <v>2015</v>
      </c>
      <c r="B1412" s="37">
        <v>174.67500305175781</v>
      </c>
      <c r="C1412" s="37">
        <v>159.20185852050781</v>
      </c>
      <c r="D1412" s="35">
        <v>23003678</v>
      </c>
      <c r="E1412" s="35" t="s">
        <v>1840</v>
      </c>
      <c r="F1412" s="35" t="s">
        <v>604</v>
      </c>
    </row>
    <row r="1413" spans="1:6">
      <c r="A1413" s="35" t="s">
        <v>2016</v>
      </c>
      <c r="B1413" s="37">
        <v>176.35000610351563</v>
      </c>
      <c r="C1413" s="37">
        <v>160.72853088378906</v>
      </c>
      <c r="D1413" s="35">
        <v>14463562</v>
      </c>
      <c r="E1413" s="35" t="s">
        <v>1840</v>
      </c>
      <c r="F1413" s="35" t="s">
        <v>604</v>
      </c>
    </row>
    <row r="1414" spans="1:6">
      <c r="A1414" s="35" t="s">
        <v>2017</v>
      </c>
      <c r="B1414" s="37">
        <v>179.19999694824219</v>
      </c>
      <c r="C1414" s="37">
        <v>163.32603454589844</v>
      </c>
      <c r="D1414" s="35">
        <v>13332544</v>
      </c>
      <c r="E1414" s="35" t="s">
        <v>1840</v>
      </c>
      <c r="F1414" s="35" t="s">
        <v>604</v>
      </c>
    </row>
    <row r="1415" spans="1:6">
      <c r="A1415" s="35" t="s">
        <v>2018</v>
      </c>
      <c r="B1415" s="37">
        <v>178.44999694824219</v>
      </c>
      <c r="C1415" s="37">
        <v>162.64247131347656</v>
      </c>
      <c r="D1415" s="35">
        <v>8330742</v>
      </c>
      <c r="E1415" s="35" t="s">
        <v>1840</v>
      </c>
      <c r="F1415" s="35" t="s">
        <v>604</v>
      </c>
    </row>
    <row r="1416" spans="1:6">
      <c r="A1416" s="35" t="s">
        <v>2019</v>
      </c>
      <c r="B1416" s="37">
        <v>181.77499389648438</v>
      </c>
      <c r="C1416" s="37">
        <v>165.67295837402344</v>
      </c>
      <c r="D1416" s="35">
        <v>34796162</v>
      </c>
      <c r="E1416" s="35" t="s">
        <v>1840</v>
      </c>
      <c r="F1416" s="35" t="s">
        <v>604</v>
      </c>
    </row>
    <row r="1417" spans="1:6">
      <c r="A1417" s="35" t="s">
        <v>2020</v>
      </c>
      <c r="B1417" s="37">
        <v>176.97500610351563</v>
      </c>
      <c r="C1417" s="37">
        <v>161.29814147949219</v>
      </c>
      <c r="D1417" s="35">
        <v>19330126</v>
      </c>
      <c r="E1417" s="35" t="s">
        <v>1840</v>
      </c>
      <c r="F1417" s="35" t="s">
        <v>604</v>
      </c>
    </row>
    <row r="1418" spans="1:6">
      <c r="A1418" s="35" t="s">
        <v>2021</v>
      </c>
      <c r="B1418" s="37">
        <v>182.10000610351563</v>
      </c>
      <c r="C1418" s="37">
        <v>165.96916198730469</v>
      </c>
      <c r="D1418" s="35">
        <v>16372078</v>
      </c>
      <c r="E1418" s="35" t="s">
        <v>1840</v>
      </c>
      <c r="F1418" s="35" t="s">
        <v>604</v>
      </c>
    </row>
    <row r="1419" spans="1:6">
      <c r="A1419" s="35" t="s">
        <v>2022</v>
      </c>
      <c r="B1419" s="37">
        <v>192.77499389648438</v>
      </c>
      <c r="C1419" s="37">
        <v>175.69854736328125</v>
      </c>
      <c r="D1419" s="35">
        <v>89748866</v>
      </c>
      <c r="E1419" s="35" t="s">
        <v>1840</v>
      </c>
      <c r="F1419" s="35" t="s">
        <v>604</v>
      </c>
    </row>
    <row r="1420" spans="1:6">
      <c r="A1420" s="35" t="s">
        <v>2023</v>
      </c>
      <c r="B1420" s="37">
        <v>191.10000610351563</v>
      </c>
      <c r="C1420" s="37">
        <v>174.17193603515625</v>
      </c>
      <c r="D1420" s="35">
        <v>24480344</v>
      </c>
      <c r="E1420" s="35" t="s">
        <v>1840</v>
      </c>
      <c r="F1420" s="35" t="s">
        <v>604</v>
      </c>
    </row>
    <row r="1421" spans="1:6">
      <c r="A1421" s="35" t="s">
        <v>2024</v>
      </c>
      <c r="B1421" s="37">
        <v>191.44999694824219</v>
      </c>
      <c r="C1421" s="37">
        <v>174.49092102050781</v>
      </c>
      <c r="D1421" s="35">
        <v>9451758</v>
      </c>
      <c r="E1421" s="35" t="s">
        <v>1840</v>
      </c>
      <c r="F1421" s="35" t="s">
        <v>604</v>
      </c>
    </row>
    <row r="1422" spans="1:6">
      <c r="A1422" s="35" t="s">
        <v>2025</v>
      </c>
      <c r="B1422" s="37">
        <v>192.5</v>
      </c>
      <c r="C1422" s="37">
        <v>175.44790649414063</v>
      </c>
      <c r="D1422" s="35">
        <v>22918252</v>
      </c>
      <c r="E1422" s="35" t="s">
        <v>1840</v>
      </c>
      <c r="F1422" s="35" t="s">
        <v>604</v>
      </c>
    </row>
    <row r="1423" spans="1:6">
      <c r="A1423" s="35" t="s">
        <v>2026</v>
      </c>
      <c r="B1423" s="37">
        <v>192.19999694824219</v>
      </c>
      <c r="C1423" s="37">
        <v>175.17448425292969</v>
      </c>
      <c r="D1423" s="35">
        <v>14376870</v>
      </c>
      <c r="E1423" s="35" t="s">
        <v>1840</v>
      </c>
      <c r="F1423" s="35" t="s">
        <v>604</v>
      </c>
    </row>
    <row r="1424" spans="1:6">
      <c r="A1424" s="35" t="s">
        <v>2027</v>
      </c>
      <c r="B1424" s="37">
        <v>193.125</v>
      </c>
      <c r="C1424" s="37">
        <v>176.01754760742188</v>
      </c>
      <c r="D1424" s="35">
        <v>12789210</v>
      </c>
      <c r="E1424" s="35" t="s">
        <v>1840</v>
      </c>
      <c r="F1424" s="35" t="s">
        <v>604</v>
      </c>
    </row>
    <row r="1425" spans="1:6">
      <c r="A1425" s="35" t="s">
        <v>2028</v>
      </c>
      <c r="B1425" s="37">
        <v>194.05000305175781</v>
      </c>
      <c r="C1425" s="37">
        <v>176.860595703125</v>
      </c>
      <c r="D1425" s="35">
        <v>10084672</v>
      </c>
      <c r="E1425" s="35" t="s">
        <v>1840</v>
      </c>
      <c r="F1425" s="35" t="s">
        <v>604</v>
      </c>
    </row>
    <row r="1426" spans="1:6">
      <c r="A1426" s="35" t="s">
        <v>2029</v>
      </c>
      <c r="B1426" s="37">
        <v>198.19999694824219</v>
      </c>
      <c r="C1426" s="37">
        <v>180.64299011230469</v>
      </c>
      <c r="D1426" s="35">
        <v>19511442</v>
      </c>
      <c r="E1426" s="35" t="s">
        <v>1840</v>
      </c>
      <c r="F1426" s="35" t="s">
        <v>604</v>
      </c>
    </row>
    <row r="1427" spans="1:6">
      <c r="A1427" s="35" t="s">
        <v>2030</v>
      </c>
      <c r="B1427" s="37">
        <v>203.14999389648438</v>
      </c>
      <c r="C1427" s="37">
        <v>185.15447998046875</v>
      </c>
      <c r="D1427" s="35">
        <v>50313494</v>
      </c>
      <c r="E1427" s="35" t="s">
        <v>1840</v>
      </c>
      <c r="F1427" s="35" t="s">
        <v>604</v>
      </c>
    </row>
    <row r="1428" spans="1:6">
      <c r="A1428" s="35" t="s">
        <v>2031</v>
      </c>
      <c r="B1428" s="37">
        <v>203.19999694824219</v>
      </c>
      <c r="C1428" s="37">
        <v>185.20005798339844</v>
      </c>
      <c r="D1428" s="35">
        <v>44972600</v>
      </c>
      <c r="E1428" s="35" t="s">
        <v>1840</v>
      </c>
      <c r="F1428" s="35" t="s">
        <v>604</v>
      </c>
    </row>
    <row r="1429" spans="1:6">
      <c r="A1429" s="35" t="s">
        <v>2032</v>
      </c>
      <c r="B1429" s="37">
        <v>203.375</v>
      </c>
      <c r="C1429" s="37">
        <v>185.35955810546875</v>
      </c>
      <c r="D1429" s="35">
        <v>24689510</v>
      </c>
      <c r="E1429" s="35" t="s">
        <v>1840</v>
      </c>
      <c r="F1429" s="35" t="s">
        <v>604</v>
      </c>
    </row>
    <row r="1430" spans="1:6">
      <c r="A1430" s="35" t="s">
        <v>2033</v>
      </c>
      <c r="B1430" s="37">
        <v>215.10000610351563</v>
      </c>
      <c r="C1430" s="37">
        <v>196.04594421386719</v>
      </c>
      <c r="D1430" s="35">
        <v>81986460</v>
      </c>
      <c r="E1430" s="35" t="s">
        <v>1840</v>
      </c>
      <c r="F1430" s="35" t="s">
        <v>604</v>
      </c>
    </row>
    <row r="1431" spans="1:6">
      <c r="A1431" s="35" t="s">
        <v>2034</v>
      </c>
      <c r="B1431" s="37">
        <v>223.39999389648438</v>
      </c>
      <c r="C1431" s="37">
        <v>203.61068725585938</v>
      </c>
      <c r="D1431" s="35">
        <v>94668036</v>
      </c>
      <c r="E1431" s="35" t="s">
        <v>1840</v>
      </c>
      <c r="F1431" s="35" t="s">
        <v>604</v>
      </c>
    </row>
    <row r="1432" spans="1:6">
      <c r="A1432" s="35" t="s">
        <v>2035</v>
      </c>
      <c r="B1432" s="37">
        <v>228.85000610351563</v>
      </c>
      <c r="C1432" s="37">
        <v>208.57792663574219</v>
      </c>
      <c r="D1432" s="35">
        <v>44268930</v>
      </c>
      <c r="E1432" s="35" t="s">
        <v>1840</v>
      </c>
      <c r="F1432" s="35" t="s">
        <v>604</v>
      </c>
    </row>
    <row r="1433" spans="1:6">
      <c r="A1433" s="35" t="s">
        <v>2036</v>
      </c>
      <c r="B1433" s="37">
        <v>229.5</v>
      </c>
      <c r="C1433" s="37">
        <v>209.17034912109375</v>
      </c>
      <c r="D1433" s="35">
        <v>58380386</v>
      </c>
      <c r="E1433" s="35" t="s">
        <v>1840</v>
      </c>
      <c r="F1433" s="35" t="s">
        <v>604</v>
      </c>
    </row>
    <row r="1434" spans="1:6">
      <c r="A1434" s="35" t="s">
        <v>2037</v>
      </c>
      <c r="B1434" s="37">
        <v>227.17500305175781</v>
      </c>
      <c r="C1434" s="37">
        <v>207.05128479003906</v>
      </c>
      <c r="D1434" s="35">
        <v>143103614</v>
      </c>
      <c r="E1434" s="35" t="s">
        <v>1840</v>
      </c>
      <c r="F1434" s="35" t="s">
        <v>604</v>
      </c>
    </row>
    <row r="1435" spans="1:6">
      <c r="A1435" s="35" t="s">
        <v>2038</v>
      </c>
      <c r="B1435" s="37">
        <v>219.27499389648438</v>
      </c>
      <c r="C1435" s="37">
        <v>199.85110473632813</v>
      </c>
      <c r="D1435" s="35">
        <v>50615558</v>
      </c>
      <c r="E1435" s="35" t="s">
        <v>1840</v>
      </c>
      <c r="F1435" s="35" t="s">
        <v>604</v>
      </c>
    </row>
    <row r="1436" spans="1:6">
      <c r="A1436" s="35" t="s">
        <v>2039</v>
      </c>
      <c r="B1436" s="37">
        <v>215.77499389648438</v>
      </c>
      <c r="C1436" s="37">
        <v>196.6611328125</v>
      </c>
      <c r="D1436" s="35">
        <v>43021174</v>
      </c>
      <c r="E1436" s="35" t="s">
        <v>1840</v>
      </c>
      <c r="F1436" s="35" t="s">
        <v>604</v>
      </c>
    </row>
    <row r="1437" spans="1:6">
      <c r="A1437" s="35" t="s">
        <v>2040</v>
      </c>
      <c r="B1437" s="37">
        <v>215.125</v>
      </c>
      <c r="C1437" s="37">
        <v>196.06875610351563</v>
      </c>
      <c r="D1437" s="35">
        <v>31355580</v>
      </c>
      <c r="E1437" s="35" t="s">
        <v>1840</v>
      </c>
      <c r="F1437" s="35" t="s">
        <v>604</v>
      </c>
    </row>
    <row r="1438" spans="1:6">
      <c r="A1438" s="35" t="s">
        <v>2041</v>
      </c>
      <c r="B1438" s="37">
        <v>222.47500610351563</v>
      </c>
      <c r="C1438" s="37">
        <v>202.76766967773438</v>
      </c>
      <c r="D1438" s="35">
        <v>48839358</v>
      </c>
      <c r="E1438" s="35" t="s">
        <v>1840</v>
      </c>
      <c r="F1438" s="35" t="s">
        <v>604</v>
      </c>
    </row>
    <row r="1439" spans="1:6">
      <c r="A1439" s="35" t="s">
        <v>2042</v>
      </c>
      <c r="B1439" s="37">
        <v>222.89999389648438</v>
      </c>
      <c r="C1439" s="37">
        <v>203.15499877929688</v>
      </c>
      <c r="D1439" s="35">
        <v>31822754</v>
      </c>
      <c r="E1439" s="35" t="s">
        <v>1840</v>
      </c>
      <c r="F1439" s="35" t="s">
        <v>604</v>
      </c>
    </row>
    <row r="1440" spans="1:6">
      <c r="A1440" s="35" t="s">
        <v>2043</v>
      </c>
      <c r="B1440" s="37">
        <v>222.375</v>
      </c>
      <c r="C1440" s="37">
        <v>203.13217163085938</v>
      </c>
      <c r="D1440" s="35">
        <v>22797624</v>
      </c>
      <c r="E1440" s="35" t="s">
        <v>1840</v>
      </c>
      <c r="F1440" s="35" t="s">
        <v>604</v>
      </c>
    </row>
    <row r="1441" spans="1:6">
      <c r="A1441" s="35" t="s">
        <v>2044</v>
      </c>
      <c r="B1441" s="37">
        <v>218.625</v>
      </c>
      <c r="C1441" s="37">
        <v>199.70668029785156</v>
      </c>
      <c r="D1441" s="35">
        <v>14760338</v>
      </c>
      <c r="E1441" s="35" t="s">
        <v>1840</v>
      </c>
      <c r="F1441" s="35" t="s">
        <v>604</v>
      </c>
    </row>
    <row r="1442" spans="1:6">
      <c r="A1442" s="35" t="s">
        <v>2045</v>
      </c>
      <c r="B1442" s="37">
        <v>223.22500610351563</v>
      </c>
      <c r="C1442" s="37">
        <v>203.90861511230469</v>
      </c>
      <c r="D1442" s="35">
        <v>59180420</v>
      </c>
      <c r="E1442" s="35" t="s">
        <v>1840</v>
      </c>
      <c r="F1442" s="35" t="s">
        <v>604</v>
      </c>
    </row>
    <row r="1443" spans="1:6">
      <c r="A1443" s="35" t="s">
        <v>2046</v>
      </c>
      <c r="B1443" s="37">
        <v>215.94999694824219</v>
      </c>
      <c r="C1443" s="37">
        <v>197.26310729980469</v>
      </c>
      <c r="D1443" s="35">
        <v>29624870</v>
      </c>
      <c r="E1443" s="35" t="s">
        <v>1840</v>
      </c>
      <c r="F1443" s="35" t="s">
        <v>604</v>
      </c>
    </row>
    <row r="1444" spans="1:6">
      <c r="A1444" s="35" t="s">
        <v>2047</v>
      </c>
      <c r="B1444" s="37">
        <v>208.94999694824219</v>
      </c>
      <c r="C1444" s="37">
        <v>190.86886596679688</v>
      </c>
      <c r="D1444" s="35">
        <v>31264842</v>
      </c>
      <c r="E1444" s="35" t="s">
        <v>1840</v>
      </c>
      <c r="F1444" s="35" t="s">
        <v>604</v>
      </c>
    </row>
    <row r="1445" spans="1:6">
      <c r="A1445" s="35" t="s">
        <v>2048</v>
      </c>
      <c r="B1445" s="37">
        <v>210.75</v>
      </c>
      <c r="C1445" s="37">
        <v>192.51310729980469</v>
      </c>
      <c r="D1445" s="35">
        <v>30163704</v>
      </c>
      <c r="E1445" s="35" t="s">
        <v>1840</v>
      </c>
      <c r="F1445" s="35" t="s">
        <v>604</v>
      </c>
    </row>
    <row r="1446" spans="1:6">
      <c r="A1446" s="35" t="s">
        <v>2049</v>
      </c>
      <c r="B1446" s="37">
        <v>214.17500305175781</v>
      </c>
      <c r="C1446" s="37">
        <v>195.64176940917969</v>
      </c>
      <c r="D1446" s="35">
        <v>26620996</v>
      </c>
      <c r="E1446" s="35" t="s">
        <v>1840</v>
      </c>
      <c r="F1446" s="35" t="s">
        <v>604</v>
      </c>
    </row>
    <row r="1447" spans="1:6">
      <c r="A1447" s="35" t="s">
        <v>2050</v>
      </c>
      <c r="B1447" s="37">
        <v>216.75</v>
      </c>
      <c r="C1447" s="37">
        <v>197.993896484375</v>
      </c>
      <c r="D1447" s="35">
        <v>19795332</v>
      </c>
      <c r="E1447" s="35" t="s">
        <v>1840</v>
      </c>
      <c r="F1447" s="35" t="s">
        <v>604</v>
      </c>
    </row>
    <row r="1448" spans="1:6">
      <c r="A1448" s="35" t="s">
        <v>2051</v>
      </c>
      <c r="B1448" s="37">
        <v>214.94999694824219</v>
      </c>
      <c r="C1448" s="37">
        <v>196.34968566894531</v>
      </c>
      <c r="D1448" s="35">
        <v>14386598</v>
      </c>
      <c r="E1448" s="35" t="s">
        <v>1840</v>
      </c>
      <c r="F1448" s="35" t="s">
        <v>604</v>
      </c>
    </row>
    <row r="1449" spans="1:6">
      <c r="A1449" s="35" t="s">
        <v>2052</v>
      </c>
      <c r="B1449" s="37">
        <v>212.77499389648438</v>
      </c>
      <c r="C1449" s="37">
        <v>194.36288452148438</v>
      </c>
      <c r="D1449" s="35">
        <v>17358052</v>
      </c>
      <c r="E1449" s="35" t="s">
        <v>1840</v>
      </c>
      <c r="F1449" s="35" t="s">
        <v>604</v>
      </c>
    </row>
    <row r="1450" spans="1:6">
      <c r="A1450" s="35" t="s">
        <v>2053</v>
      </c>
      <c r="B1450" s="37">
        <v>217.64999389648438</v>
      </c>
      <c r="C1450" s="37">
        <v>198.81602478027344</v>
      </c>
      <c r="D1450" s="35">
        <v>25032680</v>
      </c>
      <c r="E1450" s="35" t="s">
        <v>1840</v>
      </c>
      <c r="F1450" s="35" t="s">
        <v>604</v>
      </c>
    </row>
    <row r="1451" spans="1:6">
      <c r="A1451" s="35" t="s">
        <v>2054</v>
      </c>
      <c r="B1451" s="37">
        <v>219.67500305175781</v>
      </c>
      <c r="C1451" s="37">
        <v>200.66580200195313</v>
      </c>
      <c r="D1451" s="35">
        <v>58949660</v>
      </c>
      <c r="E1451" s="35" t="s">
        <v>1840</v>
      </c>
      <c r="F1451" s="35" t="s">
        <v>604</v>
      </c>
    </row>
    <row r="1452" spans="1:6">
      <c r="A1452" s="35" t="s">
        <v>2055</v>
      </c>
      <c r="B1452" s="37">
        <v>219.5</v>
      </c>
      <c r="C1452" s="37">
        <v>200.50593566894531</v>
      </c>
      <c r="D1452" s="35">
        <v>21215470</v>
      </c>
      <c r="E1452" s="35" t="s">
        <v>1840</v>
      </c>
      <c r="F1452" s="35" t="s">
        <v>604</v>
      </c>
    </row>
    <row r="1453" spans="1:6">
      <c r="A1453" s="35" t="s">
        <v>2056</v>
      </c>
      <c r="B1453" s="37">
        <v>218.5</v>
      </c>
      <c r="C1453" s="37">
        <v>199.59249877929688</v>
      </c>
      <c r="D1453" s="35">
        <v>18474052</v>
      </c>
      <c r="E1453" s="35" t="s">
        <v>1840</v>
      </c>
      <c r="F1453" s="35" t="s">
        <v>604</v>
      </c>
    </row>
    <row r="1454" spans="1:6">
      <c r="A1454" s="35" t="s">
        <v>2057</v>
      </c>
      <c r="B1454" s="37">
        <v>221</v>
      </c>
      <c r="C1454" s="37">
        <v>201.87615966796875</v>
      </c>
      <c r="D1454" s="35">
        <v>38561668</v>
      </c>
      <c r="E1454" s="35" t="s">
        <v>1840</v>
      </c>
      <c r="F1454" s="35" t="s">
        <v>604</v>
      </c>
    </row>
    <row r="1455" spans="1:6">
      <c r="A1455" s="35" t="s">
        <v>2058</v>
      </c>
      <c r="B1455" s="37">
        <v>219.85000610351563</v>
      </c>
      <c r="C1455" s="37">
        <v>200.82565307617188</v>
      </c>
      <c r="D1455" s="35">
        <v>15689754</v>
      </c>
      <c r="E1455" s="35" t="s">
        <v>1840</v>
      </c>
      <c r="F1455" s="35" t="s">
        <v>604</v>
      </c>
    </row>
    <row r="1456" spans="1:6">
      <c r="A1456" s="35" t="s">
        <v>2059</v>
      </c>
      <c r="B1456" s="37">
        <v>218.77499389648438</v>
      </c>
      <c r="C1456" s="37">
        <v>199.84370422363281</v>
      </c>
      <c r="D1456" s="35">
        <v>24907596</v>
      </c>
      <c r="E1456" s="35" t="s">
        <v>1840</v>
      </c>
      <c r="F1456" s="35" t="s">
        <v>604</v>
      </c>
    </row>
    <row r="1457" spans="1:6">
      <c r="A1457" s="35" t="s">
        <v>2060</v>
      </c>
      <c r="B1457" s="37">
        <v>215.10000610351563</v>
      </c>
      <c r="C1457" s="37">
        <v>196.48670959472656</v>
      </c>
      <c r="D1457" s="35">
        <v>14780384</v>
      </c>
      <c r="E1457" s="35" t="s">
        <v>1840</v>
      </c>
      <c r="F1457" s="35" t="s">
        <v>604</v>
      </c>
    </row>
    <row r="1458" spans="1:6">
      <c r="A1458" s="35" t="s">
        <v>2061</v>
      </c>
      <c r="B1458" s="37">
        <v>216.47500610351563</v>
      </c>
      <c r="C1458" s="37">
        <v>197.74272155761719</v>
      </c>
      <c r="D1458" s="35">
        <v>16771472</v>
      </c>
      <c r="E1458" s="35" t="s">
        <v>1840</v>
      </c>
      <c r="F1458" s="35" t="s">
        <v>604</v>
      </c>
    </row>
    <row r="1459" spans="1:6">
      <c r="A1459" s="35" t="s">
        <v>2062</v>
      </c>
      <c r="B1459" s="37">
        <v>214.97500610351563</v>
      </c>
      <c r="C1459" s="37">
        <v>196.37252807617188</v>
      </c>
      <c r="D1459" s="35">
        <v>16957332</v>
      </c>
      <c r="E1459" s="35" t="s">
        <v>1840</v>
      </c>
      <c r="F1459" s="35" t="s">
        <v>604</v>
      </c>
    </row>
    <row r="1460" spans="1:6">
      <c r="A1460" s="35" t="s">
        <v>2063</v>
      </c>
      <c r="B1460" s="37">
        <v>209.35000610351563</v>
      </c>
      <c r="C1460" s="37">
        <v>191.2342529296875</v>
      </c>
      <c r="D1460" s="35">
        <v>21332174</v>
      </c>
      <c r="E1460" s="35" t="s">
        <v>1840</v>
      </c>
      <c r="F1460" s="35" t="s">
        <v>604</v>
      </c>
    </row>
    <row r="1461" spans="1:6">
      <c r="A1461" s="35" t="s">
        <v>2064</v>
      </c>
      <c r="B1461" s="37">
        <v>207.75</v>
      </c>
      <c r="C1461" s="37">
        <v>189.77273559570313</v>
      </c>
      <c r="D1461" s="35">
        <v>17984706</v>
      </c>
      <c r="E1461" s="35" t="s">
        <v>1840</v>
      </c>
      <c r="F1461" s="35" t="s">
        <v>604</v>
      </c>
    </row>
    <row r="1462" spans="1:6">
      <c r="A1462" s="35" t="s">
        <v>2065</v>
      </c>
      <c r="B1462" s="37">
        <v>211.55000305175781</v>
      </c>
      <c r="C1462" s="37">
        <v>193.243896484375</v>
      </c>
      <c r="D1462" s="35">
        <v>10120594</v>
      </c>
      <c r="E1462" s="35" t="s">
        <v>1840</v>
      </c>
      <c r="F1462" s="35" t="s">
        <v>604</v>
      </c>
    </row>
    <row r="1463" spans="1:6">
      <c r="A1463" s="35" t="s">
        <v>2066</v>
      </c>
      <c r="B1463" s="37">
        <v>210.64999389648438</v>
      </c>
      <c r="C1463" s="37">
        <v>192.4217529296875</v>
      </c>
      <c r="D1463" s="35">
        <v>18220784</v>
      </c>
      <c r="E1463" s="35" t="s">
        <v>1840</v>
      </c>
      <c r="F1463" s="35" t="s">
        <v>604</v>
      </c>
    </row>
    <row r="1464" spans="1:6">
      <c r="A1464" s="35" t="s">
        <v>2067</v>
      </c>
      <c r="B1464" s="37">
        <v>205.14999389648438</v>
      </c>
      <c r="C1464" s="37">
        <v>187.39768981933594</v>
      </c>
      <c r="D1464" s="35">
        <v>23463882</v>
      </c>
      <c r="E1464" s="35" t="s">
        <v>1840</v>
      </c>
      <c r="F1464" s="35" t="s">
        <v>604</v>
      </c>
    </row>
    <row r="1465" spans="1:6">
      <c r="A1465" s="35" t="s">
        <v>2068</v>
      </c>
      <c r="B1465" s="37">
        <v>207.19999694824219</v>
      </c>
      <c r="C1465" s="37">
        <v>189.27029418945313</v>
      </c>
      <c r="D1465" s="35">
        <v>12843392</v>
      </c>
      <c r="E1465" s="35" t="s">
        <v>1840</v>
      </c>
      <c r="F1465" s="35" t="s">
        <v>604</v>
      </c>
    </row>
    <row r="1466" spans="1:6">
      <c r="A1466" s="35" t="s">
        <v>2069</v>
      </c>
      <c r="B1466" s="37">
        <v>215.19999694824219</v>
      </c>
      <c r="C1466" s="37">
        <v>196.57803344726563</v>
      </c>
      <c r="D1466" s="35">
        <v>29750468</v>
      </c>
      <c r="E1466" s="35" t="s">
        <v>1840</v>
      </c>
      <c r="F1466" s="35" t="s">
        <v>604</v>
      </c>
    </row>
    <row r="1467" spans="1:6">
      <c r="A1467" s="35" t="s">
        <v>2070</v>
      </c>
      <c r="B1467" s="37">
        <v>217.75</v>
      </c>
      <c r="C1467" s="37">
        <v>198.90736389160156</v>
      </c>
      <c r="D1467" s="35">
        <v>17564904</v>
      </c>
      <c r="E1467" s="35" t="s">
        <v>1840</v>
      </c>
      <c r="F1467" s="35" t="s">
        <v>604</v>
      </c>
    </row>
    <row r="1468" spans="1:6">
      <c r="A1468" s="35" t="s">
        <v>2071</v>
      </c>
      <c r="B1468" s="37">
        <v>219.39999389648438</v>
      </c>
      <c r="C1468" s="37">
        <v>200.41461181640625</v>
      </c>
      <c r="D1468" s="35">
        <v>25927594</v>
      </c>
      <c r="E1468" s="35" t="s">
        <v>1840</v>
      </c>
      <c r="F1468" s="35" t="s">
        <v>604</v>
      </c>
    </row>
    <row r="1469" spans="1:6">
      <c r="A1469" s="35" t="s">
        <v>2072</v>
      </c>
      <c r="B1469" s="37">
        <v>210.42500305175781</v>
      </c>
      <c r="C1469" s="37">
        <v>192.21624755859375</v>
      </c>
      <c r="D1469" s="35">
        <v>87862344</v>
      </c>
      <c r="E1469" s="35" t="s">
        <v>1840</v>
      </c>
      <c r="F1469" s="35" t="s">
        <v>604</v>
      </c>
    </row>
    <row r="1470" spans="1:6">
      <c r="A1470" s="35" t="s">
        <v>2073</v>
      </c>
      <c r="B1470" s="37">
        <v>208.44999694824219</v>
      </c>
      <c r="C1470" s="37">
        <v>190.41213989257813</v>
      </c>
      <c r="D1470" s="35">
        <v>24709676</v>
      </c>
      <c r="E1470" s="35" t="s">
        <v>1840</v>
      </c>
      <c r="F1470" s="35" t="s">
        <v>604</v>
      </c>
    </row>
    <row r="1471" spans="1:6">
      <c r="A1471" s="35" t="s">
        <v>2074</v>
      </c>
      <c r="B1471" s="37">
        <v>209.60000610351563</v>
      </c>
      <c r="C1471" s="37">
        <v>191.46263122558594</v>
      </c>
      <c r="D1471" s="35">
        <v>23811258</v>
      </c>
      <c r="E1471" s="35" t="s">
        <v>1840</v>
      </c>
      <c r="F1471" s="35" t="s">
        <v>604</v>
      </c>
    </row>
    <row r="1472" spans="1:6">
      <c r="A1472" s="35" t="s">
        <v>2075</v>
      </c>
      <c r="B1472" s="37">
        <v>213.35000610351563</v>
      </c>
      <c r="C1472" s="37">
        <v>194.88812255859375</v>
      </c>
      <c r="D1472" s="35">
        <v>34582736</v>
      </c>
      <c r="E1472" s="35" t="s">
        <v>1840</v>
      </c>
      <c r="F1472" s="35" t="s">
        <v>604</v>
      </c>
    </row>
    <row r="1473" spans="1:6">
      <c r="A1473" s="35" t="s">
        <v>2076</v>
      </c>
      <c r="B1473" s="37">
        <v>212.60000610351563</v>
      </c>
      <c r="C1473" s="37">
        <v>194.20303344726563</v>
      </c>
      <c r="D1473" s="35">
        <v>17920252</v>
      </c>
      <c r="E1473" s="35" t="s">
        <v>1840</v>
      </c>
      <c r="F1473" s="35" t="s">
        <v>604</v>
      </c>
    </row>
    <row r="1474" spans="1:6">
      <c r="A1474" s="35" t="s">
        <v>2077</v>
      </c>
      <c r="B1474" s="37">
        <v>213.17500305175781</v>
      </c>
      <c r="C1474" s="37">
        <v>194.72830200195313</v>
      </c>
      <c r="D1474" s="35">
        <v>15034204</v>
      </c>
      <c r="E1474" s="35" t="s">
        <v>1840</v>
      </c>
      <c r="F1474" s="35" t="s">
        <v>604</v>
      </c>
    </row>
    <row r="1475" spans="1:6">
      <c r="A1475" s="35" t="s">
        <v>2078</v>
      </c>
      <c r="B1475" s="37">
        <v>214.64999389648438</v>
      </c>
      <c r="C1475" s="37">
        <v>196.07563781738281</v>
      </c>
      <c r="D1475" s="35">
        <v>21347294</v>
      </c>
      <c r="E1475" s="35" t="s">
        <v>1840</v>
      </c>
      <c r="F1475" s="35" t="s">
        <v>604</v>
      </c>
    </row>
    <row r="1476" spans="1:6">
      <c r="A1476" s="35" t="s">
        <v>2079</v>
      </c>
      <c r="B1476" s="37">
        <v>209.82499694824219</v>
      </c>
      <c r="C1476" s="37">
        <v>191.66815185546875</v>
      </c>
      <c r="D1476" s="35">
        <v>24269624</v>
      </c>
      <c r="E1476" s="35" t="s">
        <v>1840</v>
      </c>
      <c r="F1476" s="35" t="s">
        <v>604</v>
      </c>
    </row>
    <row r="1477" spans="1:6">
      <c r="A1477" s="35" t="s">
        <v>2080</v>
      </c>
      <c r="B1477" s="37">
        <v>205.07499694824219</v>
      </c>
      <c r="C1477" s="37">
        <v>187.32919311523438</v>
      </c>
      <c r="D1477" s="35">
        <v>20165862</v>
      </c>
      <c r="E1477" s="35" t="s">
        <v>1840</v>
      </c>
      <c r="F1477" s="35" t="s">
        <v>604</v>
      </c>
    </row>
    <row r="1478" spans="1:6">
      <c r="A1478" s="35" t="s">
        <v>2081</v>
      </c>
      <c r="B1478" s="37">
        <v>205.25</v>
      </c>
      <c r="C1478" s="37">
        <v>187.48905944824219</v>
      </c>
      <c r="D1478" s="35">
        <v>33750804</v>
      </c>
      <c r="E1478" s="35" t="s">
        <v>1840</v>
      </c>
      <c r="F1478" s="35" t="s">
        <v>604</v>
      </c>
    </row>
    <row r="1479" spans="1:6">
      <c r="A1479" s="35" t="s">
        <v>2082</v>
      </c>
      <c r="B1479" s="37">
        <v>207.22500610351563</v>
      </c>
      <c r="C1479" s="37">
        <v>189.29313659667969</v>
      </c>
      <c r="D1479" s="35">
        <v>13245968</v>
      </c>
      <c r="E1479" s="35" t="s">
        <v>1840</v>
      </c>
      <c r="F1479" s="35" t="s">
        <v>604</v>
      </c>
    </row>
    <row r="1480" spans="1:6">
      <c r="A1480" s="35" t="s">
        <v>2083</v>
      </c>
      <c r="B1480" s="37">
        <v>207.75</v>
      </c>
      <c r="C1480" s="37">
        <v>189.77273559570313</v>
      </c>
      <c r="D1480" s="35">
        <v>23150388</v>
      </c>
      <c r="E1480" s="35" t="s">
        <v>1840</v>
      </c>
      <c r="F1480" s="35" t="s">
        <v>604</v>
      </c>
    </row>
    <row r="1481" spans="1:6">
      <c r="A1481" s="35" t="s">
        <v>2084</v>
      </c>
      <c r="B1481" s="37">
        <v>205.5</v>
      </c>
      <c r="C1481" s="37">
        <v>187.71739196777344</v>
      </c>
      <c r="D1481" s="35">
        <v>10280694</v>
      </c>
      <c r="E1481" s="35" t="s">
        <v>1840</v>
      </c>
      <c r="F1481" s="35" t="s">
        <v>604</v>
      </c>
    </row>
    <row r="1482" spans="1:6">
      <c r="A1482" s="35" t="s">
        <v>2085</v>
      </c>
      <c r="B1482" s="37">
        <v>199.82499694824219</v>
      </c>
      <c r="C1482" s="37">
        <v>182.53350830078125</v>
      </c>
      <c r="D1482" s="35">
        <v>25474258</v>
      </c>
      <c r="E1482" s="35" t="s">
        <v>1840</v>
      </c>
      <c r="F1482" s="35" t="s">
        <v>604</v>
      </c>
    </row>
    <row r="1483" spans="1:6">
      <c r="A1483" s="35" t="s">
        <v>2086</v>
      </c>
      <c r="B1483" s="37">
        <v>201.94999694824219</v>
      </c>
      <c r="C1483" s="37">
        <v>184.47459411621094</v>
      </c>
      <c r="D1483" s="35">
        <v>18066738</v>
      </c>
      <c r="E1483" s="35" t="s">
        <v>1840</v>
      </c>
      <c r="F1483" s="35" t="s">
        <v>604</v>
      </c>
    </row>
    <row r="1484" spans="1:6">
      <c r="A1484" s="35" t="s">
        <v>2087</v>
      </c>
      <c r="B1484" s="37">
        <v>209.05000305175781</v>
      </c>
      <c r="C1484" s="37">
        <v>190.960205078125</v>
      </c>
      <c r="D1484" s="35">
        <v>26339126</v>
      </c>
      <c r="E1484" s="35" t="s">
        <v>1840</v>
      </c>
      <c r="F1484" s="35" t="s">
        <v>604</v>
      </c>
    </row>
    <row r="1485" spans="1:6">
      <c r="A1485" s="35" t="s">
        <v>2088</v>
      </c>
      <c r="B1485" s="37">
        <v>207.07499694824219</v>
      </c>
      <c r="C1485" s="37">
        <v>189.15611267089844</v>
      </c>
      <c r="D1485" s="35">
        <v>14890268</v>
      </c>
      <c r="E1485" s="35" t="s">
        <v>1840</v>
      </c>
      <c r="F1485" s="35" t="s">
        <v>604</v>
      </c>
    </row>
    <row r="1486" spans="1:6">
      <c r="A1486" s="35" t="s">
        <v>2089</v>
      </c>
      <c r="B1486" s="37">
        <v>208.19999694824219</v>
      </c>
      <c r="C1486" s="37">
        <v>190.18377685546875</v>
      </c>
      <c r="D1486" s="35">
        <v>15193886</v>
      </c>
      <c r="E1486" s="35" t="s">
        <v>2090</v>
      </c>
      <c r="F1486" s="35" t="s">
        <v>604</v>
      </c>
    </row>
    <row r="1487" spans="1:6">
      <c r="A1487" s="35" t="s">
        <v>2091</v>
      </c>
      <c r="B1487" s="37">
        <v>212.72500610351563</v>
      </c>
      <c r="C1487" s="37">
        <v>194.31719970703125</v>
      </c>
      <c r="D1487" s="35">
        <v>42432790</v>
      </c>
      <c r="E1487" s="35" t="s">
        <v>2090</v>
      </c>
      <c r="F1487" s="35" t="s">
        <v>604</v>
      </c>
    </row>
    <row r="1488" spans="1:6">
      <c r="A1488" s="35" t="s">
        <v>2092</v>
      </c>
      <c r="B1488" s="37">
        <v>213.57499694824219</v>
      </c>
      <c r="C1488" s="37">
        <v>195.09365844726563</v>
      </c>
      <c r="D1488" s="35">
        <v>16641040</v>
      </c>
      <c r="E1488" s="35" t="s">
        <v>2090</v>
      </c>
      <c r="F1488" s="35" t="s">
        <v>604</v>
      </c>
    </row>
    <row r="1489" spans="1:6">
      <c r="A1489" s="35" t="s">
        <v>2093</v>
      </c>
      <c r="B1489" s="37">
        <v>219</v>
      </c>
      <c r="C1489" s="37">
        <v>200.04922485351563</v>
      </c>
      <c r="D1489" s="35">
        <v>27735300</v>
      </c>
      <c r="E1489" s="35" t="s">
        <v>2090</v>
      </c>
      <c r="F1489" s="35" t="s">
        <v>604</v>
      </c>
    </row>
    <row r="1490" spans="1:6">
      <c r="A1490" s="35" t="s">
        <v>2094</v>
      </c>
      <c r="B1490" s="37">
        <v>221.05000305175781</v>
      </c>
      <c r="C1490" s="37">
        <v>201.92182922363281</v>
      </c>
      <c r="D1490" s="35">
        <v>25833228</v>
      </c>
      <c r="E1490" s="35" t="s">
        <v>2090</v>
      </c>
      <c r="F1490" s="35" t="s">
        <v>604</v>
      </c>
    </row>
    <row r="1491" spans="1:6">
      <c r="A1491" s="35" t="s">
        <v>2095</v>
      </c>
      <c r="B1491" s="37">
        <v>225.05000305175781</v>
      </c>
      <c r="C1491" s="37">
        <v>205.57565307617188</v>
      </c>
      <c r="D1491" s="35">
        <v>23398770</v>
      </c>
      <c r="E1491" s="35" t="s">
        <v>2090</v>
      </c>
      <c r="F1491" s="35" t="s">
        <v>604</v>
      </c>
    </row>
    <row r="1492" spans="1:6">
      <c r="A1492" s="35" t="s">
        <v>2096</v>
      </c>
      <c r="B1492" s="37">
        <v>216.30000305175781</v>
      </c>
      <c r="C1492" s="37">
        <v>197.58287048339844</v>
      </c>
      <c r="D1492" s="35">
        <v>30172534</v>
      </c>
      <c r="E1492" s="35" t="s">
        <v>2090</v>
      </c>
      <c r="F1492" s="35" t="s">
        <v>604</v>
      </c>
    </row>
    <row r="1493" spans="1:6">
      <c r="A1493" s="35" t="s">
        <v>2097</v>
      </c>
      <c r="B1493" s="37">
        <v>209.47500610351563</v>
      </c>
      <c r="C1493" s="37">
        <v>191.34843444824219</v>
      </c>
      <c r="D1493" s="35">
        <v>40840640</v>
      </c>
      <c r="E1493" s="35" t="s">
        <v>2090</v>
      </c>
      <c r="F1493" s="35" t="s">
        <v>604</v>
      </c>
    </row>
    <row r="1494" spans="1:6">
      <c r="A1494" s="35" t="s">
        <v>2098</v>
      </c>
      <c r="B1494" s="37">
        <v>215.35000610351563</v>
      </c>
      <c r="C1494" s="37">
        <v>196.71507263183594</v>
      </c>
      <c r="D1494" s="35">
        <v>53517782</v>
      </c>
      <c r="E1494" s="35" t="s">
        <v>2090</v>
      </c>
      <c r="F1494" s="35" t="s">
        <v>604</v>
      </c>
    </row>
    <row r="1495" spans="1:6">
      <c r="A1495" s="35" t="s">
        <v>2099</v>
      </c>
      <c r="B1495" s="37">
        <v>234.60000610351563</v>
      </c>
      <c r="C1495" s="37">
        <v>214.29928588867188</v>
      </c>
      <c r="D1495" s="35">
        <v>218723272</v>
      </c>
      <c r="E1495" s="35" t="s">
        <v>2090</v>
      </c>
      <c r="F1495" s="35" t="s">
        <v>604</v>
      </c>
    </row>
    <row r="1496" spans="1:6">
      <c r="A1496" s="35" t="s">
        <v>2100</v>
      </c>
      <c r="B1496" s="37">
        <v>236.375</v>
      </c>
      <c r="C1496" s="37">
        <v>215.92071533203125</v>
      </c>
      <c r="D1496" s="35">
        <v>87619710</v>
      </c>
      <c r="E1496" s="35" t="s">
        <v>2090</v>
      </c>
      <c r="F1496" s="35" t="s">
        <v>604</v>
      </c>
    </row>
    <row r="1497" spans="1:6">
      <c r="A1497" s="35" t="s">
        <v>2101</v>
      </c>
      <c r="B1497" s="37">
        <v>235.05000305175781</v>
      </c>
      <c r="C1497" s="37">
        <v>214.71037292480469</v>
      </c>
      <c r="D1497" s="35">
        <v>35461382</v>
      </c>
      <c r="E1497" s="35" t="s">
        <v>2090</v>
      </c>
      <c r="F1497" s="35" t="s">
        <v>604</v>
      </c>
    </row>
    <row r="1498" spans="1:6">
      <c r="A1498" s="35" t="s">
        <v>2102</v>
      </c>
      <c r="B1498" s="37">
        <v>243.32499694824219</v>
      </c>
      <c r="C1498" s="37">
        <v>222.26927185058594</v>
      </c>
      <c r="D1498" s="35">
        <v>85241858</v>
      </c>
      <c r="E1498" s="35" t="s">
        <v>2090</v>
      </c>
      <c r="F1498" s="35" t="s">
        <v>604</v>
      </c>
    </row>
    <row r="1499" spans="1:6">
      <c r="A1499" s="35" t="s">
        <v>2103</v>
      </c>
      <c r="B1499" s="37">
        <v>237.85000610351563</v>
      </c>
      <c r="C1499" s="37">
        <v>217.26806640625</v>
      </c>
      <c r="D1499" s="35">
        <v>27192006</v>
      </c>
      <c r="E1499" s="35" t="s">
        <v>2090</v>
      </c>
      <c r="F1499" s="35" t="s">
        <v>604</v>
      </c>
    </row>
    <row r="1500" spans="1:6">
      <c r="A1500" s="35" t="s">
        <v>2104</v>
      </c>
      <c r="B1500" s="37">
        <v>240.14999389648438</v>
      </c>
      <c r="C1500" s="37">
        <v>219.36903381347656</v>
      </c>
      <c r="D1500" s="35">
        <v>18629288</v>
      </c>
      <c r="E1500" s="35" t="s">
        <v>2090</v>
      </c>
      <c r="F1500" s="35" t="s">
        <v>604</v>
      </c>
    </row>
    <row r="1501" spans="1:6">
      <c r="A1501" s="35" t="s">
        <v>2105</v>
      </c>
      <c r="B1501" s="37">
        <v>242.52499389648438</v>
      </c>
      <c r="C1501" s="37">
        <v>221.53849792480469</v>
      </c>
      <c r="D1501" s="35">
        <v>14418934</v>
      </c>
      <c r="E1501" s="35" t="s">
        <v>2090</v>
      </c>
      <c r="F1501" s="35" t="s">
        <v>604</v>
      </c>
    </row>
    <row r="1502" spans="1:6">
      <c r="A1502" s="35" t="s">
        <v>2106</v>
      </c>
      <c r="B1502" s="37">
        <v>244.64999389648438</v>
      </c>
      <c r="C1502" s="37">
        <v>223.4796142578125</v>
      </c>
      <c r="D1502" s="35">
        <v>19231068</v>
      </c>
      <c r="E1502" s="35" t="s">
        <v>2090</v>
      </c>
      <c r="F1502" s="35" t="s">
        <v>604</v>
      </c>
    </row>
    <row r="1503" spans="1:6">
      <c r="A1503" s="35" t="s">
        <v>2107</v>
      </c>
      <c r="B1503" s="37">
        <v>244.92500305175781</v>
      </c>
      <c r="C1503" s="37">
        <v>223.73085021972656</v>
      </c>
      <c r="D1503" s="35">
        <v>15282266</v>
      </c>
      <c r="E1503" s="35" t="s">
        <v>2090</v>
      </c>
      <c r="F1503" s="35" t="s">
        <v>604</v>
      </c>
    </row>
    <row r="1504" spans="1:6">
      <c r="A1504" s="35" t="s">
        <v>2108</v>
      </c>
      <c r="B1504" s="37">
        <v>246.375</v>
      </c>
      <c r="C1504" s="37">
        <v>225.05535888671875</v>
      </c>
      <c r="D1504" s="35">
        <v>58231142</v>
      </c>
      <c r="E1504" s="35" t="s">
        <v>2090</v>
      </c>
      <c r="F1504" s="35" t="s">
        <v>604</v>
      </c>
    </row>
    <row r="1505" spans="1:6">
      <c r="A1505" s="35" t="s">
        <v>2109</v>
      </c>
      <c r="B1505" s="37">
        <v>243.67500305175781</v>
      </c>
      <c r="C1505" s="37">
        <v>222.58900451660156</v>
      </c>
      <c r="D1505" s="35">
        <v>17199462</v>
      </c>
      <c r="E1505" s="35" t="s">
        <v>2090</v>
      </c>
      <c r="F1505" s="35" t="s">
        <v>604</v>
      </c>
    </row>
    <row r="1506" spans="1:6">
      <c r="A1506" s="35" t="s">
        <v>2110</v>
      </c>
      <c r="B1506" s="37">
        <v>240.97500610351563</v>
      </c>
      <c r="C1506" s="37">
        <v>220.12265014648438</v>
      </c>
      <c r="D1506" s="35">
        <v>16204858</v>
      </c>
      <c r="E1506" s="35" t="s">
        <v>2090</v>
      </c>
      <c r="F1506" s="35" t="s">
        <v>604</v>
      </c>
    </row>
    <row r="1507" spans="1:6">
      <c r="A1507" s="35" t="s">
        <v>2111</v>
      </c>
      <c r="B1507" s="37">
        <v>245.30000305175781</v>
      </c>
      <c r="C1507" s="37">
        <v>224.07342529296875</v>
      </c>
      <c r="D1507" s="35">
        <v>23713182</v>
      </c>
      <c r="E1507" s="35" t="s">
        <v>2090</v>
      </c>
      <c r="F1507" s="35" t="s">
        <v>604</v>
      </c>
    </row>
    <row r="1508" spans="1:6">
      <c r="A1508" s="35" t="s">
        <v>2112</v>
      </c>
      <c r="B1508" s="37">
        <v>256.14999389648438</v>
      </c>
      <c r="C1508" s="37">
        <v>233.9844970703125</v>
      </c>
      <c r="D1508" s="35">
        <v>48827088</v>
      </c>
      <c r="E1508" s="35" t="s">
        <v>2090</v>
      </c>
      <c r="F1508" s="35" t="s">
        <v>604</v>
      </c>
    </row>
    <row r="1509" spans="1:6">
      <c r="A1509" s="35" t="s">
        <v>2113</v>
      </c>
      <c r="B1509" s="37">
        <v>257.625</v>
      </c>
      <c r="C1509" s="37">
        <v>235.33187866210938</v>
      </c>
      <c r="D1509" s="35">
        <v>29333162</v>
      </c>
      <c r="E1509" s="35" t="s">
        <v>2090</v>
      </c>
      <c r="F1509" s="35" t="s">
        <v>604</v>
      </c>
    </row>
    <row r="1510" spans="1:6">
      <c r="A1510" s="35" t="s">
        <v>2114</v>
      </c>
      <c r="B1510" s="37">
        <v>262.97500610351563</v>
      </c>
      <c r="C1510" s="37">
        <v>240.21891784667969</v>
      </c>
      <c r="D1510" s="35">
        <v>25088944</v>
      </c>
      <c r="E1510" s="35" t="s">
        <v>2090</v>
      </c>
      <c r="F1510" s="35" t="s">
        <v>604</v>
      </c>
    </row>
    <row r="1511" spans="1:6">
      <c r="A1511" s="35" t="s">
        <v>2115</v>
      </c>
      <c r="B1511" s="37">
        <v>259.20001220703125</v>
      </c>
      <c r="C1511" s="37">
        <v>236.77056884765625</v>
      </c>
      <c r="D1511" s="35">
        <v>15298998</v>
      </c>
      <c r="E1511" s="35" t="s">
        <v>2090</v>
      </c>
      <c r="F1511" s="35" t="s">
        <v>604</v>
      </c>
    </row>
    <row r="1512" spans="1:6">
      <c r="A1512" s="35" t="s">
        <v>2116</v>
      </c>
      <c r="B1512" s="37">
        <v>253.80000305175781</v>
      </c>
      <c r="C1512" s="37">
        <v>231.83787536621094</v>
      </c>
      <c r="D1512" s="35">
        <v>15742214</v>
      </c>
      <c r="E1512" s="35" t="s">
        <v>2090</v>
      </c>
      <c r="F1512" s="35" t="s">
        <v>604</v>
      </c>
    </row>
    <row r="1513" spans="1:6">
      <c r="A1513" s="35" t="s">
        <v>2117</v>
      </c>
      <c r="B1513" s="37">
        <v>249.22500610351563</v>
      </c>
      <c r="C1513" s="37">
        <v>227.65875244140625</v>
      </c>
      <c r="D1513" s="35">
        <v>13599758</v>
      </c>
      <c r="E1513" s="35" t="s">
        <v>2090</v>
      </c>
      <c r="F1513" s="35" t="s">
        <v>604</v>
      </c>
    </row>
    <row r="1514" spans="1:6">
      <c r="A1514" s="35" t="s">
        <v>2118</v>
      </c>
      <c r="B1514" s="37">
        <v>249.89999389648438</v>
      </c>
      <c r="C1514" s="37">
        <v>228.27534484863281</v>
      </c>
      <c r="D1514" s="35">
        <v>11505300</v>
      </c>
      <c r="E1514" s="35" t="s">
        <v>2090</v>
      </c>
      <c r="F1514" s="35" t="s">
        <v>604</v>
      </c>
    </row>
    <row r="1515" spans="1:6">
      <c r="A1515" s="35" t="s">
        <v>2119</v>
      </c>
      <c r="B1515" s="37">
        <v>254.02499389648438</v>
      </c>
      <c r="C1515" s="37">
        <v>232.04339599609375</v>
      </c>
      <c r="D1515" s="35">
        <v>18761492</v>
      </c>
      <c r="E1515" s="35" t="s">
        <v>2090</v>
      </c>
      <c r="F1515" s="35" t="s">
        <v>604</v>
      </c>
    </row>
    <row r="1516" spans="1:6">
      <c r="A1516" s="35" t="s">
        <v>2120</v>
      </c>
      <c r="B1516" s="37">
        <v>255.82499694824219</v>
      </c>
      <c r="C1516" s="37">
        <v>233.68763732910156</v>
      </c>
      <c r="D1516" s="35">
        <v>14980792</v>
      </c>
      <c r="E1516" s="35" t="s">
        <v>2090</v>
      </c>
      <c r="F1516" s="35" t="s">
        <v>604</v>
      </c>
    </row>
    <row r="1517" spans="1:6">
      <c r="A1517" s="35" t="s">
        <v>2121</v>
      </c>
      <c r="B1517" s="37">
        <v>254.125</v>
      </c>
      <c r="C1517" s="37">
        <v>232.13473510742188</v>
      </c>
      <c r="D1517" s="35">
        <v>12584608</v>
      </c>
      <c r="E1517" s="35" t="s">
        <v>2090</v>
      </c>
      <c r="F1517" s="35" t="s">
        <v>604</v>
      </c>
    </row>
    <row r="1518" spans="1:6">
      <c r="A1518" s="35" t="s">
        <v>2122</v>
      </c>
      <c r="B1518" s="37">
        <v>256.35000610351563</v>
      </c>
      <c r="C1518" s="37">
        <v>234.16722106933594</v>
      </c>
      <c r="D1518" s="35">
        <v>10395006</v>
      </c>
      <c r="E1518" s="35" t="s">
        <v>2090</v>
      </c>
      <c r="F1518" s="35" t="s">
        <v>604</v>
      </c>
    </row>
    <row r="1519" spans="1:6">
      <c r="A1519" s="35" t="s">
        <v>2123</v>
      </c>
      <c r="B1519" s="37">
        <v>257.45001220703125</v>
      </c>
      <c r="C1519" s="37">
        <v>235.17202758789063</v>
      </c>
      <c r="D1519" s="35">
        <v>14873624</v>
      </c>
      <c r="E1519" s="35" t="s">
        <v>2090</v>
      </c>
      <c r="F1519" s="35" t="s">
        <v>604</v>
      </c>
    </row>
    <row r="1520" spans="1:6">
      <c r="A1520" s="35" t="s">
        <v>2124</v>
      </c>
      <c r="B1520" s="37">
        <v>258.77499389648438</v>
      </c>
      <c r="C1520" s="37">
        <v>236.38232421875</v>
      </c>
      <c r="D1520" s="35">
        <v>15909128</v>
      </c>
      <c r="E1520" s="35" t="s">
        <v>2090</v>
      </c>
      <c r="F1520" s="35" t="s">
        <v>604</v>
      </c>
    </row>
    <row r="1521" spans="1:6">
      <c r="A1521" s="35" t="s">
        <v>2125</v>
      </c>
      <c r="B1521" s="37">
        <v>263.625</v>
      </c>
      <c r="C1521" s="37">
        <v>240.81269836425781</v>
      </c>
      <c r="D1521" s="35">
        <v>17646380</v>
      </c>
      <c r="E1521" s="35" t="s">
        <v>2090</v>
      </c>
      <c r="F1521" s="35" t="s">
        <v>604</v>
      </c>
    </row>
    <row r="1522" spans="1:6">
      <c r="A1522" s="35" t="s">
        <v>2126</v>
      </c>
      <c r="B1522" s="37">
        <v>270.45001220703125</v>
      </c>
      <c r="C1522" s="37">
        <v>247.04708862304688</v>
      </c>
      <c r="D1522" s="35">
        <v>58822252</v>
      </c>
      <c r="E1522" s="35" t="s">
        <v>2090</v>
      </c>
      <c r="F1522" s="35" t="s">
        <v>604</v>
      </c>
    </row>
    <row r="1523" spans="1:6">
      <c r="A1523" s="35" t="s">
        <v>2127</v>
      </c>
      <c r="B1523" s="37">
        <v>269.35000610351563</v>
      </c>
      <c r="C1523" s="37">
        <v>246.04228210449219</v>
      </c>
      <c r="D1523" s="35">
        <v>11757252</v>
      </c>
      <c r="E1523" s="35" t="s">
        <v>2090</v>
      </c>
      <c r="F1523" s="35" t="s">
        <v>604</v>
      </c>
    </row>
    <row r="1524" spans="1:6">
      <c r="A1524" s="35" t="s">
        <v>2128</v>
      </c>
      <c r="B1524" s="37">
        <v>269.52499389648438</v>
      </c>
      <c r="C1524" s="37">
        <v>246.20210266113281</v>
      </c>
      <c r="D1524" s="35">
        <v>10772410</v>
      </c>
      <c r="E1524" s="35" t="s">
        <v>2090</v>
      </c>
      <c r="F1524" s="35" t="s">
        <v>604</v>
      </c>
    </row>
    <row r="1525" spans="1:6">
      <c r="A1525" s="35" t="s">
        <v>2129</v>
      </c>
      <c r="B1525" s="37">
        <v>271.39999389648438</v>
      </c>
      <c r="C1525" s="37">
        <v>247.91487121582031</v>
      </c>
      <c r="D1525" s="35">
        <v>11930088</v>
      </c>
      <c r="E1525" s="35" t="s">
        <v>2090</v>
      </c>
      <c r="F1525" s="35" t="s">
        <v>604</v>
      </c>
    </row>
    <row r="1526" spans="1:6">
      <c r="A1526" s="35" t="s">
        <v>2130</v>
      </c>
      <c r="B1526" s="37">
        <v>271.5</v>
      </c>
      <c r="C1526" s="37">
        <v>248.00621032714844</v>
      </c>
      <c r="D1526" s="35">
        <v>9427136</v>
      </c>
      <c r="E1526" s="35" t="s">
        <v>2090</v>
      </c>
      <c r="F1526" s="35" t="s">
        <v>604</v>
      </c>
    </row>
    <row r="1527" spans="1:6">
      <c r="A1527" s="35" t="s">
        <v>2131</v>
      </c>
      <c r="B1527" s="37">
        <v>269.52499389648438</v>
      </c>
      <c r="C1527" s="37">
        <v>246.20210266113281</v>
      </c>
      <c r="D1527" s="35">
        <v>11275982</v>
      </c>
      <c r="E1527" s="35" t="s">
        <v>2090</v>
      </c>
      <c r="F1527" s="35" t="s">
        <v>604</v>
      </c>
    </row>
    <row r="1528" spans="1:6">
      <c r="A1528" s="35" t="s">
        <v>2132</v>
      </c>
      <c r="B1528" s="37">
        <v>270.60000610351563</v>
      </c>
      <c r="C1528" s="37">
        <v>247.18412780761719</v>
      </c>
      <c r="D1528" s="35">
        <v>9543432</v>
      </c>
      <c r="E1528" s="35" t="s">
        <v>2090</v>
      </c>
      <c r="F1528" s="35" t="s">
        <v>604</v>
      </c>
    </row>
    <row r="1529" spans="1:6">
      <c r="A1529" s="35" t="s">
        <v>2133</v>
      </c>
      <c r="B1529" s="37">
        <v>274.125</v>
      </c>
      <c r="C1529" s="37">
        <v>250.40408325195313</v>
      </c>
      <c r="D1529" s="35">
        <v>8696866</v>
      </c>
      <c r="E1529" s="35" t="s">
        <v>2090</v>
      </c>
      <c r="F1529" s="35" t="s">
        <v>604</v>
      </c>
    </row>
    <row r="1530" spans="1:6">
      <c r="A1530" s="35" t="s">
        <v>2134</v>
      </c>
      <c r="B1530" s="37">
        <v>275.29998779296875</v>
      </c>
      <c r="C1530" s="37">
        <v>251.47740173339844</v>
      </c>
      <c r="D1530" s="35">
        <v>10859468</v>
      </c>
      <c r="E1530" s="35" t="s">
        <v>2090</v>
      </c>
      <c r="F1530" s="35" t="s">
        <v>604</v>
      </c>
    </row>
    <row r="1531" spans="1:6">
      <c r="A1531" s="35" t="s">
        <v>2135</v>
      </c>
      <c r="B1531" s="37">
        <v>272.10000610351563</v>
      </c>
      <c r="C1531" s="37">
        <v>248.55435180664063</v>
      </c>
      <c r="D1531" s="35">
        <v>12413798</v>
      </c>
      <c r="E1531" s="35" t="s">
        <v>2090</v>
      </c>
      <c r="F1531" s="35" t="s">
        <v>604</v>
      </c>
    </row>
    <row r="1532" spans="1:6">
      <c r="A1532" s="35" t="s">
        <v>2136</v>
      </c>
      <c r="B1532" s="37">
        <v>277.125</v>
      </c>
      <c r="C1532" s="37">
        <v>253.14443969726563</v>
      </c>
      <c r="D1532" s="35">
        <v>11441488</v>
      </c>
      <c r="E1532" s="35" t="s">
        <v>2090</v>
      </c>
      <c r="F1532" s="35" t="s">
        <v>604</v>
      </c>
    </row>
    <row r="1533" spans="1:6">
      <c r="A1533" s="35" t="s">
        <v>2137</v>
      </c>
      <c r="B1533" s="37">
        <v>277.14999389648438</v>
      </c>
      <c r="C1533" s="37">
        <v>253.16731262207031</v>
      </c>
      <c r="D1533" s="35">
        <v>11224718</v>
      </c>
      <c r="E1533" s="35" t="s">
        <v>2090</v>
      </c>
      <c r="F1533" s="35" t="s">
        <v>604</v>
      </c>
    </row>
    <row r="1534" spans="1:6">
      <c r="A1534" s="35" t="s">
        <v>2138</v>
      </c>
      <c r="B1534" s="37">
        <v>280.79998779296875</v>
      </c>
      <c r="C1534" s="37">
        <v>256.50143432617188</v>
      </c>
      <c r="D1534" s="35">
        <v>11904318</v>
      </c>
      <c r="E1534" s="35" t="s">
        <v>2090</v>
      </c>
      <c r="F1534" s="35" t="s">
        <v>604</v>
      </c>
    </row>
    <row r="1535" spans="1:6">
      <c r="A1535" s="35" t="s">
        <v>2139</v>
      </c>
      <c r="B1535" s="37">
        <v>278.95001220703125</v>
      </c>
      <c r="C1535" s="37">
        <v>254.81158447265625</v>
      </c>
      <c r="D1535" s="35">
        <v>7674490</v>
      </c>
      <c r="E1535" s="35" t="s">
        <v>2090</v>
      </c>
      <c r="F1535" s="35" t="s">
        <v>604</v>
      </c>
    </row>
    <row r="1536" spans="1:6">
      <c r="A1536" s="35" t="s">
        <v>2140</v>
      </c>
      <c r="B1536" s="37">
        <v>277.625</v>
      </c>
      <c r="C1536" s="37">
        <v>253.60121154785156</v>
      </c>
      <c r="D1536" s="35">
        <v>10994538</v>
      </c>
      <c r="E1536" s="35" t="s">
        <v>2090</v>
      </c>
      <c r="F1536" s="35" t="s">
        <v>604</v>
      </c>
    </row>
    <row r="1537" spans="1:6">
      <c r="A1537" s="35" t="s">
        <v>2141</v>
      </c>
      <c r="B1537" s="37">
        <v>279.35000610351563</v>
      </c>
      <c r="C1537" s="37">
        <v>255.17692565917969</v>
      </c>
      <c r="D1537" s="35">
        <v>8798696</v>
      </c>
      <c r="E1537" s="35" t="s">
        <v>2090</v>
      </c>
      <c r="F1537" s="35" t="s">
        <v>604</v>
      </c>
    </row>
    <row r="1538" spans="1:6">
      <c r="A1538" s="35" t="s">
        <v>2142</v>
      </c>
      <c r="B1538" s="37">
        <v>274.89999389648438</v>
      </c>
      <c r="C1538" s="37">
        <v>251.11198425292969</v>
      </c>
      <c r="D1538" s="35">
        <v>20014232</v>
      </c>
      <c r="E1538" s="35" t="s">
        <v>2090</v>
      </c>
      <c r="F1538" s="35" t="s">
        <v>604</v>
      </c>
    </row>
    <row r="1539" spans="1:6">
      <c r="A1539" s="35" t="s">
        <v>2143</v>
      </c>
      <c r="B1539" s="37">
        <v>271.07501220703125</v>
      </c>
      <c r="C1539" s="37">
        <v>247.61799621582031</v>
      </c>
      <c r="D1539" s="35">
        <v>10781642</v>
      </c>
      <c r="E1539" s="35" t="s">
        <v>2090</v>
      </c>
      <c r="F1539" s="35" t="s">
        <v>604</v>
      </c>
    </row>
    <row r="1540" spans="1:6">
      <c r="A1540" s="35" t="s">
        <v>2144</v>
      </c>
      <c r="B1540" s="37">
        <v>278.27499389648438</v>
      </c>
      <c r="C1540" s="37">
        <v>254.19493103027344</v>
      </c>
      <c r="D1540" s="35">
        <v>11505842</v>
      </c>
      <c r="E1540" s="35" t="s">
        <v>2090</v>
      </c>
      <c r="F1540" s="35" t="s">
        <v>604</v>
      </c>
    </row>
    <row r="1541" spans="1:6">
      <c r="A1541" s="35" t="s">
        <v>2145</v>
      </c>
      <c r="B1541" s="37">
        <v>270.07501220703125</v>
      </c>
      <c r="C1541" s="37">
        <v>246.70455932617188</v>
      </c>
      <c r="D1541" s="35">
        <v>22485404</v>
      </c>
      <c r="E1541" s="35" t="s">
        <v>2090</v>
      </c>
      <c r="F1541" s="35" t="s">
        <v>604</v>
      </c>
    </row>
    <row r="1542" spans="1:6">
      <c r="A1542" s="35" t="s">
        <v>2146</v>
      </c>
      <c r="B1542" s="37">
        <v>274.52499389648438</v>
      </c>
      <c r="C1542" s="37">
        <v>250.76950073242188</v>
      </c>
      <c r="D1542" s="35">
        <v>17337360</v>
      </c>
      <c r="E1542" s="35" t="s">
        <v>2090</v>
      </c>
      <c r="F1542" s="35" t="s">
        <v>604</v>
      </c>
    </row>
    <row r="1543" spans="1:6">
      <c r="A1543" s="35" t="s">
        <v>2147</v>
      </c>
      <c r="B1543" s="37">
        <v>273.75</v>
      </c>
      <c r="C1543" s="37">
        <v>250.06150817871094</v>
      </c>
      <c r="D1543" s="35">
        <v>10079644</v>
      </c>
      <c r="E1543" s="35" t="s">
        <v>2090</v>
      </c>
      <c r="F1543" s="35" t="s">
        <v>604</v>
      </c>
    </row>
    <row r="1544" spans="1:6">
      <c r="A1544" s="35" t="s">
        <v>2148</v>
      </c>
      <c r="B1544" s="37">
        <v>273.70001220703125</v>
      </c>
      <c r="C1544" s="37">
        <v>250.01583862304688</v>
      </c>
      <c r="D1544" s="35">
        <v>6519660</v>
      </c>
      <c r="E1544" s="35" t="s">
        <v>2090</v>
      </c>
      <c r="F1544" s="35" t="s">
        <v>604</v>
      </c>
    </row>
    <row r="1545" spans="1:6">
      <c r="A1545" s="35" t="s">
        <v>2149</v>
      </c>
      <c r="B1545" s="37">
        <v>271.29998779296875</v>
      </c>
      <c r="C1545" s="37">
        <v>247.82356262207031</v>
      </c>
      <c r="D1545" s="35">
        <v>15855760</v>
      </c>
      <c r="E1545" s="35" t="s">
        <v>2090</v>
      </c>
      <c r="F1545" s="35" t="s">
        <v>604</v>
      </c>
    </row>
    <row r="1546" spans="1:6">
      <c r="A1546" s="35" t="s">
        <v>2150</v>
      </c>
      <c r="B1546" s="37">
        <v>272.82501220703125</v>
      </c>
      <c r="C1546" s="37">
        <v>249.21659851074219</v>
      </c>
      <c r="D1546" s="35">
        <v>8586644</v>
      </c>
      <c r="E1546" s="35" t="s">
        <v>2090</v>
      </c>
      <c r="F1546" s="35" t="s">
        <v>604</v>
      </c>
    </row>
    <row r="1547" spans="1:6">
      <c r="A1547" s="35" t="s">
        <v>2151</v>
      </c>
      <c r="B1547" s="37">
        <v>269.67498779296875</v>
      </c>
      <c r="C1547" s="37">
        <v>246.33912658691406</v>
      </c>
      <c r="D1547" s="35">
        <v>8658748</v>
      </c>
      <c r="E1547" s="35" t="s">
        <v>2090</v>
      </c>
      <c r="F1547" s="35" t="s">
        <v>604</v>
      </c>
    </row>
    <row r="1548" spans="1:6">
      <c r="A1548" s="35" t="s">
        <v>2152</v>
      </c>
      <c r="B1548" s="37">
        <v>269.29998779296875</v>
      </c>
      <c r="C1548" s="37">
        <v>245.99659729003906</v>
      </c>
      <c r="D1548" s="35">
        <v>8314614</v>
      </c>
      <c r="E1548" s="35" t="s">
        <v>2090</v>
      </c>
      <c r="F1548" s="35" t="s">
        <v>604</v>
      </c>
    </row>
    <row r="1549" spans="1:6">
      <c r="A1549" s="35" t="s">
        <v>2153</v>
      </c>
      <c r="B1549" s="37">
        <v>268.17498779296875</v>
      </c>
      <c r="C1549" s="37">
        <v>244.96894836425781</v>
      </c>
      <c r="D1549" s="35">
        <v>6878338</v>
      </c>
      <c r="E1549" s="35" t="s">
        <v>2090</v>
      </c>
      <c r="F1549" s="35" t="s">
        <v>604</v>
      </c>
    </row>
    <row r="1550" spans="1:6">
      <c r="A1550" s="35" t="s">
        <v>2154</v>
      </c>
      <c r="B1550" s="37">
        <v>266.29998779296875</v>
      </c>
      <c r="C1550" s="37">
        <v>243.25614929199219</v>
      </c>
      <c r="D1550" s="35">
        <v>8386882</v>
      </c>
      <c r="E1550" s="35" t="s">
        <v>2090</v>
      </c>
      <c r="F1550" s="35" t="s">
        <v>604</v>
      </c>
    </row>
    <row r="1551" spans="1:6">
      <c r="A1551" s="35" t="s">
        <v>2155</v>
      </c>
      <c r="B1551" s="37">
        <v>266.07501220703125</v>
      </c>
      <c r="C1551" s="37">
        <v>243.05067443847656</v>
      </c>
      <c r="D1551" s="35">
        <v>10755374</v>
      </c>
      <c r="E1551" s="35" t="s">
        <v>2090</v>
      </c>
      <c r="F1551" s="35" t="s">
        <v>604</v>
      </c>
    </row>
    <row r="1552" spans="1:6">
      <c r="A1552" s="35" t="s">
        <v>2156</v>
      </c>
      <c r="B1552" s="37">
        <v>265.5</v>
      </c>
      <c r="C1552" s="37">
        <v>242.52540588378906</v>
      </c>
      <c r="D1552" s="35">
        <v>9131020</v>
      </c>
      <c r="E1552" s="35" t="s">
        <v>2090</v>
      </c>
      <c r="F1552" s="35" t="s">
        <v>604</v>
      </c>
    </row>
    <row r="1553" spans="1:6">
      <c r="A1553" s="35" t="s">
        <v>2157</v>
      </c>
      <c r="B1553" s="37">
        <v>262.89999389648438</v>
      </c>
      <c r="C1553" s="37">
        <v>240.15040588378906</v>
      </c>
      <c r="D1553" s="35">
        <v>11449216</v>
      </c>
      <c r="E1553" s="35" t="s">
        <v>2090</v>
      </c>
      <c r="F1553" s="35" t="s">
        <v>604</v>
      </c>
    </row>
    <row r="1554" spans="1:6">
      <c r="A1554" s="35" t="s">
        <v>2158</v>
      </c>
      <c r="B1554" s="37">
        <v>262.92498779296875</v>
      </c>
      <c r="C1554" s="37">
        <v>240.17320251464844</v>
      </c>
      <c r="D1554" s="35">
        <v>7731112</v>
      </c>
      <c r="E1554" s="35" t="s">
        <v>2090</v>
      </c>
      <c r="F1554" s="35" t="s">
        <v>604</v>
      </c>
    </row>
    <row r="1555" spans="1:6">
      <c r="A1555" s="35" t="s">
        <v>2159</v>
      </c>
      <c r="B1555" s="37">
        <v>262.42498779296875</v>
      </c>
      <c r="C1555" s="37">
        <v>239.71649169921875</v>
      </c>
      <c r="D1555" s="35">
        <v>8344716</v>
      </c>
      <c r="E1555" s="35" t="s">
        <v>2090</v>
      </c>
      <c r="F1555" s="35" t="s">
        <v>604</v>
      </c>
    </row>
    <row r="1556" spans="1:6">
      <c r="A1556" s="35" t="s">
        <v>2160</v>
      </c>
      <c r="B1556" s="37">
        <v>280.85000610351563</v>
      </c>
      <c r="C1556" s="37">
        <v>256.547119140625</v>
      </c>
      <c r="D1556" s="35">
        <v>58696166</v>
      </c>
      <c r="E1556" s="35" t="s">
        <v>2090</v>
      </c>
      <c r="F1556" s="35" t="s">
        <v>604</v>
      </c>
    </row>
    <row r="1557" spans="1:6">
      <c r="A1557" s="35" t="s">
        <v>2161</v>
      </c>
      <c r="B1557" s="37">
        <v>287.95001220703125</v>
      </c>
      <c r="C1557" s="37">
        <v>263.03271484375</v>
      </c>
      <c r="D1557" s="35">
        <v>62132402</v>
      </c>
      <c r="E1557" s="35" t="s">
        <v>2090</v>
      </c>
      <c r="F1557" s="35" t="s">
        <v>604</v>
      </c>
    </row>
    <row r="1558" spans="1:6">
      <c r="A1558" s="35" t="s">
        <v>2162</v>
      </c>
      <c r="B1558" s="37">
        <v>288.875</v>
      </c>
      <c r="C1558" s="37">
        <v>263.877685546875</v>
      </c>
      <c r="D1558" s="35">
        <v>73815654</v>
      </c>
      <c r="E1558" s="35" t="s">
        <v>2090</v>
      </c>
      <c r="F1558" s="35" t="s">
        <v>604</v>
      </c>
    </row>
    <row r="1559" spans="1:6">
      <c r="A1559" s="35" t="s">
        <v>2163</v>
      </c>
      <c r="B1559" s="37">
        <v>286.89999389648438</v>
      </c>
      <c r="C1559" s="37">
        <v>262.07357788085938</v>
      </c>
      <c r="D1559" s="35">
        <v>21715702</v>
      </c>
      <c r="E1559" s="35" t="s">
        <v>2090</v>
      </c>
      <c r="F1559" s="35" t="s">
        <v>604</v>
      </c>
    </row>
    <row r="1560" spans="1:6">
      <c r="A1560" s="35" t="s">
        <v>2164</v>
      </c>
      <c r="B1560" s="37">
        <v>284.04998779296875</v>
      </c>
      <c r="C1560" s="37">
        <v>259.47018432617188</v>
      </c>
      <c r="D1560" s="35">
        <v>21047054</v>
      </c>
      <c r="E1560" s="35" t="s">
        <v>2090</v>
      </c>
      <c r="F1560" s="35" t="s">
        <v>604</v>
      </c>
    </row>
    <row r="1561" spans="1:6">
      <c r="A1561" s="35" t="s">
        <v>2165</v>
      </c>
      <c r="B1561" s="37">
        <v>292.10000610351563</v>
      </c>
      <c r="C1561" s="37">
        <v>266.82363891601563</v>
      </c>
      <c r="D1561" s="35">
        <v>24086770</v>
      </c>
      <c r="E1561" s="35" t="s">
        <v>2090</v>
      </c>
      <c r="F1561" s="35" t="s">
        <v>604</v>
      </c>
    </row>
    <row r="1562" spans="1:6">
      <c r="A1562" s="35" t="s">
        <v>2166</v>
      </c>
      <c r="B1562" s="37">
        <v>299.57501220703125</v>
      </c>
      <c r="C1562" s="37">
        <v>273.65182495117188</v>
      </c>
      <c r="D1562" s="35">
        <v>28114910</v>
      </c>
      <c r="E1562" s="35" t="s">
        <v>2090</v>
      </c>
      <c r="F1562" s="35" t="s">
        <v>604</v>
      </c>
    </row>
    <row r="1563" spans="1:6">
      <c r="A1563" s="35" t="s">
        <v>2167</v>
      </c>
      <c r="B1563" s="37">
        <v>295.22500610351563</v>
      </c>
      <c r="C1563" s="37">
        <v>269.67825317382813</v>
      </c>
      <c r="D1563" s="35">
        <v>12199806</v>
      </c>
      <c r="E1563" s="35" t="s">
        <v>2090</v>
      </c>
      <c r="F1563" s="35" t="s">
        <v>604</v>
      </c>
    </row>
    <row r="1564" spans="1:6">
      <c r="A1564" s="35" t="s">
        <v>2168</v>
      </c>
      <c r="B1564" s="37">
        <v>295.72500610351563</v>
      </c>
      <c r="C1564" s="37">
        <v>270.13494873046875</v>
      </c>
      <c r="D1564" s="35">
        <v>7966274</v>
      </c>
      <c r="E1564" s="35" t="s">
        <v>2090</v>
      </c>
      <c r="F1564" s="35" t="s">
        <v>604</v>
      </c>
    </row>
    <row r="1565" spans="1:6">
      <c r="A1565" s="35" t="s">
        <v>2169</v>
      </c>
      <c r="B1565" s="37">
        <v>295.97500610351563</v>
      </c>
      <c r="C1565" s="37">
        <v>270.36334228515625</v>
      </c>
      <c r="D1565" s="35">
        <v>9147860</v>
      </c>
      <c r="E1565" s="35" t="s">
        <v>2090</v>
      </c>
      <c r="F1565" s="35" t="s">
        <v>604</v>
      </c>
    </row>
    <row r="1566" spans="1:6">
      <c r="A1566" s="35" t="s">
        <v>2170</v>
      </c>
      <c r="B1566" s="37">
        <v>295.22500610351563</v>
      </c>
      <c r="C1566" s="37">
        <v>269.67825317382813</v>
      </c>
      <c r="D1566" s="35">
        <v>11668940</v>
      </c>
      <c r="E1566" s="35" t="s">
        <v>2090</v>
      </c>
      <c r="F1566" s="35" t="s">
        <v>604</v>
      </c>
    </row>
    <row r="1567" spans="1:6">
      <c r="A1567" s="35" t="s">
        <v>2171</v>
      </c>
      <c r="B1567" s="37">
        <v>293.57501220703125</v>
      </c>
      <c r="C1567" s="37">
        <v>268.17098999023438</v>
      </c>
      <c r="D1567" s="35">
        <v>6356412</v>
      </c>
      <c r="E1567" s="35" t="s">
        <v>2090</v>
      </c>
      <c r="F1567" s="35" t="s">
        <v>604</v>
      </c>
    </row>
    <row r="1568" spans="1:6">
      <c r="A1568" s="35" t="s">
        <v>2172</v>
      </c>
      <c r="B1568" s="37">
        <v>296.125</v>
      </c>
      <c r="C1568" s="37">
        <v>270.50033569335938</v>
      </c>
      <c r="D1568" s="35">
        <v>9247796</v>
      </c>
      <c r="E1568" s="35" t="s">
        <v>2090</v>
      </c>
      <c r="F1568" s="35" t="s">
        <v>604</v>
      </c>
    </row>
    <row r="1569" spans="1:6">
      <c r="A1569" s="35" t="s">
        <v>2173</v>
      </c>
      <c r="B1569" s="37">
        <v>299.70001220703125</v>
      </c>
      <c r="C1569" s="37">
        <v>273.76602172851563</v>
      </c>
      <c r="D1569" s="35">
        <v>10331214</v>
      </c>
      <c r="E1569" s="35" t="s">
        <v>2090</v>
      </c>
      <c r="F1569" s="35" t="s">
        <v>604</v>
      </c>
    </row>
    <row r="1570" spans="1:6">
      <c r="A1570" s="35" t="s">
        <v>2174</v>
      </c>
      <c r="B1570" s="37">
        <v>298.39999389648438</v>
      </c>
      <c r="C1570" s="37">
        <v>272.57846069335938</v>
      </c>
      <c r="D1570" s="35">
        <v>9018712</v>
      </c>
      <c r="E1570" s="35" t="s">
        <v>2090</v>
      </c>
      <c r="F1570" s="35" t="s">
        <v>604</v>
      </c>
    </row>
    <row r="1571" spans="1:6">
      <c r="A1571" s="35" t="s">
        <v>2175</v>
      </c>
      <c r="B1571" s="37">
        <v>300.45001220703125</v>
      </c>
      <c r="C1571" s="37">
        <v>274.45111083984375</v>
      </c>
      <c r="D1571" s="35">
        <v>22588728</v>
      </c>
      <c r="E1571" s="35" t="s">
        <v>2090</v>
      </c>
      <c r="F1571" s="35" t="s">
        <v>604</v>
      </c>
    </row>
    <row r="1572" spans="1:6">
      <c r="A1572" s="35" t="s">
        <v>2176</v>
      </c>
      <c r="B1572" s="37">
        <v>299</v>
      </c>
      <c r="C1572" s="37">
        <v>273.12655639648438</v>
      </c>
      <c r="D1572" s="35">
        <v>10540400</v>
      </c>
      <c r="E1572" s="35" t="s">
        <v>2090</v>
      </c>
      <c r="F1572" s="35" t="s">
        <v>604</v>
      </c>
    </row>
    <row r="1573" spans="1:6">
      <c r="A1573" s="35" t="s">
        <v>2177</v>
      </c>
      <c r="B1573" s="37">
        <v>298.39999389648438</v>
      </c>
      <c r="C1573" s="37">
        <v>272.57846069335938</v>
      </c>
      <c r="D1573" s="35">
        <v>9293502</v>
      </c>
      <c r="E1573" s="35" t="s">
        <v>2090</v>
      </c>
      <c r="F1573" s="35" t="s">
        <v>604</v>
      </c>
    </row>
    <row r="1574" spans="1:6">
      <c r="A1574" s="35" t="s">
        <v>2178</v>
      </c>
      <c r="B1574" s="37">
        <v>301.92498779296875</v>
      </c>
      <c r="C1574" s="37">
        <v>275.79840087890625</v>
      </c>
      <c r="D1574" s="35">
        <v>14055564</v>
      </c>
      <c r="E1574" s="35" t="s">
        <v>2090</v>
      </c>
      <c r="F1574" s="35" t="s">
        <v>604</v>
      </c>
    </row>
    <row r="1575" spans="1:6">
      <c r="A1575" s="35" t="s">
        <v>2179</v>
      </c>
      <c r="B1575" s="37">
        <v>300.625</v>
      </c>
      <c r="C1575" s="37">
        <v>274.6109619140625</v>
      </c>
      <c r="D1575" s="35">
        <v>8565026</v>
      </c>
      <c r="E1575" s="35" t="s">
        <v>2090</v>
      </c>
      <c r="F1575" s="35" t="s">
        <v>604</v>
      </c>
    </row>
    <row r="1576" spans="1:6">
      <c r="A1576" s="35" t="s">
        <v>2180</v>
      </c>
      <c r="B1576" s="37">
        <v>302.92498779296875</v>
      </c>
      <c r="C1576" s="37">
        <v>276.7119140625</v>
      </c>
      <c r="D1576" s="35">
        <v>7905016</v>
      </c>
      <c r="E1576" s="35" t="s">
        <v>2090</v>
      </c>
      <c r="F1576" s="35" t="s">
        <v>604</v>
      </c>
    </row>
    <row r="1577" spans="1:6">
      <c r="A1577" s="35" t="s">
        <v>2181</v>
      </c>
      <c r="B1577" s="37">
        <v>307.75</v>
      </c>
      <c r="C1577" s="37">
        <v>281.11941528320313</v>
      </c>
      <c r="D1577" s="35">
        <v>16729368</v>
      </c>
      <c r="E1577" s="35" t="s">
        <v>2090</v>
      </c>
      <c r="F1577" s="35" t="s">
        <v>604</v>
      </c>
    </row>
    <row r="1578" spans="1:6">
      <c r="A1578" s="35" t="s">
        <v>2182</v>
      </c>
      <c r="B1578" s="37">
        <v>307.02499389648438</v>
      </c>
      <c r="C1578" s="37">
        <v>280.4571533203125</v>
      </c>
      <c r="D1578" s="35">
        <v>7144852</v>
      </c>
      <c r="E1578" s="35" t="s">
        <v>2090</v>
      </c>
      <c r="F1578" s="35" t="s">
        <v>604</v>
      </c>
    </row>
    <row r="1579" spans="1:6">
      <c r="A1579" s="35" t="s">
        <v>2183</v>
      </c>
      <c r="B1579" s="37">
        <v>317.45001220703125</v>
      </c>
      <c r="C1579" s="37">
        <v>289.98004150390625</v>
      </c>
      <c r="D1579" s="35">
        <v>23645544</v>
      </c>
      <c r="E1579" s="35" t="s">
        <v>2090</v>
      </c>
      <c r="F1579" s="35" t="s">
        <v>604</v>
      </c>
    </row>
    <row r="1580" spans="1:6">
      <c r="A1580" s="35" t="s">
        <v>2184</v>
      </c>
      <c r="B1580" s="37">
        <v>314.70001220703125</v>
      </c>
      <c r="C1580" s="37">
        <v>287.468017578125</v>
      </c>
      <c r="D1580" s="35">
        <v>13847154</v>
      </c>
      <c r="E1580" s="35" t="s">
        <v>2090</v>
      </c>
      <c r="F1580" s="35" t="s">
        <v>604</v>
      </c>
    </row>
    <row r="1581" spans="1:6">
      <c r="A1581" s="35" t="s">
        <v>2185</v>
      </c>
      <c r="B1581" s="37">
        <v>310.02499389648438</v>
      </c>
      <c r="C1581" s="37">
        <v>283.19754028320313</v>
      </c>
      <c r="D1581" s="35">
        <v>12341386</v>
      </c>
      <c r="E1581" s="35" t="s">
        <v>2090</v>
      </c>
      <c r="F1581" s="35" t="s">
        <v>604</v>
      </c>
    </row>
    <row r="1582" spans="1:6">
      <c r="A1582" s="35" t="s">
        <v>2186</v>
      </c>
      <c r="B1582" s="37">
        <v>314.42498779296875</v>
      </c>
      <c r="C1582" s="37">
        <v>287.21673583984375</v>
      </c>
      <c r="D1582" s="35">
        <v>14072750</v>
      </c>
      <c r="E1582" s="35" t="s">
        <v>2090</v>
      </c>
      <c r="F1582" s="35" t="s">
        <v>604</v>
      </c>
    </row>
    <row r="1583" spans="1:6">
      <c r="A1583" s="35" t="s">
        <v>2187</v>
      </c>
      <c r="B1583" s="37">
        <v>316.77499389648438</v>
      </c>
      <c r="C1583" s="37">
        <v>289.3634033203125</v>
      </c>
      <c r="D1583" s="35">
        <v>8967436</v>
      </c>
      <c r="E1583" s="35" t="s">
        <v>2090</v>
      </c>
      <c r="F1583" s="35" t="s">
        <v>604</v>
      </c>
    </row>
    <row r="1584" spans="1:6">
      <c r="A1584" s="35" t="s">
        <v>2188</v>
      </c>
      <c r="B1584" s="37">
        <v>315.82501220703125</v>
      </c>
      <c r="C1584" s="37">
        <v>288.49560546875</v>
      </c>
      <c r="D1584" s="35">
        <v>12815436</v>
      </c>
      <c r="E1584" s="35" t="s">
        <v>2090</v>
      </c>
      <c r="F1584" s="35" t="s">
        <v>604</v>
      </c>
    </row>
    <row r="1585" spans="1:6">
      <c r="A1585" s="35" t="s">
        <v>2189</v>
      </c>
      <c r="B1585" s="37">
        <v>314.47500610351563</v>
      </c>
      <c r="C1585" s="37">
        <v>287.262451171875</v>
      </c>
      <c r="D1585" s="35">
        <v>8416702</v>
      </c>
      <c r="E1585" s="35" t="s">
        <v>2090</v>
      </c>
      <c r="F1585" s="35" t="s">
        <v>604</v>
      </c>
    </row>
    <row r="1586" spans="1:6">
      <c r="A1586" s="35" t="s">
        <v>2190</v>
      </c>
      <c r="B1586" s="37">
        <v>317.47500610351563</v>
      </c>
      <c r="C1586" s="37">
        <v>290.00286865234375</v>
      </c>
      <c r="D1586" s="35">
        <v>8743108</v>
      </c>
      <c r="E1586" s="35" t="s">
        <v>2090</v>
      </c>
      <c r="F1586" s="35" t="s">
        <v>604</v>
      </c>
    </row>
    <row r="1587" spans="1:6">
      <c r="A1587" s="35" t="s">
        <v>2191</v>
      </c>
      <c r="B1587" s="37">
        <v>316.22500610351563</v>
      </c>
      <c r="C1587" s="37">
        <v>288.86099243164063</v>
      </c>
      <c r="D1587" s="35">
        <v>8743710</v>
      </c>
      <c r="E1587" s="35" t="s">
        <v>2090</v>
      </c>
      <c r="F1587" s="35" t="s">
        <v>604</v>
      </c>
    </row>
    <row r="1588" spans="1:6">
      <c r="A1588" s="35" t="s">
        <v>2192</v>
      </c>
      <c r="B1588" s="37">
        <v>320.47500610351563</v>
      </c>
      <c r="C1588" s="37">
        <v>292.74322509765625</v>
      </c>
      <c r="D1588" s="35">
        <v>15591816</v>
      </c>
      <c r="E1588" s="35" t="s">
        <v>2090</v>
      </c>
      <c r="F1588" s="35" t="s">
        <v>604</v>
      </c>
    </row>
    <row r="1589" spans="1:6">
      <c r="A1589" s="35" t="s">
        <v>2193</v>
      </c>
      <c r="B1589" s="37">
        <v>321.02499389648438</v>
      </c>
      <c r="C1589" s="37">
        <v>293.24566650390625</v>
      </c>
      <c r="D1589" s="35">
        <v>9450444</v>
      </c>
      <c r="E1589" s="35" t="s">
        <v>2090</v>
      </c>
      <c r="F1589" s="35" t="s">
        <v>604</v>
      </c>
    </row>
    <row r="1590" spans="1:6">
      <c r="A1590" s="35" t="s">
        <v>2194</v>
      </c>
      <c r="B1590" s="37">
        <v>325.72500610351563</v>
      </c>
      <c r="C1590" s="37">
        <v>297.53897094726563</v>
      </c>
      <c r="D1590" s="35">
        <v>9077556</v>
      </c>
      <c r="E1590" s="35" t="s">
        <v>2090</v>
      </c>
      <c r="F1590" s="35" t="s">
        <v>604</v>
      </c>
    </row>
    <row r="1591" spans="1:6">
      <c r="A1591" s="35" t="s">
        <v>2195</v>
      </c>
      <c r="B1591" s="37">
        <v>327.54998779296875</v>
      </c>
      <c r="C1591" s="37">
        <v>299.2060546875</v>
      </c>
      <c r="D1591" s="35">
        <v>7549940</v>
      </c>
      <c r="E1591" s="35" t="s">
        <v>2090</v>
      </c>
      <c r="F1591" s="35" t="s">
        <v>604</v>
      </c>
    </row>
    <row r="1592" spans="1:6">
      <c r="A1592" s="35" t="s">
        <v>2196</v>
      </c>
      <c r="B1592" s="37">
        <v>343.22500610351563</v>
      </c>
      <c r="C1592" s="37">
        <v>313.52462768554688</v>
      </c>
      <c r="D1592" s="35">
        <v>24676832</v>
      </c>
      <c r="E1592" s="35" t="s">
        <v>2090</v>
      </c>
      <c r="F1592" s="35" t="s">
        <v>604</v>
      </c>
    </row>
    <row r="1593" spans="1:6">
      <c r="A1593" s="35" t="s">
        <v>2197</v>
      </c>
      <c r="B1593" s="37">
        <v>337.125</v>
      </c>
      <c r="C1593" s="37">
        <v>307.95245361328125</v>
      </c>
      <c r="D1593" s="35">
        <v>12812218</v>
      </c>
      <c r="E1593" s="35" t="s">
        <v>2090</v>
      </c>
      <c r="F1593" s="35" t="s">
        <v>604</v>
      </c>
    </row>
    <row r="1594" spans="1:6">
      <c r="A1594" s="35" t="s">
        <v>2198</v>
      </c>
      <c r="B1594" s="37">
        <v>331.10000610351563</v>
      </c>
      <c r="C1594" s="37">
        <v>302.4488525390625</v>
      </c>
      <c r="D1594" s="35">
        <v>13432462</v>
      </c>
      <c r="E1594" s="35" t="s">
        <v>2090</v>
      </c>
      <c r="F1594" s="35" t="s">
        <v>604</v>
      </c>
    </row>
    <row r="1595" spans="1:6">
      <c r="A1595" s="35" t="s">
        <v>2199</v>
      </c>
      <c r="B1595" s="37">
        <v>331.17498779296875</v>
      </c>
      <c r="C1595" s="37">
        <v>302.517333984375</v>
      </c>
      <c r="D1595" s="35">
        <v>11611460</v>
      </c>
      <c r="E1595" s="35" t="s">
        <v>2090</v>
      </c>
      <c r="F1595" s="35" t="s">
        <v>604</v>
      </c>
    </row>
    <row r="1596" spans="1:6">
      <c r="A1596" s="35" t="s">
        <v>2200</v>
      </c>
      <c r="B1596" s="37">
        <v>335.375</v>
      </c>
      <c r="C1596" s="37">
        <v>306.35391235351563</v>
      </c>
      <c r="D1596" s="35">
        <v>11177578</v>
      </c>
      <c r="E1596" s="35" t="s">
        <v>2090</v>
      </c>
      <c r="F1596" s="35" t="s">
        <v>604</v>
      </c>
    </row>
    <row r="1597" spans="1:6">
      <c r="A1597" s="35" t="s">
        <v>2201</v>
      </c>
      <c r="B1597" s="37">
        <v>336.72500610351563</v>
      </c>
      <c r="C1597" s="37">
        <v>307.58706665039063</v>
      </c>
      <c r="D1597" s="35">
        <v>7322676</v>
      </c>
      <c r="E1597" s="35" t="s">
        <v>2090</v>
      </c>
      <c r="F1597" s="35" t="s">
        <v>604</v>
      </c>
    </row>
    <row r="1598" spans="1:6">
      <c r="A1598" s="35" t="s">
        <v>2202</v>
      </c>
      <c r="B1598" s="37">
        <v>337.02499389648438</v>
      </c>
      <c r="C1598" s="37">
        <v>307.86111450195313</v>
      </c>
      <c r="D1598" s="35">
        <v>8290832</v>
      </c>
      <c r="E1598" s="35" t="s">
        <v>2090</v>
      </c>
      <c r="F1598" s="35" t="s">
        <v>604</v>
      </c>
    </row>
    <row r="1599" spans="1:6">
      <c r="A1599" s="35" t="s">
        <v>2203</v>
      </c>
      <c r="B1599" s="37">
        <v>333.92498779296875</v>
      </c>
      <c r="C1599" s="37">
        <v>305.02938842773438</v>
      </c>
      <c r="D1599" s="35">
        <v>9315692</v>
      </c>
      <c r="E1599" s="35" t="s">
        <v>2090</v>
      </c>
      <c r="F1599" s="35" t="s">
        <v>604</v>
      </c>
    </row>
    <row r="1600" spans="1:6">
      <c r="A1600" s="35" t="s">
        <v>2204</v>
      </c>
      <c r="B1600" s="37">
        <v>332.625</v>
      </c>
      <c r="C1600" s="37">
        <v>303.84185791015625</v>
      </c>
      <c r="D1600" s="35">
        <v>10815562</v>
      </c>
      <c r="E1600" s="35" t="s">
        <v>2090</v>
      </c>
      <c r="F1600" s="35" t="s">
        <v>604</v>
      </c>
    </row>
    <row r="1601" spans="1:6">
      <c r="A1601" s="35" t="s">
        <v>2205</v>
      </c>
      <c r="B1601" s="37">
        <v>331.25</v>
      </c>
      <c r="C1601" s="37">
        <v>302.58584594726563</v>
      </c>
      <c r="D1601" s="35">
        <v>9092860</v>
      </c>
      <c r="E1601" s="35" t="s">
        <v>2090</v>
      </c>
      <c r="F1601" s="35" t="s">
        <v>604</v>
      </c>
    </row>
    <row r="1602" spans="1:6">
      <c r="A1602" s="35" t="s">
        <v>2206</v>
      </c>
      <c r="B1602" s="37">
        <v>333.79998779296875</v>
      </c>
      <c r="C1602" s="37">
        <v>304.91519165039063</v>
      </c>
      <c r="D1602" s="35">
        <v>7367102</v>
      </c>
      <c r="E1602" s="35" t="s">
        <v>2090</v>
      </c>
      <c r="F1602" s="35" t="s">
        <v>604</v>
      </c>
    </row>
    <row r="1603" spans="1:6">
      <c r="A1603" s="35" t="s">
        <v>2207</v>
      </c>
      <c r="B1603" s="37">
        <v>334.07501220703125</v>
      </c>
      <c r="C1603" s="37">
        <v>305.1663818359375</v>
      </c>
      <c r="D1603" s="35">
        <v>9583304</v>
      </c>
      <c r="E1603" s="35" t="s">
        <v>2090</v>
      </c>
      <c r="F1603" s="35" t="s">
        <v>604</v>
      </c>
    </row>
    <row r="1604" spans="1:6">
      <c r="A1604" s="35" t="s">
        <v>2208</v>
      </c>
      <c r="B1604" s="37">
        <v>337.14999389648438</v>
      </c>
      <c r="C1604" s="37">
        <v>307.97528076171875</v>
      </c>
      <c r="D1604" s="35">
        <v>6462586</v>
      </c>
      <c r="E1604" s="35" t="s">
        <v>2090</v>
      </c>
      <c r="F1604" s="35" t="s">
        <v>604</v>
      </c>
    </row>
    <row r="1605" spans="1:6">
      <c r="A1605" s="35" t="s">
        <v>2209</v>
      </c>
      <c r="B1605" s="37">
        <v>338.25</v>
      </c>
      <c r="C1605" s="37">
        <v>308.98016357421875</v>
      </c>
      <c r="D1605" s="35">
        <v>24253176</v>
      </c>
      <c r="E1605" s="35" t="s">
        <v>2090</v>
      </c>
      <c r="F1605" s="35" t="s">
        <v>604</v>
      </c>
    </row>
    <row r="1606" spans="1:6">
      <c r="A1606" s="35" t="s">
        <v>2210</v>
      </c>
      <c r="B1606" s="37">
        <v>326.95001220703125</v>
      </c>
      <c r="C1606" s="37">
        <v>298.657958984375</v>
      </c>
      <c r="D1606" s="35">
        <v>16798164</v>
      </c>
      <c r="E1606" s="35" t="s">
        <v>2090</v>
      </c>
      <c r="F1606" s="35" t="s">
        <v>604</v>
      </c>
    </row>
    <row r="1607" spans="1:6">
      <c r="A1607" s="35" t="s">
        <v>2211</v>
      </c>
      <c r="B1607" s="37">
        <v>319.79998779296875</v>
      </c>
      <c r="C1607" s="37">
        <v>292.12661743164063</v>
      </c>
      <c r="D1607" s="35">
        <v>16224924</v>
      </c>
      <c r="E1607" s="35" t="s">
        <v>2090</v>
      </c>
      <c r="F1607" s="35" t="s">
        <v>604</v>
      </c>
    </row>
    <row r="1608" spans="1:6">
      <c r="A1608" s="35" t="s">
        <v>2212</v>
      </c>
      <c r="B1608" s="37">
        <v>320.375</v>
      </c>
      <c r="C1608" s="37">
        <v>292.65191650390625</v>
      </c>
      <c r="D1608" s="35">
        <v>17679132</v>
      </c>
      <c r="E1608" s="35" t="s">
        <v>2090</v>
      </c>
      <c r="F1608" s="35" t="s">
        <v>604</v>
      </c>
    </row>
    <row r="1609" spans="1:6">
      <c r="A1609" s="35" t="s">
        <v>2213</v>
      </c>
      <c r="B1609" s="37">
        <v>317.04998779296875</v>
      </c>
      <c r="C1609" s="37">
        <v>289.6146240234375</v>
      </c>
      <c r="D1609" s="35">
        <v>12027918</v>
      </c>
      <c r="E1609" s="35" t="s">
        <v>2090</v>
      </c>
      <c r="F1609" s="35" t="s">
        <v>604</v>
      </c>
    </row>
    <row r="1610" spans="1:6">
      <c r="A1610" s="35" t="s">
        <v>2214</v>
      </c>
      <c r="B1610" s="37">
        <v>318.125</v>
      </c>
      <c r="C1610" s="37">
        <v>290.5965576171875</v>
      </c>
      <c r="D1610" s="35">
        <v>8417708</v>
      </c>
      <c r="E1610" s="35" t="s">
        <v>2090</v>
      </c>
      <c r="F1610" s="35" t="s">
        <v>604</v>
      </c>
    </row>
    <row r="1611" spans="1:6">
      <c r="A1611" s="35" t="s">
        <v>2215</v>
      </c>
      <c r="B1611" s="37">
        <v>320.52499389648438</v>
      </c>
      <c r="C1611" s="37">
        <v>292.7889404296875</v>
      </c>
      <c r="D1611" s="35">
        <v>10494244</v>
      </c>
      <c r="E1611" s="35" t="s">
        <v>2090</v>
      </c>
      <c r="F1611" s="35" t="s">
        <v>604</v>
      </c>
    </row>
    <row r="1612" spans="1:6">
      <c r="A1612" s="35" t="s">
        <v>2216</v>
      </c>
      <c r="B1612" s="37">
        <v>323.42498779296875</v>
      </c>
      <c r="C1612" s="37">
        <v>295.43792724609375</v>
      </c>
      <c r="D1612" s="35">
        <v>10912148</v>
      </c>
      <c r="E1612" s="35" t="s">
        <v>2090</v>
      </c>
      <c r="F1612" s="35" t="s">
        <v>604</v>
      </c>
    </row>
    <row r="1613" spans="1:6">
      <c r="A1613" s="35" t="s">
        <v>2217</v>
      </c>
      <c r="B1613" s="37">
        <v>317.875</v>
      </c>
      <c r="C1613" s="37">
        <v>290.36825561523438</v>
      </c>
      <c r="D1613" s="35">
        <v>9673198</v>
      </c>
      <c r="E1613" s="35" t="s">
        <v>2090</v>
      </c>
      <c r="F1613" s="35" t="s">
        <v>604</v>
      </c>
    </row>
    <row r="1614" spans="1:6">
      <c r="A1614" s="35" t="s">
        <v>2218</v>
      </c>
      <c r="B1614" s="37">
        <v>321.47500610351563</v>
      </c>
      <c r="C1614" s="37">
        <v>293.65673828125</v>
      </c>
      <c r="D1614" s="35">
        <v>7448686</v>
      </c>
      <c r="E1614" s="35" t="s">
        <v>2090</v>
      </c>
      <c r="F1614" s="35" t="s">
        <v>604</v>
      </c>
    </row>
    <row r="1615" spans="1:6">
      <c r="A1615" s="35" t="s">
        <v>2219</v>
      </c>
      <c r="B1615" s="37">
        <v>330.57501220703125</v>
      </c>
      <c r="C1615" s="37">
        <v>301.96923828125</v>
      </c>
      <c r="D1615" s="35">
        <v>22091966</v>
      </c>
      <c r="E1615" s="35" t="s">
        <v>2090</v>
      </c>
      <c r="F1615" s="35" t="s">
        <v>604</v>
      </c>
    </row>
    <row r="1616" spans="1:6">
      <c r="A1616" s="35" t="s">
        <v>2220</v>
      </c>
      <c r="B1616" s="37">
        <v>326.39999389648438</v>
      </c>
      <c r="C1616" s="37">
        <v>298.155517578125</v>
      </c>
      <c r="D1616" s="35">
        <v>20422932</v>
      </c>
      <c r="E1616" s="35" t="s">
        <v>2090</v>
      </c>
      <c r="F1616" s="35" t="s">
        <v>604</v>
      </c>
    </row>
    <row r="1617" spans="1:6">
      <c r="A1617" s="35" t="s">
        <v>2221</v>
      </c>
      <c r="B1617" s="37">
        <v>329.54998779296875</v>
      </c>
      <c r="C1617" s="37">
        <v>301.032958984375</v>
      </c>
      <c r="D1617" s="35">
        <v>18680432</v>
      </c>
      <c r="E1617" s="35" t="s">
        <v>2090</v>
      </c>
      <c r="F1617" s="35" t="s">
        <v>604</v>
      </c>
    </row>
    <row r="1618" spans="1:6">
      <c r="A1618" s="35" t="s">
        <v>2222</v>
      </c>
      <c r="B1618" s="37">
        <v>336.29998779296875</v>
      </c>
      <c r="C1618" s="37">
        <v>307.19882202148438</v>
      </c>
      <c r="D1618" s="35">
        <v>18925882</v>
      </c>
      <c r="E1618" s="35" t="s">
        <v>2090</v>
      </c>
      <c r="F1618" s="35" t="s">
        <v>604</v>
      </c>
    </row>
    <row r="1619" spans="1:6">
      <c r="A1619" s="35" t="s">
        <v>2223</v>
      </c>
      <c r="B1619" s="37">
        <v>354.125</v>
      </c>
      <c r="C1619" s="37">
        <v>323.4814453125</v>
      </c>
      <c r="D1619" s="35">
        <v>118377606</v>
      </c>
      <c r="E1619" s="35" t="s">
        <v>2090</v>
      </c>
      <c r="F1619" s="35" t="s">
        <v>604</v>
      </c>
    </row>
    <row r="1620" spans="1:6">
      <c r="A1620" s="35" t="s">
        <v>2224</v>
      </c>
      <c r="B1620" s="37">
        <v>354.875</v>
      </c>
      <c r="C1620" s="37">
        <v>324.16650390625</v>
      </c>
      <c r="D1620" s="35">
        <v>21198892</v>
      </c>
      <c r="E1620" s="35" t="s">
        <v>2090</v>
      </c>
      <c r="F1620" s="35" t="s">
        <v>604</v>
      </c>
    </row>
    <row r="1621" spans="1:6">
      <c r="A1621" s="35" t="s">
        <v>2225</v>
      </c>
      <c r="B1621" s="37">
        <v>355.77499389648438</v>
      </c>
      <c r="C1621" s="37">
        <v>324.9886474609375</v>
      </c>
      <c r="D1621" s="35">
        <v>21865148</v>
      </c>
      <c r="E1621" s="35" t="s">
        <v>2090</v>
      </c>
      <c r="F1621" s="35" t="s">
        <v>604</v>
      </c>
    </row>
    <row r="1622" spans="1:6">
      <c r="A1622" s="35" t="s">
        <v>2226</v>
      </c>
      <c r="B1622" s="37">
        <v>350.97500610351563</v>
      </c>
      <c r="C1622" s="37">
        <v>320.60400390625</v>
      </c>
      <c r="D1622" s="35">
        <v>16108782</v>
      </c>
      <c r="E1622" s="35" t="s">
        <v>2090</v>
      </c>
      <c r="F1622" s="35" t="s">
        <v>604</v>
      </c>
    </row>
    <row r="1623" spans="1:6">
      <c r="A1623" s="35" t="s">
        <v>2227</v>
      </c>
      <c r="B1623" s="37">
        <v>348.14999389648438</v>
      </c>
      <c r="C1623" s="37">
        <v>318.0234375</v>
      </c>
      <c r="D1623" s="35">
        <v>15916912</v>
      </c>
      <c r="E1623" s="35" t="s">
        <v>2090</v>
      </c>
      <c r="F1623" s="35" t="s">
        <v>604</v>
      </c>
    </row>
    <row r="1624" spans="1:6">
      <c r="A1624" s="35" t="s">
        <v>2228</v>
      </c>
      <c r="B1624" s="37">
        <v>341.20001220703125</v>
      </c>
      <c r="C1624" s="37">
        <v>311.6748046875</v>
      </c>
      <c r="D1624" s="35">
        <v>10758302</v>
      </c>
      <c r="E1624" s="35" t="s">
        <v>2090</v>
      </c>
      <c r="F1624" s="35" t="s">
        <v>604</v>
      </c>
    </row>
    <row r="1625" spans="1:6">
      <c r="A1625" s="35" t="s">
        <v>2229</v>
      </c>
      <c r="B1625" s="37">
        <v>333.85000610351563</v>
      </c>
      <c r="C1625" s="37">
        <v>304.96084594726563</v>
      </c>
      <c r="D1625" s="35">
        <v>17621916</v>
      </c>
      <c r="E1625" s="35" t="s">
        <v>2090</v>
      </c>
      <c r="F1625" s="35" t="s">
        <v>604</v>
      </c>
    </row>
    <row r="1626" spans="1:6">
      <c r="A1626" s="35" t="s">
        <v>2230</v>
      </c>
      <c r="B1626" s="37">
        <v>334.07501220703125</v>
      </c>
      <c r="C1626" s="37">
        <v>305.1663818359375</v>
      </c>
      <c r="D1626" s="35">
        <v>12193966</v>
      </c>
      <c r="E1626" s="35" t="s">
        <v>2090</v>
      </c>
      <c r="F1626" s="35" t="s">
        <v>604</v>
      </c>
    </row>
    <row r="1627" spans="1:6">
      <c r="A1627" s="35" t="s">
        <v>2231</v>
      </c>
      <c r="B1627" s="37">
        <v>335.54998779296875</v>
      </c>
      <c r="C1627" s="37">
        <v>306.51373291015625</v>
      </c>
      <c r="D1627" s="35">
        <v>12631178</v>
      </c>
      <c r="E1627" s="35" t="s">
        <v>2090</v>
      </c>
      <c r="F1627" s="35" t="s">
        <v>604</v>
      </c>
    </row>
    <row r="1628" spans="1:6">
      <c r="A1628" s="35" t="s">
        <v>2232</v>
      </c>
      <c r="B1628" s="37">
        <v>328.45001220703125</v>
      </c>
      <c r="C1628" s="37">
        <v>300.02813720703125</v>
      </c>
      <c r="D1628" s="35">
        <v>10357542</v>
      </c>
      <c r="E1628" s="35" t="s">
        <v>2090</v>
      </c>
      <c r="F1628" s="35" t="s">
        <v>604</v>
      </c>
    </row>
    <row r="1629" spans="1:6">
      <c r="A1629" s="35" t="s">
        <v>2233</v>
      </c>
      <c r="B1629" s="37">
        <v>323.375</v>
      </c>
      <c r="C1629" s="37">
        <v>295.39230346679688</v>
      </c>
      <c r="D1629" s="35">
        <v>13522634</v>
      </c>
      <c r="E1629" s="35" t="s">
        <v>2090</v>
      </c>
      <c r="F1629" s="35" t="s">
        <v>604</v>
      </c>
    </row>
    <row r="1630" spans="1:6">
      <c r="A1630" s="35" t="s">
        <v>2234</v>
      </c>
      <c r="B1630" s="37">
        <v>327.72500610351563</v>
      </c>
      <c r="C1630" s="37">
        <v>299.36590576171875</v>
      </c>
      <c r="D1630" s="35">
        <v>8802466</v>
      </c>
      <c r="E1630" s="35" t="s">
        <v>2090</v>
      </c>
      <c r="F1630" s="35" t="s">
        <v>604</v>
      </c>
    </row>
    <row r="1631" spans="1:6">
      <c r="A1631" s="35" t="s">
        <v>2235</v>
      </c>
      <c r="B1631" s="37">
        <v>326.89999389648438</v>
      </c>
      <c r="C1631" s="37">
        <v>298.61224365234375</v>
      </c>
      <c r="D1631" s="35">
        <v>8079378</v>
      </c>
      <c r="E1631" s="35" t="s">
        <v>2090</v>
      </c>
      <c r="F1631" s="35" t="s">
        <v>604</v>
      </c>
    </row>
    <row r="1632" spans="1:6">
      <c r="A1632" s="35" t="s">
        <v>2236</v>
      </c>
      <c r="B1632" s="37">
        <v>326.25</v>
      </c>
      <c r="C1632" s="37">
        <v>298.01852416992188</v>
      </c>
      <c r="D1632" s="35">
        <v>6871182</v>
      </c>
      <c r="E1632" s="35" t="s">
        <v>2090</v>
      </c>
      <c r="F1632" s="35" t="s">
        <v>604</v>
      </c>
    </row>
    <row r="1633" spans="1:6">
      <c r="A1633" s="35" t="s">
        <v>2237</v>
      </c>
      <c r="B1633" s="37">
        <v>326.85000610351563</v>
      </c>
      <c r="C1633" s="37">
        <v>298.56658935546875</v>
      </c>
      <c r="D1633" s="35">
        <v>1565810</v>
      </c>
      <c r="E1633" s="35" t="s">
        <v>2090</v>
      </c>
      <c r="F1633" s="35" t="s">
        <v>604</v>
      </c>
    </row>
    <row r="1634" spans="1:6">
      <c r="A1634" s="35" t="s">
        <v>2238</v>
      </c>
      <c r="B1634" s="37">
        <v>329.17498779296875</v>
      </c>
      <c r="C1634" s="37">
        <v>300.6904296875</v>
      </c>
      <c r="D1634" s="35">
        <v>9504460</v>
      </c>
      <c r="E1634" s="35" t="s">
        <v>2090</v>
      </c>
      <c r="F1634" s="35" t="s">
        <v>604</v>
      </c>
    </row>
    <row r="1635" spans="1:6">
      <c r="A1635" s="35" t="s">
        <v>2239</v>
      </c>
      <c r="B1635" s="37">
        <v>329.22500610351563</v>
      </c>
      <c r="C1635" s="37">
        <v>300.73611450195313</v>
      </c>
      <c r="D1635" s="35">
        <v>8284130</v>
      </c>
      <c r="E1635" s="35" t="s">
        <v>2090</v>
      </c>
      <c r="F1635" s="35" t="s">
        <v>604</v>
      </c>
    </row>
    <row r="1636" spans="1:6">
      <c r="A1636" s="35" t="s">
        <v>2240</v>
      </c>
      <c r="B1636" s="37">
        <v>326.29998779296875</v>
      </c>
      <c r="C1636" s="37">
        <v>298.06414794921875</v>
      </c>
      <c r="D1636" s="35">
        <v>8091390</v>
      </c>
      <c r="E1636" s="35" t="s">
        <v>2090</v>
      </c>
      <c r="F1636" s="35" t="s">
        <v>604</v>
      </c>
    </row>
    <row r="1637" spans="1:6">
      <c r="A1637" s="35" t="s">
        <v>2241</v>
      </c>
      <c r="B1637" s="37">
        <v>320.89999389648438</v>
      </c>
      <c r="C1637" s="37">
        <v>293.1314697265625</v>
      </c>
      <c r="D1637" s="35">
        <v>12067796</v>
      </c>
      <c r="E1637" s="35" t="s">
        <v>2090</v>
      </c>
      <c r="F1637" s="35" t="s">
        <v>604</v>
      </c>
    </row>
    <row r="1638" spans="1:6">
      <c r="A1638" s="35" t="s">
        <v>2242</v>
      </c>
      <c r="B1638" s="37">
        <v>330.02499389648438</v>
      </c>
      <c r="C1638" s="37">
        <v>301.46688842773438</v>
      </c>
      <c r="D1638" s="35">
        <v>12126506</v>
      </c>
      <c r="E1638" s="35" t="s">
        <v>2090</v>
      </c>
      <c r="F1638" s="35" t="s">
        <v>604</v>
      </c>
    </row>
    <row r="1639" spans="1:6">
      <c r="A1639" s="35" t="s">
        <v>2243</v>
      </c>
      <c r="B1639" s="37">
        <v>329.45001220703125</v>
      </c>
      <c r="C1639" s="37">
        <v>300.94161987304688</v>
      </c>
      <c r="D1639" s="35">
        <v>9435996</v>
      </c>
      <c r="E1639" s="35" t="s">
        <v>2090</v>
      </c>
      <c r="F1639" s="35" t="s">
        <v>604</v>
      </c>
    </row>
    <row r="1640" spans="1:6">
      <c r="A1640" s="35" t="s">
        <v>2244</v>
      </c>
      <c r="B1640" s="37">
        <v>330.72500610351563</v>
      </c>
      <c r="C1640" s="37">
        <v>302.1063232421875</v>
      </c>
      <c r="D1640" s="35">
        <v>11327094</v>
      </c>
      <c r="E1640" s="35" t="s">
        <v>2090</v>
      </c>
      <c r="F1640" s="35" t="s">
        <v>604</v>
      </c>
    </row>
    <row r="1641" spans="1:6">
      <c r="A1641" s="35" t="s">
        <v>2245</v>
      </c>
      <c r="B1641" s="37">
        <v>330.89999389648438</v>
      </c>
      <c r="C1641" s="37">
        <v>302.26614379882813</v>
      </c>
      <c r="D1641" s="35">
        <v>8854994</v>
      </c>
      <c r="E1641" s="35" t="s">
        <v>2090</v>
      </c>
      <c r="F1641" s="35" t="s">
        <v>604</v>
      </c>
    </row>
    <row r="1642" spans="1:6">
      <c r="A1642" s="35" t="s">
        <v>2246</v>
      </c>
      <c r="B1642" s="37">
        <v>325.72500610351563</v>
      </c>
      <c r="C1642" s="37">
        <v>297.53897094726563</v>
      </c>
      <c r="D1642" s="35">
        <v>7842498</v>
      </c>
      <c r="E1642" s="35" t="s">
        <v>2090</v>
      </c>
      <c r="F1642" s="35" t="s">
        <v>604</v>
      </c>
    </row>
    <row r="1643" spans="1:6">
      <c r="A1643" s="35" t="s">
        <v>2247</v>
      </c>
      <c r="B1643" s="37">
        <v>322.02499389648438</v>
      </c>
      <c r="C1643" s="37">
        <v>294.15908813476563</v>
      </c>
      <c r="D1643" s="35">
        <v>11582434</v>
      </c>
      <c r="E1643" s="35" t="s">
        <v>2090</v>
      </c>
      <c r="F1643" s="35" t="s">
        <v>604</v>
      </c>
    </row>
    <row r="1644" spans="1:6">
      <c r="A1644" s="35" t="s">
        <v>2248</v>
      </c>
      <c r="B1644" s="37">
        <v>321.39999389648438</v>
      </c>
      <c r="C1644" s="37">
        <v>293.58822631835938</v>
      </c>
      <c r="D1644" s="35">
        <v>9134924</v>
      </c>
      <c r="E1644" s="35" t="s">
        <v>2090</v>
      </c>
      <c r="F1644" s="35" t="s">
        <v>604</v>
      </c>
    </row>
    <row r="1645" spans="1:6">
      <c r="A1645" s="35" t="s">
        <v>2249</v>
      </c>
      <c r="B1645" s="37">
        <v>318.25</v>
      </c>
      <c r="C1645" s="37">
        <v>290.71075439453125</v>
      </c>
      <c r="D1645" s="35">
        <v>7985552</v>
      </c>
      <c r="E1645" s="35" t="s">
        <v>2090</v>
      </c>
      <c r="F1645" s="35" t="s">
        <v>604</v>
      </c>
    </row>
    <row r="1646" spans="1:6">
      <c r="A1646" s="35" t="s">
        <v>2250</v>
      </c>
      <c r="B1646" s="37">
        <v>318.35000610351563</v>
      </c>
      <c r="C1646" s="37">
        <v>290.80215454101563</v>
      </c>
      <c r="D1646" s="35">
        <v>6661362</v>
      </c>
      <c r="E1646" s="35" t="s">
        <v>2090</v>
      </c>
      <c r="F1646" s="35" t="s">
        <v>604</v>
      </c>
    </row>
    <row r="1647" spans="1:6">
      <c r="A1647" s="35" t="s">
        <v>2251</v>
      </c>
      <c r="B1647" s="37">
        <v>310.72500610351563</v>
      </c>
      <c r="C1647" s="37">
        <v>283.83697509765625</v>
      </c>
      <c r="D1647" s="35">
        <v>8277074</v>
      </c>
      <c r="E1647" s="35" t="s">
        <v>2090</v>
      </c>
      <c r="F1647" s="35" t="s">
        <v>604</v>
      </c>
    </row>
    <row r="1648" spans="1:6">
      <c r="A1648" s="35" t="s">
        <v>2252</v>
      </c>
      <c r="B1648" s="37">
        <v>315.29998779296875</v>
      </c>
      <c r="C1648" s="37">
        <v>288.01608276367188</v>
      </c>
      <c r="D1648" s="35">
        <v>10376060</v>
      </c>
      <c r="E1648" s="35" t="s">
        <v>2090</v>
      </c>
      <c r="F1648" s="35" t="s">
        <v>604</v>
      </c>
    </row>
    <row r="1649" spans="1:6">
      <c r="A1649" s="35" t="s">
        <v>2253</v>
      </c>
      <c r="B1649" s="37">
        <v>318.625</v>
      </c>
      <c r="C1649" s="37">
        <v>291.05331420898438</v>
      </c>
      <c r="D1649" s="35">
        <v>26850200</v>
      </c>
      <c r="E1649" s="35" t="s">
        <v>2090</v>
      </c>
      <c r="F1649" s="35" t="s">
        <v>604</v>
      </c>
    </row>
    <row r="1650" spans="1:6">
      <c r="A1650" s="35" t="s">
        <v>2254</v>
      </c>
      <c r="B1650" s="37">
        <v>317.39999389648438</v>
      </c>
      <c r="C1650" s="37">
        <v>289.934326171875</v>
      </c>
      <c r="D1650" s="35">
        <v>9453644</v>
      </c>
      <c r="E1650" s="35" t="s">
        <v>2090</v>
      </c>
      <c r="F1650" s="35" t="s">
        <v>604</v>
      </c>
    </row>
    <row r="1651" spans="1:6">
      <c r="A1651" s="35" t="s">
        <v>2255</v>
      </c>
      <c r="B1651" s="37">
        <v>323.39999389648438</v>
      </c>
      <c r="C1651" s="37">
        <v>295.41510009765625</v>
      </c>
      <c r="D1651" s="35">
        <v>10210456</v>
      </c>
      <c r="E1651" s="35" t="s">
        <v>2090</v>
      </c>
      <c r="F1651" s="35" t="s">
        <v>604</v>
      </c>
    </row>
    <row r="1652" spans="1:6">
      <c r="A1652" s="35" t="s">
        <v>2256</v>
      </c>
      <c r="B1652" s="37">
        <v>320.375</v>
      </c>
      <c r="C1652" s="37">
        <v>292.65191650390625</v>
      </c>
      <c r="D1652" s="35">
        <v>13405010</v>
      </c>
      <c r="E1652" s="35" t="s">
        <v>2090</v>
      </c>
      <c r="F1652" s="35" t="s">
        <v>604</v>
      </c>
    </row>
    <row r="1653" spans="1:6">
      <c r="A1653" s="35" t="s">
        <v>2257</v>
      </c>
      <c r="B1653" s="37">
        <v>312.25</v>
      </c>
      <c r="C1653" s="37">
        <v>285.23001098632813</v>
      </c>
      <c r="D1653" s="35">
        <v>9409906</v>
      </c>
      <c r="E1653" s="35" t="s">
        <v>2090</v>
      </c>
      <c r="F1653" s="35" t="s">
        <v>604</v>
      </c>
    </row>
    <row r="1654" spans="1:6">
      <c r="A1654" s="35" t="s">
        <v>2258</v>
      </c>
      <c r="B1654" s="37">
        <v>316.20001220703125</v>
      </c>
      <c r="C1654" s="37">
        <v>288.83819580078125</v>
      </c>
      <c r="D1654" s="35">
        <v>8557090</v>
      </c>
      <c r="E1654" s="35" t="s">
        <v>2090</v>
      </c>
      <c r="F1654" s="35" t="s">
        <v>604</v>
      </c>
    </row>
    <row r="1655" spans="1:6">
      <c r="A1655" s="35" t="s">
        <v>2259</v>
      </c>
      <c r="B1655" s="37">
        <v>320.85000610351563</v>
      </c>
      <c r="C1655" s="37">
        <v>293.0858154296875</v>
      </c>
      <c r="D1655" s="35">
        <v>15360658</v>
      </c>
      <c r="E1655" s="35" t="s">
        <v>2090</v>
      </c>
      <c r="F1655" s="35" t="s">
        <v>604</v>
      </c>
    </row>
    <row r="1656" spans="1:6">
      <c r="A1656" s="35" t="s">
        <v>2260</v>
      </c>
      <c r="B1656" s="37">
        <v>321.60000610351563</v>
      </c>
      <c r="C1656" s="37">
        <v>293.77090454101563</v>
      </c>
      <c r="D1656" s="35">
        <v>6865604</v>
      </c>
      <c r="E1656" s="35" t="s">
        <v>2090</v>
      </c>
      <c r="F1656" s="35" t="s">
        <v>604</v>
      </c>
    </row>
    <row r="1657" spans="1:6">
      <c r="A1657" s="35" t="s">
        <v>2261</v>
      </c>
      <c r="B1657" s="37">
        <v>319.125</v>
      </c>
      <c r="C1657" s="37">
        <v>291.51010131835938</v>
      </c>
      <c r="D1657" s="35">
        <v>8525212</v>
      </c>
      <c r="E1657" s="35" t="s">
        <v>2090</v>
      </c>
      <c r="F1657" s="35" t="s">
        <v>604</v>
      </c>
    </row>
    <row r="1658" spans="1:6">
      <c r="A1658" s="35" t="s">
        <v>2262</v>
      </c>
      <c r="B1658" s="37">
        <v>322.70001220703125</v>
      </c>
      <c r="C1658" s="37">
        <v>294.77569580078125</v>
      </c>
      <c r="D1658" s="35">
        <v>13123680</v>
      </c>
      <c r="E1658" s="35" t="s">
        <v>2090</v>
      </c>
      <c r="F1658" s="35" t="s">
        <v>604</v>
      </c>
    </row>
    <row r="1659" spans="1:6">
      <c r="A1659" s="35" t="s">
        <v>2263</v>
      </c>
      <c r="B1659" s="37">
        <v>323.45001220703125</v>
      </c>
      <c r="C1659" s="37">
        <v>295.46078491210938</v>
      </c>
      <c r="D1659" s="35">
        <v>8609412</v>
      </c>
      <c r="E1659" s="35" t="s">
        <v>2090</v>
      </c>
      <c r="F1659" s="35" t="s">
        <v>604</v>
      </c>
    </row>
    <row r="1660" spans="1:6">
      <c r="A1660" s="35" t="s">
        <v>2264</v>
      </c>
      <c r="B1660" s="37">
        <v>318.20001220703125</v>
      </c>
      <c r="C1660" s="37">
        <v>290.66510009765625</v>
      </c>
      <c r="D1660" s="35">
        <v>7123544</v>
      </c>
      <c r="E1660" s="35" t="s">
        <v>2090</v>
      </c>
      <c r="F1660" s="35" t="s">
        <v>604</v>
      </c>
    </row>
    <row r="1661" spans="1:6">
      <c r="A1661" s="35" t="s">
        <v>2265</v>
      </c>
      <c r="B1661" s="37">
        <v>322.14999389648438</v>
      </c>
      <c r="C1661" s="37">
        <v>294.2733154296875</v>
      </c>
      <c r="D1661" s="35">
        <v>12437240</v>
      </c>
      <c r="E1661" s="35" t="s">
        <v>2090</v>
      </c>
      <c r="F1661" s="35" t="s">
        <v>604</v>
      </c>
    </row>
    <row r="1662" spans="1:6">
      <c r="A1662" s="35" t="s">
        <v>2266</v>
      </c>
      <c r="B1662" s="37">
        <v>335.39999389648438</v>
      </c>
      <c r="C1662" s="37">
        <v>306.37673950195313</v>
      </c>
      <c r="D1662" s="35">
        <v>104600018</v>
      </c>
      <c r="E1662" s="35" t="s">
        <v>2090</v>
      </c>
      <c r="F1662" s="35" t="s">
        <v>604</v>
      </c>
    </row>
    <row r="1663" spans="1:6">
      <c r="A1663" s="35" t="s">
        <v>2267</v>
      </c>
      <c r="B1663" s="37">
        <v>332.97500610351563</v>
      </c>
      <c r="C1663" s="37">
        <v>304.16159057617188</v>
      </c>
      <c r="D1663" s="35">
        <v>26298202</v>
      </c>
      <c r="E1663" s="35" t="s">
        <v>2090</v>
      </c>
      <c r="F1663" s="35" t="s">
        <v>604</v>
      </c>
    </row>
    <row r="1664" spans="1:6">
      <c r="A1664" s="35" t="s">
        <v>2268</v>
      </c>
      <c r="B1664" s="37">
        <v>345.39999389648438</v>
      </c>
      <c r="C1664" s="37">
        <v>315.51141357421875</v>
      </c>
      <c r="D1664" s="35">
        <v>27362096</v>
      </c>
      <c r="E1664" s="35" t="s">
        <v>2090</v>
      </c>
      <c r="F1664" s="35" t="s">
        <v>604</v>
      </c>
    </row>
    <row r="1665" spans="1:6">
      <c r="A1665" s="35" t="s">
        <v>2269</v>
      </c>
      <c r="B1665" s="37">
        <v>342.82501220703125</v>
      </c>
      <c r="C1665" s="37">
        <v>313.15927124023438</v>
      </c>
      <c r="D1665" s="35">
        <v>12327754</v>
      </c>
      <c r="E1665" s="35" t="s">
        <v>2090</v>
      </c>
      <c r="F1665" s="35" t="s">
        <v>604</v>
      </c>
    </row>
    <row r="1666" spans="1:6">
      <c r="A1666" s="35" t="s">
        <v>2270</v>
      </c>
      <c r="B1666" s="37">
        <v>347.27499389648438</v>
      </c>
      <c r="C1666" s="37">
        <v>317.22415161132813</v>
      </c>
      <c r="D1666" s="35">
        <v>12944908</v>
      </c>
      <c r="E1666" s="35" t="s">
        <v>2090</v>
      </c>
      <c r="F1666" s="35" t="s">
        <v>604</v>
      </c>
    </row>
    <row r="1667" spans="1:6">
      <c r="A1667" s="35" t="s">
        <v>2271</v>
      </c>
      <c r="B1667" s="37">
        <v>349.22500610351563</v>
      </c>
      <c r="C1667" s="37">
        <v>319.00543212890625</v>
      </c>
      <c r="D1667" s="35">
        <v>13182426</v>
      </c>
      <c r="E1667" s="35" t="s">
        <v>2090</v>
      </c>
      <c r="F1667" s="35" t="s">
        <v>604</v>
      </c>
    </row>
    <row r="1668" spans="1:6">
      <c r="A1668" s="35" t="s">
        <v>2272</v>
      </c>
      <c r="B1668" s="37">
        <v>349.79998779296875</v>
      </c>
      <c r="C1668" s="37">
        <v>319.5306396484375</v>
      </c>
      <c r="D1668" s="35">
        <v>10188656</v>
      </c>
      <c r="E1668" s="35" t="s">
        <v>2090</v>
      </c>
      <c r="F1668" s="35" t="s">
        <v>604</v>
      </c>
    </row>
    <row r="1669" spans="1:6">
      <c r="A1669" s="35" t="s">
        <v>2273</v>
      </c>
      <c r="B1669" s="37">
        <v>352.72500610351563</v>
      </c>
      <c r="C1669" s="37">
        <v>322.20254516601563</v>
      </c>
      <c r="D1669" s="35">
        <v>10158044</v>
      </c>
      <c r="E1669" s="35" t="s">
        <v>2090</v>
      </c>
      <c r="F1669" s="35" t="s">
        <v>604</v>
      </c>
    </row>
    <row r="1670" spans="1:6">
      <c r="A1670" s="35" t="s">
        <v>2274</v>
      </c>
      <c r="B1670" s="37">
        <v>351.85000610351563</v>
      </c>
      <c r="C1670" s="37">
        <v>321.40328979492188</v>
      </c>
      <c r="D1670" s="35">
        <v>7898416</v>
      </c>
      <c r="E1670" s="35" t="s">
        <v>2090</v>
      </c>
      <c r="F1670" s="35" t="s">
        <v>604</v>
      </c>
    </row>
    <row r="1671" spans="1:6">
      <c r="A1671" s="35" t="s">
        <v>2275</v>
      </c>
      <c r="B1671" s="37">
        <v>357.04998779296875</v>
      </c>
      <c r="C1671" s="37">
        <v>326.15328979492188</v>
      </c>
      <c r="D1671" s="35">
        <v>18087350</v>
      </c>
      <c r="E1671" s="35" t="s">
        <v>2090</v>
      </c>
      <c r="F1671" s="35" t="s">
        <v>604</v>
      </c>
    </row>
    <row r="1672" spans="1:6">
      <c r="A1672" s="35" t="s">
        <v>2276</v>
      </c>
      <c r="B1672" s="37">
        <v>357.67498779296875</v>
      </c>
      <c r="C1672" s="37">
        <v>326.72415161132813</v>
      </c>
      <c r="D1672" s="35">
        <v>8549558</v>
      </c>
      <c r="E1672" s="35" t="s">
        <v>2090</v>
      </c>
      <c r="F1672" s="35" t="s">
        <v>604</v>
      </c>
    </row>
    <row r="1673" spans="1:6">
      <c r="A1673" s="35" t="s">
        <v>2277</v>
      </c>
      <c r="B1673" s="37">
        <v>359.35000610351563</v>
      </c>
      <c r="C1673" s="37">
        <v>328.25433349609375</v>
      </c>
      <c r="D1673" s="35">
        <v>9280810</v>
      </c>
      <c r="E1673" s="35" t="s">
        <v>2090</v>
      </c>
      <c r="F1673" s="35" t="s">
        <v>604</v>
      </c>
    </row>
    <row r="1674" spans="1:6">
      <c r="A1674" s="35" t="s">
        <v>2278</v>
      </c>
      <c r="B1674" s="37">
        <v>360.75</v>
      </c>
      <c r="C1674" s="37">
        <v>329.5330810546875</v>
      </c>
      <c r="D1674" s="35">
        <v>10228800</v>
      </c>
      <c r="E1674" s="35" t="s">
        <v>2090</v>
      </c>
      <c r="F1674" s="35" t="s">
        <v>604</v>
      </c>
    </row>
    <row r="1675" spans="1:6">
      <c r="A1675" s="35" t="s">
        <v>2279</v>
      </c>
      <c r="B1675" s="37">
        <v>356.75</v>
      </c>
      <c r="C1675" s="37">
        <v>325.87924194335938</v>
      </c>
      <c r="D1675" s="35">
        <v>14711264</v>
      </c>
      <c r="E1675" s="35" t="s">
        <v>2090</v>
      </c>
      <c r="F1675" s="35" t="s">
        <v>604</v>
      </c>
    </row>
    <row r="1676" spans="1:6">
      <c r="A1676" s="35" t="s">
        <v>2280</v>
      </c>
      <c r="B1676" s="37">
        <v>352.875</v>
      </c>
      <c r="C1676" s="37">
        <v>322.339599609375</v>
      </c>
      <c r="D1676" s="35">
        <v>12883220</v>
      </c>
      <c r="E1676" s="35" t="s">
        <v>2090</v>
      </c>
      <c r="F1676" s="35" t="s">
        <v>604</v>
      </c>
    </row>
    <row r="1677" spans="1:6">
      <c r="A1677" s="35" t="s">
        <v>2281</v>
      </c>
      <c r="B1677" s="37">
        <v>355.75</v>
      </c>
      <c r="C1677" s="37">
        <v>324.96578979492188</v>
      </c>
      <c r="D1677" s="35">
        <v>13120326</v>
      </c>
      <c r="E1677" s="35" t="s">
        <v>2090</v>
      </c>
      <c r="F1677" s="35" t="s">
        <v>604</v>
      </c>
    </row>
    <row r="1678" spans="1:6">
      <c r="A1678" s="35" t="s">
        <v>2282</v>
      </c>
      <c r="B1678" s="37">
        <v>346.75</v>
      </c>
      <c r="C1678" s="37">
        <v>316.74459838867188</v>
      </c>
      <c r="D1678" s="35">
        <v>27537820</v>
      </c>
      <c r="E1678" s="35" t="s">
        <v>2090</v>
      </c>
      <c r="F1678" s="35" t="s">
        <v>604</v>
      </c>
    </row>
    <row r="1679" spans="1:6">
      <c r="A1679" s="35" t="s">
        <v>2283</v>
      </c>
      <c r="B1679" s="37">
        <v>347.07501220703125</v>
      </c>
      <c r="C1679" s="37">
        <v>317.04147338867188</v>
      </c>
      <c r="D1679" s="35">
        <v>15487458</v>
      </c>
      <c r="E1679" s="35" t="s">
        <v>2090</v>
      </c>
      <c r="F1679" s="35" t="s">
        <v>604</v>
      </c>
    </row>
    <row r="1680" spans="1:6">
      <c r="A1680" s="35" t="s">
        <v>2284</v>
      </c>
      <c r="B1680" s="37">
        <v>345.67498779296875</v>
      </c>
      <c r="C1680" s="37">
        <v>315.76263427734375</v>
      </c>
      <c r="D1680" s="35">
        <v>23460682</v>
      </c>
      <c r="E1680" s="35" t="s">
        <v>2090</v>
      </c>
      <c r="F1680" s="35" t="s">
        <v>604</v>
      </c>
    </row>
    <row r="1681" spans="1:6">
      <c r="A1681" s="35" t="s">
        <v>2285</v>
      </c>
      <c r="B1681" s="37">
        <v>324.875</v>
      </c>
      <c r="C1681" s="37">
        <v>296.76251220703125</v>
      </c>
      <c r="D1681" s="35">
        <v>61505934</v>
      </c>
      <c r="E1681" s="35" t="s">
        <v>2090</v>
      </c>
      <c r="F1681" s="35" t="s">
        <v>604</v>
      </c>
    </row>
    <row r="1682" spans="1:6">
      <c r="A1682" s="35" t="s">
        <v>2286</v>
      </c>
      <c r="B1682" s="37">
        <v>319.89999389648438</v>
      </c>
      <c r="C1682" s="37">
        <v>292.218017578125</v>
      </c>
      <c r="D1682" s="35">
        <v>26514548</v>
      </c>
      <c r="E1682" s="35" t="s">
        <v>2090</v>
      </c>
      <c r="F1682" s="35" t="s">
        <v>604</v>
      </c>
    </row>
    <row r="1683" spans="1:6">
      <c r="A1683" s="35" t="s">
        <v>2287</v>
      </c>
      <c r="B1683" s="37">
        <v>323.32501220703125</v>
      </c>
      <c r="C1683" s="37">
        <v>295.34661865234375</v>
      </c>
      <c r="D1683" s="35">
        <v>20457876</v>
      </c>
      <c r="E1683" s="35" t="s">
        <v>2090</v>
      </c>
      <c r="F1683" s="35" t="s">
        <v>604</v>
      </c>
    </row>
    <row r="1684" spans="1:6">
      <c r="A1684" s="35" t="s">
        <v>2288</v>
      </c>
      <c r="B1684" s="37">
        <v>316.64999389648438</v>
      </c>
      <c r="C1684" s="37">
        <v>289.24920654296875</v>
      </c>
      <c r="D1684" s="35">
        <v>14329980</v>
      </c>
      <c r="E1684" s="35" t="s">
        <v>2090</v>
      </c>
      <c r="F1684" s="35" t="s">
        <v>604</v>
      </c>
    </row>
    <row r="1685" spans="1:6">
      <c r="A1685" s="35" t="s">
        <v>2289</v>
      </c>
      <c r="B1685" s="37">
        <v>310.57501220703125</v>
      </c>
      <c r="C1685" s="37">
        <v>283.69992065429688</v>
      </c>
      <c r="D1685" s="35">
        <v>17382766</v>
      </c>
      <c r="E1685" s="35" t="s">
        <v>2090</v>
      </c>
      <c r="F1685" s="35" t="s">
        <v>604</v>
      </c>
    </row>
    <row r="1686" spans="1:6">
      <c r="A1686" s="35" t="s">
        <v>2290</v>
      </c>
      <c r="B1686" s="37">
        <v>307.60000610351563</v>
      </c>
      <c r="C1686" s="37">
        <v>280.98236083984375</v>
      </c>
      <c r="D1686" s="35">
        <v>16827124</v>
      </c>
      <c r="E1686" s="35" t="s">
        <v>2090</v>
      </c>
      <c r="F1686" s="35" t="s">
        <v>604</v>
      </c>
    </row>
    <row r="1687" spans="1:6">
      <c r="A1687" s="35" t="s">
        <v>2291</v>
      </c>
      <c r="B1687" s="37">
        <v>302.52499389648438</v>
      </c>
      <c r="C1687" s="37">
        <v>276.79644775390625</v>
      </c>
      <c r="D1687" s="35">
        <v>19646694</v>
      </c>
      <c r="E1687" s="35" t="s">
        <v>2090</v>
      </c>
      <c r="F1687" s="35" t="s">
        <v>604</v>
      </c>
    </row>
    <row r="1688" spans="1:6">
      <c r="A1688" s="35" t="s">
        <v>2292</v>
      </c>
      <c r="B1688" s="37">
        <v>286.375</v>
      </c>
      <c r="C1688" s="37">
        <v>262.01995849609375</v>
      </c>
      <c r="D1688" s="35">
        <v>26150716</v>
      </c>
      <c r="E1688" s="35" t="s">
        <v>2090</v>
      </c>
      <c r="F1688" s="35" t="s">
        <v>604</v>
      </c>
    </row>
    <row r="1689" spans="1:6">
      <c r="A1689" s="35" t="s">
        <v>2293</v>
      </c>
      <c r="B1689" s="37">
        <v>281.35000610351563</v>
      </c>
      <c r="C1689" s="37">
        <v>257.42230224609375</v>
      </c>
      <c r="D1689" s="35">
        <v>34712370</v>
      </c>
      <c r="E1689" s="35" t="s">
        <v>2090</v>
      </c>
      <c r="F1689" s="35" t="s">
        <v>604</v>
      </c>
    </row>
    <row r="1690" spans="1:6">
      <c r="A1690" s="35" t="s">
        <v>2294</v>
      </c>
      <c r="B1690" s="37">
        <v>272.375</v>
      </c>
      <c r="C1690" s="37">
        <v>249.21058654785156</v>
      </c>
      <c r="D1690" s="35">
        <v>31351744</v>
      </c>
      <c r="E1690" s="35" t="s">
        <v>2090</v>
      </c>
      <c r="F1690" s="35" t="s">
        <v>604</v>
      </c>
    </row>
    <row r="1691" spans="1:6">
      <c r="A1691" s="35" t="s">
        <v>2295</v>
      </c>
      <c r="B1691" s="37">
        <v>276.07501220703125</v>
      </c>
      <c r="C1691" s="37">
        <v>252.59591674804688</v>
      </c>
      <c r="D1691" s="35">
        <v>29899780</v>
      </c>
      <c r="E1691" s="35" t="s">
        <v>2090</v>
      </c>
      <c r="F1691" s="35" t="s">
        <v>604</v>
      </c>
    </row>
    <row r="1692" spans="1:6">
      <c r="A1692" s="35" t="s">
        <v>2296</v>
      </c>
      <c r="B1692" s="37">
        <v>286.29998779296875</v>
      </c>
      <c r="C1692" s="37">
        <v>261.9512939453125</v>
      </c>
      <c r="D1692" s="35">
        <v>26252174</v>
      </c>
      <c r="E1692" s="35" t="s">
        <v>2090</v>
      </c>
      <c r="F1692" s="35" t="s">
        <v>604</v>
      </c>
    </row>
    <row r="1693" spans="1:6">
      <c r="A1693" s="35" t="s">
        <v>2297</v>
      </c>
      <c r="B1693" s="37">
        <v>288.32501220703125</v>
      </c>
      <c r="C1693" s="37">
        <v>263.80413818359375</v>
      </c>
      <c r="D1693" s="35">
        <v>20920202</v>
      </c>
      <c r="E1693" s="35" t="s">
        <v>2090</v>
      </c>
      <c r="F1693" s="35" t="s">
        <v>604</v>
      </c>
    </row>
    <row r="1694" spans="1:6">
      <c r="A1694" s="35" t="s">
        <v>2298</v>
      </c>
      <c r="B1694" s="37">
        <v>294</v>
      </c>
      <c r="C1694" s="37">
        <v>268.9964599609375</v>
      </c>
      <c r="D1694" s="35">
        <v>16368826</v>
      </c>
      <c r="E1694" s="35" t="s">
        <v>2090</v>
      </c>
      <c r="F1694" s="35" t="s">
        <v>604</v>
      </c>
    </row>
    <row r="1695" spans="1:6">
      <c r="A1695" s="35" t="s">
        <v>2299</v>
      </c>
      <c r="B1695" s="37">
        <v>289.125</v>
      </c>
      <c r="C1695" s="37">
        <v>264.53604125976563</v>
      </c>
      <c r="D1695" s="35">
        <v>14082780</v>
      </c>
      <c r="E1695" s="35" t="s">
        <v>2090</v>
      </c>
      <c r="F1695" s="35" t="s">
        <v>604</v>
      </c>
    </row>
    <row r="1696" spans="1:6">
      <c r="A1696" s="35" t="s">
        <v>2300</v>
      </c>
      <c r="B1696" s="37">
        <v>285.875</v>
      </c>
      <c r="C1696" s="37">
        <v>261.56243896484375</v>
      </c>
      <c r="D1696" s="35">
        <v>13633558</v>
      </c>
      <c r="E1696" s="35" t="s">
        <v>2090</v>
      </c>
      <c r="F1696" s="35" t="s">
        <v>604</v>
      </c>
    </row>
    <row r="1697" spans="1:6">
      <c r="A1697" s="35" t="s">
        <v>2301</v>
      </c>
      <c r="B1697" s="37">
        <v>278.5</v>
      </c>
      <c r="C1697" s="37">
        <v>254.814697265625</v>
      </c>
      <c r="D1697" s="35">
        <v>15091358</v>
      </c>
      <c r="E1697" s="35" t="s">
        <v>2090</v>
      </c>
      <c r="F1697" s="35" t="s">
        <v>604</v>
      </c>
    </row>
    <row r="1698" spans="1:6">
      <c r="A1698" s="35" t="s">
        <v>2302</v>
      </c>
      <c r="B1698" s="37">
        <v>280.125</v>
      </c>
      <c r="C1698" s="37">
        <v>256.30148315429688</v>
      </c>
      <c r="D1698" s="35">
        <v>13953814</v>
      </c>
      <c r="E1698" s="35" t="s">
        <v>2090</v>
      </c>
      <c r="F1698" s="35" t="s">
        <v>604</v>
      </c>
    </row>
    <row r="1699" spans="1:6">
      <c r="A1699" s="35" t="s">
        <v>2303</v>
      </c>
      <c r="B1699" s="37">
        <v>284.47500610351563</v>
      </c>
      <c r="C1699" s="37">
        <v>260.28155517578125</v>
      </c>
      <c r="D1699" s="35">
        <v>10207476</v>
      </c>
      <c r="E1699" s="35" t="s">
        <v>2090</v>
      </c>
      <c r="F1699" s="35" t="s">
        <v>604</v>
      </c>
    </row>
    <row r="1700" spans="1:6">
      <c r="A1700" s="35" t="s">
        <v>2304</v>
      </c>
      <c r="B1700" s="37">
        <v>286.82501220703125</v>
      </c>
      <c r="C1700" s="37">
        <v>262.43167114257813</v>
      </c>
      <c r="D1700" s="35">
        <v>11603824</v>
      </c>
      <c r="E1700" s="35" t="s">
        <v>2090</v>
      </c>
      <c r="F1700" s="35" t="s">
        <v>604</v>
      </c>
    </row>
    <row r="1701" spans="1:6">
      <c r="A1701" s="35" t="s">
        <v>2305</v>
      </c>
      <c r="B1701" s="37">
        <v>280.72500610351563</v>
      </c>
      <c r="C1701" s="37">
        <v>256.85043334960938</v>
      </c>
      <c r="D1701" s="35">
        <v>15442458</v>
      </c>
      <c r="E1701" s="35" t="s">
        <v>2090</v>
      </c>
      <c r="F1701" s="35" t="s">
        <v>604</v>
      </c>
    </row>
    <row r="1702" spans="1:6">
      <c r="A1702" s="35" t="s">
        <v>2306</v>
      </c>
      <c r="B1702" s="37">
        <v>270.85000610351563</v>
      </c>
      <c r="C1702" s="37">
        <v>247.81527709960938</v>
      </c>
      <c r="D1702" s="35">
        <v>16241546</v>
      </c>
      <c r="E1702" s="35" t="s">
        <v>2090</v>
      </c>
      <c r="F1702" s="35" t="s">
        <v>604</v>
      </c>
    </row>
    <row r="1703" spans="1:6">
      <c r="A1703" s="35" t="s">
        <v>2307</v>
      </c>
      <c r="B1703" s="37">
        <v>281.67498779296875</v>
      </c>
      <c r="C1703" s="37">
        <v>257.71963500976563</v>
      </c>
      <c r="D1703" s="35">
        <v>13676992</v>
      </c>
      <c r="E1703" s="35" t="s">
        <v>2090</v>
      </c>
      <c r="F1703" s="35" t="s">
        <v>604</v>
      </c>
    </row>
    <row r="1704" spans="1:6">
      <c r="A1704" s="35" t="s">
        <v>2308</v>
      </c>
      <c r="B1704" s="37">
        <v>281.95001220703125</v>
      </c>
      <c r="C1704" s="37">
        <v>257.97125244140625</v>
      </c>
      <c r="D1704" s="35">
        <v>14607822</v>
      </c>
      <c r="E1704" s="35" t="s">
        <v>2090</v>
      </c>
      <c r="F1704" s="35" t="s">
        <v>604</v>
      </c>
    </row>
    <row r="1705" spans="1:6">
      <c r="A1705" s="35" t="s">
        <v>2309</v>
      </c>
      <c r="B1705" s="37">
        <v>282.45001220703125</v>
      </c>
      <c r="C1705" s="37">
        <v>258.42877197265625</v>
      </c>
      <c r="D1705" s="35">
        <v>14228840</v>
      </c>
      <c r="E1705" s="35" t="s">
        <v>2090</v>
      </c>
      <c r="F1705" s="35" t="s">
        <v>604</v>
      </c>
    </row>
    <row r="1706" spans="1:6">
      <c r="A1706" s="35" t="s">
        <v>2310</v>
      </c>
      <c r="B1706" s="37">
        <v>281.22500610351563</v>
      </c>
      <c r="C1706" s="37">
        <v>257.30795288085938</v>
      </c>
      <c r="D1706" s="35">
        <v>13411838</v>
      </c>
      <c r="E1706" s="35" t="s">
        <v>2090</v>
      </c>
      <c r="F1706" s="35" t="s">
        <v>604</v>
      </c>
    </row>
    <row r="1707" spans="1:6">
      <c r="A1707" s="35" t="s">
        <v>2311</v>
      </c>
      <c r="B1707" s="37">
        <v>285.39999389648438</v>
      </c>
      <c r="C1707" s="37">
        <v>261.12786865234375</v>
      </c>
      <c r="D1707" s="35">
        <v>17534002</v>
      </c>
      <c r="E1707" s="35" t="s">
        <v>2090</v>
      </c>
      <c r="F1707" s="35" t="s">
        <v>604</v>
      </c>
    </row>
    <row r="1708" spans="1:6">
      <c r="A1708" s="35" t="s">
        <v>2312</v>
      </c>
      <c r="B1708" s="37">
        <v>282.07501220703125</v>
      </c>
      <c r="C1708" s="37">
        <v>258.08563232421875</v>
      </c>
      <c r="D1708" s="35">
        <v>21490124</v>
      </c>
      <c r="E1708" s="35" t="s">
        <v>2090</v>
      </c>
      <c r="F1708" s="35" t="s">
        <v>604</v>
      </c>
    </row>
    <row r="1709" spans="1:6">
      <c r="A1709" s="35" t="s">
        <v>2313</v>
      </c>
      <c r="B1709" s="37">
        <v>283.54998779296875</v>
      </c>
      <c r="C1709" s="37">
        <v>259.4351806640625</v>
      </c>
      <c r="D1709" s="35">
        <v>14408512</v>
      </c>
      <c r="E1709" s="35" t="s">
        <v>2090</v>
      </c>
      <c r="F1709" s="35" t="s">
        <v>604</v>
      </c>
    </row>
    <row r="1710" spans="1:6">
      <c r="A1710" s="35" t="s">
        <v>2314</v>
      </c>
      <c r="B1710" s="37">
        <v>268.57501220703125</v>
      </c>
      <c r="C1710" s="37">
        <v>245.73374938964844</v>
      </c>
      <c r="D1710" s="35">
        <v>26953888</v>
      </c>
      <c r="E1710" s="35" t="s">
        <v>2090</v>
      </c>
      <c r="F1710" s="35" t="s">
        <v>604</v>
      </c>
    </row>
    <row r="1711" spans="1:6">
      <c r="A1711" s="35" t="s">
        <v>2315</v>
      </c>
      <c r="B1711" s="37">
        <v>277.625</v>
      </c>
      <c r="C1711" s="37">
        <v>254.01408386230469</v>
      </c>
      <c r="D1711" s="35">
        <v>15922624</v>
      </c>
      <c r="E1711" s="35" t="s">
        <v>2090</v>
      </c>
      <c r="F1711" s="35" t="s">
        <v>604</v>
      </c>
    </row>
    <row r="1712" spans="1:6">
      <c r="A1712" s="35" t="s">
        <v>2316</v>
      </c>
      <c r="B1712" s="37">
        <v>277.89999389648438</v>
      </c>
      <c r="C1712" s="37">
        <v>254.26571655273438</v>
      </c>
      <c r="D1712" s="35">
        <v>18316874</v>
      </c>
      <c r="E1712" s="35" t="s">
        <v>2090</v>
      </c>
      <c r="F1712" s="35" t="s">
        <v>604</v>
      </c>
    </row>
    <row r="1713" spans="1:6">
      <c r="A1713" s="35" t="s">
        <v>2317</v>
      </c>
      <c r="B1713" s="37">
        <v>277.60000610351563</v>
      </c>
      <c r="C1713" s="37">
        <v>253.99124145507813</v>
      </c>
      <c r="D1713" s="35">
        <v>16354110</v>
      </c>
      <c r="E1713" s="35" t="s">
        <v>2090</v>
      </c>
      <c r="F1713" s="35" t="s">
        <v>604</v>
      </c>
    </row>
    <row r="1714" spans="1:6">
      <c r="A1714" s="35" t="s">
        <v>2318</v>
      </c>
      <c r="B1714" s="37">
        <v>284.77499389648438</v>
      </c>
      <c r="C1714" s="37">
        <v>260.55606079101563</v>
      </c>
      <c r="D1714" s="35">
        <v>25911326</v>
      </c>
      <c r="E1714" s="35" t="s">
        <v>2090</v>
      </c>
      <c r="F1714" s="35" t="s">
        <v>604</v>
      </c>
    </row>
    <row r="1715" spans="1:6">
      <c r="A1715" s="35" t="s">
        <v>2319</v>
      </c>
      <c r="B1715" s="37">
        <v>287.64999389648438</v>
      </c>
      <c r="C1715" s="37">
        <v>263.18649291992188</v>
      </c>
      <c r="D1715" s="35">
        <v>26948372</v>
      </c>
      <c r="E1715" s="35" t="s">
        <v>2090</v>
      </c>
      <c r="F1715" s="35" t="s">
        <v>604</v>
      </c>
    </row>
    <row r="1716" spans="1:6">
      <c r="A1716" s="35" t="s">
        <v>2320</v>
      </c>
      <c r="B1716" s="37">
        <v>285.92498779296875</v>
      </c>
      <c r="C1716" s="37">
        <v>261.60824584960938</v>
      </c>
      <c r="D1716" s="35">
        <v>21112334</v>
      </c>
      <c r="E1716" s="35" t="s">
        <v>2090</v>
      </c>
      <c r="F1716" s="35" t="s">
        <v>604</v>
      </c>
    </row>
    <row r="1717" spans="1:6">
      <c r="A1717" s="35" t="s">
        <v>2321</v>
      </c>
      <c r="B1717" s="37">
        <v>293.72500610351563</v>
      </c>
      <c r="C1717" s="37">
        <v>268.74484252929688</v>
      </c>
      <c r="D1717" s="35">
        <v>22039998</v>
      </c>
      <c r="E1717" s="35" t="s">
        <v>2090</v>
      </c>
      <c r="F1717" s="35" t="s">
        <v>604</v>
      </c>
    </row>
    <row r="1718" spans="1:6">
      <c r="A1718" s="35" t="s">
        <v>2322</v>
      </c>
      <c r="B1718" s="37">
        <v>292.75</v>
      </c>
      <c r="C1718" s="37">
        <v>267.852783203125</v>
      </c>
      <c r="D1718" s="35">
        <v>23527232</v>
      </c>
      <c r="E1718" s="35" t="s">
        <v>2090</v>
      </c>
      <c r="F1718" s="35" t="s">
        <v>604</v>
      </c>
    </row>
    <row r="1719" spans="1:6">
      <c r="A1719" s="35" t="s">
        <v>2323</v>
      </c>
      <c r="B1719" s="37">
        <v>294.125</v>
      </c>
      <c r="C1719" s="37">
        <v>269.11080932617188</v>
      </c>
      <c r="D1719" s="35">
        <v>16161966</v>
      </c>
      <c r="E1719" s="35" t="s">
        <v>2090</v>
      </c>
      <c r="F1719" s="35" t="s">
        <v>604</v>
      </c>
    </row>
    <row r="1720" spans="1:6">
      <c r="A1720" s="35" t="s">
        <v>2324</v>
      </c>
      <c r="B1720" s="37">
        <v>293.10000610351563</v>
      </c>
      <c r="C1720" s="37">
        <v>268.17300415039063</v>
      </c>
      <c r="D1720" s="35">
        <v>9927188</v>
      </c>
      <c r="E1720" s="35" t="s">
        <v>2090</v>
      </c>
      <c r="F1720" s="35" t="s">
        <v>604</v>
      </c>
    </row>
    <row r="1721" spans="1:6">
      <c r="A1721" s="35" t="s">
        <v>2325</v>
      </c>
      <c r="B1721" s="37">
        <v>299.07501220703125</v>
      </c>
      <c r="C1721" s="37">
        <v>273.63986206054688</v>
      </c>
      <c r="D1721" s="35">
        <v>15006442</v>
      </c>
      <c r="E1721" s="35" t="s">
        <v>2090</v>
      </c>
      <c r="F1721" s="35" t="s">
        <v>604</v>
      </c>
    </row>
    <row r="1722" spans="1:6">
      <c r="A1722" s="35" t="s">
        <v>2326</v>
      </c>
      <c r="B1722" s="37">
        <v>293.85000610351563</v>
      </c>
      <c r="C1722" s="37">
        <v>268.8592529296875</v>
      </c>
      <c r="D1722" s="35">
        <v>13853244</v>
      </c>
      <c r="E1722" s="35" t="s">
        <v>2090</v>
      </c>
      <c r="F1722" s="35" t="s">
        <v>604</v>
      </c>
    </row>
    <row r="1723" spans="1:6">
      <c r="A1723" s="35" t="s">
        <v>2327</v>
      </c>
      <c r="B1723" s="37">
        <v>299.125</v>
      </c>
      <c r="C1723" s="37">
        <v>273.68560791015625</v>
      </c>
      <c r="D1723" s="35">
        <v>11150296</v>
      </c>
      <c r="E1723" s="35" t="s">
        <v>2090</v>
      </c>
      <c r="F1723" s="35" t="s">
        <v>604</v>
      </c>
    </row>
    <row r="1724" spans="1:6">
      <c r="A1724" s="35" t="s">
        <v>2328</v>
      </c>
      <c r="B1724" s="37">
        <v>300.60000610351563</v>
      </c>
      <c r="C1724" s="37">
        <v>275.03518676757813</v>
      </c>
      <c r="D1724" s="35">
        <v>16881290</v>
      </c>
      <c r="E1724" s="35" t="s">
        <v>2090</v>
      </c>
      <c r="F1724" s="35" t="s">
        <v>604</v>
      </c>
    </row>
    <row r="1725" spans="1:6">
      <c r="A1725" s="35" t="s">
        <v>2329</v>
      </c>
      <c r="B1725" s="37">
        <v>300</v>
      </c>
      <c r="C1725" s="37">
        <v>274.4862060546875</v>
      </c>
      <c r="D1725" s="35">
        <v>15592952</v>
      </c>
      <c r="E1725" s="35" t="s">
        <v>2090</v>
      </c>
      <c r="F1725" s="35" t="s">
        <v>604</v>
      </c>
    </row>
    <row r="1726" spans="1:6">
      <c r="A1726" s="35" t="s">
        <v>2330</v>
      </c>
      <c r="B1726" s="37">
        <v>305.02499389648438</v>
      </c>
      <c r="C1726" s="37">
        <v>279.08383178710938</v>
      </c>
      <c r="D1726" s="35">
        <v>15580500</v>
      </c>
      <c r="E1726" s="35" t="s">
        <v>2090</v>
      </c>
      <c r="F1726" s="35" t="s">
        <v>604</v>
      </c>
    </row>
    <row r="1727" spans="1:6">
      <c r="A1727" s="35" t="s">
        <v>2331</v>
      </c>
      <c r="B1727" s="37">
        <v>305.60000610351563</v>
      </c>
      <c r="C1727" s="37">
        <v>279.60995483398438</v>
      </c>
      <c r="D1727" s="35">
        <v>11393836</v>
      </c>
      <c r="E1727" s="35" t="s">
        <v>2090</v>
      </c>
      <c r="F1727" s="35" t="s">
        <v>604</v>
      </c>
    </row>
    <row r="1728" spans="1:6">
      <c r="A1728" s="35" t="s">
        <v>2332</v>
      </c>
      <c r="B1728" s="37">
        <v>305.27499389648438</v>
      </c>
      <c r="C1728" s="37">
        <v>279.31259155273438</v>
      </c>
      <c r="D1728" s="35">
        <v>7751490</v>
      </c>
      <c r="E1728" s="35" t="s">
        <v>2090</v>
      </c>
      <c r="F1728" s="35" t="s">
        <v>604</v>
      </c>
    </row>
    <row r="1729" spans="1:6">
      <c r="A1729" s="35" t="s">
        <v>2333</v>
      </c>
      <c r="B1729" s="37">
        <v>301.67498779296875</v>
      </c>
      <c r="C1729" s="37">
        <v>276.01873779296875</v>
      </c>
      <c r="D1729" s="35">
        <v>11986194</v>
      </c>
      <c r="E1729" s="35" t="s">
        <v>2090</v>
      </c>
      <c r="F1729" s="35" t="s">
        <v>604</v>
      </c>
    </row>
    <row r="1730" spans="1:6">
      <c r="A1730" s="35" t="s">
        <v>2334</v>
      </c>
      <c r="B1730" s="37">
        <v>300.10000610351563</v>
      </c>
      <c r="C1730" s="37">
        <v>274.57769775390625</v>
      </c>
      <c r="D1730" s="35">
        <v>11476810</v>
      </c>
      <c r="E1730" s="35" t="s">
        <v>2090</v>
      </c>
      <c r="F1730" s="35" t="s">
        <v>604</v>
      </c>
    </row>
    <row r="1731" spans="1:6">
      <c r="A1731" s="35" t="s">
        <v>2335</v>
      </c>
      <c r="B1731" s="37">
        <v>301.25</v>
      </c>
      <c r="C1731" s="37">
        <v>275.6298828125</v>
      </c>
      <c r="D1731" s="35">
        <v>9402006</v>
      </c>
      <c r="E1731" s="35" t="s">
        <v>2090</v>
      </c>
      <c r="F1731" s="35" t="s">
        <v>604</v>
      </c>
    </row>
    <row r="1732" spans="1:6">
      <c r="A1732" s="35" t="s">
        <v>2336</v>
      </c>
      <c r="B1732" s="37">
        <v>300.39999389648438</v>
      </c>
      <c r="C1732" s="37">
        <v>274.85211181640625</v>
      </c>
      <c r="D1732" s="35">
        <v>15488764</v>
      </c>
      <c r="E1732" s="35" t="s">
        <v>2090</v>
      </c>
      <c r="F1732" s="35" t="s">
        <v>604</v>
      </c>
    </row>
    <row r="1733" spans="1:6">
      <c r="A1733" s="35" t="s">
        <v>2337</v>
      </c>
      <c r="B1733" s="37">
        <v>295.95001220703125</v>
      </c>
      <c r="C1733" s="37">
        <v>270.78060913085938</v>
      </c>
      <c r="D1733" s="35">
        <v>14476178</v>
      </c>
      <c r="E1733" s="35" t="s">
        <v>2090</v>
      </c>
      <c r="F1733" s="35" t="s">
        <v>604</v>
      </c>
    </row>
    <row r="1734" spans="1:6">
      <c r="A1734" s="35" t="s">
        <v>2338</v>
      </c>
      <c r="B1734" s="37">
        <v>300.89999389648438</v>
      </c>
      <c r="C1734" s="37">
        <v>275.30966186523438</v>
      </c>
      <c r="D1734" s="35">
        <v>8567994</v>
      </c>
      <c r="E1734" s="35" t="s">
        <v>2339</v>
      </c>
      <c r="F1734" s="35" t="s">
        <v>604</v>
      </c>
    </row>
    <row r="1735" spans="1:6">
      <c r="A1735" s="35" t="s">
        <v>2340</v>
      </c>
      <c r="B1735" s="37">
        <v>302.79998779296875</v>
      </c>
      <c r="C1735" s="37">
        <v>277.04803466796875</v>
      </c>
      <c r="D1735" s="35">
        <v>8855948</v>
      </c>
      <c r="E1735" s="35" t="s">
        <v>2339</v>
      </c>
      <c r="F1735" s="35" t="s">
        <v>604</v>
      </c>
    </row>
    <row r="1736" spans="1:6">
      <c r="A1736" s="35" t="s">
        <v>2341</v>
      </c>
      <c r="B1736" s="37">
        <v>299.57501220703125</v>
      </c>
      <c r="C1736" s="37">
        <v>276.37921142578125</v>
      </c>
      <c r="D1736" s="35">
        <v>12862488</v>
      </c>
      <c r="E1736" s="35" t="s">
        <v>2339</v>
      </c>
      <c r="F1736" s="35" t="s">
        <v>604</v>
      </c>
    </row>
    <row r="1737" spans="1:6">
      <c r="A1737" s="35" t="s">
        <v>2342</v>
      </c>
      <c r="B1737" s="37">
        <v>296.77499389648438</v>
      </c>
      <c r="C1737" s="37">
        <v>273.79595947265625</v>
      </c>
      <c r="D1737" s="35">
        <v>8235902</v>
      </c>
      <c r="E1737" s="35" t="s">
        <v>2339</v>
      </c>
      <c r="F1737" s="35" t="s">
        <v>604</v>
      </c>
    </row>
    <row r="1738" spans="1:6">
      <c r="A1738" s="35" t="s">
        <v>2343</v>
      </c>
      <c r="B1738" s="37">
        <v>290.42498779296875</v>
      </c>
      <c r="C1738" s="37">
        <v>267.93765258789063</v>
      </c>
      <c r="D1738" s="35">
        <v>15721530</v>
      </c>
      <c r="E1738" s="35" t="s">
        <v>2339</v>
      </c>
      <c r="F1738" s="35" t="s">
        <v>604</v>
      </c>
    </row>
    <row r="1739" spans="1:6">
      <c r="A1739" s="35" t="s">
        <v>2344</v>
      </c>
      <c r="B1739" s="37">
        <v>291.82501220703125</v>
      </c>
      <c r="C1739" s="37">
        <v>269.22930908203125</v>
      </c>
      <c r="D1739" s="35">
        <v>8636632</v>
      </c>
      <c r="E1739" s="35" t="s">
        <v>2339</v>
      </c>
      <c r="F1739" s="35" t="s">
        <v>604</v>
      </c>
    </row>
    <row r="1740" spans="1:6">
      <c r="A1740" s="35" t="s">
        <v>2345</v>
      </c>
      <c r="B1740" s="37">
        <v>285.54998779296875</v>
      </c>
      <c r="C1740" s="37">
        <v>263.44012451171875</v>
      </c>
      <c r="D1740" s="35">
        <v>17164216</v>
      </c>
      <c r="E1740" s="35" t="s">
        <v>2339</v>
      </c>
      <c r="F1740" s="35" t="s">
        <v>604</v>
      </c>
    </row>
    <row r="1741" spans="1:6">
      <c r="A1741" s="35" t="s">
        <v>2346</v>
      </c>
      <c r="B1741" s="37">
        <v>279.35000610351563</v>
      </c>
      <c r="C1741" s="37">
        <v>257.72021484375</v>
      </c>
      <c r="D1741" s="35">
        <v>16338532</v>
      </c>
      <c r="E1741" s="35" t="s">
        <v>2339</v>
      </c>
      <c r="F1741" s="35" t="s">
        <v>604</v>
      </c>
    </row>
    <row r="1742" spans="1:6">
      <c r="A1742" s="35" t="s">
        <v>2347</v>
      </c>
      <c r="B1742" s="37">
        <v>279.60000610351563</v>
      </c>
      <c r="C1742" s="37">
        <v>257.95086669921875</v>
      </c>
      <c r="D1742" s="35">
        <v>11204576</v>
      </c>
      <c r="E1742" s="35" t="s">
        <v>2339</v>
      </c>
      <c r="F1742" s="35" t="s">
        <v>604</v>
      </c>
    </row>
    <row r="1743" spans="1:6">
      <c r="A1743" s="35" t="s">
        <v>2348</v>
      </c>
      <c r="B1743" s="37">
        <v>269.29998779296875</v>
      </c>
      <c r="C1743" s="37">
        <v>248.44831848144531</v>
      </c>
      <c r="D1743" s="35">
        <v>18930062</v>
      </c>
      <c r="E1743" s="35" t="s">
        <v>2339</v>
      </c>
      <c r="F1743" s="35" t="s">
        <v>604</v>
      </c>
    </row>
    <row r="1744" spans="1:6">
      <c r="A1744" s="35" t="s">
        <v>2349</v>
      </c>
      <c r="B1744" s="37">
        <v>265.22500610351563</v>
      </c>
      <c r="C1744" s="37">
        <v>244.68887329101563</v>
      </c>
      <c r="D1744" s="35">
        <v>13286008</v>
      </c>
      <c r="E1744" s="35" t="s">
        <v>2339</v>
      </c>
      <c r="F1744" s="35" t="s">
        <v>604</v>
      </c>
    </row>
    <row r="1745" spans="1:6">
      <c r="A1745" s="35" t="s">
        <v>2350</v>
      </c>
      <c r="B1745" s="37">
        <v>268.25</v>
      </c>
      <c r="C1745" s="37">
        <v>247.47967529296875</v>
      </c>
      <c r="D1745" s="35">
        <v>8660976</v>
      </c>
      <c r="E1745" s="35" t="s">
        <v>2339</v>
      </c>
      <c r="F1745" s="35" t="s">
        <v>604</v>
      </c>
    </row>
    <row r="1746" spans="1:6">
      <c r="A1746" s="35" t="s">
        <v>2351</v>
      </c>
      <c r="B1746" s="37">
        <v>269.60000610351563</v>
      </c>
      <c r="C1746" s="37">
        <v>248.72512817382813</v>
      </c>
      <c r="D1746" s="35">
        <v>13388782</v>
      </c>
      <c r="E1746" s="35" t="s">
        <v>2339</v>
      </c>
      <c r="F1746" s="35" t="s">
        <v>604</v>
      </c>
    </row>
    <row r="1747" spans="1:6">
      <c r="A1747" s="35" t="s">
        <v>2352</v>
      </c>
      <c r="B1747" s="37">
        <v>268.85000610351563</v>
      </c>
      <c r="C1747" s="37">
        <v>248.03318786621094</v>
      </c>
      <c r="D1747" s="35">
        <v>9782424</v>
      </c>
      <c r="E1747" s="35" t="s">
        <v>2339</v>
      </c>
      <c r="F1747" s="35" t="s">
        <v>604</v>
      </c>
    </row>
    <row r="1748" spans="1:6">
      <c r="A1748" s="35" t="s">
        <v>2353</v>
      </c>
      <c r="B1748" s="37">
        <v>264.67498779296875</v>
      </c>
      <c r="C1748" s="37">
        <v>244.18147277832031</v>
      </c>
      <c r="D1748" s="35">
        <v>9473768</v>
      </c>
      <c r="E1748" s="35" t="s">
        <v>2339</v>
      </c>
      <c r="F1748" s="35" t="s">
        <v>604</v>
      </c>
    </row>
    <row r="1749" spans="1:6">
      <c r="A1749" s="35" t="s">
        <v>2354</v>
      </c>
      <c r="B1749" s="37">
        <v>264.625</v>
      </c>
      <c r="C1749" s="37">
        <v>244.1353759765625</v>
      </c>
      <c r="D1749" s="35">
        <v>8718740</v>
      </c>
      <c r="E1749" s="35" t="s">
        <v>2339</v>
      </c>
      <c r="F1749" s="35" t="s">
        <v>604</v>
      </c>
    </row>
    <row r="1750" spans="1:6">
      <c r="A1750" s="35" t="s">
        <v>2355</v>
      </c>
      <c r="B1750" s="37">
        <v>259.47500610351563</v>
      </c>
      <c r="C1750" s="37">
        <v>239.38409423828125</v>
      </c>
      <c r="D1750" s="35">
        <v>16275078</v>
      </c>
      <c r="E1750" s="35" t="s">
        <v>2339</v>
      </c>
      <c r="F1750" s="35" t="s">
        <v>604</v>
      </c>
    </row>
    <row r="1751" spans="1:6">
      <c r="A1751" s="35" t="s">
        <v>2356</v>
      </c>
      <c r="B1751" s="37">
        <v>261.27499389648438</v>
      </c>
      <c r="C1751" s="37">
        <v>241.04470825195313</v>
      </c>
      <c r="D1751" s="35">
        <v>13241338</v>
      </c>
      <c r="E1751" s="35" t="s">
        <v>2339</v>
      </c>
      <c r="F1751" s="35" t="s">
        <v>604</v>
      </c>
    </row>
    <row r="1752" spans="1:6">
      <c r="A1752" s="35" t="s">
        <v>2357</v>
      </c>
      <c r="B1752" s="37">
        <v>254.39999389648438</v>
      </c>
      <c r="C1752" s="37">
        <v>234.70205688476563</v>
      </c>
      <c r="D1752" s="35">
        <v>24151260</v>
      </c>
      <c r="E1752" s="35" t="s">
        <v>2339</v>
      </c>
      <c r="F1752" s="35" t="s">
        <v>604</v>
      </c>
    </row>
    <row r="1753" spans="1:6">
      <c r="A1753" s="35" t="s">
        <v>2358</v>
      </c>
      <c r="B1753" s="37">
        <v>247.5</v>
      </c>
      <c r="C1753" s="37">
        <v>228.3363037109375</v>
      </c>
      <c r="D1753" s="35">
        <v>43822854</v>
      </c>
      <c r="E1753" s="35" t="s">
        <v>2339</v>
      </c>
      <c r="F1753" s="35" t="s">
        <v>604</v>
      </c>
    </row>
    <row r="1754" spans="1:6">
      <c r="A1754" s="35" t="s">
        <v>2359</v>
      </c>
      <c r="B1754" s="37">
        <v>245.875</v>
      </c>
      <c r="C1754" s="37">
        <v>226.83714294433594</v>
      </c>
      <c r="D1754" s="35">
        <v>17267854</v>
      </c>
      <c r="E1754" s="35" t="s">
        <v>2339</v>
      </c>
      <c r="F1754" s="35" t="s">
        <v>604</v>
      </c>
    </row>
    <row r="1755" spans="1:6">
      <c r="A1755" s="35" t="s">
        <v>2360</v>
      </c>
      <c r="B1755" s="37">
        <v>250.57499694824219</v>
      </c>
      <c r="C1755" s="37">
        <v>231.1732177734375</v>
      </c>
      <c r="D1755" s="35">
        <v>10869532</v>
      </c>
      <c r="E1755" s="35" t="s">
        <v>2339</v>
      </c>
      <c r="F1755" s="35" t="s">
        <v>604</v>
      </c>
    </row>
    <row r="1756" spans="1:6">
      <c r="A1756" s="35" t="s">
        <v>2361</v>
      </c>
      <c r="B1756" s="37">
        <v>242.55000305175781</v>
      </c>
      <c r="C1756" s="37">
        <v>223.76960754394531</v>
      </c>
      <c r="D1756" s="35">
        <v>18441782</v>
      </c>
      <c r="E1756" s="35" t="s">
        <v>2339</v>
      </c>
      <c r="F1756" s="35" t="s">
        <v>604</v>
      </c>
    </row>
    <row r="1757" spans="1:6">
      <c r="A1757" s="35" t="s">
        <v>2362</v>
      </c>
      <c r="B1757" s="37">
        <v>241.57499694824219</v>
      </c>
      <c r="C1757" s="37">
        <v>222.87007141113281</v>
      </c>
      <c r="D1757" s="35">
        <v>16675250</v>
      </c>
      <c r="E1757" s="35" t="s">
        <v>2339</v>
      </c>
      <c r="F1757" s="35" t="s">
        <v>604</v>
      </c>
    </row>
    <row r="1758" spans="1:6">
      <c r="A1758" s="35" t="s">
        <v>2363</v>
      </c>
      <c r="B1758" s="37">
        <v>238.82499694824219</v>
      </c>
      <c r="C1758" s="37">
        <v>220.3330078125</v>
      </c>
      <c r="D1758" s="35">
        <v>14969534</v>
      </c>
      <c r="E1758" s="35" t="s">
        <v>2339</v>
      </c>
      <c r="F1758" s="35" t="s">
        <v>604</v>
      </c>
    </row>
    <row r="1759" spans="1:6">
      <c r="A1759" s="35" t="s">
        <v>2364</v>
      </c>
      <c r="B1759" s="37">
        <v>235.94999694824219</v>
      </c>
      <c r="C1759" s="37">
        <v>217.68061828613281</v>
      </c>
      <c r="D1759" s="35">
        <v>21029342</v>
      </c>
      <c r="E1759" s="35" t="s">
        <v>2339</v>
      </c>
      <c r="F1759" s="35" t="s">
        <v>604</v>
      </c>
    </row>
    <row r="1760" spans="1:6">
      <c r="A1760" s="35" t="s">
        <v>2365</v>
      </c>
      <c r="B1760" s="37">
        <v>236.89999389648438</v>
      </c>
      <c r="C1760" s="37">
        <v>218.55705261230469</v>
      </c>
      <c r="D1760" s="35">
        <v>14573000</v>
      </c>
      <c r="E1760" s="35" t="s">
        <v>2339</v>
      </c>
      <c r="F1760" s="35" t="s">
        <v>604</v>
      </c>
    </row>
    <row r="1761" spans="1:6">
      <c r="A1761" s="35" t="s">
        <v>2366</v>
      </c>
      <c r="B1761" s="37">
        <v>234.32499694824219</v>
      </c>
      <c r="C1761" s="37">
        <v>216.18142700195313</v>
      </c>
      <c r="D1761" s="35">
        <v>16775318</v>
      </c>
      <c r="E1761" s="35" t="s">
        <v>2339</v>
      </c>
      <c r="F1761" s="35" t="s">
        <v>604</v>
      </c>
    </row>
    <row r="1762" spans="1:6">
      <c r="A1762" s="35" t="s">
        <v>2367</v>
      </c>
      <c r="B1762" s="37">
        <v>234</v>
      </c>
      <c r="C1762" s="37">
        <v>215.88160705566406</v>
      </c>
      <c r="D1762" s="35">
        <v>7314066</v>
      </c>
      <c r="E1762" s="35" t="s">
        <v>2339</v>
      </c>
      <c r="F1762" s="35" t="s">
        <v>604</v>
      </c>
    </row>
    <row r="1763" spans="1:6">
      <c r="A1763" s="35" t="s">
        <v>2368</v>
      </c>
      <c r="B1763" s="37">
        <v>243.32499694824219</v>
      </c>
      <c r="C1763" s="37">
        <v>224.48458862304688</v>
      </c>
      <c r="D1763" s="35">
        <v>11321450</v>
      </c>
      <c r="E1763" s="35" t="s">
        <v>2339</v>
      </c>
      <c r="F1763" s="35" t="s">
        <v>604</v>
      </c>
    </row>
    <row r="1764" spans="1:6">
      <c r="A1764" s="35" t="s">
        <v>2369</v>
      </c>
      <c r="B1764" s="37">
        <v>240.625</v>
      </c>
      <c r="C1764" s="37">
        <v>221.99363708496094</v>
      </c>
      <c r="D1764" s="35">
        <v>15390968</v>
      </c>
      <c r="E1764" s="35" t="s">
        <v>2339</v>
      </c>
      <c r="F1764" s="35" t="s">
        <v>604</v>
      </c>
    </row>
    <row r="1765" spans="1:6">
      <c r="A1765" s="35" t="s">
        <v>2370</v>
      </c>
      <c r="B1765" s="37">
        <v>225.57499694824219</v>
      </c>
      <c r="C1765" s="37">
        <v>208.10891723632813</v>
      </c>
      <c r="D1765" s="35">
        <v>22945978</v>
      </c>
      <c r="E1765" s="35" t="s">
        <v>2339</v>
      </c>
      <c r="F1765" s="35" t="s">
        <v>604</v>
      </c>
    </row>
    <row r="1766" spans="1:6">
      <c r="A1766" s="35" t="s">
        <v>2371</v>
      </c>
      <c r="B1766" s="37">
        <v>229.80000305175781</v>
      </c>
      <c r="C1766" s="37">
        <v>212.00682067871094</v>
      </c>
      <c r="D1766" s="35">
        <v>12731912</v>
      </c>
      <c r="E1766" s="35" t="s">
        <v>2339</v>
      </c>
      <c r="F1766" s="35" t="s">
        <v>604</v>
      </c>
    </row>
    <row r="1767" spans="1:6">
      <c r="A1767" s="35" t="s">
        <v>2372</v>
      </c>
      <c r="B1767" s="37">
        <v>233</v>
      </c>
      <c r="C1767" s="37">
        <v>214.95903015136719</v>
      </c>
      <c r="D1767" s="35">
        <v>14111568</v>
      </c>
      <c r="E1767" s="35" t="s">
        <v>2339</v>
      </c>
      <c r="F1767" s="35" t="s">
        <v>604</v>
      </c>
    </row>
    <row r="1768" spans="1:6">
      <c r="A1768" s="35" t="s">
        <v>2373</v>
      </c>
      <c r="B1768" s="37">
        <v>229.97500610351563</v>
      </c>
      <c r="C1768" s="37">
        <v>212.16827392578125</v>
      </c>
      <c r="D1768" s="35">
        <v>13779460</v>
      </c>
      <c r="E1768" s="35" t="s">
        <v>2339</v>
      </c>
      <c r="F1768" s="35" t="s">
        <v>604</v>
      </c>
    </row>
    <row r="1769" spans="1:6">
      <c r="A1769" s="35" t="s">
        <v>2374</v>
      </c>
      <c r="B1769" s="37">
        <v>222.42500305175781</v>
      </c>
      <c r="C1769" s="37">
        <v>205.20285034179688</v>
      </c>
      <c r="D1769" s="35">
        <v>15481506</v>
      </c>
      <c r="E1769" s="35" t="s">
        <v>2339</v>
      </c>
      <c r="F1769" s="35" t="s">
        <v>604</v>
      </c>
    </row>
    <row r="1770" spans="1:6">
      <c r="A1770" s="35" t="s">
        <v>2375</v>
      </c>
      <c r="B1770" s="37">
        <v>226.67500305175781</v>
      </c>
      <c r="C1770" s="37">
        <v>209.12379455566406</v>
      </c>
      <c r="D1770" s="35">
        <v>11583082</v>
      </c>
      <c r="E1770" s="35" t="s">
        <v>2339</v>
      </c>
      <c r="F1770" s="35" t="s">
        <v>604</v>
      </c>
    </row>
    <row r="1771" spans="1:6">
      <c r="A1771" s="35" t="s">
        <v>2376</v>
      </c>
      <c r="B1771" s="37">
        <v>233.47500610351563</v>
      </c>
      <c r="C1771" s="37">
        <v>215.39726257324219</v>
      </c>
      <c r="D1771" s="35">
        <v>11414472</v>
      </c>
      <c r="E1771" s="35" t="s">
        <v>2339</v>
      </c>
      <c r="F1771" s="35" t="s">
        <v>604</v>
      </c>
    </row>
    <row r="1772" spans="1:6">
      <c r="A1772" s="35" t="s">
        <v>2377</v>
      </c>
      <c r="B1772" s="37">
        <v>238.125</v>
      </c>
      <c r="C1772" s="37">
        <v>219.68721008300781</v>
      </c>
      <c r="D1772" s="35">
        <v>12291148</v>
      </c>
      <c r="E1772" s="35" t="s">
        <v>2339</v>
      </c>
      <c r="F1772" s="35" t="s">
        <v>604</v>
      </c>
    </row>
    <row r="1773" spans="1:6">
      <c r="A1773" s="35" t="s">
        <v>2378</v>
      </c>
      <c r="B1773" s="37">
        <v>239.02499389648438</v>
      </c>
      <c r="C1773" s="37">
        <v>220.51751708984375</v>
      </c>
      <c r="D1773" s="35">
        <v>31587004</v>
      </c>
      <c r="E1773" s="35" t="s">
        <v>2339</v>
      </c>
      <c r="F1773" s="35" t="s">
        <v>604</v>
      </c>
    </row>
    <row r="1774" spans="1:6">
      <c r="A1774" s="35" t="s">
        <v>2379</v>
      </c>
      <c r="B1774" s="37">
        <v>235.375</v>
      </c>
      <c r="C1774" s="37">
        <v>217.150146484375</v>
      </c>
      <c r="D1774" s="35">
        <v>10514566</v>
      </c>
      <c r="E1774" s="35" t="s">
        <v>2339</v>
      </c>
      <c r="F1774" s="35" t="s">
        <v>604</v>
      </c>
    </row>
    <row r="1775" spans="1:6">
      <c r="A1775" s="35" t="s">
        <v>2380</v>
      </c>
      <c r="B1775" s="37">
        <v>237.07499694824219</v>
      </c>
      <c r="C1775" s="37">
        <v>218.718505859375</v>
      </c>
      <c r="D1775" s="35">
        <v>10535040</v>
      </c>
      <c r="E1775" s="35" t="s">
        <v>2339</v>
      </c>
      <c r="F1775" s="35" t="s">
        <v>604</v>
      </c>
    </row>
    <row r="1776" spans="1:6">
      <c r="A1776" s="35" t="s">
        <v>2381</v>
      </c>
      <c r="B1776" s="37">
        <v>237.75</v>
      </c>
      <c r="C1776" s="37">
        <v>219.34126281738281</v>
      </c>
      <c r="D1776" s="35">
        <v>23269778</v>
      </c>
      <c r="E1776" s="35" t="s">
        <v>2339</v>
      </c>
      <c r="F1776" s="35" t="s">
        <v>604</v>
      </c>
    </row>
    <row r="1777" spans="1:6">
      <c r="A1777" s="35" t="s">
        <v>2382</v>
      </c>
      <c r="B1777" s="37">
        <v>236.60000610351563</v>
      </c>
      <c r="C1777" s="37">
        <v>218.28030395507813</v>
      </c>
      <c r="D1777" s="35">
        <v>13791156</v>
      </c>
      <c r="E1777" s="35" t="s">
        <v>2339</v>
      </c>
      <c r="F1777" s="35" t="s">
        <v>604</v>
      </c>
    </row>
    <row r="1778" spans="1:6">
      <c r="A1778" s="35" t="s">
        <v>2383</v>
      </c>
      <c r="B1778" s="37">
        <v>233.82499694824219</v>
      </c>
      <c r="C1778" s="37">
        <v>215.72015380859375</v>
      </c>
      <c r="D1778" s="35">
        <v>4701342</v>
      </c>
      <c r="E1778" s="35" t="s">
        <v>2339</v>
      </c>
      <c r="F1778" s="35" t="s">
        <v>604</v>
      </c>
    </row>
    <row r="1779" spans="1:6">
      <c r="A1779" s="35" t="s">
        <v>2384</v>
      </c>
      <c r="B1779" s="37">
        <v>235.19999694824219</v>
      </c>
      <c r="C1779" s="37">
        <v>216.98867797851563</v>
      </c>
      <c r="D1779" s="35">
        <v>5627652</v>
      </c>
      <c r="E1779" s="35" t="s">
        <v>2339</v>
      </c>
      <c r="F1779" s="35" t="s">
        <v>604</v>
      </c>
    </row>
    <row r="1780" spans="1:6">
      <c r="A1780" s="35" t="s">
        <v>2385</v>
      </c>
      <c r="B1780" s="37">
        <v>237.52499389648438</v>
      </c>
      <c r="C1780" s="37">
        <v>219.13368225097656</v>
      </c>
      <c r="D1780" s="35">
        <v>7402238</v>
      </c>
      <c r="E1780" s="35" t="s">
        <v>2339</v>
      </c>
      <c r="F1780" s="35" t="s">
        <v>604</v>
      </c>
    </row>
    <row r="1781" spans="1:6">
      <c r="A1781" s="35" t="s">
        <v>2386</v>
      </c>
      <c r="B1781" s="37">
        <v>230.47500610351563</v>
      </c>
      <c r="C1781" s="37">
        <v>212.62956237792969</v>
      </c>
      <c r="D1781" s="35">
        <v>17453098</v>
      </c>
      <c r="E1781" s="35" t="s">
        <v>2339</v>
      </c>
      <c r="F1781" s="35" t="s">
        <v>604</v>
      </c>
    </row>
    <row r="1782" spans="1:6">
      <c r="A1782" s="35" t="s">
        <v>2387</v>
      </c>
      <c r="B1782" s="37">
        <v>223.05000305175781</v>
      </c>
      <c r="C1782" s="37">
        <v>205.77946472167969</v>
      </c>
      <c r="D1782" s="35">
        <v>14130822</v>
      </c>
      <c r="E1782" s="35" t="s">
        <v>2339</v>
      </c>
      <c r="F1782" s="35" t="s">
        <v>604</v>
      </c>
    </row>
    <row r="1783" spans="1:6">
      <c r="A1783" s="35" t="s">
        <v>2388</v>
      </c>
      <c r="B1783" s="37">
        <v>222.94999694824219</v>
      </c>
      <c r="C1783" s="37">
        <v>205.68719482421875</v>
      </c>
      <c r="D1783" s="35">
        <v>13056384</v>
      </c>
      <c r="E1783" s="35" t="s">
        <v>2339</v>
      </c>
      <c r="F1783" s="35" t="s">
        <v>604</v>
      </c>
    </row>
    <row r="1784" spans="1:6">
      <c r="A1784" s="35" t="s">
        <v>2389</v>
      </c>
      <c r="B1784" s="37">
        <v>220.05000305175781</v>
      </c>
      <c r="C1784" s="37">
        <v>203.01174926757813</v>
      </c>
      <c r="D1784" s="35">
        <v>11391596</v>
      </c>
      <c r="E1784" s="35" t="s">
        <v>2339</v>
      </c>
      <c r="F1784" s="35" t="s">
        <v>604</v>
      </c>
    </row>
    <row r="1785" spans="1:6">
      <c r="A1785" s="35" t="s">
        <v>2390</v>
      </c>
      <c r="B1785" s="37">
        <v>211.14999389648438</v>
      </c>
      <c r="C1785" s="37">
        <v>194.80084228515625</v>
      </c>
      <c r="D1785" s="35">
        <v>17944686</v>
      </c>
      <c r="E1785" s="35" t="s">
        <v>2339</v>
      </c>
      <c r="F1785" s="35" t="s">
        <v>604</v>
      </c>
    </row>
    <row r="1786" spans="1:6">
      <c r="A1786" s="35" t="s">
        <v>2391</v>
      </c>
      <c r="B1786" s="37">
        <v>202.60000610351563</v>
      </c>
      <c r="C1786" s="37">
        <v>186.91290283203125</v>
      </c>
      <c r="D1786" s="35">
        <v>41550546</v>
      </c>
      <c r="E1786" s="35" t="s">
        <v>2339</v>
      </c>
      <c r="F1786" s="35" t="s">
        <v>604</v>
      </c>
    </row>
    <row r="1787" spans="1:6">
      <c r="A1787" s="35" t="s">
        <v>2392</v>
      </c>
      <c r="B1787" s="37">
        <v>207.32499694824219</v>
      </c>
      <c r="C1787" s="37">
        <v>191.27203369140625</v>
      </c>
      <c r="D1787" s="35">
        <v>20750838</v>
      </c>
      <c r="E1787" s="35" t="s">
        <v>2339</v>
      </c>
      <c r="F1787" s="35" t="s">
        <v>604</v>
      </c>
    </row>
    <row r="1788" spans="1:6">
      <c r="A1788" s="35" t="s">
        <v>2393</v>
      </c>
      <c r="B1788" s="37">
        <v>212.57499694824219</v>
      </c>
      <c r="C1788" s="37">
        <v>196.11552429199219</v>
      </c>
      <c r="D1788" s="35">
        <v>12187804</v>
      </c>
      <c r="E1788" s="35" t="s">
        <v>2339</v>
      </c>
      <c r="F1788" s="35" t="s">
        <v>604</v>
      </c>
    </row>
    <row r="1789" spans="1:6">
      <c r="A1789" s="35" t="s">
        <v>2394</v>
      </c>
      <c r="B1789" s="37">
        <v>205.625</v>
      </c>
      <c r="C1789" s="37">
        <v>189.70364379882813</v>
      </c>
      <c r="D1789" s="35">
        <v>16202862</v>
      </c>
      <c r="E1789" s="35" t="s">
        <v>2339</v>
      </c>
      <c r="F1789" s="35" t="s">
        <v>604</v>
      </c>
    </row>
    <row r="1790" spans="1:6">
      <c r="A1790" s="35" t="s">
        <v>2395</v>
      </c>
      <c r="B1790" s="37">
        <v>209.52499389648438</v>
      </c>
      <c r="C1790" s="37">
        <v>193.30168151855469</v>
      </c>
      <c r="D1790" s="35">
        <v>19655010</v>
      </c>
      <c r="E1790" s="35" t="s">
        <v>2339</v>
      </c>
      <c r="F1790" s="35" t="s">
        <v>604</v>
      </c>
    </row>
    <row r="1791" spans="1:6">
      <c r="A1791" s="35" t="s">
        <v>2396</v>
      </c>
      <c r="B1791" s="37">
        <v>209.375</v>
      </c>
      <c r="C1791" s="37">
        <v>193.16331481933594</v>
      </c>
      <c r="D1791" s="35">
        <v>15362102</v>
      </c>
      <c r="E1791" s="35" t="s">
        <v>2339</v>
      </c>
      <c r="F1791" s="35" t="s">
        <v>604</v>
      </c>
    </row>
    <row r="1792" spans="1:6">
      <c r="A1792" s="35" t="s">
        <v>2397</v>
      </c>
      <c r="B1792" s="37">
        <v>212.44999694824219</v>
      </c>
      <c r="C1792" s="37">
        <v>196.00021362304688</v>
      </c>
      <c r="D1792" s="35">
        <v>12447870</v>
      </c>
      <c r="E1792" s="35" t="s">
        <v>2339</v>
      </c>
      <c r="F1792" s="35" t="s">
        <v>604</v>
      </c>
    </row>
    <row r="1793" spans="1:6">
      <c r="A1793" s="35" t="s">
        <v>2398</v>
      </c>
      <c r="B1793" s="37">
        <v>213.625</v>
      </c>
      <c r="C1793" s="37">
        <v>197.08421325683594</v>
      </c>
      <c r="D1793" s="35">
        <v>12091828</v>
      </c>
      <c r="E1793" s="35" t="s">
        <v>2339</v>
      </c>
      <c r="F1793" s="35" t="s">
        <v>604</v>
      </c>
    </row>
    <row r="1794" spans="1:6">
      <c r="A1794" s="35" t="s">
        <v>2399</v>
      </c>
      <c r="B1794" s="37">
        <v>210.375</v>
      </c>
      <c r="C1794" s="37">
        <v>194.08587646484375</v>
      </c>
      <c r="D1794" s="35">
        <v>16684176</v>
      </c>
      <c r="E1794" s="35" t="s">
        <v>2339</v>
      </c>
      <c r="F1794" s="35" t="s">
        <v>604</v>
      </c>
    </row>
    <row r="1795" spans="1:6">
      <c r="A1795" s="35" t="s">
        <v>2400</v>
      </c>
      <c r="B1795" s="37">
        <v>208.02499389648438</v>
      </c>
      <c r="C1795" s="37">
        <v>191.91780090332031</v>
      </c>
      <c r="D1795" s="35">
        <v>12123284</v>
      </c>
      <c r="E1795" s="35" t="s">
        <v>2339</v>
      </c>
      <c r="F1795" s="35" t="s">
        <v>604</v>
      </c>
    </row>
    <row r="1796" spans="1:6">
      <c r="A1796" s="35" t="s">
        <v>2401</v>
      </c>
      <c r="B1796" s="37">
        <v>211</v>
      </c>
      <c r="C1796" s="37">
        <v>194.6624755859375</v>
      </c>
      <c r="D1796" s="35">
        <v>8907248</v>
      </c>
      <c r="E1796" s="35" t="s">
        <v>2339</v>
      </c>
      <c r="F1796" s="35" t="s">
        <v>604</v>
      </c>
    </row>
    <row r="1797" spans="1:6">
      <c r="A1797" s="35" t="s">
        <v>2402</v>
      </c>
      <c r="B1797" s="37">
        <v>210.14999389648438</v>
      </c>
      <c r="C1797" s="37">
        <v>193.87826538085938</v>
      </c>
      <c r="D1797" s="35">
        <v>6372716</v>
      </c>
      <c r="E1797" s="35" t="s">
        <v>2339</v>
      </c>
      <c r="F1797" s="35" t="s">
        <v>604</v>
      </c>
    </row>
    <row r="1798" spans="1:6">
      <c r="A1798" s="35" t="s">
        <v>2403</v>
      </c>
      <c r="B1798" s="37">
        <v>206.80000305175781</v>
      </c>
      <c r="C1798" s="37">
        <v>190.78765869140625</v>
      </c>
      <c r="D1798" s="35">
        <v>11513210</v>
      </c>
      <c r="E1798" s="35" t="s">
        <v>2339</v>
      </c>
      <c r="F1798" s="35" t="s">
        <v>604</v>
      </c>
    </row>
    <row r="1799" spans="1:6">
      <c r="A1799" s="35" t="s">
        <v>2404</v>
      </c>
      <c r="B1799" s="37">
        <v>208.02499389648438</v>
      </c>
      <c r="C1799" s="37">
        <v>191.91780090332031</v>
      </c>
      <c r="D1799" s="35">
        <v>10522910</v>
      </c>
      <c r="E1799" s="35" t="s">
        <v>2339</v>
      </c>
      <c r="F1799" s="35" t="s">
        <v>604</v>
      </c>
    </row>
    <row r="1800" spans="1:6">
      <c r="A1800" s="35" t="s">
        <v>2405</v>
      </c>
      <c r="B1800" s="37">
        <v>210.39999389648438</v>
      </c>
      <c r="C1800" s="37">
        <v>194.10891723632813</v>
      </c>
      <c r="D1800" s="35">
        <v>10706024</v>
      </c>
      <c r="E1800" s="35" t="s">
        <v>2339</v>
      </c>
      <c r="F1800" s="35" t="s">
        <v>604</v>
      </c>
    </row>
    <row r="1801" spans="1:6">
      <c r="A1801" s="35" t="s">
        <v>2406</v>
      </c>
      <c r="B1801" s="37">
        <v>209.55000305175781</v>
      </c>
      <c r="C1801" s="37">
        <v>193.32475280761719</v>
      </c>
      <c r="D1801" s="35">
        <v>9535432</v>
      </c>
      <c r="E1801" s="35" t="s">
        <v>2339</v>
      </c>
      <c r="F1801" s="35" t="s">
        <v>604</v>
      </c>
    </row>
    <row r="1802" spans="1:6">
      <c r="A1802" s="35" t="s">
        <v>2407</v>
      </c>
      <c r="B1802" s="37">
        <v>205.60000610351563</v>
      </c>
      <c r="C1802" s="37">
        <v>189.68060302734375</v>
      </c>
      <c r="D1802" s="35">
        <v>16689574</v>
      </c>
      <c r="E1802" s="35" t="s">
        <v>2339</v>
      </c>
      <c r="F1802" s="35" t="s">
        <v>604</v>
      </c>
    </row>
    <row r="1803" spans="1:6">
      <c r="A1803" s="35" t="s">
        <v>2408</v>
      </c>
      <c r="B1803" s="37">
        <v>204.57499694824219</v>
      </c>
      <c r="C1803" s="37">
        <v>188.73495483398438</v>
      </c>
      <c r="D1803" s="35">
        <v>9777472</v>
      </c>
      <c r="E1803" s="35" t="s">
        <v>2339</v>
      </c>
      <c r="F1803" s="35" t="s">
        <v>604</v>
      </c>
    </row>
    <row r="1804" spans="1:6">
      <c r="A1804" s="35" t="s">
        <v>2409</v>
      </c>
      <c r="B1804" s="37">
        <v>203.35000610351563</v>
      </c>
      <c r="C1804" s="37">
        <v>187.60482788085938</v>
      </c>
      <c r="D1804" s="35">
        <v>11956780</v>
      </c>
      <c r="E1804" s="35" t="s">
        <v>2339</v>
      </c>
      <c r="F1804" s="35" t="s">
        <v>604</v>
      </c>
    </row>
    <row r="1805" spans="1:6">
      <c r="A1805" s="35" t="s">
        <v>2410</v>
      </c>
      <c r="B1805" s="37">
        <v>200.72500610351563</v>
      </c>
      <c r="C1805" s="37">
        <v>185.18305969238281</v>
      </c>
      <c r="D1805" s="35">
        <v>13161242</v>
      </c>
      <c r="E1805" s="35" t="s">
        <v>2339</v>
      </c>
      <c r="F1805" s="35" t="s">
        <v>604</v>
      </c>
    </row>
    <row r="1806" spans="1:6">
      <c r="A1806" s="35" t="s">
        <v>2411</v>
      </c>
      <c r="B1806" s="37">
        <v>196.92500305175781</v>
      </c>
      <c r="C1806" s="37">
        <v>181.67729187011719</v>
      </c>
      <c r="D1806" s="35">
        <v>22328354</v>
      </c>
      <c r="E1806" s="35" t="s">
        <v>2339</v>
      </c>
      <c r="F1806" s="35" t="s">
        <v>604</v>
      </c>
    </row>
    <row r="1807" spans="1:6">
      <c r="A1807" s="35" t="s">
        <v>2412</v>
      </c>
      <c r="B1807" s="37">
        <v>202.375</v>
      </c>
      <c r="C1807" s="37">
        <v>186.70530700683594</v>
      </c>
      <c r="D1807" s="35">
        <v>13632394</v>
      </c>
      <c r="E1807" s="35" t="s">
        <v>2339</v>
      </c>
      <c r="F1807" s="35" t="s">
        <v>604</v>
      </c>
    </row>
    <row r="1808" spans="1:6">
      <c r="A1808" s="35" t="s">
        <v>2413</v>
      </c>
      <c r="B1808" s="37">
        <v>202.82499694824219</v>
      </c>
      <c r="C1808" s="37">
        <v>187.12045288085938</v>
      </c>
      <c r="D1808" s="35">
        <v>12897178</v>
      </c>
      <c r="E1808" s="35" t="s">
        <v>2339</v>
      </c>
      <c r="F1808" s="35" t="s">
        <v>604</v>
      </c>
    </row>
    <row r="1809" spans="1:6">
      <c r="A1809" s="35" t="s">
        <v>2414</v>
      </c>
      <c r="B1809" s="37">
        <v>206.05000305175781</v>
      </c>
      <c r="C1809" s="37">
        <v>190.09574890136719</v>
      </c>
      <c r="D1809" s="35">
        <v>25237412</v>
      </c>
      <c r="E1809" s="35" t="s">
        <v>2339</v>
      </c>
      <c r="F1809" s="35" t="s">
        <v>604</v>
      </c>
    </row>
    <row r="1810" spans="1:6">
      <c r="A1810" s="35" t="s">
        <v>2415</v>
      </c>
      <c r="B1810" s="37">
        <v>207</v>
      </c>
      <c r="C1810" s="37">
        <v>190.97219848632813</v>
      </c>
      <c r="D1810" s="35">
        <v>45382342</v>
      </c>
      <c r="E1810" s="35" t="s">
        <v>2339</v>
      </c>
      <c r="F1810" s="35" t="s">
        <v>604</v>
      </c>
    </row>
    <row r="1811" spans="1:6">
      <c r="A1811" s="35" t="s">
        <v>2416</v>
      </c>
      <c r="B1811" s="37">
        <v>205.42500305175781</v>
      </c>
      <c r="C1811" s="37">
        <v>189.51914978027344</v>
      </c>
      <c r="D1811" s="35">
        <v>15468542</v>
      </c>
      <c r="E1811" s="35" t="s">
        <v>2339</v>
      </c>
      <c r="F1811" s="35" t="s">
        <v>604</v>
      </c>
    </row>
    <row r="1812" spans="1:6">
      <c r="A1812" s="35" t="s">
        <v>2417</v>
      </c>
      <c r="B1812" s="37">
        <v>207.39999389648438</v>
      </c>
      <c r="C1812" s="37">
        <v>191.34121704101563</v>
      </c>
      <c r="D1812" s="35">
        <v>12535662</v>
      </c>
      <c r="E1812" s="35" t="s">
        <v>2339</v>
      </c>
      <c r="F1812" s="35" t="s">
        <v>604</v>
      </c>
    </row>
    <row r="1813" spans="1:6">
      <c r="A1813" s="35" t="s">
        <v>2418</v>
      </c>
      <c r="B1813" s="37">
        <v>202.60000610351563</v>
      </c>
      <c r="C1813" s="37">
        <v>186.91290283203125</v>
      </c>
      <c r="D1813" s="35">
        <v>15186298</v>
      </c>
      <c r="E1813" s="35" t="s">
        <v>2339</v>
      </c>
      <c r="F1813" s="35" t="s">
        <v>604</v>
      </c>
    </row>
    <row r="1814" spans="1:6">
      <c r="A1814" s="35" t="s">
        <v>2419</v>
      </c>
      <c r="B1814" s="37">
        <v>203.32499694824219</v>
      </c>
      <c r="C1814" s="37">
        <v>187.58174133300781</v>
      </c>
      <c r="D1814" s="35">
        <v>14084158</v>
      </c>
      <c r="E1814" s="35" t="s">
        <v>2339</v>
      </c>
      <c r="F1814" s="35" t="s">
        <v>604</v>
      </c>
    </row>
    <row r="1815" spans="1:6">
      <c r="A1815" s="35" t="s">
        <v>2420</v>
      </c>
      <c r="B1815" s="37">
        <v>208</v>
      </c>
      <c r="C1815" s="37">
        <v>191.89476013183594</v>
      </c>
      <c r="D1815" s="35">
        <v>15898464</v>
      </c>
      <c r="E1815" s="35" t="s">
        <v>2339</v>
      </c>
      <c r="F1815" s="35" t="s">
        <v>604</v>
      </c>
    </row>
    <row r="1816" spans="1:6">
      <c r="A1816" s="35" t="s">
        <v>2421</v>
      </c>
      <c r="B1816" s="37">
        <v>211.85000610351563</v>
      </c>
      <c r="C1816" s="37">
        <v>195.44667053222656</v>
      </c>
      <c r="D1816" s="35">
        <v>15919784</v>
      </c>
      <c r="E1816" s="35" t="s">
        <v>2339</v>
      </c>
      <c r="F1816" s="35" t="s">
        <v>604</v>
      </c>
    </row>
    <row r="1817" spans="1:6">
      <c r="A1817" s="35" t="s">
        <v>2422</v>
      </c>
      <c r="B1817" s="37">
        <v>214.5</v>
      </c>
      <c r="C1817" s="37">
        <v>197.89144897460938</v>
      </c>
      <c r="D1817" s="35">
        <v>10365748</v>
      </c>
      <c r="E1817" s="35" t="s">
        <v>2339</v>
      </c>
      <c r="F1817" s="35" t="s">
        <v>604</v>
      </c>
    </row>
    <row r="1818" spans="1:6">
      <c r="A1818" s="35" t="s">
        <v>2423</v>
      </c>
      <c r="B1818" s="37">
        <v>214.80000305175781</v>
      </c>
      <c r="C1818" s="37">
        <v>198.16822814941406</v>
      </c>
      <c r="D1818" s="35">
        <v>16912426</v>
      </c>
      <c r="E1818" s="35" t="s">
        <v>2339</v>
      </c>
      <c r="F1818" s="35" t="s">
        <v>604</v>
      </c>
    </row>
    <row r="1819" spans="1:6">
      <c r="A1819" s="35" t="s">
        <v>2424</v>
      </c>
      <c r="B1819" s="37">
        <v>216.17500305175781</v>
      </c>
      <c r="C1819" s="37">
        <v>199.436767578125</v>
      </c>
      <c r="D1819" s="35">
        <v>12034938</v>
      </c>
      <c r="E1819" s="35" t="s">
        <v>2339</v>
      </c>
      <c r="F1819" s="35" t="s">
        <v>604</v>
      </c>
    </row>
    <row r="1820" spans="1:6">
      <c r="A1820" s="35" t="s">
        <v>2425</v>
      </c>
      <c r="B1820" s="37">
        <v>217.75</v>
      </c>
      <c r="C1820" s="37">
        <v>200.88981628417969</v>
      </c>
      <c r="D1820" s="35">
        <v>17789134</v>
      </c>
      <c r="E1820" s="35" t="s">
        <v>2339</v>
      </c>
      <c r="F1820" s="35" t="s">
        <v>604</v>
      </c>
    </row>
    <row r="1821" spans="1:6">
      <c r="A1821" s="35" t="s">
        <v>2426</v>
      </c>
      <c r="B1821" s="37">
        <v>220</v>
      </c>
      <c r="C1821" s="37">
        <v>202.96560668945313</v>
      </c>
      <c r="D1821" s="35">
        <v>12967586</v>
      </c>
      <c r="E1821" s="35" t="s">
        <v>2339</v>
      </c>
      <c r="F1821" s="35" t="s">
        <v>604</v>
      </c>
    </row>
    <row r="1822" spans="1:6">
      <c r="A1822" s="35" t="s">
        <v>2427</v>
      </c>
      <c r="B1822" s="37">
        <v>217.92500305175781</v>
      </c>
      <c r="C1822" s="37">
        <v>201.05128479003906</v>
      </c>
      <c r="D1822" s="35">
        <v>9557496</v>
      </c>
      <c r="E1822" s="35" t="s">
        <v>2339</v>
      </c>
      <c r="F1822" s="35" t="s">
        <v>604</v>
      </c>
    </row>
    <row r="1823" spans="1:6">
      <c r="A1823" s="35" t="s">
        <v>2428</v>
      </c>
      <c r="B1823" s="37">
        <v>215.07499694824219</v>
      </c>
      <c r="C1823" s="37">
        <v>198.42193603515625</v>
      </c>
      <c r="D1823" s="35">
        <v>11329742</v>
      </c>
      <c r="E1823" s="35" t="s">
        <v>2339</v>
      </c>
      <c r="F1823" s="35" t="s">
        <v>604</v>
      </c>
    </row>
    <row r="1824" spans="1:6">
      <c r="A1824" s="35" t="s">
        <v>2429</v>
      </c>
      <c r="B1824" s="37">
        <v>219.22500610351563</v>
      </c>
      <c r="C1824" s="37">
        <v>202.25062561035156</v>
      </c>
      <c r="D1824" s="35">
        <v>9154644</v>
      </c>
      <c r="E1824" s="35" t="s">
        <v>2339</v>
      </c>
      <c r="F1824" s="35" t="s">
        <v>604</v>
      </c>
    </row>
    <row r="1825" spans="1:6">
      <c r="A1825" s="35" t="s">
        <v>2430</v>
      </c>
      <c r="B1825" s="37">
        <v>218.05000305175781</v>
      </c>
      <c r="C1825" s="37">
        <v>201.16661071777344</v>
      </c>
      <c r="D1825" s="35">
        <v>7092398</v>
      </c>
      <c r="E1825" s="35" t="s">
        <v>2339</v>
      </c>
      <c r="F1825" s="35" t="s">
        <v>604</v>
      </c>
    </row>
    <row r="1826" spans="1:6">
      <c r="A1826" s="35" t="s">
        <v>2431</v>
      </c>
      <c r="B1826" s="37">
        <v>218.55000305175781</v>
      </c>
      <c r="C1826" s="37">
        <v>201.62788391113281</v>
      </c>
      <c r="D1826" s="35">
        <v>4774208</v>
      </c>
      <c r="E1826" s="35" t="s">
        <v>2339</v>
      </c>
      <c r="F1826" s="35" t="s">
        <v>604</v>
      </c>
    </row>
    <row r="1827" spans="1:6">
      <c r="A1827" s="35" t="s">
        <v>2432</v>
      </c>
      <c r="B1827" s="37">
        <v>221.52499389648438</v>
      </c>
      <c r="C1827" s="37">
        <v>204.37252807617188</v>
      </c>
      <c r="D1827" s="35">
        <v>10401476</v>
      </c>
      <c r="E1827" s="35" t="s">
        <v>2339</v>
      </c>
      <c r="F1827" s="35" t="s">
        <v>604</v>
      </c>
    </row>
    <row r="1828" spans="1:6">
      <c r="A1828" s="35" t="s">
        <v>2433</v>
      </c>
      <c r="B1828" s="37">
        <v>217.52499389648438</v>
      </c>
      <c r="C1828" s="37">
        <v>200.68223571777344</v>
      </c>
      <c r="D1828" s="35">
        <v>16888260</v>
      </c>
      <c r="E1828" s="35" t="s">
        <v>2339</v>
      </c>
      <c r="F1828" s="35" t="s">
        <v>604</v>
      </c>
    </row>
    <row r="1829" spans="1:6">
      <c r="A1829" s="35" t="s">
        <v>2434</v>
      </c>
      <c r="B1829" s="37">
        <v>216.22500610351563</v>
      </c>
      <c r="C1829" s="37">
        <v>199.48291015625</v>
      </c>
      <c r="D1829" s="35">
        <v>17253908</v>
      </c>
      <c r="E1829" s="35" t="s">
        <v>2339</v>
      </c>
      <c r="F1829" s="35" t="s">
        <v>604</v>
      </c>
    </row>
    <row r="1830" spans="1:6">
      <c r="A1830" s="35" t="s">
        <v>2435</v>
      </c>
      <c r="B1830" s="37">
        <v>210</v>
      </c>
      <c r="C1830" s="37">
        <v>193.73989868164063</v>
      </c>
      <c r="D1830" s="35">
        <v>12900580</v>
      </c>
      <c r="E1830" s="35" t="s">
        <v>2339</v>
      </c>
      <c r="F1830" s="35" t="s">
        <v>604</v>
      </c>
    </row>
    <row r="1831" spans="1:6">
      <c r="A1831" s="35" t="s">
        <v>2436</v>
      </c>
      <c r="B1831" s="37">
        <v>208.32499694824219</v>
      </c>
      <c r="C1831" s="37">
        <v>192.19459533691406</v>
      </c>
      <c r="D1831" s="35">
        <v>17028776</v>
      </c>
      <c r="E1831" s="35" t="s">
        <v>2339</v>
      </c>
      <c r="F1831" s="35" t="s">
        <v>604</v>
      </c>
    </row>
    <row r="1832" spans="1:6">
      <c r="A1832" s="35" t="s">
        <v>2437</v>
      </c>
      <c r="B1832" s="37">
        <v>208.07499694824219</v>
      </c>
      <c r="C1832" s="37">
        <v>191.96394348144531</v>
      </c>
      <c r="D1832" s="35">
        <v>7429170</v>
      </c>
      <c r="E1832" s="35" t="s">
        <v>2339</v>
      </c>
      <c r="F1832" s="35" t="s">
        <v>604</v>
      </c>
    </row>
    <row r="1833" spans="1:6">
      <c r="A1833" s="35" t="s">
        <v>2438</v>
      </c>
      <c r="B1833" s="37">
        <v>207.60000610351563</v>
      </c>
      <c r="C1833" s="37">
        <v>191.52574157714844</v>
      </c>
      <c r="D1833" s="35">
        <v>8753902</v>
      </c>
      <c r="E1833" s="35" t="s">
        <v>2339</v>
      </c>
      <c r="F1833" s="35" t="s">
        <v>604</v>
      </c>
    </row>
    <row r="1834" spans="1:6">
      <c r="A1834" s="35" t="s">
        <v>2439</v>
      </c>
      <c r="B1834" s="37">
        <v>208.625</v>
      </c>
      <c r="C1834" s="37">
        <v>192.47137451171875</v>
      </c>
      <c r="D1834" s="35">
        <v>7904194</v>
      </c>
      <c r="E1834" s="35" t="s">
        <v>2339</v>
      </c>
      <c r="F1834" s="35" t="s">
        <v>604</v>
      </c>
    </row>
    <row r="1835" spans="1:6">
      <c r="A1835" s="35" t="s">
        <v>2440</v>
      </c>
      <c r="B1835" s="37">
        <v>202.17500305175781</v>
      </c>
      <c r="C1835" s="37">
        <v>186.52079772949219</v>
      </c>
      <c r="D1835" s="35">
        <v>23519514</v>
      </c>
      <c r="E1835" s="35" t="s">
        <v>2339</v>
      </c>
      <c r="F1835" s="35" t="s">
        <v>604</v>
      </c>
    </row>
    <row r="1836" spans="1:6">
      <c r="A1836" s="35" t="s">
        <v>2441</v>
      </c>
      <c r="B1836" s="37">
        <v>206.77499389648438</v>
      </c>
      <c r="C1836" s="37">
        <v>190.76460266113281</v>
      </c>
      <c r="D1836" s="35">
        <v>19750992</v>
      </c>
      <c r="E1836" s="35" t="s">
        <v>2339</v>
      </c>
      <c r="F1836" s="35" t="s">
        <v>604</v>
      </c>
    </row>
    <row r="1837" spans="1:6">
      <c r="A1837" s="35" t="s">
        <v>2442</v>
      </c>
      <c r="B1837" s="37">
        <v>205.22500610351563</v>
      </c>
      <c r="C1837" s="37">
        <v>189.33462524414063</v>
      </c>
      <c r="D1837" s="35">
        <v>11778706</v>
      </c>
      <c r="E1837" s="35" t="s">
        <v>2339</v>
      </c>
      <c r="F1837" s="35" t="s">
        <v>604</v>
      </c>
    </row>
    <row r="1838" spans="1:6">
      <c r="A1838" s="35" t="s">
        <v>2443</v>
      </c>
      <c r="B1838" s="37">
        <v>203.85000610351563</v>
      </c>
      <c r="C1838" s="37">
        <v>188.06610107421875</v>
      </c>
      <c r="D1838" s="35">
        <v>9815080</v>
      </c>
      <c r="E1838" s="35" t="s">
        <v>2339</v>
      </c>
      <c r="F1838" s="35" t="s">
        <v>604</v>
      </c>
    </row>
    <row r="1839" spans="1:6">
      <c r="A1839" s="35" t="s">
        <v>2444</v>
      </c>
      <c r="B1839" s="37">
        <v>202.75</v>
      </c>
      <c r="C1839" s="37">
        <v>187.05126953125</v>
      </c>
      <c r="D1839" s="35">
        <v>18018508</v>
      </c>
      <c r="E1839" s="35" t="s">
        <v>2339</v>
      </c>
      <c r="F1839" s="35" t="s">
        <v>604</v>
      </c>
    </row>
    <row r="1840" spans="1:6">
      <c r="A1840" s="35" t="s">
        <v>2445</v>
      </c>
      <c r="B1840" s="37">
        <v>202.22500610351563</v>
      </c>
      <c r="C1840" s="37">
        <v>186.56692504882813</v>
      </c>
      <c r="D1840" s="35">
        <v>18226162</v>
      </c>
      <c r="E1840" s="35" t="s">
        <v>2339</v>
      </c>
      <c r="F1840" s="35" t="s">
        <v>604</v>
      </c>
    </row>
    <row r="1841" spans="1:6">
      <c r="A1841" s="35" t="s">
        <v>2446</v>
      </c>
      <c r="B1841" s="37">
        <v>203.72500610351563</v>
      </c>
      <c r="C1841" s="37">
        <v>187.95077514648438</v>
      </c>
      <c r="D1841" s="35">
        <v>12248532</v>
      </c>
      <c r="E1841" s="35" t="s">
        <v>2339</v>
      </c>
      <c r="F1841" s="35" t="s">
        <v>604</v>
      </c>
    </row>
    <row r="1842" spans="1:6">
      <c r="A1842" s="35" t="s">
        <v>2447</v>
      </c>
      <c r="B1842" s="37">
        <v>206.39999389648438</v>
      </c>
      <c r="C1842" s="37">
        <v>190.41864013671875</v>
      </c>
      <c r="D1842" s="35">
        <v>14064948</v>
      </c>
      <c r="E1842" s="35" t="s">
        <v>2339</v>
      </c>
      <c r="F1842" s="35" t="s">
        <v>604</v>
      </c>
    </row>
    <row r="1843" spans="1:6">
      <c r="A1843" s="35" t="s">
        <v>2448</v>
      </c>
      <c r="B1843" s="37">
        <v>208.57499694824219</v>
      </c>
      <c r="C1843" s="37">
        <v>192.42523193359375</v>
      </c>
      <c r="D1843" s="35">
        <v>14671342</v>
      </c>
      <c r="E1843" s="35" t="s">
        <v>2339</v>
      </c>
      <c r="F1843" s="35" t="s">
        <v>604</v>
      </c>
    </row>
    <row r="1844" spans="1:6">
      <c r="A1844" s="35" t="s">
        <v>2449</v>
      </c>
      <c r="B1844" s="37">
        <v>211</v>
      </c>
      <c r="C1844" s="37">
        <v>194.6624755859375</v>
      </c>
      <c r="D1844" s="35">
        <v>11678424</v>
      </c>
      <c r="E1844" s="35" t="s">
        <v>2339</v>
      </c>
      <c r="F1844" s="35" t="s">
        <v>604</v>
      </c>
    </row>
    <row r="1845" spans="1:6">
      <c r="A1845" s="35" t="s">
        <v>2450</v>
      </c>
      <c r="B1845" s="37">
        <v>211.32499694824219</v>
      </c>
      <c r="C1845" s="37">
        <v>194.96231079101563</v>
      </c>
      <c r="D1845" s="35">
        <v>9408334</v>
      </c>
      <c r="E1845" s="35" t="s">
        <v>2339</v>
      </c>
      <c r="F1845" s="35" t="s">
        <v>604</v>
      </c>
    </row>
    <row r="1846" spans="1:6">
      <c r="A1846" s="35" t="s">
        <v>2451</v>
      </c>
      <c r="B1846" s="37">
        <v>208.14999389648438</v>
      </c>
      <c r="C1846" s="37">
        <v>192.03314208984375</v>
      </c>
      <c r="D1846" s="35">
        <v>17583964</v>
      </c>
      <c r="E1846" s="35" t="s">
        <v>2339</v>
      </c>
      <c r="F1846" s="35" t="s">
        <v>604</v>
      </c>
    </row>
    <row r="1847" spans="1:6">
      <c r="A1847" s="35" t="s">
        <v>2452</v>
      </c>
      <c r="B1847" s="37">
        <v>207.52499389648438</v>
      </c>
      <c r="C1847" s="37">
        <v>191.45654296875</v>
      </c>
      <c r="D1847" s="35">
        <v>10640314</v>
      </c>
      <c r="E1847" s="35" t="s">
        <v>2339</v>
      </c>
      <c r="F1847" s="35" t="s">
        <v>604</v>
      </c>
    </row>
    <row r="1848" spans="1:6">
      <c r="A1848" s="35" t="s">
        <v>2453</v>
      </c>
      <c r="B1848" s="37">
        <v>200.82499694824219</v>
      </c>
      <c r="C1848" s="37">
        <v>185.27529907226563</v>
      </c>
      <c r="D1848" s="35">
        <v>20192486</v>
      </c>
      <c r="E1848" s="35" t="s">
        <v>2339</v>
      </c>
      <c r="F1848" s="35" t="s">
        <v>604</v>
      </c>
    </row>
    <row r="1849" spans="1:6">
      <c r="A1849" s="35" t="s">
        <v>2454</v>
      </c>
      <c r="B1849" s="37">
        <v>200.97500610351563</v>
      </c>
      <c r="C1849" s="37">
        <v>185.41368103027344</v>
      </c>
      <c r="D1849" s="35">
        <v>13584188</v>
      </c>
      <c r="E1849" s="35" t="s">
        <v>2339</v>
      </c>
      <c r="F1849" s="35" t="s">
        <v>604</v>
      </c>
    </row>
    <row r="1850" spans="1:6">
      <c r="A1850" s="35" t="s">
        <v>2455</v>
      </c>
      <c r="B1850" s="37">
        <v>202.44999694824219</v>
      </c>
      <c r="C1850" s="37">
        <v>186.77449035644531</v>
      </c>
      <c r="D1850" s="35">
        <v>8989822</v>
      </c>
      <c r="E1850" s="35" t="s">
        <v>2339</v>
      </c>
      <c r="F1850" s="35" t="s">
        <v>604</v>
      </c>
    </row>
    <row r="1851" spans="1:6">
      <c r="A1851" s="35" t="s">
        <v>2456</v>
      </c>
      <c r="B1851" s="37">
        <v>200.375</v>
      </c>
      <c r="C1851" s="37">
        <v>184.86015319824219</v>
      </c>
      <c r="D1851" s="35">
        <v>19290112</v>
      </c>
      <c r="E1851" s="35" t="s">
        <v>2339</v>
      </c>
      <c r="F1851" s="35" t="s">
        <v>604</v>
      </c>
    </row>
    <row r="1852" spans="1:6">
      <c r="A1852" s="35" t="s">
        <v>2457</v>
      </c>
      <c r="B1852" s="37">
        <v>198.97500610351563</v>
      </c>
      <c r="C1852" s="37">
        <v>183.56854248046875</v>
      </c>
      <c r="D1852" s="35">
        <v>16500324</v>
      </c>
      <c r="E1852" s="35" t="s">
        <v>2339</v>
      </c>
      <c r="F1852" s="35" t="s">
        <v>604</v>
      </c>
    </row>
    <row r="1853" spans="1:6">
      <c r="A1853" s="35" t="s">
        <v>2458</v>
      </c>
      <c r="B1853" s="37">
        <v>197.17500305175781</v>
      </c>
      <c r="C1853" s="37">
        <v>181.90792846679688</v>
      </c>
      <c r="D1853" s="35">
        <v>13966710</v>
      </c>
      <c r="E1853" s="35" t="s">
        <v>2339</v>
      </c>
      <c r="F1853" s="35" t="s">
        <v>604</v>
      </c>
    </row>
    <row r="1854" spans="1:6">
      <c r="A1854" s="35" t="s">
        <v>2459</v>
      </c>
      <c r="B1854" s="37">
        <v>197.39999389648438</v>
      </c>
      <c r="C1854" s="37">
        <v>182.11550903320313</v>
      </c>
      <c r="D1854" s="35">
        <v>18994144</v>
      </c>
      <c r="E1854" s="35" t="s">
        <v>2339</v>
      </c>
      <c r="F1854" s="35" t="s">
        <v>604</v>
      </c>
    </row>
    <row r="1855" spans="1:6">
      <c r="A1855" s="35" t="s">
        <v>2460</v>
      </c>
      <c r="B1855" s="37">
        <v>199.19999694824219</v>
      </c>
      <c r="C1855" s="37">
        <v>183.77613830566406</v>
      </c>
      <c r="D1855" s="35">
        <v>12454694</v>
      </c>
      <c r="E1855" s="35" t="s">
        <v>2339</v>
      </c>
      <c r="F1855" s="35" t="s">
        <v>604</v>
      </c>
    </row>
    <row r="1856" spans="1:6">
      <c r="A1856" s="35" t="s">
        <v>2461</v>
      </c>
      <c r="B1856" s="37">
        <v>199.02499389648438</v>
      </c>
      <c r="C1856" s="37">
        <v>183.61468505859375</v>
      </c>
      <c r="D1856" s="35">
        <v>8921590</v>
      </c>
      <c r="E1856" s="35" t="s">
        <v>2339</v>
      </c>
      <c r="F1856" s="35" t="s">
        <v>604</v>
      </c>
    </row>
    <row r="1857" spans="1:6">
      <c r="A1857" s="35" t="s">
        <v>2462</v>
      </c>
      <c r="B1857" s="37">
        <v>196.39999389648438</v>
      </c>
      <c r="C1857" s="37">
        <v>181.19291687011719</v>
      </c>
      <c r="D1857" s="35">
        <v>11883068</v>
      </c>
      <c r="E1857" s="35" t="s">
        <v>2339</v>
      </c>
      <c r="F1857" s="35" t="s">
        <v>604</v>
      </c>
    </row>
    <row r="1858" spans="1:6">
      <c r="A1858" s="35" t="s">
        <v>2463</v>
      </c>
      <c r="B1858" s="37">
        <v>197.125</v>
      </c>
      <c r="C1858" s="37">
        <v>181.86178588867188</v>
      </c>
      <c r="D1858" s="35">
        <v>13570530</v>
      </c>
      <c r="E1858" s="35" t="s">
        <v>2339</v>
      </c>
      <c r="F1858" s="35" t="s">
        <v>604</v>
      </c>
    </row>
    <row r="1859" spans="1:6">
      <c r="A1859" s="35" t="s">
        <v>2464</v>
      </c>
      <c r="B1859" s="37">
        <v>197.25</v>
      </c>
      <c r="C1859" s="37">
        <v>181.97712707519531</v>
      </c>
      <c r="D1859" s="35">
        <v>8140834</v>
      </c>
      <c r="E1859" s="35" t="s">
        <v>2339</v>
      </c>
      <c r="F1859" s="35" t="s">
        <v>604</v>
      </c>
    </row>
    <row r="1860" spans="1:6">
      <c r="A1860" s="35" t="s">
        <v>2465</v>
      </c>
      <c r="B1860" s="37">
        <v>202.75</v>
      </c>
      <c r="C1860" s="37">
        <v>187.05126953125</v>
      </c>
      <c r="D1860" s="35">
        <v>12591696</v>
      </c>
      <c r="E1860" s="35" t="s">
        <v>2339</v>
      </c>
      <c r="F1860" s="35" t="s">
        <v>604</v>
      </c>
    </row>
    <row r="1861" spans="1:6">
      <c r="A1861" s="35" t="s">
        <v>2466</v>
      </c>
      <c r="B1861" s="37">
        <v>205.07499694824219</v>
      </c>
      <c r="C1861" s="37">
        <v>189.19624328613281</v>
      </c>
      <c r="D1861" s="35">
        <v>11203878</v>
      </c>
      <c r="E1861" s="35" t="s">
        <v>2339</v>
      </c>
      <c r="F1861" s="35" t="s">
        <v>604</v>
      </c>
    </row>
    <row r="1862" spans="1:6">
      <c r="A1862" s="35" t="s">
        <v>2467</v>
      </c>
      <c r="B1862" s="37">
        <v>204.05000305175781</v>
      </c>
      <c r="C1862" s="37">
        <v>188.25059509277344</v>
      </c>
      <c r="D1862" s="35">
        <v>7580186</v>
      </c>
      <c r="E1862" s="35" t="s">
        <v>2339</v>
      </c>
      <c r="F1862" s="35" t="s">
        <v>604</v>
      </c>
    </row>
    <row r="1863" spans="1:6">
      <c r="A1863" s="35" t="s">
        <v>2468</v>
      </c>
      <c r="B1863" s="37">
        <v>205.64999389648438</v>
      </c>
      <c r="C1863" s="37">
        <v>189.72671508789063</v>
      </c>
      <c r="D1863" s="35">
        <v>18714926</v>
      </c>
      <c r="E1863" s="35" t="s">
        <v>2339</v>
      </c>
      <c r="F1863" s="35" t="s">
        <v>604</v>
      </c>
    </row>
    <row r="1864" spans="1:6">
      <c r="A1864" s="35" t="s">
        <v>2469</v>
      </c>
      <c r="B1864" s="37">
        <v>202.19999694824219</v>
      </c>
      <c r="C1864" s="37">
        <v>186.54385375976563</v>
      </c>
      <c r="D1864" s="35">
        <v>22723292</v>
      </c>
      <c r="E1864" s="35" t="s">
        <v>2339</v>
      </c>
      <c r="F1864" s="35" t="s">
        <v>604</v>
      </c>
    </row>
    <row r="1865" spans="1:6">
      <c r="A1865" s="35" t="s">
        <v>2470</v>
      </c>
      <c r="B1865" s="37">
        <v>203.97500610351563</v>
      </c>
      <c r="C1865" s="37">
        <v>188.18141174316406</v>
      </c>
      <c r="D1865" s="35">
        <v>12610118</v>
      </c>
      <c r="E1865" s="35" t="s">
        <v>2339</v>
      </c>
      <c r="F1865" s="35" t="s">
        <v>604</v>
      </c>
    </row>
    <row r="1866" spans="1:6">
      <c r="A1866" s="35" t="s">
        <v>2471</v>
      </c>
      <c r="B1866" s="37">
        <v>189.55000305175781</v>
      </c>
      <c r="C1866" s="37">
        <v>174.87333679199219</v>
      </c>
      <c r="D1866" s="35">
        <v>84896212</v>
      </c>
      <c r="E1866" s="35" t="s">
        <v>2339</v>
      </c>
      <c r="F1866" s="35" t="s">
        <v>604</v>
      </c>
    </row>
    <row r="1867" spans="1:6">
      <c r="A1867" s="35" t="s">
        <v>2472</v>
      </c>
      <c r="B1867" s="37">
        <v>188.64999389648438</v>
      </c>
      <c r="C1867" s="37">
        <v>174.04301452636719</v>
      </c>
      <c r="D1867" s="35">
        <v>27864794</v>
      </c>
      <c r="E1867" s="35" t="s">
        <v>2339</v>
      </c>
      <c r="F1867" s="35" t="s">
        <v>604</v>
      </c>
    </row>
    <row r="1868" spans="1:6">
      <c r="A1868" s="35" t="s">
        <v>2473</v>
      </c>
      <c r="B1868" s="37">
        <v>187.55000305175781</v>
      </c>
      <c r="C1868" s="37">
        <v>173.02818298339844</v>
      </c>
      <c r="D1868" s="35">
        <v>16909538</v>
      </c>
      <c r="E1868" s="35" t="s">
        <v>2339</v>
      </c>
      <c r="F1868" s="35" t="s">
        <v>604</v>
      </c>
    </row>
    <row r="1869" spans="1:6">
      <c r="A1869" s="35" t="s">
        <v>2474</v>
      </c>
      <c r="B1869" s="37">
        <v>189.64999389648438</v>
      </c>
      <c r="C1869" s="37">
        <v>174.96559143066406</v>
      </c>
      <c r="D1869" s="35">
        <v>22328480</v>
      </c>
      <c r="E1869" s="35" t="s">
        <v>2339</v>
      </c>
      <c r="F1869" s="35" t="s">
        <v>604</v>
      </c>
    </row>
    <row r="1870" spans="1:6">
      <c r="A1870" s="35" t="s">
        <v>2475</v>
      </c>
      <c r="B1870" s="37">
        <v>189.02499389648438</v>
      </c>
      <c r="C1870" s="37">
        <v>174.38897705078125</v>
      </c>
      <c r="D1870" s="35">
        <v>10198278</v>
      </c>
      <c r="E1870" s="35" t="s">
        <v>2339</v>
      </c>
      <c r="F1870" s="35" t="s">
        <v>604</v>
      </c>
    </row>
    <row r="1871" spans="1:6">
      <c r="A1871" s="35" t="s">
        <v>2476</v>
      </c>
      <c r="B1871" s="37">
        <v>190.75</v>
      </c>
      <c r="C1871" s="37">
        <v>175.98042297363281</v>
      </c>
      <c r="D1871" s="35">
        <v>11868814</v>
      </c>
      <c r="E1871" s="35" t="s">
        <v>2339</v>
      </c>
      <c r="F1871" s="35" t="s">
        <v>604</v>
      </c>
    </row>
    <row r="1872" spans="1:6">
      <c r="A1872" s="35" t="s">
        <v>2477</v>
      </c>
      <c r="B1872" s="37">
        <v>191.27499389648438</v>
      </c>
      <c r="C1872" s="37">
        <v>176.46475219726563</v>
      </c>
      <c r="D1872" s="35">
        <v>8931540</v>
      </c>
      <c r="E1872" s="35" t="s">
        <v>2339</v>
      </c>
      <c r="F1872" s="35" t="s">
        <v>604</v>
      </c>
    </row>
    <row r="1873" spans="1:6">
      <c r="A1873" s="35" t="s">
        <v>2478</v>
      </c>
      <c r="B1873" s="37">
        <v>192.35000610351563</v>
      </c>
      <c r="C1873" s="37">
        <v>177.45654296875</v>
      </c>
      <c r="D1873" s="35">
        <v>3472470</v>
      </c>
      <c r="E1873" s="35" t="s">
        <v>2339</v>
      </c>
      <c r="F1873" s="35" t="s">
        <v>604</v>
      </c>
    </row>
    <row r="1874" spans="1:6">
      <c r="A1874" s="35" t="s">
        <v>2479</v>
      </c>
      <c r="B1874" s="37">
        <v>192.32499694824219</v>
      </c>
      <c r="C1874" s="37">
        <v>177.43345642089844</v>
      </c>
      <c r="D1874" s="35">
        <v>5783256</v>
      </c>
      <c r="E1874" s="35" t="s">
        <v>2339</v>
      </c>
      <c r="F1874" s="35" t="s">
        <v>604</v>
      </c>
    </row>
    <row r="1875" spans="1:6">
      <c r="A1875" s="35" t="s">
        <v>2480</v>
      </c>
      <c r="B1875" s="37">
        <v>191.32499694824219</v>
      </c>
      <c r="C1875" s="37">
        <v>176.51089477539063</v>
      </c>
      <c r="D1875" s="35">
        <v>11723118</v>
      </c>
      <c r="E1875" s="35" t="s">
        <v>2339</v>
      </c>
      <c r="F1875" s="35" t="s">
        <v>604</v>
      </c>
    </row>
    <row r="1876" spans="1:6">
      <c r="A1876" s="35" t="s">
        <v>2481</v>
      </c>
      <c r="B1876" s="37">
        <v>191.625</v>
      </c>
      <c r="C1876" s="37">
        <v>176.78765869140625</v>
      </c>
      <c r="D1876" s="35">
        <v>7609676</v>
      </c>
      <c r="E1876" s="35" t="s">
        <v>2339</v>
      </c>
      <c r="F1876" s="35" t="s">
        <v>604</v>
      </c>
    </row>
    <row r="1877" spans="1:6">
      <c r="A1877" s="35" t="s">
        <v>2482</v>
      </c>
      <c r="B1877" s="37">
        <v>193.27499389648438</v>
      </c>
      <c r="C1877" s="37">
        <v>178.30989074707031</v>
      </c>
      <c r="D1877" s="35">
        <v>6638382</v>
      </c>
      <c r="E1877" s="35" t="s">
        <v>2339</v>
      </c>
      <c r="F1877" s="35" t="s">
        <v>604</v>
      </c>
    </row>
    <row r="1878" spans="1:6">
      <c r="A1878" s="35" t="s">
        <v>2483</v>
      </c>
      <c r="B1878" s="37">
        <v>196.19999694824219</v>
      </c>
      <c r="C1878" s="37">
        <v>181.00840759277344</v>
      </c>
      <c r="D1878" s="35">
        <v>11540196</v>
      </c>
      <c r="E1878" s="35" t="s">
        <v>2339</v>
      </c>
      <c r="F1878" s="35" t="s">
        <v>604</v>
      </c>
    </row>
    <row r="1879" spans="1:6">
      <c r="A1879" s="35" t="s">
        <v>2484</v>
      </c>
      <c r="B1879" s="37">
        <v>196.97500610351563</v>
      </c>
      <c r="C1879" s="37">
        <v>181.72340393066406</v>
      </c>
      <c r="D1879" s="35">
        <v>6716614</v>
      </c>
      <c r="E1879" s="35" t="s">
        <v>2339</v>
      </c>
      <c r="F1879" s="35" t="s">
        <v>604</v>
      </c>
    </row>
    <row r="1880" spans="1:6">
      <c r="A1880" s="35" t="s">
        <v>2485</v>
      </c>
      <c r="B1880" s="37">
        <v>194.25</v>
      </c>
      <c r="C1880" s="37">
        <v>179.20941162109375</v>
      </c>
      <c r="D1880" s="35">
        <v>10312476</v>
      </c>
      <c r="E1880" s="35" t="s">
        <v>2339</v>
      </c>
      <c r="F1880" s="35" t="s">
        <v>604</v>
      </c>
    </row>
    <row r="1881" spans="1:6">
      <c r="A1881" s="35" t="s">
        <v>2486</v>
      </c>
      <c r="B1881" s="37">
        <v>195.27499389648438</v>
      </c>
      <c r="C1881" s="37">
        <v>180.155029296875</v>
      </c>
      <c r="D1881" s="35">
        <v>9023630</v>
      </c>
      <c r="E1881" s="35" t="s">
        <v>2339</v>
      </c>
      <c r="F1881" s="35" t="s">
        <v>604</v>
      </c>
    </row>
    <row r="1882" spans="1:6">
      <c r="A1882" s="35" t="s">
        <v>2487</v>
      </c>
      <c r="B1882" s="37">
        <v>195.75</v>
      </c>
      <c r="C1882" s="37">
        <v>180.59327697753906</v>
      </c>
      <c r="D1882" s="35">
        <v>8252598</v>
      </c>
      <c r="E1882" s="35" t="s">
        <v>2339</v>
      </c>
      <c r="F1882" s="35" t="s">
        <v>604</v>
      </c>
    </row>
    <row r="1883" spans="1:6">
      <c r="A1883" s="35" t="s">
        <v>2488</v>
      </c>
      <c r="B1883" s="37">
        <v>195.47500610351563</v>
      </c>
      <c r="C1883" s="37">
        <v>180.33956909179688</v>
      </c>
      <c r="D1883" s="35">
        <v>6862546</v>
      </c>
      <c r="E1883" s="35" t="s">
        <v>2339</v>
      </c>
      <c r="F1883" s="35" t="s">
        <v>604</v>
      </c>
    </row>
    <row r="1884" spans="1:6">
      <c r="A1884" s="35" t="s">
        <v>2489</v>
      </c>
      <c r="B1884" s="37">
        <v>194.44999694824219</v>
      </c>
      <c r="C1884" s="37">
        <v>179.3939208984375</v>
      </c>
      <c r="D1884" s="35">
        <v>5494908</v>
      </c>
      <c r="E1884" s="35" t="s">
        <v>2339</v>
      </c>
      <c r="F1884" s="35" t="s">
        <v>604</v>
      </c>
    </row>
    <row r="1885" spans="1:6">
      <c r="A1885" s="35" t="s">
        <v>2490</v>
      </c>
      <c r="B1885" s="37">
        <v>199.85000610351563</v>
      </c>
      <c r="C1885" s="37">
        <v>184.37579345703125</v>
      </c>
      <c r="D1885" s="35">
        <v>28417046</v>
      </c>
      <c r="E1885" s="35" t="s">
        <v>2339</v>
      </c>
      <c r="F1885" s="35" t="s">
        <v>604</v>
      </c>
    </row>
    <row r="1886" spans="1:6">
      <c r="A1886" s="35" t="s">
        <v>2491</v>
      </c>
      <c r="B1886" s="37">
        <v>198.27499389648438</v>
      </c>
      <c r="C1886" s="37">
        <v>182.92276000976563</v>
      </c>
      <c r="D1886" s="35">
        <v>17623428</v>
      </c>
      <c r="E1886" s="35" t="s">
        <v>2339</v>
      </c>
      <c r="F1886" s="35" t="s">
        <v>604</v>
      </c>
    </row>
    <row r="1887" spans="1:6">
      <c r="A1887" s="35" t="s">
        <v>2492</v>
      </c>
      <c r="B1887" s="37">
        <v>198.57499694824219</v>
      </c>
      <c r="C1887" s="37">
        <v>183.19952392578125</v>
      </c>
      <c r="D1887" s="35">
        <v>12462712</v>
      </c>
      <c r="E1887" s="35" t="s">
        <v>2339</v>
      </c>
      <c r="F1887" s="35" t="s">
        <v>604</v>
      </c>
    </row>
    <row r="1888" spans="1:6">
      <c r="A1888" s="35" t="s">
        <v>2493</v>
      </c>
      <c r="B1888" s="37">
        <v>199.125</v>
      </c>
      <c r="C1888" s="37">
        <v>183.70692443847656</v>
      </c>
      <c r="D1888" s="35">
        <v>11039528</v>
      </c>
      <c r="E1888" s="35" t="s">
        <v>2339</v>
      </c>
      <c r="F1888" s="35" t="s">
        <v>604</v>
      </c>
    </row>
    <row r="1889" spans="1:6">
      <c r="A1889" s="35" t="s">
        <v>2494</v>
      </c>
      <c r="B1889" s="37">
        <v>198.375</v>
      </c>
      <c r="C1889" s="37">
        <v>183.0150146484375</v>
      </c>
      <c r="D1889" s="35">
        <v>6057616</v>
      </c>
      <c r="E1889" s="35" t="s">
        <v>2339</v>
      </c>
      <c r="F1889" s="35" t="s">
        <v>604</v>
      </c>
    </row>
    <row r="1890" spans="1:6">
      <c r="A1890" s="35" t="s">
        <v>2495</v>
      </c>
      <c r="B1890" s="37">
        <v>196.92500305175781</v>
      </c>
      <c r="C1890" s="37">
        <v>181.67729187011719</v>
      </c>
      <c r="D1890" s="35">
        <v>9546202</v>
      </c>
      <c r="E1890" s="35" t="s">
        <v>2339</v>
      </c>
      <c r="F1890" s="35" t="s">
        <v>604</v>
      </c>
    </row>
    <row r="1891" spans="1:6">
      <c r="A1891" s="35" t="s">
        <v>2496</v>
      </c>
      <c r="B1891" s="37">
        <v>194.32499694824219</v>
      </c>
      <c r="C1891" s="37">
        <v>179.27857971191406</v>
      </c>
      <c r="D1891" s="35">
        <v>7904612</v>
      </c>
      <c r="E1891" s="35" t="s">
        <v>2339</v>
      </c>
      <c r="F1891" s="35" t="s">
        <v>604</v>
      </c>
    </row>
    <row r="1892" spans="1:6">
      <c r="A1892" s="35" t="s">
        <v>2497</v>
      </c>
      <c r="B1892" s="37">
        <v>194.39999389648438</v>
      </c>
      <c r="C1892" s="37">
        <v>179.3477783203125</v>
      </c>
      <c r="D1892" s="35">
        <v>8410828</v>
      </c>
      <c r="E1892" s="35" t="s">
        <v>2339</v>
      </c>
      <c r="F1892" s="35" t="s">
        <v>604</v>
      </c>
    </row>
    <row r="1893" spans="1:6">
      <c r="A1893" s="35" t="s">
        <v>2498</v>
      </c>
      <c r="B1893" s="37">
        <v>194.375</v>
      </c>
      <c r="C1893" s="37">
        <v>179.32472229003906</v>
      </c>
      <c r="D1893" s="35">
        <v>6717760</v>
      </c>
      <c r="E1893" s="35" t="s">
        <v>2339</v>
      </c>
      <c r="F1893" s="35" t="s">
        <v>604</v>
      </c>
    </row>
    <row r="1894" spans="1:6">
      <c r="A1894" s="35" t="s">
        <v>2499</v>
      </c>
      <c r="B1894" s="37">
        <v>199.125</v>
      </c>
      <c r="C1894" s="37">
        <v>183.70692443847656</v>
      </c>
      <c r="D1894" s="35">
        <v>13370266</v>
      </c>
      <c r="E1894" s="35" t="s">
        <v>2339</v>
      </c>
      <c r="F1894" s="35" t="s">
        <v>604</v>
      </c>
    </row>
    <row r="1895" spans="1:6">
      <c r="A1895" s="35" t="s">
        <v>2500</v>
      </c>
      <c r="B1895" s="37">
        <v>201.39999389648438</v>
      </c>
      <c r="C1895" s="37">
        <v>185.8057861328125</v>
      </c>
      <c r="D1895" s="35">
        <v>13648550</v>
      </c>
      <c r="E1895" s="35" t="s">
        <v>2339</v>
      </c>
      <c r="F1895" s="35" t="s">
        <v>604</v>
      </c>
    </row>
    <row r="1896" spans="1:6">
      <c r="A1896" s="35" t="s">
        <v>2501</v>
      </c>
      <c r="B1896" s="37">
        <v>202.82499694824219</v>
      </c>
      <c r="C1896" s="37">
        <v>187.12045288085938</v>
      </c>
      <c r="D1896" s="35">
        <v>13679200</v>
      </c>
      <c r="E1896" s="35" t="s">
        <v>2339</v>
      </c>
      <c r="F1896" s="35" t="s">
        <v>604</v>
      </c>
    </row>
    <row r="1897" spans="1:6">
      <c r="A1897" s="35" t="s">
        <v>2502</v>
      </c>
      <c r="B1897" s="37">
        <v>202.57499694824219</v>
      </c>
      <c r="C1897" s="37">
        <v>186.88981628417969</v>
      </c>
      <c r="D1897" s="35">
        <v>9102602</v>
      </c>
      <c r="E1897" s="35" t="s">
        <v>2339</v>
      </c>
      <c r="F1897" s="35" t="s">
        <v>604</v>
      </c>
    </row>
    <row r="1898" spans="1:6">
      <c r="A1898" s="35" t="s">
        <v>2503</v>
      </c>
      <c r="B1898" s="37">
        <v>203.44999694824219</v>
      </c>
      <c r="C1898" s="37">
        <v>187.69705200195313</v>
      </c>
      <c r="D1898" s="35">
        <v>13892346</v>
      </c>
      <c r="E1898" s="35" t="s">
        <v>2339</v>
      </c>
      <c r="F1898" s="35" t="s">
        <v>604</v>
      </c>
    </row>
    <row r="1899" spans="1:6">
      <c r="A1899" s="35" t="s">
        <v>2504</v>
      </c>
      <c r="B1899" s="37">
        <v>206.85000610351563</v>
      </c>
      <c r="C1899" s="37">
        <v>190.83381652832031</v>
      </c>
      <c r="D1899" s="35">
        <v>15852984</v>
      </c>
      <c r="E1899" s="35" t="s">
        <v>2339</v>
      </c>
      <c r="F1899" s="35" t="s">
        <v>604</v>
      </c>
    </row>
    <row r="1900" spans="1:6">
      <c r="A1900" s="35" t="s">
        <v>2505</v>
      </c>
      <c r="B1900" s="37">
        <v>206.19999694824219</v>
      </c>
      <c r="C1900" s="37">
        <v>190.23414611816406</v>
      </c>
      <c r="D1900" s="35">
        <v>11726622</v>
      </c>
      <c r="E1900" s="35" t="s">
        <v>2339</v>
      </c>
      <c r="F1900" s="35" t="s">
        <v>604</v>
      </c>
    </row>
    <row r="1901" spans="1:6">
      <c r="A1901" s="35" t="s">
        <v>2506</v>
      </c>
      <c r="B1901" s="37">
        <v>206.17500305175781</v>
      </c>
      <c r="C1901" s="37">
        <v>190.21107482910156</v>
      </c>
      <c r="D1901" s="35">
        <v>9947062</v>
      </c>
      <c r="E1901" s="35" t="s">
        <v>2339</v>
      </c>
      <c r="F1901" s="35" t="s">
        <v>604</v>
      </c>
    </row>
    <row r="1902" spans="1:6">
      <c r="A1902" s="35" t="s">
        <v>2507</v>
      </c>
      <c r="B1902" s="37">
        <v>205.67500305175781</v>
      </c>
      <c r="C1902" s="37">
        <v>189.74978637695313</v>
      </c>
      <c r="D1902" s="35">
        <v>8832518</v>
      </c>
      <c r="E1902" s="35" t="s">
        <v>2339</v>
      </c>
      <c r="F1902" s="35" t="s">
        <v>604</v>
      </c>
    </row>
    <row r="1903" spans="1:6">
      <c r="A1903" s="35" t="s">
        <v>2508</v>
      </c>
      <c r="B1903" s="37">
        <v>203.14999389648438</v>
      </c>
      <c r="C1903" s="37">
        <v>187.4202880859375</v>
      </c>
      <c r="D1903" s="35">
        <v>6568616</v>
      </c>
      <c r="E1903" s="35" t="s">
        <v>2339</v>
      </c>
      <c r="F1903" s="35" t="s">
        <v>604</v>
      </c>
    </row>
    <row r="1904" spans="1:6">
      <c r="A1904" s="35" t="s">
        <v>2509</v>
      </c>
      <c r="B1904" s="37">
        <v>201.85000610351563</v>
      </c>
      <c r="C1904" s="37">
        <v>186.22096252441406</v>
      </c>
      <c r="D1904" s="35">
        <v>8940712</v>
      </c>
      <c r="E1904" s="35" t="s">
        <v>2339</v>
      </c>
      <c r="F1904" s="35" t="s">
        <v>604</v>
      </c>
    </row>
    <row r="1905" spans="1:6">
      <c r="A1905" s="35" t="s">
        <v>2510</v>
      </c>
      <c r="B1905" s="37">
        <v>197.02499389648438</v>
      </c>
      <c r="C1905" s="37">
        <v>181.76954650878906</v>
      </c>
      <c r="D1905" s="35">
        <v>15423336</v>
      </c>
      <c r="E1905" s="35" t="s">
        <v>2339</v>
      </c>
      <c r="F1905" s="35" t="s">
        <v>604</v>
      </c>
    </row>
    <row r="1906" spans="1:6">
      <c r="A1906" s="35" t="s">
        <v>2511</v>
      </c>
      <c r="B1906" s="37">
        <v>198.17500305175781</v>
      </c>
      <c r="C1906" s="37">
        <v>182.83049011230469</v>
      </c>
      <c r="D1906" s="35">
        <v>10365880</v>
      </c>
      <c r="E1906" s="35" t="s">
        <v>2339</v>
      </c>
      <c r="F1906" s="35" t="s">
        <v>604</v>
      </c>
    </row>
    <row r="1907" spans="1:6">
      <c r="A1907" s="35" t="s">
        <v>2512</v>
      </c>
      <c r="B1907" s="37">
        <v>198.875</v>
      </c>
      <c r="C1907" s="37">
        <v>183.47628784179688</v>
      </c>
      <c r="D1907" s="35">
        <v>6813842</v>
      </c>
      <c r="E1907" s="35" t="s">
        <v>2339</v>
      </c>
      <c r="F1907" s="35" t="s">
        <v>604</v>
      </c>
    </row>
    <row r="1908" spans="1:6">
      <c r="A1908" s="35" t="s">
        <v>2513</v>
      </c>
      <c r="B1908" s="37">
        <v>200.02499389648438</v>
      </c>
      <c r="C1908" s="37">
        <v>184.53726196289063</v>
      </c>
      <c r="D1908" s="35">
        <v>9995152</v>
      </c>
      <c r="E1908" s="35" t="s">
        <v>2339</v>
      </c>
      <c r="F1908" s="35" t="s">
        <v>604</v>
      </c>
    </row>
    <row r="1909" spans="1:6">
      <c r="A1909" s="35" t="s">
        <v>2514</v>
      </c>
      <c r="B1909" s="37">
        <v>197.60000610351563</v>
      </c>
      <c r="C1909" s="37">
        <v>182.300048828125</v>
      </c>
      <c r="D1909" s="35">
        <v>7766926</v>
      </c>
      <c r="E1909" s="35" t="s">
        <v>2339</v>
      </c>
      <c r="F1909" s="35" t="s">
        <v>604</v>
      </c>
    </row>
    <row r="1910" spans="1:6">
      <c r="A1910" s="35" t="s">
        <v>2515</v>
      </c>
      <c r="B1910" s="37">
        <v>194.875</v>
      </c>
      <c r="C1910" s="37">
        <v>179.7860107421875</v>
      </c>
      <c r="D1910" s="35">
        <v>18012634</v>
      </c>
      <c r="E1910" s="35" t="s">
        <v>2339</v>
      </c>
      <c r="F1910" s="35" t="s">
        <v>604</v>
      </c>
    </row>
    <row r="1911" spans="1:6">
      <c r="A1911" s="35" t="s">
        <v>2516</v>
      </c>
      <c r="B1911" s="37">
        <v>194.52499389648438</v>
      </c>
      <c r="C1911" s="37">
        <v>179.46311950683594</v>
      </c>
      <c r="D1911" s="35">
        <v>8838046</v>
      </c>
      <c r="E1911" s="35" t="s">
        <v>2339</v>
      </c>
      <c r="F1911" s="35" t="s">
        <v>604</v>
      </c>
    </row>
    <row r="1912" spans="1:6">
      <c r="A1912" s="35" t="s">
        <v>2517</v>
      </c>
      <c r="B1912" s="37">
        <v>194.47500610351563</v>
      </c>
      <c r="C1912" s="37">
        <v>179.41697692871094</v>
      </c>
      <c r="D1912" s="35">
        <v>8778558</v>
      </c>
      <c r="E1912" s="35" t="s">
        <v>2339</v>
      </c>
      <c r="F1912" s="35" t="s">
        <v>604</v>
      </c>
    </row>
    <row r="1913" spans="1:6">
      <c r="A1913" s="35" t="s">
        <v>2518</v>
      </c>
      <c r="B1913" s="37">
        <v>194.75</v>
      </c>
      <c r="C1913" s="37">
        <v>179.67070007324219</v>
      </c>
      <c r="D1913" s="35">
        <v>10215214</v>
      </c>
      <c r="E1913" s="35" t="s">
        <v>2339</v>
      </c>
      <c r="F1913" s="35" t="s">
        <v>604</v>
      </c>
    </row>
    <row r="1914" spans="1:6">
      <c r="A1914" s="35" t="s">
        <v>2519</v>
      </c>
      <c r="B1914" s="37">
        <v>194.375</v>
      </c>
      <c r="C1914" s="37">
        <v>179.32472229003906</v>
      </c>
      <c r="D1914" s="35">
        <v>9093800</v>
      </c>
      <c r="E1914" s="35" t="s">
        <v>2339</v>
      </c>
      <c r="F1914" s="35" t="s">
        <v>604</v>
      </c>
    </row>
    <row r="1915" spans="1:6">
      <c r="A1915" s="35" t="s">
        <v>2520</v>
      </c>
      <c r="B1915" s="37">
        <v>188.82499694824219</v>
      </c>
      <c r="C1915" s="37">
        <v>174.2044677734375</v>
      </c>
      <c r="D1915" s="35">
        <v>12120710</v>
      </c>
      <c r="E1915" s="35" t="s">
        <v>2339</v>
      </c>
      <c r="F1915" s="35" t="s">
        <v>604</v>
      </c>
    </row>
    <row r="1916" spans="1:6">
      <c r="A1916" s="35" t="s">
        <v>2521</v>
      </c>
      <c r="B1916" s="37">
        <v>190.25</v>
      </c>
      <c r="C1916" s="37">
        <v>175.51911926269531</v>
      </c>
      <c r="D1916" s="35">
        <v>7261148</v>
      </c>
      <c r="E1916" s="35" t="s">
        <v>2339</v>
      </c>
      <c r="F1916" s="35" t="s">
        <v>604</v>
      </c>
    </row>
    <row r="1917" spans="1:6">
      <c r="A1917" s="35" t="s">
        <v>2522</v>
      </c>
      <c r="B1917" s="37">
        <v>193.30000305175781</v>
      </c>
      <c r="C1917" s="37">
        <v>178.33296203613281</v>
      </c>
      <c r="D1917" s="35">
        <v>7685840</v>
      </c>
      <c r="E1917" s="35" t="s">
        <v>2339</v>
      </c>
      <c r="F1917" s="35" t="s">
        <v>604</v>
      </c>
    </row>
    <row r="1918" spans="1:6">
      <c r="A1918" s="35" t="s">
        <v>2523</v>
      </c>
      <c r="B1918" s="37">
        <v>193.89999389648438</v>
      </c>
      <c r="C1918" s="37">
        <v>178.88652038574219</v>
      </c>
      <c r="D1918" s="35">
        <v>7676002</v>
      </c>
      <c r="E1918" s="35" t="s">
        <v>2339</v>
      </c>
      <c r="F1918" s="35" t="s">
        <v>604</v>
      </c>
    </row>
    <row r="1919" spans="1:6">
      <c r="A1919" s="35" t="s">
        <v>2524</v>
      </c>
      <c r="B1919" s="37">
        <v>195.375</v>
      </c>
      <c r="C1919" s="37">
        <v>180.247314453125</v>
      </c>
      <c r="D1919" s="35">
        <v>9485398</v>
      </c>
      <c r="E1919" s="35" t="s">
        <v>2339</v>
      </c>
      <c r="F1919" s="35" t="s">
        <v>604</v>
      </c>
    </row>
    <row r="1920" spans="1:6">
      <c r="A1920" s="35" t="s">
        <v>2525</v>
      </c>
      <c r="B1920" s="37">
        <v>196.375</v>
      </c>
      <c r="C1920" s="37">
        <v>181.16986083984375</v>
      </c>
      <c r="D1920" s="35">
        <v>8256556</v>
      </c>
      <c r="E1920" s="35" t="s">
        <v>2339</v>
      </c>
      <c r="F1920" s="35" t="s">
        <v>604</v>
      </c>
    </row>
    <row r="1921" spans="1:6">
      <c r="A1921" s="35" t="s">
        <v>2526</v>
      </c>
      <c r="B1921" s="37">
        <v>196.52499389648438</v>
      </c>
      <c r="C1921" s="37">
        <v>181.30824279785156</v>
      </c>
      <c r="D1921" s="35">
        <v>5559512</v>
      </c>
      <c r="E1921" s="35" t="s">
        <v>2339</v>
      </c>
      <c r="F1921" s="35" t="s">
        <v>604</v>
      </c>
    </row>
    <row r="1922" spans="1:6">
      <c r="A1922" s="35" t="s">
        <v>2527</v>
      </c>
      <c r="B1922" s="37">
        <v>198.52499389648438</v>
      </c>
      <c r="C1922" s="37">
        <v>183.15341186523438</v>
      </c>
      <c r="D1922" s="35">
        <v>5994422</v>
      </c>
      <c r="E1922" s="35" t="s">
        <v>2339</v>
      </c>
      <c r="F1922" s="35" t="s">
        <v>604</v>
      </c>
    </row>
    <row r="1923" spans="1:6">
      <c r="A1923" s="35" t="s">
        <v>2528</v>
      </c>
      <c r="B1923" s="37">
        <v>194.85000610351563</v>
      </c>
      <c r="C1923" s="37">
        <v>179.76295471191406</v>
      </c>
      <c r="D1923" s="35">
        <v>8926522</v>
      </c>
      <c r="E1923" s="35" t="s">
        <v>2339</v>
      </c>
      <c r="F1923" s="35" t="s">
        <v>604</v>
      </c>
    </row>
    <row r="1924" spans="1:6">
      <c r="A1924" s="35" t="s">
        <v>2529</v>
      </c>
      <c r="B1924" s="37">
        <v>193.44999694824219</v>
      </c>
      <c r="C1924" s="37">
        <v>178.47134399414063</v>
      </c>
      <c r="D1924" s="35">
        <v>9568980</v>
      </c>
      <c r="E1924" s="35" t="s">
        <v>2339</v>
      </c>
      <c r="F1924" s="35" t="s">
        <v>604</v>
      </c>
    </row>
    <row r="1925" spans="1:6">
      <c r="A1925" s="35" t="s">
        <v>2530</v>
      </c>
      <c r="B1925" s="37">
        <v>191</v>
      </c>
      <c r="C1925" s="37">
        <v>176.21107482910156</v>
      </c>
      <c r="D1925" s="35">
        <v>8484754</v>
      </c>
      <c r="E1925" s="35" t="s">
        <v>2339</v>
      </c>
      <c r="F1925" s="35" t="s">
        <v>604</v>
      </c>
    </row>
    <row r="1926" spans="1:6">
      <c r="A1926" s="35" t="s">
        <v>2531</v>
      </c>
      <c r="B1926" s="37">
        <v>195.89999389648438</v>
      </c>
      <c r="C1926" s="37">
        <v>180.73165893554688</v>
      </c>
      <c r="D1926" s="35">
        <v>7347432</v>
      </c>
      <c r="E1926" s="35" t="s">
        <v>2339</v>
      </c>
      <c r="F1926" s="35" t="s">
        <v>604</v>
      </c>
    </row>
    <row r="1927" spans="1:6">
      <c r="A1927" s="35" t="s">
        <v>2532</v>
      </c>
      <c r="B1927" s="37">
        <v>196.52499389648438</v>
      </c>
      <c r="C1927" s="37">
        <v>181.30824279785156</v>
      </c>
      <c r="D1927" s="35">
        <v>7879496</v>
      </c>
      <c r="E1927" s="35" t="s">
        <v>2339</v>
      </c>
      <c r="F1927" s="35" t="s">
        <v>604</v>
      </c>
    </row>
    <row r="1928" spans="1:6">
      <c r="A1928" s="35" t="s">
        <v>2533</v>
      </c>
      <c r="B1928" s="37">
        <v>196.92500305175781</v>
      </c>
      <c r="C1928" s="37">
        <v>181.67729187011719</v>
      </c>
      <c r="D1928" s="35">
        <v>7656600</v>
      </c>
      <c r="E1928" s="35" t="s">
        <v>2339</v>
      </c>
      <c r="F1928" s="35" t="s">
        <v>604</v>
      </c>
    </row>
    <row r="1929" spans="1:6">
      <c r="A1929" s="35" t="s">
        <v>2534</v>
      </c>
      <c r="B1929" s="37">
        <v>197.25</v>
      </c>
      <c r="C1929" s="37">
        <v>181.97712707519531</v>
      </c>
      <c r="D1929" s="35">
        <v>9510500</v>
      </c>
      <c r="E1929" s="35" t="s">
        <v>2339</v>
      </c>
      <c r="F1929" s="35" t="s">
        <v>604</v>
      </c>
    </row>
    <row r="1930" spans="1:6">
      <c r="A1930" s="35" t="s">
        <v>2535</v>
      </c>
      <c r="B1930" s="37">
        <v>196.94999694824219</v>
      </c>
      <c r="C1930" s="37">
        <v>181.70034790039063</v>
      </c>
      <c r="D1930" s="35">
        <v>13621860</v>
      </c>
      <c r="E1930" s="35" t="s">
        <v>2339</v>
      </c>
      <c r="F1930" s="35" t="s">
        <v>604</v>
      </c>
    </row>
    <row r="1931" spans="1:6">
      <c r="A1931" s="35" t="s">
        <v>2536</v>
      </c>
      <c r="B1931" s="37">
        <v>199.30000305175781</v>
      </c>
      <c r="C1931" s="37">
        <v>183.86837768554688</v>
      </c>
      <c r="D1931" s="35">
        <v>23867444</v>
      </c>
      <c r="E1931" s="35" t="s">
        <v>2339</v>
      </c>
      <c r="F1931" s="35" t="s">
        <v>604</v>
      </c>
    </row>
    <row r="1932" spans="1:6">
      <c r="A1932" s="35" t="s">
        <v>2537</v>
      </c>
      <c r="B1932" s="37">
        <v>198.17500305175781</v>
      </c>
      <c r="C1932" s="37">
        <v>182.83049011230469</v>
      </c>
      <c r="D1932" s="35">
        <v>14310032</v>
      </c>
      <c r="E1932" s="35" t="s">
        <v>2339</v>
      </c>
      <c r="F1932" s="35" t="s">
        <v>604</v>
      </c>
    </row>
    <row r="1933" spans="1:6">
      <c r="A1933" s="35" t="s">
        <v>2538</v>
      </c>
      <c r="B1933" s="37">
        <v>201.60000610351563</v>
      </c>
      <c r="C1933" s="37">
        <v>185.99032592773438</v>
      </c>
      <c r="D1933" s="35">
        <v>16080426</v>
      </c>
      <c r="E1933" s="35" t="s">
        <v>2339</v>
      </c>
      <c r="F1933" s="35" t="s">
        <v>604</v>
      </c>
    </row>
    <row r="1934" spans="1:6">
      <c r="A1934" s="35" t="s">
        <v>2539</v>
      </c>
      <c r="B1934" s="37">
        <v>201.69999694824219</v>
      </c>
      <c r="C1934" s="37">
        <v>186.08256530761719</v>
      </c>
      <c r="D1934" s="35">
        <v>9447456</v>
      </c>
      <c r="E1934" s="35" t="s">
        <v>2339</v>
      </c>
      <c r="F1934" s="35" t="s">
        <v>604</v>
      </c>
    </row>
    <row r="1935" spans="1:6">
      <c r="A1935" s="35" t="s">
        <v>2540</v>
      </c>
      <c r="B1935" s="37">
        <v>201.57499694824219</v>
      </c>
      <c r="C1935" s="37">
        <v>185.96723937988281</v>
      </c>
      <c r="D1935" s="35">
        <v>9265614</v>
      </c>
      <c r="E1935" s="35" t="s">
        <v>2339</v>
      </c>
      <c r="F1935" s="35" t="s">
        <v>604</v>
      </c>
    </row>
    <row r="1936" spans="1:6">
      <c r="A1936" s="35" t="s">
        <v>2541</v>
      </c>
      <c r="B1936" s="37">
        <v>203.5</v>
      </c>
      <c r="C1936" s="37">
        <v>187.74320983886719</v>
      </c>
      <c r="D1936" s="35">
        <v>8815290</v>
      </c>
      <c r="E1936" s="35" t="s">
        <v>2339</v>
      </c>
      <c r="F1936" s="35" t="s">
        <v>604</v>
      </c>
    </row>
    <row r="1937" spans="1:6">
      <c r="A1937" s="35" t="s">
        <v>2542</v>
      </c>
      <c r="B1937" s="37">
        <v>203.30000305175781</v>
      </c>
      <c r="C1937" s="37">
        <v>188.02064514160156</v>
      </c>
      <c r="D1937" s="35">
        <v>9552640</v>
      </c>
      <c r="E1937" s="35" t="s">
        <v>2339</v>
      </c>
      <c r="F1937" s="35" t="s">
        <v>604</v>
      </c>
    </row>
    <row r="1938" spans="1:6">
      <c r="A1938" s="35" t="s">
        <v>2543</v>
      </c>
      <c r="B1938" s="37">
        <v>200.77499389648438</v>
      </c>
      <c r="C1938" s="37">
        <v>185.68539428710938</v>
      </c>
      <c r="D1938" s="35">
        <v>6355554</v>
      </c>
      <c r="E1938" s="35" t="s">
        <v>2339</v>
      </c>
      <c r="F1938" s="35" t="s">
        <v>604</v>
      </c>
    </row>
    <row r="1939" spans="1:6">
      <c r="A1939" s="35" t="s">
        <v>2544</v>
      </c>
      <c r="B1939" s="37">
        <v>199.02499389648438</v>
      </c>
      <c r="C1939" s="37">
        <v>184.06692504882813</v>
      </c>
      <c r="D1939" s="35">
        <v>7410134</v>
      </c>
      <c r="E1939" s="35" t="s">
        <v>2339</v>
      </c>
      <c r="F1939" s="35" t="s">
        <v>604</v>
      </c>
    </row>
    <row r="1940" spans="1:6">
      <c r="A1940" s="35" t="s">
        <v>2545</v>
      </c>
      <c r="B1940" s="37">
        <v>201.125</v>
      </c>
      <c r="C1940" s="37">
        <v>186.00910949707031</v>
      </c>
      <c r="D1940" s="35">
        <v>7261256</v>
      </c>
      <c r="E1940" s="35" t="s">
        <v>2339</v>
      </c>
      <c r="F1940" s="35" t="s">
        <v>604</v>
      </c>
    </row>
    <row r="1941" spans="1:6">
      <c r="A1941" s="35" t="s">
        <v>2546</v>
      </c>
      <c r="B1941" s="37">
        <v>199.42500305175781</v>
      </c>
      <c r="C1941" s="37">
        <v>184.4368896484375</v>
      </c>
      <c r="D1941" s="35">
        <v>9566846</v>
      </c>
      <c r="E1941" s="35" t="s">
        <v>2339</v>
      </c>
      <c r="F1941" s="35" t="s">
        <v>604</v>
      </c>
    </row>
    <row r="1942" spans="1:6">
      <c r="A1942" s="35" t="s">
        <v>2547</v>
      </c>
      <c r="B1942" s="37">
        <v>201.19999694824219</v>
      </c>
      <c r="C1942" s="37">
        <v>186.0784912109375</v>
      </c>
      <c r="D1942" s="35">
        <v>7029896</v>
      </c>
      <c r="E1942" s="35" t="s">
        <v>2339</v>
      </c>
      <c r="F1942" s="35" t="s">
        <v>604</v>
      </c>
    </row>
    <row r="1943" spans="1:6">
      <c r="A1943" s="35" t="s">
        <v>2548</v>
      </c>
      <c r="B1943" s="37">
        <v>204.72500610351563</v>
      </c>
      <c r="C1943" s="37">
        <v>189.33854675292969</v>
      </c>
      <c r="D1943" s="35">
        <v>10835460</v>
      </c>
      <c r="E1943" s="35" t="s">
        <v>2339</v>
      </c>
      <c r="F1943" s="35" t="s">
        <v>604</v>
      </c>
    </row>
    <row r="1944" spans="1:6">
      <c r="A1944" s="35" t="s">
        <v>2549</v>
      </c>
      <c r="B1944" s="37">
        <v>203.94999694824219</v>
      </c>
      <c r="C1944" s="37">
        <v>188.62179565429688</v>
      </c>
      <c r="D1944" s="35">
        <v>8850236</v>
      </c>
      <c r="E1944" s="35" t="s">
        <v>2339</v>
      </c>
      <c r="F1944" s="35" t="s">
        <v>604</v>
      </c>
    </row>
    <row r="1945" spans="1:6">
      <c r="A1945" s="35" t="s">
        <v>2550</v>
      </c>
      <c r="B1945" s="37">
        <v>202.32499694824219</v>
      </c>
      <c r="C1945" s="37">
        <v>187.11891174316406</v>
      </c>
      <c r="D1945" s="35">
        <v>5958022</v>
      </c>
      <c r="E1945" s="35" t="s">
        <v>2339</v>
      </c>
      <c r="F1945" s="35" t="s">
        <v>604</v>
      </c>
    </row>
    <row r="1946" spans="1:6">
      <c r="A1946" s="35" t="s">
        <v>2551</v>
      </c>
      <c r="B1946" s="37">
        <v>200.25</v>
      </c>
      <c r="C1946" s="37">
        <v>185.19987487792969</v>
      </c>
      <c r="D1946" s="35">
        <v>6683580</v>
      </c>
      <c r="E1946" s="35" t="s">
        <v>2339</v>
      </c>
      <c r="F1946" s="35" t="s">
        <v>604</v>
      </c>
    </row>
    <row r="1947" spans="1:6">
      <c r="A1947" s="35" t="s">
        <v>2552</v>
      </c>
      <c r="B1947" s="37">
        <v>203.375</v>
      </c>
      <c r="C1947" s="37">
        <v>188.09001159667969</v>
      </c>
      <c r="D1947" s="35">
        <v>8300976</v>
      </c>
      <c r="E1947" s="35" t="s">
        <v>2339</v>
      </c>
      <c r="F1947" s="35" t="s">
        <v>604</v>
      </c>
    </row>
    <row r="1948" spans="1:6">
      <c r="A1948" s="35" t="s">
        <v>2553</v>
      </c>
      <c r="B1948" s="37">
        <v>204.14999389648438</v>
      </c>
      <c r="C1948" s="37">
        <v>188.80674743652344</v>
      </c>
      <c r="D1948" s="35">
        <v>5277374</v>
      </c>
      <c r="E1948" s="35" t="s">
        <v>2339</v>
      </c>
      <c r="F1948" s="35" t="s">
        <v>604</v>
      </c>
    </row>
    <row r="1949" spans="1:6">
      <c r="A1949" s="35" t="s">
        <v>2554</v>
      </c>
      <c r="B1949" s="37">
        <v>202.89999389648438</v>
      </c>
      <c r="C1949" s="37">
        <v>187.65069580078125</v>
      </c>
      <c r="D1949" s="35">
        <v>5160140</v>
      </c>
      <c r="E1949" s="35" t="s">
        <v>2339</v>
      </c>
      <c r="F1949" s="35" t="s">
        <v>604</v>
      </c>
    </row>
    <row r="1950" spans="1:6">
      <c r="A1950" s="35" t="s">
        <v>2555</v>
      </c>
      <c r="B1950" s="37">
        <v>200.30000305175781</v>
      </c>
      <c r="C1950" s="37">
        <v>185.24610900878906</v>
      </c>
      <c r="D1950" s="35">
        <v>4825356</v>
      </c>
      <c r="E1950" s="35" t="s">
        <v>2339</v>
      </c>
      <c r="F1950" s="35" t="s">
        <v>604</v>
      </c>
    </row>
    <row r="1951" spans="1:6">
      <c r="A1951" s="35" t="s">
        <v>2556</v>
      </c>
      <c r="B1951" s="37">
        <v>202.55000305175781</v>
      </c>
      <c r="C1951" s="37">
        <v>187.32701110839844</v>
      </c>
      <c r="D1951" s="35">
        <v>4638822</v>
      </c>
      <c r="E1951" s="35" t="s">
        <v>2339</v>
      </c>
      <c r="F1951" s="35" t="s">
        <v>604</v>
      </c>
    </row>
    <row r="1952" spans="1:6">
      <c r="A1952" s="35" t="s">
        <v>2557</v>
      </c>
      <c r="B1952" s="37">
        <v>203.69999694824219</v>
      </c>
      <c r="C1952" s="37">
        <v>188.39056396484375</v>
      </c>
      <c r="D1952" s="35">
        <v>5227672</v>
      </c>
      <c r="E1952" s="35" t="s">
        <v>2339</v>
      </c>
      <c r="F1952" s="35" t="s">
        <v>604</v>
      </c>
    </row>
    <row r="1953" spans="1:6">
      <c r="A1953" s="35" t="s">
        <v>2558</v>
      </c>
      <c r="B1953" s="37">
        <v>204.94999694824219</v>
      </c>
      <c r="C1953" s="37">
        <v>189.546630859375</v>
      </c>
      <c r="D1953" s="35">
        <v>11189362</v>
      </c>
      <c r="E1953" s="35" t="s">
        <v>2339</v>
      </c>
      <c r="F1953" s="35" t="s">
        <v>604</v>
      </c>
    </row>
    <row r="1954" spans="1:6">
      <c r="A1954" s="35" t="s">
        <v>2559</v>
      </c>
      <c r="B1954" s="37">
        <v>203.14999389648438</v>
      </c>
      <c r="C1954" s="37">
        <v>187.88189697265625</v>
      </c>
      <c r="D1954" s="35">
        <v>5616244</v>
      </c>
      <c r="E1954" s="35" t="s">
        <v>2339</v>
      </c>
      <c r="F1954" s="35" t="s">
        <v>604</v>
      </c>
    </row>
    <row r="1955" spans="1:6">
      <c r="A1955" s="35" t="s">
        <v>2560</v>
      </c>
      <c r="B1955" s="37">
        <v>203.52499389648438</v>
      </c>
      <c r="C1955" s="37">
        <v>188.22872924804688</v>
      </c>
      <c r="D1955" s="35">
        <v>6497188</v>
      </c>
      <c r="E1955" s="35" t="s">
        <v>2339</v>
      </c>
      <c r="F1955" s="35" t="s">
        <v>604</v>
      </c>
    </row>
    <row r="1956" spans="1:6">
      <c r="A1956" s="35" t="s">
        <v>2561</v>
      </c>
      <c r="B1956" s="37">
        <v>201.375</v>
      </c>
      <c r="C1956" s="37">
        <v>186.24032592773438</v>
      </c>
      <c r="D1956" s="35">
        <v>5761172</v>
      </c>
      <c r="E1956" s="35" t="s">
        <v>2339</v>
      </c>
      <c r="F1956" s="35" t="s">
        <v>604</v>
      </c>
    </row>
    <row r="1957" spans="1:6">
      <c r="A1957" s="35" t="s">
        <v>2562</v>
      </c>
      <c r="B1957" s="37">
        <v>197.57499694824219</v>
      </c>
      <c r="C1957" s="37">
        <v>182.72590637207031</v>
      </c>
      <c r="D1957" s="35">
        <v>6883372</v>
      </c>
      <c r="E1957" s="35" t="s">
        <v>2339</v>
      </c>
      <c r="F1957" s="35" t="s">
        <v>604</v>
      </c>
    </row>
    <row r="1958" spans="1:6">
      <c r="A1958" s="35" t="s">
        <v>2563</v>
      </c>
      <c r="B1958" s="37">
        <v>196.97500610351563</v>
      </c>
      <c r="C1958" s="37">
        <v>182.1710205078125</v>
      </c>
      <c r="D1958" s="35">
        <v>6078322</v>
      </c>
      <c r="E1958" s="35" t="s">
        <v>2339</v>
      </c>
      <c r="F1958" s="35" t="s">
        <v>604</v>
      </c>
    </row>
    <row r="1959" spans="1:6">
      <c r="A1959" s="35" t="s">
        <v>2564</v>
      </c>
      <c r="B1959" s="37">
        <v>196.64999389648438</v>
      </c>
      <c r="C1959" s="37">
        <v>181.87043762207031</v>
      </c>
      <c r="D1959" s="35">
        <v>5106634</v>
      </c>
      <c r="E1959" s="35" t="s">
        <v>2339</v>
      </c>
      <c r="F1959" s="35" t="s">
        <v>604</v>
      </c>
    </row>
    <row r="1960" spans="1:6">
      <c r="A1960" s="35" t="s">
        <v>2565</v>
      </c>
      <c r="B1960" s="37">
        <v>195.17500305175781</v>
      </c>
      <c r="C1960" s="37">
        <v>180.50628662109375</v>
      </c>
      <c r="D1960" s="35">
        <v>5554710</v>
      </c>
      <c r="E1960" s="35" t="s">
        <v>2339</v>
      </c>
      <c r="F1960" s="35" t="s">
        <v>604</v>
      </c>
    </row>
    <row r="1961" spans="1:6">
      <c r="A1961" s="35" t="s">
        <v>2566</v>
      </c>
      <c r="B1961" s="37">
        <v>193.52499389648438</v>
      </c>
      <c r="C1961" s="37">
        <v>178.98030090332031</v>
      </c>
      <c r="D1961" s="35">
        <v>10061602</v>
      </c>
      <c r="E1961" s="35" t="s">
        <v>2339</v>
      </c>
      <c r="F1961" s="35" t="s">
        <v>604</v>
      </c>
    </row>
    <row r="1962" spans="1:6">
      <c r="A1962" s="35" t="s">
        <v>2567</v>
      </c>
      <c r="B1962" s="37">
        <v>195.47500610351563</v>
      </c>
      <c r="C1962" s="37">
        <v>180.78375244140625</v>
      </c>
      <c r="D1962" s="35">
        <v>4542612</v>
      </c>
      <c r="E1962" s="35" t="s">
        <v>2339</v>
      </c>
      <c r="F1962" s="35" t="s">
        <v>604</v>
      </c>
    </row>
    <row r="1963" spans="1:6">
      <c r="A1963" s="35" t="s">
        <v>2568</v>
      </c>
      <c r="B1963" s="37">
        <v>194.02499389648438</v>
      </c>
      <c r="C1963" s="37">
        <v>179.44271850585938</v>
      </c>
      <c r="D1963" s="35">
        <v>4438972</v>
      </c>
      <c r="E1963" s="35" t="s">
        <v>2339</v>
      </c>
      <c r="F1963" s="35" t="s">
        <v>604</v>
      </c>
    </row>
    <row r="1964" spans="1:6">
      <c r="A1964" s="35" t="s">
        <v>2569</v>
      </c>
      <c r="B1964" s="37">
        <v>195.22500610351563</v>
      </c>
      <c r="C1964" s="37">
        <v>180.55255126953125</v>
      </c>
      <c r="D1964" s="35">
        <v>4393936</v>
      </c>
      <c r="E1964" s="35" t="s">
        <v>2339</v>
      </c>
      <c r="F1964" s="35" t="s">
        <v>604</v>
      </c>
    </row>
    <row r="1965" spans="1:6">
      <c r="A1965" s="35" t="s">
        <v>2570</v>
      </c>
      <c r="B1965" s="37">
        <v>196.875</v>
      </c>
      <c r="C1965" s="37">
        <v>182.07853698730469</v>
      </c>
      <c r="D1965" s="35">
        <v>6727722</v>
      </c>
      <c r="E1965" s="35" t="s">
        <v>2339</v>
      </c>
      <c r="F1965" s="35" t="s">
        <v>604</v>
      </c>
    </row>
    <row r="1966" spans="1:6">
      <c r="A1966" s="35" t="s">
        <v>2571</v>
      </c>
      <c r="B1966" s="37">
        <v>196.30000305175781</v>
      </c>
      <c r="C1966" s="37">
        <v>181.5467529296875</v>
      </c>
      <c r="D1966" s="35">
        <v>4908842</v>
      </c>
      <c r="E1966" s="35" t="s">
        <v>2339</v>
      </c>
      <c r="F1966" s="35" t="s">
        <v>604</v>
      </c>
    </row>
    <row r="1967" spans="1:6">
      <c r="A1967" s="35" t="s">
        <v>2572</v>
      </c>
      <c r="B1967" s="37">
        <v>195.05000305175781</v>
      </c>
      <c r="C1967" s="37">
        <v>180.39068603515625</v>
      </c>
      <c r="D1967" s="35">
        <v>4157054</v>
      </c>
      <c r="E1967" s="35" t="s">
        <v>2339</v>
      </c>
      <c r="F1967" s="35" t="s">
        <v>604</v>
      </c>
    </row>
    <row r="1968" spans="1:6">
      <c r="A1968" s="35" t="s">
        <v>2573</v>
      </c>
      <c r="B1968" s="37">
        <v>194.55000305175781</v>
      </c>
      <c r="C1968" s="37">
        <v>179.92825317382813</v>
      </c>
      <c r="D1968" s="35">
        <v>4567396</v>
      </c>
      <c r="E1968" s="35" t="s">
        <v>2339</v>
      </c>
      <c r="F1968" s="35" t="s">
        <v>604</v>
      </c>
    </row>
    <row r="1969" spans="1:6">
      <c r="A1969" s="35" t="s">
        <v>2574</v>
      </c>
      <c r="B1969" s="37">
        <v>192.72500610351563</v>
      </c>
      <c r="C1969" s="37">
        <v>178.24044799804688</v>
      </c>
      <c r="D1969" s="35">
        <v>5982520</v>
      </c>
      <c r="E1969" s="35" t="s">
        <v>2339</v>
      </c>
      <c r="F1969" s="35" t="s">
        <v>604</v>
      </c>
    </row>
    <row r="1970" spans="1:6">
      <c r="A1970" s="35" t="s">
        <v>2575</v>
      </c>
      <c r="B1970" s="37">
        <v>189.72500610351563</v>
      </c>
      <c r="C1970" s="37">
        <v>175.46591186523438</v>
      </c>
      <c r="D1970" s="35">
        <v>8094852</v>
      </c>
      <c r="E1970" s="35" t="s">
        <v>2339</v>
      </c>
      <c r="F1970" s="35" t="s">
        <v>604</v>
      </c>
    </row>
    <row r="1971" spans="1:6">
      <c r="A1971" s="35" t="s">
        <v>2576</v>
      </c>
      <c r="B1971" s="37">
        <v>187.875</v>
      </c>
      <c r="C1971" s="37">
        <v>173.75494384765625</v>
      </c>
      <c r="D1971" s="35">
        <v>7687926</v>
      </c>
      <c r="E1971" s="35" t="s">
        <v>2339</v>
      </c>
      <c r="F1971" s="35" t="s">
        <v>604</v>
      </c>
    </row>
    <row r="1972" spans="1:6">
      <c r="A1972" s="35" t="s">
        <v>2577</v>
      </c>
      <c r="B1972" s="37">
        <v>186.42500305175781</v>
      </c>
      <c r="C1972" s="37">
        <v>172.41390991210938</v>
      </c>
      <c r="D1972" s="35">
        <v>7686620</v>
      </c>
      <c r="E1972" s="35" t="s">
        <v>2339</v>
      </c>
      <c r="F1972" s="35" t="s">
        <v>604</v>
      </c>
    </row>
    <row r="1973" spans="1:6">
      <c r="A1973" s="35" t="s">
        <v>2578</v>
      </c>
      <c r="B1973" s="37">
        <v>188.25</v>
      </c>
      <c r="C1973" s="37">
        <v>174.10174560546875</v>
      </c>
      <c r="D1973" s="35">
        <v>9044282</v>
      </c>
      <c r="E1973" s="35" t="s">
        <v>2339</v>
      </c>
      <c r="F1973" s="35" t="s">
        <v>604</v>
      </c>
    </row>
    <row r="1974" spans="1:6">
      <c r="A1974" s="35" t="s">
        <v>2579</v>
      </c>
      <c r="B1974" s="37">
        <v>183.57499694824219</v>
      </c>
      <c r="C1974" s="37">
        <v>169.77810668945313</v>
      </c>
      <c r="D1974" s="35">
        <v>8184754</v>
      </c>
      <c r="E1974" s="35" t="s">
        <v>2339</v>
      </c>
      <c r="F1974" s="35" t="s">
        <v>604</v>
      </c>
    </row>
    <row r="1975" spans="1:6">
      <c r="A1975" s="35" t="s">
        <v>2580</v>
      </c>
      <c r="B1975" s="37">
        <v>183.19999694824219</v>
      </c>
      <c r="C1975" s="37">
        <v>169.4312744140625</v>
      </c>
      <c r="D1975" s="35">
        <v>7211152</v>
      </c>
      <c r="E1975" s="35" t="s">
        <v>2339</v>
      </c>
      <c r="F1975" s="35" t="s">
        <v>604</v>
      </c>
    </row>
    <row r="1976" spans="1:6">
      <c r="A1976" s="35" t="s">
        <v>2581</v>
      </c>
      <c r="B1976" s="37">
        <v>183.19999694824219</v>
      </c>
      <c r="C1976" s="37">
        <v>169.4312744140625</v>
      </c>
      <c r="D1976" s="35">
        <v>5374846</v>
      </c>
      <c r="E1976" s="35" t="s">
        <v>2339</v>
      </c>
      <c r="F1976" s="35" t="s">
        <v>604</v>
      </c>
    </row>
    <row r="1977" spans="1:6">
      <c r="A1977" s="35" t="s">
        <v>2582</v>
      </c>
      <c r="B1977" s="37">
        <v>180.75</v>
      </c>
      <c r="C1977" s="37">
        <v>167.16543579101563</v>
      </c>
      <c r="D1977" s="35">
        <v>9485192</v>
      </c>
      <c r="E1977" s="35" t="s">
        <v>2339</v>
      </c>
      <c r="F1977" s="35" t="s">
        <v>604</v>
      </c>
    </row>
    <row r="1978" spans="1:6">
      <c r="A1978" s="35" t="s">
        <v>2583</v>
      </c>
      <c r="B1978" s="37">
        <v>180.875</v>
      </c>
      <c r="C1978" s="37">
        <v>167.28103637695313</v>
      </c>
      <c r="D1978" s="35">
        <v>7906696</v>
      </c>
      <c r="E1978" s="35" t="s">
        <v>2339</v>
      </c>
      <c r="F1978" s="35" t="s">
        <v>604</v>
      </c>
    </row>
    <row r="1979" spans="1:6">
      <c r="A1979" s="35" t="s">
        <v>2584</v>
      </c>
      <c r="B1979" s="37">
        <v>180.625</v>
      </c>
      <c r="C1979" s="37">
        <v>167.04981994628906</v>
      </c>
      <c r="D1979" s="35">
        <v>6227714</v>
      </c>
      <c r="E1979" s="35" t="s">
        <v>2339</v>
      </c>
      <c r="F1979" s="35" t="s">
        <v>604</v>
      </c>
    </row>
    <row r="1980" spans="1:6">
      <c r="A1980" s="35" t="s">
        <v>2585</v>
      </c>
      <c r="B1980" s="37">
        <v>178.10000610351563</v>
      </c>
      <c r="C1980" s="37">
        <v>164.71458435058594</v>
      </c>
      <c r="D1980" s="35">
        <v>7813096</v>
      </c>
      <c r="E1980" s="35" t="s">
        <v>2339</v>
      </c>
      <c r="F1980" s="35" t="s">
        <v>604</v>
      </c>
    </row>
    <row r="1981" spans="1:6">
      <c r="A1981" s="35" t="s">
        <v>2586</v>
      </c>
      <c r="B1981" s="37">
        <v>179.52499389648438</v>
      </c>
      <c r="C1981" s="37">
        <v>166.03248596191406</v>
      </c>
      <c r="D1981" s="35">
        <v>8823840</v>
      </c>
      <c r="E1981" s="35" t="s">
        <v>2339</v>
      </c>
      <c r="F1981" s="35" t="s">
        <v>604</v>
      </c>
    </row>
    <row r="1982" spans="1:6">
      <c r="A1982" s="35" t="s">
        <v>2587</v>
      </c>
      <c r="B1982" s="37">
        <v>182.625</v>
      </c>
      <c r="C1982" s="37">
        <v>168.89950561523438</v>
      </c>
      <c r="D1982" s="35">
        <v>7914212</v>
      </c>
      <c r="E1982" s="35" t="s">
        <v>2339</v>
      </c>
      <c r="F1982" s="35" t="s">
        <v>604</v>
      </c>
    </row>
    <row r="1983" spans="1:6">
      <c r="A1983" s="35" t="s">
        <v>2588</v>
      </c>
      <c r="B1983" s="37">
        <v>183.97500610351563</v>
      </c>
      <c r="C1983" s="37">
        <v>170.14805603027344</v>
      </c>
      <c r="D1983" s="35">
        <v>4053500</v>
      </c>
      <c r="E1983" s="35" t="s">
        <v>2589</v>
      </c>
      <c r="F1983" s="35" t="s">
        <v>604</v>
      </c>
    </row>
    <row r="1984" spans="1:6">
      <c r="A1984" s="35" t="s">
        <v>2590</v>
      </c>
      <c r="B1984" s="37">
        <v>184.875</v>
      </c>
      <c r="C1984" s="37">
        <v>170.98039245605469</v>
      </c>
      <c r="D1984" s="35">
        <v>6443110</v>
      </c>
      <c r="E1984" s="35" t="s">
        <v>2589</v>
      </c>
      <c r="F1984" s="35" t="s">
        <v>604</v>
      </c>
    </row>
    <row r="1985" spans="1:6">
      <c r="A1985" s="35" t="s">
        <v>2591</v>
      </c>
      <c r="B1985" s="37">
        <v>183.32499694824219</v>
      </c>
      <c r="C1985" s="37">
        <v>169.546875</v>
      </c>
      <c r="D1985" s="35">
        <v>6429614</v>
      </c>
      <c r="E1985" s="35" t="s">
        <v>2589</v>
      </c>
      <c r="F1985" s="35" t="s">
        <v>604</v>
      </c>
    </row>
    <row r="1986" spans="1:6">
      <c r="A1986" s="35" t="s">
        <v>2592</v>
      </c>
      <c r="B1986" s="37">
        <v>186.64999389648438</v>
      </c>
      <c r="C1986" s="37">
        <v>172.62200927734375</v>
      </c>
      <c r="D1986" s="35">
        <v>5624940</v>
      </c>
      <c r="E1986" s="35" t="s">
        <v>2589</v>
      </c>
      <c r="F1986" s="35" t="s">
        <v>604</v>
      </c>
    </row>
    <row r="1987" spans="1:6">
      <c r="A1987" s="35" t="s">
        <v>2593</v>
      </c>
      <c r="B1987" s="37">
        <v>185.125</v>
      </c>
      <c r="C1987" s="37">
        <v>171.21160888671875</v>
      </c>
      <c r="D1987" s="35">
        <v>6784354</v>
      </c>
      <c r="E1987" s="35" t="s">
        <v>2589</v>
      </c>
      <c r="F1987" s="35" t="s">
        <v>604</v>
      </c>
    </row>
    <row r="1988" spans="1:6">
      <c r="A1988" s="35" t="s">
        <v>2594</v>
      </c>
      <c r="B1988" s="37">
        <v>186.07499694824219</v>
      </c>
      <c r="C1988" s="37">
        <v>172.09022521972656</v>
      </c>
      <c r="D1988" s="35">
        <v>5578210</v>
      </c>
      <c r="E1988" s="35" t="s">
        <v>2589</v>
      </c>
      <c r="F1988" s="35" t="s">
        <v>604</v>
      </c>
    </row>
    <row r="1989" spans="1:6">
      <c r="A1989" s="35" t="s">
        <v>2595</v>
      </c>
      <c r="B1989" s="37">
        <v>184.14999389648438</v>
      </c>
      <c r="C1989" s="37">
        <v>170.30989074707031</v>
      </c>
      <c r="D1989" s="35">
        <v>6724634</v>
      </c>
      <c r="E1989" s="35" t="s">
        <v>2589</v>
      </c>
      <c r="F1989" s="35" t="s">
        <v>604</v>
      </c>
    </row>
    <row r="1990" spans="1:6">
      <c r="A1990" s="35" t="s">
        <v>2596</v>
      </c>
      <c r="B1990" s="37">
        <v>180.67500305175781</v>
      </c>
      <c r="C1990" s="37">
        <v>167.09608459472656</v>
      </c>
      <c r="D1990" s="35">
        <v>13603290</v>
      </c>
      <c r="E1990" s="35" t="s">
        <v>2589</v>
      </c>
      <c r="F1990" s="35" t="s">
        <v>604</v>
      </c>
    </row>
    <row r="1991" spans="1:6">
      <c r="A1991" s="35" t="s">
        <v>2597</v>
      </c>
      <c r="B1991" s="37">
        <v>183.94999694824219</v>
      </c>
      <c r="C1991" s="37">
        <v>170.12490844726563</v>
      </c>
      <c r="D1991" s="35">
        <v>8024898</v>
      </c>
      <c r="E1991" s="35" t="s">
        <v>2589</v>
      </c>
      <c r="F1991" s="35" t="s">
        <v>604</v>
      </c>
    </row>
    <row r="1992" spans="1:6">
      <c r="A1992" s="35" t="s">
        <v>2598</v>
      </c>
      <c r="B1992" s="37">
        <v>180.39999389648438</v>
      </c>
      <c r="C1992" s="37">
        <v>166.84172058105469</v>
      </c>
      <c r="D1992" s="35">
        <v>7475944</v>
      </c>
      <c r="E1992" s="35" t="s">
        <v>2589</v>
      </c>
      <c r="F1992" s="35" t="s">
        <v>604</v>
      </c>
    </row>
    <row r="1993" spans="1:6">
      <c r="A1993" s="35" t="s">
        <v>2599</v>
      </c>
      <c r="B1993" s="37">
        <v>181.42500305175781</v>
      </c>
      <c r="C1993" s="37">
        <v>167.78970336914063</v>
      </c>
      <c r="D1993" s="35">
        <v>4423266</v>
      </c>
      <c r="E1993" s="35" t="s">
        <v>2589</v>
      </c>
      <c r="F1993" s="35" t="s">
        <v>604</v>
      </c>
    </row>
    <row r="1994" spans="1:6">
      <c r="A1994" s="35" t="s">
        <v>2600</v>
      </c>
      <c r="B1994" s="37">
        <v>184.02499389648438</v>
      </c>
      <c r="C1994" s="37">
        <v>170.19430541992188</v>
      </c>
      <c r="D1994" s="35">
        <v>5299988</v>
      </c>
      <c r="E1994" s="35" t="s">
        <v>2589</v>
      </c>
      <c r="F1994" s="35" t="s">
        <v>604</v>
      </c>
    </row>
    <row r="1995" spans="1:6">
      <c r="A1995" s="35" t="s">
        <v>2601</v>
      </c>
      <c r="B1995" s="37">
        <v>188.97500610351563</v>
      </c>
      <c r="C1995" s="37">
        <v>174.77227783203125</v>
      </c>
      <c r="D1995" s="35">
        <v>17779044</v>
      </c>
      <c r="E1995" s="35" t="s">
        <v>2589</v>
      </c>
      <c r="F1995" s="35" t="s">
        <v>604</v>
      </c>
    </row>
    <row r="1996" spans="1:6">
      <c r="A1996" s="35" t="s">
        <v>2602</v>
      </c>
      <c r="B1996" s="37">
        <v>187.82499694824219</v>
      </c>
      <c r="C1996" s="37">
        <v>173.70867919921875</v>
      </c>
      <c r="D1996" s="35">
        <v>7528552</v>
      </c>
      <c r="E1996" s="35" t="s">
        <v>2589</v>
      </c>
      <c r="F1996" s="35" t="s">
        <v>604</v>
      </c>
    </row>
    <row r="1997" spans="1:6">
      <c r="A1997" s="35" t="s">
        <v>2603</v>
      </c>
      <c r="B1997" s="37">
        <v>187.27499389648438</v>
      </c>
      <c r="C1997" s="37">
        <v>173.20001220703125</v>
      </c>
      <c r="D1997" s="35">
        <v>7008146</v>
      </c>
      <c r="E1997" s="35" t="s">
        <v>2589</v>
      </c>
      <c r="F1997" s="35" t="s">
        <v>604</v>
      </c>
    </row>
    <row r="1998" spans="1:6">
      <c r="A1998" s="35" t="s">
        <v>2604</v>
      </c>
      <c r="B1998" s="37">
        <v>187.19999694824219</v>
      </c>
      <c r="C1998" s="37">
        <v>173.13066101074219</v>
      </c>
      <c r="D1998" s="35">
        <v>8491700</v>
      </c>
      <c r="E1998" s="35" t="s">
        <v>2589</v>
      </c>
      <c r="F1998" s="35" t="s">
        <v>604</v>
      </c>
    </row>
    <row r="1999" spans="1:6">
      <c r="A1999" s="35" t="s">
        <v>2605</v>
      </c>
      <c r="B1999" s="37">
        <v>192.5</v>
      </c>
      <c r="C1999" s="37">
        <v>178.0323486328125</v>
      </c>
      <c r="D1999" s="35">
        <v>27709406</v>
      </c>
      <c r="E1999" s="35" t="s">
        <v>2589</v>
      </c>
      <c r="F1999" s="35" t="s">
        <v>604</v>
      </c>
    </row>
    <row r="2000" spans="1:6">
      <c r="A2000" s="35" t="s">
        <v>2606</v>
      </c>
      <c r="B2000" s="37">
        <v>194.17500305175781</v>
      </c>
      <c r="C2000" s="37">
        <v>179.58146667480469</v>
      </c>
      <c r="D2000" s="35">
        <v>9746608</v>
      </c>
      <c r="E2000" s="35" t="s">
        <v>2589</v>
      </c>
      <c r="F2000" s="35" t="s">
        <v>604</v>
      </c>
    </row>
    <row r="2001" spans="1:6">
      <c r="A2001" s="35" t="s">
        <v>2607</v>
      </c>
      <c r="B2001" s="37">
        <v>192.55000305175781</v>
      </c>
      <c r="C2001" s="37">
        <v>178.07858276367188</v>
      </c>
      <c r="D2001" s="35">
        <v>4828488</v>
      </c>
      <c r="E2001" s="35" t="s">
        <v>2589</v>
      </c>
      <c r="F2001" s="35" t="s">
        <v>604</v>
      </c>
    </row>
    <row r="2002" spans="1:6">
      <c r="A2002" s="35" t="s">
        <v>2608</v>
      </c>
      <c r="B2002" s="37">
        <v>191.85000610351563</v>
      </c>
      <c r="C2002" s="37">
        <v>177.43119812011719</v>
      </c>
      <c r="D2002" s="35">
        <v>6253358</v>
      </c>
      <c r="E2002" s="35" t="s">
        <v>2589</v>
      </c>
      <c r="F2002" s="35" t="s">
        <v>604</v>
      </c>
    </row>
    <row r="2003" spans="1:6">
      <c r="A2003" s="35" t="s">
        <v>2609</v>
      </c>
      <c r="B2003" s="37">
        <v>189.69999694824219</v>
      </c>
      <c r="C2003" s="37">
        <v>175.44276428222656</v>
      </c>
      <c r="D2003" s="35">
        <v>7902194</v>
      </c>
      <c r="E2003" s="35" t="s">
        <v>2589</v>
      </c>
      <c r="F2003" s="35" t="s">
        <v>604</v>
      </c>
    </row>
    <row r="2004" spans="1:6">
      <c r="A2004" s="35" t="s">
        <v>2610</v>
      </c>
      <c r="B2004" s="37">
        <v>190.17500305175781</v>
      </c>
      <c r="C2004" s="37">
        <v>175.88209533691406</v>
      </c>
      <c r="D2004" s="35">
        <v>9613544</v>
      </c>
      <c r="E2004" s="35" t="s">
        <v>2589</v>
      </c>
      <c r="F2004" s="35" t="s">
        <v>604</v>
      </c>
    </row>
    <row r="2005" spans="1:6">
      <c r="A2005" s="35" t="s">
        <v>2611</v>
      </c>
      <c r="B2005" s="37">
        <v>191.14999389648438</v>
      </c>
      <c r="C2005" s="37">
        <v>176.78379821777344</v>
      </c>
      <c r="D2005" s="35">
        <v>5716698</v>
      </c>
      <c r="E2005" s="35" t="s">
        <v>2589</v>
      </c>
      <c r="F2005" s="35" t="s">
        <v>604</v>
      </c>
    </row>
    <row r="2006" spans="1:6">
      <c r="A2006" s="35" t="s">
        <v>2612</v>
      </c>
      <c r="B2006" s="37">
        <v>191.875</v>
      </c>
      <c r="C2006" s="37">
        <v>177.45431518554688</v>
      </c>
      <c r="D2006" s="35">
        <v>3670402</v>
      </c>
      <c r="E2006" s="35" t="s">
        <v>2589</v>
      </c>
      <c r="F2006" s="35" t="s">
        <v>604</v>
      </c>
    </row>
    <row r="2007" spans="1:6">
      <c r="A2007" s="35" t="s">
        <v>2613</v>
      </c>
      <c r="B2007" s="37">
        <v>192.32499694824219</v>
      </c>
      <c r="C2007" s="37">
        <v>177.87049865722656</v>
      </c>
      <c r="D2007" s="35">
        <v>4049964</v>
      </c>
      <c r="E2007" s="35" t="s">
        <v>2589</v>
      </c>
      <c r="F2007" s="35" t="s">
        <v>604</v>
      </c>
    </row>
    <row r="2008" spans="1:6">
      <c r="A2008" s="35" t="s">
        <v>2614</v>
      </c>
      <c r="B2008" s="37">
        <v>191.625</v>
      </c>
      <c r="C2008" s="37">
        <v>177.22309875488281</v>
      </c>
      <c r="D2008" s="35">
        <v>4580358</v>
      </c>
      <c r="E2008" s="35" t="s">
        <v>2589</v>
      </c>
      <c r="F2008" s="35" t="s">
        <v>604</v>
      </c>
    </row>
    <row r="2009" spans="1:6">
      <c r="A2009" s="35" t="s">
        <v>2615</v>
      </c>
      <c r="B2009" s="37">
        <v>192.875</v>
      </c>
      <c r="C2009" s="37">
        <v>178.379150390625</v>
      </c>
      <c r="D2009" s="35">
        <v>5089694</v>
      </c>
      <c r="E2009" s="35" t="s">
        <v>2589</v>
      </c>
      <c r="F2009" s="35" t="s">
        <v>604</v>
      </c>
    </row>
    <row r="2010" spans="1:6">
      <c r="A2010" s="35" t="s">
        <v>2616</v>
      </c>
      <c r="B2010" s="37">
        <v>193.47500610351563</v>
      </c>
      <c r="C2010" s="37">
        <v>178.93405151367188</v>
      </c>
      <c r="D2010" s="35">
        <v>4059352</v>
      </c>
      <c r="E2010" s="35" t="s">
        <v>2589</v>
      </c>
      <c r="F2010" s="35" t="s">
        <v>604</v>
      </c>
    </row>
    <row r="2011" spans="1:6">
      <c r="A2011" s="35" t="s">
        <v>2617</v>
      </c>
      <c r="B2011" s="37">
        <v>191.14999389648438</v>
      </c>
      <c r="C2011" s="37">
        <v>176.78379821777344</v>
      </c>
      <c r="D2011" s="35">
        <v>5376102</v>
      </c>
      <c r="E2011" s="35" t="s">
        <v>2589</v>
      </c>
      <c r="F2011" s="35" t="s">
        <v>604</v>
      </c>
    </row>
    <row r="2012" spans="1:6">
      <c r="A2012" s="35" t="s">
        <v>2618</v>
      </c>
      <c r="B2012" s="37">
        <v>191.30000305175781</v>
      </c>
      <c r="C2012" s="37">
        <v>176.92253112792969</v>
      </c>
      <c r="D2012" s="35">
        <v>4237016</v>
      </c>
      <c r="E2012" s="35" t="s">
        <v>2589</v>
      </c>
      <c r="F2012" s="35" t="s">
        <v>604</v>
      </c>
    </row>
    <row r="2013" spans="1:6">
      <c r="A2013" s="35" t="s">
        <v>2619</v>
      </c>
      <c r="B2013" s="37">
        <v>193.10000610351563</v>
      </c>
      <c r="C2013" s="37">
        <v>178.58726501464844</v>
      </c>
      <c r="D2013" s="35">
        <v>7281582</v>
      </c>
      <c r="E2013" s="35" t="s">
        <v>2589</v>
      </c>
      <c r="F2013" s="35" t="s">
        <v>604</v>
      </c>
    </row>
    <row r="2014" spans="1:6">
      <c r="A2014" s="35" t="s">
        <v>2620</v>
      </c>
      <c r="B2014" s="37">
        <v>197.875</v>
      </c>
      <c r="C2014" s="37">
        <v>183.00337219238281</v>
      </c>
      <c r="D2014" s="35">
        <v>12197390</v>
      </c>
      <c r="E2014" s="35" t="s">
        <v>2589</v>
      </c>
      <c r="F2014" s="35" t="s">
        <v>604</v>
      </c>
    </row>
    <row r="2015" spans="1:6">
      <c r="A2015" s="35" t="s">
        <v>2621</v>
      </c>
      <c r="B2015" s="37">
        <v>198.82499694824219</v>
      </c>
      <c r="C2015" s="37">
        <v>183.88198852539063</v>
      </c>
      <c r="D2015" s="35">
        <v>12725634</v>
      </c>
      <c r="E2015" s="35" t="s">
        <v>2589</v>
      </c>
      <c r="F2015" s="35" t="s">
        <v>604</v>
      </c>
    </row>
    <row r="2016" spans="1:6">
      <c r="A2016" s="35" t="s">
        <v>2622</v>
      </c>
      <c r="B2016" s="37">
        <v>199.85000610351563</v>
      </c>
      <c r="C2016" s="37">
        <v>184.82994079589844</v>
      </c>
      <c r="D2016" s="35">
        <v>8256974</v>
      </c>
      <c r="E2016" s="35" t="s">
        <v>2589</v>
      </c>
      <c r="F2016" s="35" t="s">
        <v>604</v>
      </c>
    </row>
    <row r="2017" spans="1:6">
      <c r="A2017" s="35" t="s">
        <v>2623</v>
      </c>
      <c r="B2017" s="37">
        <v>197.05000305175781</v>
      </c>
      <c r="C2017" s="37">
        <v>182.24037170410156</v>
      </c>
      <c r="D2017" s="35">
        <v>13605054</v>
      </c>
      <c r="E2017" s="35" t="s">
        <v>2589</v>
      </c>
      <c r="F2017" s="35" t="s">
        <v>604</v>
      </c>
    </row>
    <row r="2018" spans="1:6">
      <c r="A2018" s="35" t="s">
        <v>2624</v>
      </c>
      <c r="B2018" s="37">
        <v>200.85000610351563</v>
      </c>
      <c r="C2018" s="37">
        <v>185.75479125976563</v>
      </c>
      <c r="D2018" s="35">
        <v>7926180</v>
      </c>
      <c r="E2018" s="35" t="s">
        <v>2589</v>
      </c>
      <c r="F2018" s="35" t="s">
        <v>604</v>
      </c>
    </row>
    <row r="2019" spans="1:6">
      <c r="A2019" s="35" t="s">
        <v>2625</v>
      </c>
      <c r="B2019" s="37">
        <v>199.89999389648438</v>
      </c>
      <c r="C2019" s="37">
        <v>184.87617492675781</v>
      </c>
      <c r="D2019" s="35">
        <v>7959308</v>
      </c>
      <c r="E2019" s="35" t="s">
        <v>2589</v>
      </c>
      <c r="F2019" s="35" t="s">
        <v>604</v>
      </c>
    </row>
    <row r="2020" spans="1:6">
      <c r="A2020" s="35" t="s">
        <v>2626</v>
      </c>
      <c r="B2020" s="37">
        <v>201.25</v>
      </c>
      <c r="C2020" s="37">
        <v>186.12471008300781</v>
      </c>
      <c r="D2020" s="35">
        <v>7378972</v>
      </c>
      <c r="E2020" s="35" t="s">
        <v>2589</v>
      </c>
      <c r="F2020" s="35" t="s">
        <v>604</v>
      </c>
    </row>
    <row r="2021" spans="1:6">
      <c r="A2021" s="35" t="s">
        <v>2627</v>
      </c>
      <c r="B2021" s="37">
        <v>201.82499694824219</v>
      </c>
      <c r="C2021" s="37">
        <v>186.65650939941406</v>
      </c>
      <c r="D2021" s="35">
        <v>11783582</v>
      </c>
      <c r="E2021" s="35" t="s">
        <v>2589</v>
      </c>
      <c r="F2021" s="35" t="s">
        <v>604</v>
      </c>
    </row>
    <row r="2022" spans="1:6">
      <c r="A2022" s="35" t="s">
        <v>2628</v>
      </c>
      <c r="B2022" s="37">
        <v>203.57499694824219</v>
      </c>
      <c r="C2022" s="37">
        <v>188.27499389648438</v>
      </c>
      <c r="D2022" s="35">
        <v>7065484</v>
      </c>
      <c r="E2022" s="35" t="s">
        <v>2589</v>
      </c>
      <c r="F2022" s="35" t="s">
        <v>604</v>
      </c>
    </row>
    <row r="2023" spans="1:6">
      <c r="A2023" s="35" t="s">
        <v>2629</v>
      </c>
      <c r="B2023" s="37">
        <v>202.47500610351563</v>
      </c>
      <c r="C2023" s="37">
        <v>187.25765991210938</v>
      </c>
      <c r="D2023" s="35">
        <v>6320754</v>
      </c>
      <c r="E2023" s="35" t="s">
        <v>2589</v>
      </c>
      <c r="F2023" s="35" t="s">
        <v>604</v>
      </c>
    </row>
    <row r="2024" spans="1:6">
      <c r="A2024" s="35" t="s">
        <v>2630</v>
      </c>
      <c r="B2024" s="37">
        <v>202.10000610351563</v>
      </c>
      <c r="C2024" s="37">
        <v>186.91082763671875</v>
      </c>
      <c r="D2024" s="35">
        <v>7252860</v>
      </c>
      <c r="E2024" s="35" t="s">
        <v>2589</v>
      </c>
      <c r="F2024" s="35" t="s">
        <v>604</v>
      </c>
    </row>
    <row r="2025" spans="1:6">
      <c r="A2025" s="35" t="s">
        <v>2631</v>
      </c>
      <c r="B2025" s="37">
        <v>199.97500610351563</v>
      </c>
      <c r="C2025" s="37">
        <v>184.94554138183594</v>
      </c>
      <c r="D2025" s="35">
        <v>13707400</v>
      </c>
      <c r="E2025" s="35" t="s">
        <v>2589</v>
      </c>
      <c r="F2025" s="35" t="s">
        <v>604</v>
      </c>
    </row>
    <row r="2026" spans="1:6">
      <c r="A2026" s="35" t="s">
        <v>2632</v>
      </c>
      <c r="B2026" s="37">
        <v>201.39999389648438</v>
      </c>
      <c r="C2026" s="37">
        <v>186.26344299316406</v>
      </c>
      <c r="D2026" s="35">
        <v>8215860</v>
      </c>
      <c r="E2026" s="35" t="s">
        <v>2589</v>
      </c>
      <c r="F2026" s="35" t="s">
        <v>604</v>
      </c>
    </row>
    <row r="2027" spans="1:6">
      <c r="A2027" s="35" t="s">
        <v>2633</v>
      </c>
      <c r="B2027" s="37">
        <v>199.77499389648438</v>
      </c>
      <c r="C2027" s="37">
        <v>184.76057434082031</v>
      </c>
      <c r="D2027" s="35">
        <v>10615052</v>
      </c>
      <c r="E2027" s="35" t="s">
        <v>2589</v>
      </c>
      <c r="F2027" s="35" t="s">
        <v>604</v>
      </c>
    </row>
    <row r="2028" spans="1:6">
      <c r="A2028" s="35" t="s">
        <v>2634</v>
      </c>
      <c r="B2028" s="37">
        <v>198.64999389648438</v>
      </c>
      <c r="C2028" s="37">
        <v>183.72012329101563</v>
      </c>
      <c r="D2028" s="35">
        <v>12018232</v>
      </c>
      <c r="E2028" s="35" t="s">
        <v>2589</v>
      </c>
      <c r="F2028" s="35" t="s">
        <v>604</v>
      </c>
    </row>
    <row r="2029" spans="1:6">
      <c r="A2029" s="35" t="s">
        <v>2635</v>
      </c>
      <c r="B2029" s="37">
        <v>197.80000305175781</v>
      </c>
      <c r="C2029" s="37">
        <v>182.93400573730469</v>
      </c>
      <c r="D2029" s="35">
        <v>11973622</v>
      </c>
      <c r="E2029" s="35" t="s">
        <v>2589</v>
      </c>
      <c r="F2029" s="35" t="s">
        <v>604</v>
      </c>
    </row>
    <row r="2030" spans="1:6">
      <c r="A2030" s="35" t="s">
        <v>2636</v>
      </c>
      <c r="B2030" s="37">
        <v>197.77499389648438</v>
      </c>
      <c r="C2030" s="37">
        <v>182.910888671875</v>
      </c>
      <c r="D2030" s="35">
        <v>13016186</v>
      </c>
      <c r="E2030" s="35" t="s">
        <v>2589</v>
      </c>
      <c r="F2030" s="35" t="s">
        <v>604</v>
      </c>
    </row>
    <row r="2031" spans="1:6">
      <c r="A2031" s="35" t="s">
        <v>2637</v>
      </c>
      <c r="B2031" s="37">
        <v>198.22500610351563</v>
      </c>
      <c r="C2031" s="37">
        <v>183.32707214355469</v>
      </c>
      <c r="D2031" s="35">
        <v>18512564</v>
      </c>
      <c r="E2031" s="35" t="s">
        <v>2589</v>
      </c>
      <c r="F2031" s="35" t="s">
        <v>604</v>
      </c>
    </row>
    <row r="2032" spans="1:6">
      <c r="A2032" s="35" t="s">
        <v>2638</v>
      </c>
      <c r="B2032" s="37">
        <v>194.47500610351563</v>
      </c>
      <c r="C2032" s="37">
        <v>179.85891723632813</v>
      </c>
      <c r="D2032" s="35">
        <v>28702320</v>
      </c>
      <c r="E2032" s="35" t="s">
        <v>2589</v>
      </c>
      <c r="F2032" s="35" t="s">
        <v>604</v>
      </c>
    </row>
    <row r="2033" spans="1:6">
      <c r="A2033" s="35" t="s">
        <v>2639</v>
      </c>
      <c r="B2033" s="37">
        <v>190.64999389648438</v>
      </c>
      <c r="C2033" s="37">
        <v>176.32136535644531</v>
      </c>
      <c r="D2033" s="35">
        <v>41110648</v>
      </c>
      <c r="E2033" s="35" t="s">
        <v>2589</v>
      </c>
      <c r="F2033" s="35" t="s">
        <v>604</v>
      </c>
    </row>
    <row r="2034" spans="1:6">
      <c r="A2034" s="35" t="s">
        <v>2640</v>
      </c>
      <c r="B2034" s="37">
        <v>190.07499694824219</v>
      </c>
      <c r="C2034" s="37">
        <v>175.78961181640625</v>
      </c>
      <c r="D2034" s="35">
        <v>10629440</v>
      </c>
      <c r="E2034" s="35" t="s">
        <v>2589</v>
      </c>
      <c r="F2034" s="35" t="s">
        <v>604</v>
      </c>
    </row>
    <row r="2035" spans="1:6">
      <c r="A2035" s="35" t="s">
        <v>2641</v>
      </c>
      <c r="B2035" s="37">
        <v>191.25</v>
      </c>
      <c r="C2035" s="37">
        <v>176.87628173828125</v>
      </c>
      <c r="D2035" s="35">
        <v>11802658</v>
      </c>
      <c r="E2035" s="35" t="s">
        <v>2589</v>
      </c>
      <c r="F2035" s="35" t="s">
        <v>604</v>
      </c>
    </row>
    <row r="2036" spans="1:6">
      <c r="A2036" s="35" t="s">
        <v>2642</v>
      </c>
      <c r="B2036" s="37">
        <v>192.75</v>
      </c>
      <c r="C2036" s="37">
        <v>178.2635498046875</v>
      </c>
      <c r="D2036" s="35">
        <v>8829264</v>
      </c>
      <c r="E2036" s="35" t="s">
        <v>2589</v>
      </c>
      <c r="F2036" s="35" t="s">
        <v>604</v>
      </c>
    </row>
    <row r="2037" spans="1:6">
      <c r="A2037" s="35" t="s">
        <v>2643</v>
      </c>
      <c r="B2037" s="37">
        <v>191.14999389648438</v>
      </c>
      <c r="C2037" s="37">
        <v>176.78379821777344</v>
      </c>
      <c r="D2037" s="35">
        <v>9356174</v>
      </c>
      <c r="E2037" s="35" t="s">
        <v>2589</v>
      </c>
      <c r="F2037" s="35" t="s">
        <v>604</v>
      </c>
    </row>
    <row r="2038" spans="1:6">
      <c r="A2038" s="35" t="s">
        <v>2644</v>
      </c>
      <c r="B2038" s="37">
        <v>189.97500610351563</v>
      </c>
      <c r="C2038" s="37">
        <v>175.69709777832031</v>
      </c>
      <c r="D2038" s="35">
        <v>6470406</v>
      </c>
      <c r="E2038" s="35" t="s">
        <v>2589</v>
      </c>
      <c r="F2038" s="35" t="s">
        <v>604</v>
      </c>
    </row>
    <row r="2039" spans="1:6">
      <c r="A2039" s="35" t="s">
        <v>2645</v>
      </c>
      <c r="B2039" s="37">
        <v>190.44999694824219</v>
      </c>
      <c r="C2039" s="37">
        <v>176.13641357421875</v>
      </c>
      <c r="D2039" s="35">
        <v>4100400</v>
      </c>
      <c r="E2039" s="35" t="s">
        <v>2589</v>
      </c>
      <c r="F2039" s="35" t="s">
        <v>604</v>
      </c>
    </row>
    <row r="2040" spans="1:6">
      <c r="A2040" s="35" t="s">
        <v>2646</v>
      </c>
      <c r="B2040" s="37">
        <v>191.30000305175781</v>
      </c>
      <c r="C2040" s="37">
        <v>176.92253112792969</v>
      </c>
      <c r="D2040" s="35">
        <v>5880750</v>
      </c>
      <c r="E2040" s="35" t="s">
        <v>2589</v>
      </c>
      <c r="F2040" s="35" t="s">
        <v>604</v>
      </c>
    </row>
    <row r="2041" spans="1:6">
      <c r="A2041" s="35" t="s">
        <v>2647</v>
      </c>
      <c r="B2041" s="37">
        <v>190.85000610351563</v>
      </c>
      <c r="C2041" s="37">
        <v>176.50633239746094</v>
      </c>
      <c r="D2041" s="35">
        <v>7140112</v>
      </c>
      <c r="E2041" s="35" t="s">
        <v>2589</v>
      </c>
      <c r="F2041" s="35" t="s">
        <v>604</v>
      </c>
    </row>
    <row r="2042" spans="1:6">
      <c r="A2042" s="35" t="s">
        <v>2648</v>
      </c>
      <c r="B2042" s="37">
        <v>194.57499694824219</v>
      </c>
      <c r="C2042" s="37">
        <v>179.95138549804688</v>
      </c>
      <c r="D2042" s="35">
        <v>9070810</v>
      </c>
      <c r="E2042" s="35" t="s">
        <v>2589</v>
      </c>
      <c r="F2042" s="35" t="s">
        <v>604</v>
      </c>
    </row>
    <row r="2043" spans="1:6">
      <c r="A2043" s="35" t="s">
        <v>2649</v>
      </c>
      <c r="B2043" s="37">
        <v>195.80000305175781</v>
      </c>
      <c r="C2043" s="37">
        <v>181.08433532714844</v>
      </c>
      <c r="D2043" s="35">
        <v>9036924</v>
      </c>
      <c r="E2043" s="35" t="s">
        <v>2589</v>
      </c>
      <c r="F2043" s="35" t="s">
        <v>604</v>
      </c>
    </row>
    <row r="2044" spans="1:6">
      <c r="A2044" s="35" t="s">
        <v>2650</v>
      </c>
      <c r="B2044" s="37">
        <v>197.97500610351563</v>
      </c>
      <c r="C2044" s="37">
        <v>183.09585571289063</v>
      </c>
      <c r="D2044" s="35">
        <v>12617234</v>
      </c>
      <c r="E2044" s="35" t="s">
        <v>2589</v>
      </c>
      <c r="F2044" s="35" t="s">
        <v>604</v>
      </c>
    </row>
    <row r="2045" spans="1:6">
      <c r="A2045" s="35" t="s">
        <v>2651</v>
      </c>
      <c r="B2045" s="37">
        <v>196.94999694824219</v>
      </c>
      <c r="C2045" s="37">
        <v>182.14788818359375</v>
      </c>
      <c r="D2045" s="35">
        <v>12366958</v>
      </c>
      <c r="E2045" s="35" t="s">
        <v>2589</v>
      </c>
      <c r="F2045" s="35" t="s">
        <v>604</v>
      </c>
    </row>
    <row r="2046" spans="1:6">
      <c r="A2046" s="35" t="s">
        <v>2652</v>
      </c>
      <c r="B2046" s="37">
        <v>198.10000610351563</v>
      </c>
      <c r="C2046" s="37">
        <v>183.21147155761719</v>
      </c>
      <c r="D2046" s="35">
        <v>9037242</v>
      </c>
      <c r="E2046" s="35" t="s">
        <v>2589</v>
      </c>
      <c r="F2046" s="35" t="s">
        <v>604</v>
      </c>
    </row>
    <row r="2047" spans="1:6">
      <c r="A2047" s="35" t="s">
        <v>2653</v>
      </c>
      <c r="B2047" s="37">
        <v>197.92500305175781</v>
      </c>
      <c r="C2047" s="37">
        <v>183.04960632324219</v>
      </c>
      <c r="D2047" s="35">
        <v>9065220</v>
      </c>
      <c r="E2047" s="35" t="s">
        <v>2589</v>
      </c>
      <c r="F2047" s="35" t="s">
        <v>604</v>
      </c>
    </row>
    <row r="2048" spans="1:6">
      <c r="A2048" s="35" t="s">
        <v>2654</v>
      </c>
      <c r="B2048" s="37">
        <v>194.97500610351563</v>
      </c>
      <c r="C2048" s="37">
        <v>180.32133483886719</v>
      </c>
      <c r="D2048" s="35">
        <v>5630400</v>
      </c>
      <c r="E2048" s="35" t="s">
        <v>2589</v>
      </c>
      <c r="F2048" s="35" t="s">
        <v>604</v>
      </c>
    </row>
    <row r="2049" spans="1:6">
      <c r="A2049" s="35" t="s">
        <v>2655</v>
      </c>
      <c r="B2049" s="37">
        <v>196.02499389648438</v>
      </c>
      <c r="C2049" s="37">
        <v>181.29238891601563</v>
      </c>
      <c r="D2049" s="35">
        <v>9634838</v>
      </c>
      <c r="E2049" s="35" t="s">
        <v>2589</v>
      </c>
      <c r="F2049" s="35" t="s">
        <v>604</v>
      </c>
    </row>
    <row r="2050" spans="1:6">
      <c r="A2050" s="35" t="s">
        <v>2656</v>
      </c>
      <c r="B2050" s="37">
        <v>195.92500305175781</v>
      </c>
      <c r="C2050" s="37">
        <v>181.19993591308594</v>
      </c>
      <c r="D2050" s="35">
        <v>6848220</v>
      </c>
      <c r="E2050" s="35" t="s">
        <v>2589</v>
      </c>
      <c r="F2050" s="35" t="s">
        <v>604</v>
      </c>
    </row>
    <row r="2051" spans="1:6">
      <c r="A2051" s="35" t="s">
        <v>2657</v>
      </c>
      <c r="B2051" s="37">
        <v>197.14999389648438</v>
      </c>
      <c r="C2051" s="37">
        <v>182.33287048339844</v>
      </c>
      <c r="D2051" s="35">
        <v>13595726</v>
      </c>
      <c r="E2051" s="35" t="s">
        <v>2589</v>
      </c>
      <c r="F2051" s="35" t="s">
        <v>604</v>
      </c>
    </row>
    <row r="2052" spans="1:6">
      <c r="A2052" s="35" t="s">
        <v>2658</v>
      </c>
      <c r="B2052" s="37">
        <v>202.52499389648438</v>
      </c>
      <c r="C2052" s="37">
        <v>187.30387878417969</v>
      </c>
      <c r="D2052" s="35">
        <v>31366784</v>
      </c>
      <c r="E2052" s="35" t="s">
        <v>2589</v>
      </c>
      <c r="F2052" s="35" t="s">
        <v>604</v>
      </c>
    </row>
    <row r="2053" spans="1:6">
      <c r="A2053" s="35" t="s">
        <v>2659</v>
      </c>
      <c r="B2053" s="37">
        <v>207.625</v>
      </c>
      <c r="C2053" s="37">
        <v>192.02059936523438</v>
      </c>
      <c r="D2053" s="35">
        <v>45759860</v>
      </c>
      <c r="E2053" s="35" t="s">
        <v>2589</v>
      </c>
      <c r="F2053" s="35" t="s">
        <v>604</v>
      </c>
    </row>
    <row r="2054" spans="1:6">
      <c r="A2054" s="35" t="s">
        <v>2660</v>
      </c>
      <c r="B2054" s="37">
        <v>208.60000610351563</v>
      </c>
      <c r="C2054" s="37">
        <v>192.92231750488281</v>
      </c>
      <c r="D2054" s="35">
        <v>17769026</v>
      </c>
      <c r="E2054" s="35" t="s">
        <v>2589</v>
      </c>
      <c r="F2054" s="35" t="s">
        <v>604</v>
      </c>
    </row>
    <row r="2055" spans="1:6">
      <c r="A2055" s="35" t="s">
        <v>2661</v>
      </c>
      <c r="B2055" s="37">
        <v>208.97500610351563</v>
      </c>
      <c r="C2055" s="37">
        <v>193.26913452148438</v>
      </c>
      <c r="D2055" s="35">
        <v>10830990</v>
      </c>
      <c r="E2055" s="35" t="s">
        <v>2589</v>
      </c>
      <c r="F2055" s="35" t="s">
        <v>604</v>
      </c>
    </row>
    <row r="2056" spans="1:6">
      <c r="A2056" s="35" t="s">
        <v>2662</v>
      </c>
      <c r="B2056" s="37">
        <v>208.82499694824219</v>
      </c>
      <c r="C2056" s="37">
        <v>193.13040161132813</v>
      </c>
      <c r="D2056" s="35">
        <v>8255710</v>
      </c>
      <c r="E2056" s="35" t="s">
        <v>2589</v>
      </c>
      <c r="F2056" s="35" t="s">
        <v>604</v>
      </c>
    </row>
    <row r="2057" spans="1:6">
      <c r="A2057" s="35" t="s">
        <v>2663</v>
      </c>
      <c r="B2057" s="37">
        <v>202.35000610351563</v>
      </c>
      <c r="C2057" s="37">
        <v>187.14205932617188</v>
      </c>
      <c r="D2057" s="35">
        <v>23514212</v>
      </c>
      <c r="E2057" s="35" t="s">
        <v>2589</v>
      </c>
      <c r="F2057" s="35" t="s">
        <v>604</v>
      </c>
    </row>
    <row r="2058" spans="1:6">
      <c r="A2058" s="35" t="s">
        <v>2664</v>
      </c>
      <c r="B2058" s="37">
        <v>202.02499389648438</v>
      </c>
      <c r="C2058" s="37">
        <v>186.84146118164063</v>
      </c>
      <c r="D2058" s="35">
        <v>6808460</v>
      </c>
      <c r="E2058" s="35" t="s">
        <v>2589</v>
      </c>
      <c r="F2058" s="35" t="s">
        <v>604</v>
      </c>
    </row>
    <row r="2059" spans="1:6">
      <c r="A2059" s="35" t="s">
        <v>2665</v>
      </c>
      <c r="B2059" s="37">
        <v>200.19999694824219</v>
      </c>
      <c r="C2059" s="37">
        <v>185.15362548828125</v>
      </c>
      <c r="D2059" s="35">
        <v>6458200</v>
      </c>
      <c r="E2059" s="35" t="s">
        <v>2589</v>
      </c>
      <c r="F2059" s="35" t="s">
        <v>604</v>
      </c>
    </row>
    <row r="2060" spans="1:6">
      <c r="A2060" s="35" t="s">
        <v>2666</v>
      </c>
      <c r="B2060" s="37">
        <v>201.375</v>
      </c>
      <c r="C2060" s="37">
        <v>186.24032592773438</v>
      </c>
      <c r="D2060" s="35">
        <v>5329662</v>
      </c>
      <c r="E2060" s="35" t="s">
        <v>2589</v>
      </c>
      <c r="F2060" s="35" t="s">
        <v>604</v>
      </c>
    </row>
    <row r="2061" spans="1:6">
      <c r="A2061" s="35" t="s">
        <v>2667</v>
      </c>
      <c r="B2061" s="37">
        <v>199.97500610351563</v>
      </c>
      <c r="C2061" s="37">
        <v>184.94554138183594</v>
      </c>
      <c r="D2061" s="35">
        <v>8948358</v>
      </c>
      <c r="E2061" s="35" t="s">
        <v>2589</v>
      </c>
      <c r="F2061" s="35" t="s">
        <v>604</v>
      </c>
    </row>
    <row r="2062" spans="1:6">
      <c r="A2062" s="35" t="s">
        <v>2668</v>
      </c>
      <c r="B2062" s="37">
        <v>199.375</v>
      </c>
      <c r="C2062" s="37">
        <v>184.390625</v>
      </c>
      <c r="D2062" s="35">
        <v>6760060</v>
      </c>
      <c r="E2062" s="35" t="s">
        <v>2589</v>
      </c>
      <c r="F2062" s="35" t="s">
        <v>604</v>
      </c>
    </row>
    <row r="2063" spans="1:6">
      <c r="A2063" s="35" t="s">
        <v>2669</v>
      </c>
      <c r="B2063" s="37">
        <v>202.52499389648438</v>
      </c>
      <c r="C2063" s="37">
        <v>187.30387878417969</v>
      </c>
      <c r="D2063" s="35">
        <v>6762180</v>
      </c>
      <c r="E2063" s="35" t="s">
        <v>2589</v>
      </c>
      <c r="F2063" s="35" t="s">
        <v>604</v>
      </c>
    </row>
    <row r="2064" spans="1:6">
      <c r="A2064" s="35" t="s">
        <v>2670</v>
      </c>
      <c r="B2064" s="37">
        <v>203.47500610351563</v>
      </c>
      <c r="C2064" s="37">
        <v>188.18247985839844</v>
      </c>
      <c r="D2064" s="35">
        <v>7181804</v>
      </c>
      <c r="E2064" s="35" t="s">
        <v>2589</v>
      </c>
      <c r="F2064" s="35" t="s">
        <v>604</v>
      </c>
    </row>
    <row r="2065" spans="1:6">
      <c r="A2065" s="35" t="s">
        <v>2671</v>
      </c>
      <c r="B2065" s="37">
        <v>201.39999389648438</v>
      </c>
      <c r="C2065" s="37">
        <v>186.26344299316406</v>
      </c>
      <c r="D2065" s="35">
        <v>5399618</v>
      </c>
      <c r="E2065" s="35" t="s">
        <v>2589</v>
      </c>
      <c r="F2065" s="35" t="s">
        <v>604</v>
      </c>
    </row>
    <row r="2066" spans="1:6">
      <c r="A2066" s="35" t="s">
        <v>2672</v>
      </c>
      <c r="B2066" s="37">
        <v>199.82499694824219</v>
      </c>
      <c r="C2066" s="37">
        <v>184.80679321289063</v>
      </c>
      <c r="D2066" s="35">
        <v>6821698</v>
      </c>
      <c r="E2066" s="35" t="s">
        <v>2589</v>
      </c>
      <c r="F2066" s="35" t="s">
        <v>604</v>
      </c>
    </row>
    <row r="2067" spans="1:6">
      <c r="A2067" s="35" t="s">
        <v>2673</v>
      </c>
      <c r="B2067" s="37">
        <v>204.42500305175781</v>
      </c>
      <c r="C2067" s="37">
        <v>189.06109619140625</v>
      </c>
      <c r="D2067" s="35">
        <v>12481540</v>
      </c>
      <c r="E2067" s="35" t="s">
        <v>2589</v>
      </c>
      <c r="F2067" s="35" t="s">
        <v>604</v>
      </c>
    </row>
    <row r="2068" spans="1:6">
      <c r="A2068" s="35" t="s">
        <v>2674</v>
      </c>
      <c r="B2068" s="37">
        <v>205.57499694824219</v>
      </c>
      <c r="C2068" s="37">
        <v>190.12466430664063</v>
      </c>
      <c r="D2068" s="35">
        <v>8822866</v>
      </c>
      <c r="E2068" s="35" t="s">
        <v>2589</v>
      </c>
      <c r="F2068" s="35" t="s">
        <v>604</v>
      </c>
    </row>
    <row r="2069" spans="1:6">
      <c r="A2069" s="35" t="s">
        <v>2675</v>
      </c>
      <c r="B2069" s="37">
        <v>208.17500305175781</v>
      </c>
      <c r="C2069" s="37">
        <v>192.52925109863281</v>
      </c>
      <c r="D2069" s="35">
        <v>15724284</v>
      </c>
      <c r="E2069" s="35" t="s">
        <v>2589</v>
      </c>
      <c r="F2069" s="35" t="s">
        <v>604</v>
      </c>
    </row>
    <row r="2070" spans="1:6">
      <c r="A2070" s="35" t="s">
        <v>2676</v>
      </c>
      <c r="B2070" s="37">
        <v>208.89999389648438</v>
      </c>
      <c r="C2070" s="37">
        <v>193.19975280761719</v>
      </c>
      <c r="D2070" s="35">
        <v>9309388</v>
      </c>
      <c r="E2070" s="35" t="s">
        <v>2589</v>
      </c>
      <c r="F2070" s="35" t="s">
        <v>604</v>
      </c>
    </row>
    <row r="2071" spans="1:6">
      <c r="A2071" s="35" t="s">
        <v>2677</v>
      </c>
      <c r="B2071" s="37">
        <v>209.32499694824219</v>
      </c>
      <c r="C2071" s="37">
        <v>193.59281921386719</v>
      </c>
      <c r="D2071" s="35">
        <v>9901644</v>
      </c>
      <c r="E2071" s="35" t="s">
        <v>2589</v>
      </c>
      <c r="F2071" s="35" t="s">
        <v>604</v>
      </c>
    </row>
    <row r="2072" spans="1:6">
      <c r="A2072" s="35" t="s">
        <v>2678</v>
      </c>
      <c r="B2072" s="37">
        <v>206.52499389648438</v>
      </c>
      <c r="C2072" s="37">
        <v>191.00326538085938</v>
      </c>
      <c r="D2072" s="35">
        <v>7571468</v>
      </c>
      <c r="E2072" s="35" t="s">
        <v>2589</v>
      </c>
      <c r="F2072" s="35" t="s">
        <v>604</v>
      </c>
    </row>
    <row r="2073" spans="1:6">
      <c r="A2073" s="35" t="s">
        <v>2679</v>
      </c>
      <c r="B2073" s="37">
        <v>207.57499694824219</v>
      </c>
      <c r="C2073" s="37">
        <v>191.97433471679688</v>
      </c>
      <c r="D2073" s="35">
        <v>5792180</v>
      </c>
      <c r="E2073" s="35" t="s">
        <v>2589</v>
      </c>
      <c r="F2073" s="35" t="s">
        <v>604</v>
      </c>
    </row>
    <row r="2074" spans="1:6">
      <c r="A2074" s="35" t="s">
        <v>2680</v>
      </c>
      <c r="B2074" s="37">
        <v>209.32499694824219</v>
      </c>
      <c r="C2074" s="37">
        <v>193.59281921386719</v>
      </c>
      <c r="D2074" s="35">
        <v>8131780</v>
      </c>
      <c r="E2074" s="35" t="s">
        <v>2589</v>
      </c>
      <c r="F2074" s="35" t="s">
        <v>604</v>
      </c>
    </row>
    <row r="2075" spans="1:6">
      <c r="A2075" s="35" t="s">
        <v>2681</v>
      </c>
      <c r="B2075" s="37">
        <v>208.77499389648438</v>
      </c>
      <c r="C2075" s="37">
        <v>193.08415222167969</v>
      </c>
      <c r="D2075" s="35">
        <v>6340960</v>
      </c>
      <c r="E2075" s="35" t="s">
        <v>2589</v>
      </c>
      <c r="F2075" s="35" t="s">
        <v>604</v>
      </c>
    </row>
    <row r="2076" spans="1:6">
      <c r="A2076" s="35" t="s">
        <v>2682</v>
      </c>
      <c r="B2076" s="37">
        <v>205.85000610351563</v>
      </c>
      <c r="C2076" s="37">
        <v>190.37899780273438</v>
      </c>
      <c r="D2076" s="35">
        <v>10602392</v>
      </c>
      <c r="E2076" s="35" t="s">
        <v>2589</v>
      </c>
      <c r="F2076" s="35" t="s">
        <v>604</v>
      </c>
    </row>
    <row r="2077" spans="1:6">
      <c r="A2077" s="35" t="s">
        <v>2683</v>
      </c>
      <c r="B2077" s="37">
        <v>207.30000305175781</v>
      </c>
      <c r="C2077" s="37">
        <v>191.72001647949219</v>
      </c>
      <c r="D2077" s="35">
        <v>7334260</v>
      </c>
      <c r="E2077" s="35" t="s">
        <v>2589</v>
      </c>
      <c r="F2077" s="35" t="s">
        <v>604</v>
      </c>
    </row>
    <row r="2078" spans="1:6">
      <c r="A2078" s="35" t="s">
        <v>2684</v>
      </c>
      <c r="B2078" s="37">
        <v>208.55000305175781</v>
      </c>
      <c r="C2078" s="37">
        <v>192.87606811523438</v>
      </c>
      <c r="D2078" s="35">
        <v>6350240</v>
      </c>
      <c r="E2078" s="35" t="s">
        <v>2589</v>
      </c>
      <c r="F2078" s="35" t="s">
        <v>604</v>
      </c>
    </row>
    <row r="2079" spans="1:6">
      <c r="A2079" s="35" t="s">
        <v>2685</v>
      </c>
      <c r="B2079" s="37">
        <v>207.625</v>
      </c>
      <c r="C2079" s="37">
        <v>192.02059936523438</v>
      </c>
      <c r="D2079" s="35">
        <v>6134234</v>
      </c>
      <c r="E2079" s="35" t="s">
        <v>2589</v>
      </c>
      <c r="F2079" s="35" t="s">
        <v>604</v>
      </c>
    </row>
    <row r="2080" spans="1:6">
      <c r="A2080" s="35" t="s">
        <v>2686</v>
      </c>
      <c r="B2080" s="37">
        <v>206.35000610351563</v>
      </c>
      <c r="C2080" s="37">
        <v>190.8414306640625</v>
      </c>
      <c r="D2080" s="35">
        <v>5776956</v>
      </c>
      <c r="E2080" s="35" t="s">
        <v>2589</v>
      </c>
      <c r="F2080" s="35" t="s">
        <v>604</v>
      </c>
    </row>
    <row r="2081" spans="1:6">
      <c r="A2081" s="35" t="s">
        <v>2687</v>
      </c>
      <c r="B2081" s="37">
        <v>204.85000610351563</v>
      </c>
      <c r="C2081" s="37">
        <v>189.45417785644531</v>
      </c>
      <c r="D2081" s="35">
        <v>6598510</v>
      </c>
      <c r="E2081" s="35" t="s">
        <v>2589</v>
      </c>
      <c r="F2081" s="35" t="s">
        <v>604</v>
      </c>
    </row>
    <row r="2082" spans="1:6">
      <c r="A2082" s="35" t="s">
        <v>2688</v>
      </c>
      <c r="B2082" s="37">
        <v>204.02499389648438</v>
      </c>
      <c r="C2082" s="37">
        <v>188.69114685058594</v>
      </c>
      <c r="D2082" s="35">
        <v>3401974</v>
      </c>
      <c r="E2082" s="35" t="s">
        <v>2589</v>
      </c>
      <c r="F2082" s="35" t="s">
        <v>604</v>
      </c>
    </row>
    <row r="2083" spans="1:6">
      <c r="A2083" s="35" t="s">
        <v>2689</v>
      </c>
      <c r="B2083" s="37">
        <v>204.05000305175781</v>
      </c>
      <c r="C2083" s="37">
        <v>188.71427917480469</v>
      </c>
      <c r="D2083" s="35">
        <v>3998562</v>
      </c>
      <c r="E2083" s="35" t="s">
        <v>2589</v>
      </c>
      <c r="F2083" s="35" t="s">
        <v>604</v>
      </c>
    </row>
    <row r="2084" spans="1:6">
      <c r="A2084" s="35" t="s">
        <v>2690</v>
      </c>
      <c r="B2084" s="37">
        <v>203.60000610351563</v>
      </c>
      <c r="C2084" s="37">
        <v>188.29811096191406</v>
      </c>
      <c r="D2084" s="35">
        <v>4018182</v>
      </c>
      <c r="E2084" s="35" t="s">
        <v>2589</v>
      </c>
      <c r="F2084" s="35" t="s">
        <v>604</v>
      </c>
    </row>
    <row r="2085" spans="1:6">
      <c r="A2085" s="35" t="s">
        <v>2691</v>
      </c>
      <c r="B2085" s="37">
        <v>204.19999694824219</v>
      </c>
      <c r="C2085" s="37">
        <v>188.85302734375</v>
      </c>
      <c r="D2085" s="35">
        <v>22061952</v>
      </c>
      <c r="E2085" s="35" t="s">
        <v>2589</v>
      </c>
      <c r="F2085" s="35" t="s">
        <v>604</v>
      </c>
    </row>
    <row r="2086" spans="1:6">
      <c r="A2086" s="35" t="s">
        <v>2692</v>
      </c>
      <c r="B2086" s="37">
        <v>208.17500305175781</v>
      </c>
      <c r="C2086" s="37">
        <v>192.52925109863281</v>
      </c>
      <c r="D2086" s="35">
        <v>8476130</v>
      </c>
      <c r="E2086" s="35" t="s">
        <v>2589</v>
      </c>
      <c r="F2086" s="35" t="s">
        <v>604</v>
      </c>
    </row>
    <row r="2087" spans="1:6">
      <c r="A2087" s="35" t="s">
        <v>2693</v>
      </c>
      <c r="B2087" s="37">
        <v>217.05000305175781</v>
      </c>
      <c r="C2087" s="37">
        <v>200.73725891113281</v>
      </c>
      <c r="D2087" s="35">
        <v>27634648</v>
      </c>
      <c r="E2087" s="35" t="s">
        <v>2589</v>
      </c>
      <c r="F2087" s="35" t="s">
        <v>604</v>
      </c>
    </row>
    <row r="2088" spans="1:6">
      <c r="A2088" s="35" t="s">
        <v>2694</v>
      </c>
      <c r="B2088" s="37">
        <v>215.92500305175781</v>
      </c>
      <c r="C2088" s="37">
        <v>199.69680786132813</v>
      </c>
      <c r="D2088" s="35">
        <v>17973426</v>
      </c>
      <c r="E2088" s="35" t="s">
        <v>2589</v>
      </c>
      <c r="F2088" s="35" t="s">
        <v>604</v>
      </c>
    </row>
    <row r="2089" spans="1:6">
      <c r="A2089" s="35" t="s">
        <v>2695</v>
      </c>
      <c r="B2089" s="37">
        <v>214.64999389648438</v>
      </c>
      <c r="C2089" s="37">
        <v>198.51760864257813</v>
      </c>
      <c r="D2089" s="35">
        <v>13531912</v>
      </c>
      <c r="E2089" s="35" t="s">
        <v>2589</v>
      </c>
      <c r="F2089" s="35" t="s">
        <v>604</v>
      </c>
    </row>
    <row r="2090" spans="1:6">
      <c r="A2090" s="35" t="s">
        <v>2696</v>
      </c>
      <c r="B2090" s="37">
        <v>216.42500305175781</v>
      </c>
      <c r="C2090" s="37">
        <v>200.15922546386719</v>
      </c>
      <c r="D2090" s="35">
        <v>9322650</v>
      </c>
      <c r="E2090" s="35" t="s">
        <v>2589</v>
      </c>
      <c r="F2090" s="35" t="s">
        <v>604</v>
      </c>
    </row>
    <row r="2091" spans="1:6">
      <c r="A2091" s="35" t="s">
        <v>2697</v>
      </c>
      <c r="B2091" s="37">
        <v>215</v>
      </c>
      <c r="C2091" s="37">
        <v>198.84130859375</v>
      </c>
      <c r="D2091" s="35">
        <v>5748410</v>
      </c>
      <c r="E2091" s="35" t="s">
        <v>2589</v>
      </c>
      <c r="F2091" s="35" t="s">
        <v>604</v>
      </c>
    </row>
    <row r="2092" spans="1:6">
      <c r="A2092" s="35" t="s">
        <v>2698</v>
      </c>
      <c r="B2092" s="37">
        <v>217.42500305175781</v>
      </c>
      <c r="C2092" s="37">
        <v>201.08406066894531</v>
      </c>
      <c r="D2092" s="35">
        <v>8253314</v>
      </c>
      <c r="E2092" s="35" t="s">
        <v>2589</v>
      </c>
      <c r="F2092" s="35" t="s">
        <v>604</v>
      </c>
    </row>
    <row r="2093" spans="1:6">
      <c r="A2093" s="35" t="s">
        <v>2699</v>
      </c>
      <c r="B2093" s="37">
        <v>217.5</v>
      </c>
      <c r="C2093" s="37">
        <v>201.15341186523438</v>
      </c>
      <c r="D2093" s="35">
        <v>14545328</v>
      </c>
      <c r="E2093" s="35" t="s">
        <v>2589</v>
      </c>
      <c r="F2093" s="35" t="s">
        <v>604</v>
      </c>
    </row>
    <row r="2094" spans="1:6">
      <c r="A2094" s="35" t="s">
        <v>2700</v>
      </c>
      <c r="B2094" s="37">
        <v>217.85000610351563</v>
      </c>
      <c r="C2094" s="37">
        <v>201.47711181640625</v>
      </c>
      <c r="D2094" s="35">
        <v>7445670</v>
      </c>
      <c r="E2094" s="35" t="s">
        <v>2589</v>
      </c>
      <c r="F2094" s="35" t="s">
        <v>604</v>
      </c>
    </row>
    <row r="2095" spans="1:6">
      <c r="A2095" s="35" t="s">
        <v>2701</v>
      </c>
      <c r="B2095" s="37">
        <v>218.22500610351563</v>
      </c>
      <c r="C2095" s="37">
        <v>201.82392883300781</v>
      </c>
      <c r="D2095" s="35">
        <v>14895010</v>
      </c>
      <c r="E2095" s="35" t="s">
        <v>2589</v>
      </c>
      <c r="F2095" s="35" t="s">
        <v>604</v>
      </c>
    </row>
    <row r="2096" spans="1:6">
      <c r="A2096" s="35" t="s">
        <v>2702</v>
      </c>
      <c r="B2096" s="37">
        <v>220.52499389648438</v>
      </c>
      <c r="C2096" s="37">
        <v>203.95106506347656</v>
      </c>
      <c r="D2096" s="35">
        <v>19835876</v>
      </c>
      <c r="E2096" s="35" t="s">
        <v>2589</v>
      </c>
      <c r="F2096" s="35" t="s">
        <v>604</v>
      </c>
    </row>
    <row r="2097" spans="1:6">
      <c r="A2097" s="35" t="s">
        <v>2703</v>
      </c>
      <c r="B2097" s="37">
        <v>218.05000305175781</v>
      </c>
      <c r="C2097" s="37">
        <v>201.66209411621094</v>
      </c>
      <c r="D2097" s="35">
        <v>6025196</v>
      </c>
      <c r="E2097" s="35" t="s">
        <v>2589</v>
      </c>
      <c r="F2097" s="35" t="s">
        <v>604</v>
      </c>
    </row>
    <row r="2098" spans="1:6">
      <c r="A2098" s="35" t="s">
        <v>2704</v>
      </c>
      <c r="B2098" s="37">
        <v>215.05000305175781</v>
      </c>
      <c r="C2098" s="37">
        <v>198.88755798339844</v>
      </c>
      <c r="D2098" s="35">
        <v>9102700</v>
      </c>
      <c r="E2098" s="35" t="s">
        <v>2589</v>
      </c>
      <c r="F2098" s="35" t="s">
        <v>604</v>
      </c>
    </row>
    <row r="2099" spans="1:6">
      <c r="A2099" s="35" t="s">
        <v>2705</v>
      </c>
      <c r="B2099" s="37">
        <v>214.47500610351563</v>
      </c>
      <c r="C2099" s="37">
        <v>198.35580444335938</v>
      </c>
      <c r="D2099" s="35">
        <v>8893070</v>
      </c>
      <c r="E2099" s="35" t="s">
        <v>2589</v>
      </c>
      <c r="F2099" s="35" t="s">
        <v>604</v>
      </c>
    </row>
    <row r="2100" spans="1:6">
      <c r="A2100" s="35" t="s">
        <v>2706</v>
      </c>
      <c r="B2100" s="37">
        <v>209.25</v>
      </c>
      <c r="C2100" s="37">
        <v>193.52345275878906</v>
      </c>
      <c r="D2100" s="35">
        <v>19818260</v>
      </c>
      <c r="E2100" s="35" t="s">
        <v>2589</v>
      </c>
      <c r="F2100" s="35" t="s">
        <v>604</v>
      </c>
    </row>
    <row r="2101" spans="1:6">
      <c r="A2101" s="35" t="s">
        <v>2707</v>
      </c>
      <c r="B2101" s="37">
        <v>207.05000305175781</v>
      </c>
      <c r="C2101" s="37">
        <v>191.48880004882813</v>
      </c>
      <c r="D2101" s="35">
        <v>9301132</v>
      </c>
      <c r="E2101" s="35" t="s">
        <v>2589</v>
      </c>
      <c r="F2101" s="35" t="s">
        <v>604</v>
      </c>
    </row>
    <row r="2102" spans="1:6">
      <c r="A2102" s="35" t="s">
        <v>2708</v>
      </c>
      <c r="B2102" s="37">
        <v>206.44999694824219</v>
      </c>
      <c r="C2102" s="37">
        <v>190.93391418457031</v>
      </c>
      <c r="D2102" s="35">
        <v>6480566</v>
      </c>
      <c r="E2102" s="35" t="s">
        <v>2589</v>
      </c>
      <c r="F2102" s="35" t="s">
        <v>604</v>
      </c>
    </row>
    <row r="2103" spans="1:6">
      <c r="A2103" s="35" t="s">
        <v>2709</v>
      </c>
      <c r="B2103" s="37">
        <v>207.82499694824219</v>
      </c>
      <c r="C2103" s="37">
        <v>192.20555114746094</v>
      </c>
      <c r="D2103" s="35">
        <v>7773994</v>
      </c>
      <c r="E2103" s="35" t="s">
        <v>2589</v>
      </c>
      <c r="F2103" s="35" t="s">
        <v>604</v>
      </c>
    </row>
    <row r="2104" spans="1:6">
      <c r="A2104" s="35" t="s">
        <v>2710</v>
      </c>
      <c r="B2104" s="37">
        <v>202.67500305175781</v>
      </c>
      <c r="C2104" s="37">
        <v>187.44261169433594</v>
      </c>
      <c r="D2104" s="35">
        <v>16876116</v>
      </c>
      <c r="E2104" s="35" t="s">
        <v>2589</v>
      </c>
      <c r="F2104" s="35" t="s">
        <v>604</v>
      </c>
    </row>
    <row r="2105" spans="1:6">
      <c r="A2105" s="35" t="s">
        <v>2711</v>
      </c>
      <c r="B2105" s="37">
        <v>203.02499389648438</v>
      </c>
      <c r="C2105" s="37">
        <v>187.76632690429688</v>
      </c>
      <c r="D2105" s="35">
        <v>12780272</v>
      </c>
      <c r="E2105" s="35" t="s">
        <v>2589</v>
      </c>
      <c r="F2105" s="35" t="s">
        <v>604</v>
      </c>
    </row>
    <row r="2106" spans="1:6">
      <c r="A2106" s="35" t="s">
        <v>2712</v>
      </c>
      <c r="B2106" s="37">
        <v>202.72500610351563</v>
      </c>
      <c r="C2106" s="37">
        <v>187.48886108398438</v>
      </c>
      <c r="D2106" s="35">
        <v>5728104</v>
      </c>
      <c r="E2106" s="35" t="s">
        <v>2589</v>
      </c>
      <c r="F2106" s="35" t="s">
        <v>604</v>
      </c>
    </row>
    <row r="2107" spans="1:6">
      <c r="A2107" s="35" t="s">
        <v>2713</v>
      </c>
      <c r="B2107" s="37">
        <v>202.44999694824219</v>
      </c>
      <c r="C2107" s="37">
        <v>187.23451232910156</v>
      </c>
      <c r="D2107" s="35">
        <v>6905870</v>
      </c>
      <c r="E2107" s="35" t="s">
        <v>2589</v>
      </c>
      <c r="F2107" s="35" t="s">
        <v>604</v>
      </c>
    </row>
    <row r="2108" spans="1:6">
      <c r="A2108" s="35" t="s">
        <v>2714</v>
      </c>
      <c r="B2108" s="37">
        <v>203.39999389648438</v>
      </c>
      <c r="C2108" s="37">
        <v>188.11311340332031</v>
      </c>
      <c r="D2108" s="35">
        <v>8125304</v>
      </c>
      <c r="E2108" s="35" t="s">
        <v>2589</v>
      </c>
      <c r="F2108" s="35" t="s">
        <v>604</v>
      </c>
    </row>
    <row r="2109" spans="1:6">
      <c r="A2109" s="35" t="s">
        <v>2715</v>
      </c>
      <c r="B2109" s="37">
        <v>203.92500305175781</v>
      </c>
      <c r="C2109" s="37">
        <v>188.59867858886719</v>
      </c>
      <c r="D2109" s="35">
        <v>6365004</v>
      </c>
      <c r="E2109" s="35" t="s">
        <v>2589</v>
      </c>
      <c r="F2109" s="35" t="s">
        <v>604</v>
      </c>
    </row>
    <row r="2110" spans="1:6">
      <c r="A2110" s="35" t="s">
        <v>2716</v>
      </c>
      <c r="B2110" s="37">
        <v>202.80000305175781</v>
      </c>
      <c r="C2110" s="37">
        <v>187.5582275390625</v>
      </c>
      <c r="D2110" s="35">
        <v>6030450</v>
      </c>
      <c r="E2110" s="35" t="s">
        <v>2589</v>
      </c>
      <c r="F2110" s="35" t="s">
        <v>604</v>
      </c>
    </row>
    <row r="2111" spans="1:6">
      <c r="A2111" s="35" t="s">
        <v>2717</v>
      </c>
      <c r="B2111" s="37">
        <v>203.875</v>
      </c>
      <c r="C2111" s="37">
        <v>188.55242919921875</v>
      </c>
      <c r="D2111" s="35">
        <v>5128014</v>
      </c>
      <c r="E2111" s="35" t="s">
        <v>2589</v>
      </c>
      <c r="F2111" s="35" t="s">
        <v>604</v>
      </c>
    </row>
    <row r="2112" spans="1:6">
      <c r="A2112" s="35" t="s">
        <v>2718</v>
      </c>
      <c r="B2112" s="37">
        <v>210.57499694824219</v>
      </c>
      <c r="C2112" s="37">
        <v>194.74887084960938</v>
      </c>
      <c r="D2112" s="35">
        <v>19092228</v>
      </c>
      <c r="E2112" s="35" t="s">
        <v>2589</v>
      </c>
      <c r="F2112" s="35" t="s">
        <v>604</v>
      </c>
    </row>
    <row r="2113" spans="1:6">
      <c r="A2113" s="35" t="s">
        <v>2719</v>
      </c>
      <c r="B2113" s="37">
        <v>208.55000305175781</v>
      </c>
      <c r="C2113" s="37">
        <v>192.87606811523438</v>
      </c>
      <c r="D2113" s="35">
        <v>10234398</v>
      </c>
      <c r="E2113" s="35" t="s">
        <v>2589</v>
      </c>
      <c r="F2113" s="35" t="s">
        <v>604</v>
      </c>
    </row>
    <row r="2114" spans="1:6">
      <c r="A2114" s="35" t="s">
        <v>2720</v>
      </c>
      <c r="B2114" s="37">
        <v>205.52499389648438</v>
      </c>
      <c r="C2114" s="37">
        <v>190.07841491699219</v>
      </c>
      <c r="D2114" s="35">
        <v>10914054</v>
      </c>
      <c r="E2114" s="35" t="s">
        <v>2589</v>
      </c>
      <c r="F2114" s="35" t="s">
        <v>604</v>
      </c>
    </row>
    <row r="2115" spans="1:6">
      <c r="A2115" s="35" t="s">
        <v>2721</v>
      </c>
      <c r="B2115" s="37">
        <v>205.10000610351563</v>
      </c>
      <c r="C2115" s="37">
        <v>189.68534851074219</v>
      </c>
      <c r="D2115" s="35">
        <v>5277652</v>
      </c>
      <c r="E2115" s="35" t="s">
        <v>2589</v>
      </c>
      <c r="F2115" s="35" t="s">
        <v>604</v>
      </c>
    </row>
    <row r="2116" spans="1:6">
      <c r="A2116" s="35" t="s">
        <v>2722</v>
      </c>
      <c r="B2116" s="37">
        <v>205.69999694824219</v>
      </c>
      <c r="C2116" s="37">
        <v>190.24026489257813</v>
      </c>
      <c r="D2116" s="35">
        <v>5979388</v>
      </c>
      <c r="E2116" s="35" t="s">
        <v>2589</v>
      </c>
      <c r="F2116" s="35" t="s">
        <v>604</v>
      </c>
    </row>
    <row r="2117" spans="1:6">
      <c r="A2117" s="35" t="s">
        <v>2723</v>
      </c>
      <c r="B2117" s="37">
        <v>203.72500610351563</v>
      </c>
      <c r="C2117" s="37">
        <v>188.41371154785156</v>
      </c>
      <c r="D2117" s="35">
        <v>4881066</v>
      </c>
      <c r="E2117" s="35" t="s">
        <v>2589</v>
      </c>
      <c r="F2117" s="35" t="s">
        <v>604</v>
      </c>
    </row>
    <row r="2118" spans="1:6">
      <c r="A2118" s="35" t="s">
        <v>2724</v>
      </c>
      <c r="B2118" s="37">
        <v>197.64999389648438</v>
      </c>
      <c r="C2118" s="37">
        <v>182.79527282714844</v>
      </c>
      <c r="D2118" s="35">
        <v>25629102</v>
      </c>
      <c r="E2118" s="35" t="s">
        <v>2589</v>
      </c>
      <c r="F2118" s="35" t="s">
        <v>604</v>
      </c>
    </row>
    <row r="2119" spans="1:6">
      <c r="A2119" s="35" t="s">
        <v>2725</v>
      </c>
      <c r="B2119" s="37">
        <v>195.92500305175781</v>
      </c>
      <c r="C2119" s="37">
        <v>181.19993591308594</v>
      </c>
      <c r="D2119" s="35">
        <v>8429336</v>
      </c>
      <c r="E2119" s="35" t="s">
        <v>2589</v>
      </c>
      <c r="F2119" s="35" t="s">
        <v>604</v>
      </c>
    </row>
    <row r="2120" spans="1:6">
      <c r="A2120" s="35" t="s">
        <v>2726</v>
      </c>
      <c r="B2120" s="37">
        <v>191.57499694824219</v>
      </c>
      <c r="C2120" s="37">
        <v>177.17684936523438</v>
      </c>
      <c r="D2120" s="35">
        <v>8837826</v>
      </c>
      <c r="E2120" s="35" t="s">
        <v>2589</v>
      </c>
      <c r="F2120" s="35" t="s">
        <v>604</v>
      </c>
    </row>
    <row r="2121" spans="1:6">
      <c r="A2121" s="35" t="s">
        <v>2727</v>
      </c>
      <c r="B2121" s="37">
        <v>190.92500305175781</v>
      </c>
      <c r="C2121" s="37">
        <v>176.57571411132813</v>
      </c>
      <c r="D2121" s="35">
        <v>6678294</v>
      </c>
      <c r="E2121" s="35" t="s">
        <v>2589</v>
      </c>
      <c r="F2121" s="35" t="s">
        <v>604</v>
      </c>
    </row>
    <row r="2122" spans="1:6">
      <c r="A2122" s="35" t="s">
        <v>2728</v>
      </c>
      <c r="B2122" s="37">
        <v>189.125</v>
      </c>
      <c r="C2122" s="37">
        <v>174.91099548339844</v>
      </c>
      <c r="D2122" s="35">
        <v>10995582</v>
      </c>
      <c r="E2122" s="35" t="s">
        <v>2589</v>
      </c>
      <c r="F2122" s="35" t="s">
        <v>604</v>
      </c>
    </row>
    <row r="2123" spans="1:6">
      <c r="A2123" s="35" t="s">
        <v>2729</v>
      </c>
      <c r="B2123" s="37">
        <v>191.17500305175781</v>
      </c>
      <c r="C2123" s="37">
        <v>176.80693054199219</v>
      </c>
      <c r="D2123" s="35">
        <v>6202812</v>
      </c>
      <c r="E2123" s="35" t="s">
        <v>2589</v>
      </c>
      <c r="F2123" s="35" t="s">
        <v>604</v>
      </c>
    </row>
    <row r="2124" spans="1:6">
      <c r="A2124" s="35" t="s">
        <v>2730</v>
      </c>
      <c r="B2124" s="37">
        <v>191</v>
      </c>
      <c r="C2124" s="37">
        <v>176.64506530761719</v>
      </c>
      <c r="D2124" s="35">
        <v>4688744</v>
      </c>
      <c r="E2124" s="35" t="s">
        <v>2589</v>
      </c>
      <c r="F2124" s="35" t="s">
        <v>604</v>
      </c>
    </row>
    <row r="2125" spans="1:6">
      <c r="A2125" s="35" t="s">
        <v>2731</v>
      </c>
      <c r="B2125" s="37">
        <v>190.89999389648438</v>
      </c>
      <c r="C2125" s="37">
        <v>176.55258178710938</v>
      </c>
      <c r="D2125" s="35">
        <v>6153536</v>
      </c>
      <c r="E2125" s="35" t="s">
        <v>2589</v>
      </c>
      <c r="F2125" s="35" t="s">
        <v>604</v>
      </c>
    </row>
    <row r="2126" spans="1:6">
      <c r="A2126" s="35" t="s">
        <v>2732</v>
      </c>
      <c r="B2126" s="37">
        <v>190.47500610351563</v>
      </c>
      <c r="C2126" s="37">
        <v>176.1595458984375</v>
      </c>
      <c r="D2126" s="35">
        <v>4241952</v>
      </c>
      <c r="E2126" s="35" t="s">
        <v>2589</v>
      </c>
      <c r="F2126" s="35" t="s">
        <v>604</v>
      </c>
    </row>
    <row r="2127" spans="1:6">
      <c r="A2127" s="35" t="s">
        <v>2733</v>
      </c>
      <c r="B2127" s="37">
        <v>191.82499694824219</v>
      </c>
      <c r="C2127" s="37">
        <v>177.40805053710938</v>
      </c>
      <c r="D2127" s="35">
        <v>4742730</v>
      </c>
      <c r="E2127" s="35" t="s">
        <v>2589</v>
      </c>
      <c r="F2127" s="35" t="s">
        <v>604</v>
      </c>
    </row>
    <row r="2128" spans="1:6">
      <c r="A2128" s="35" t="s">
        <v>2734</v>
      </c>
      <c r="B2128" s="37">
        <v>191.77499389648438</v>
      </c>
      <c r="C2128" s="37">
        <v>177.36183166503906</v>
      </c>
      <c r="D2128" s="35">
        <v>5291528</v>
      </c>
      <c r="E2128" s="35" t="s">
        <v>2589</v>
      </c>
      <c r="F2128" s="35" t="s">
        <v>604</v>
      </c>
    </row>
    <row r="2129" spans="1:6">
      <c r="A2129" s="35" t="s">
        <v>2735</v>
      </c>
      <c r="B2129" s="37">
        <v>192.32499694824219</v>
      </c>
      <c r="C2129" s="37">
        <v>177.87049865722656</v>
      </c>
      <c r="D2129" s="35">
        <v>4939936</v>
      </c>
      <c r="E2129" s="35" t="s">
        <v>2589</v>
      </c>
      <c r="F2129" s="35" t="s">
        <v>604</v>
      </c>
    </row>
    <row r="2130" spans="1:6">
      <c r="A2130" s="35" t="s">
        <v>2736</v>
      </c>
      <c r="B2130" s="37">
        <v>191.64999389648438</v>
      </c>
      <c r="C2130" s="37">
        <v>177.24620056152344</v>
      </c>
      <c r="D2130" s="35">
        <v>5692178</v>
      </c>
      <c r="E2130" s="35" t="s">
        <v>2589</v>
      </c>
      <c r="F2130" s="35" t="s">
        <v>604</v>
      </c>
    </row>
    <row r="2131" spans="1:6">
      <c r="A2131" s="35" t="s">
        <v>2737</v>
      </c>
      <c r="B2131" s="37">
        <v>191.10000610351563</v>
      </c>
      <c r="C2131" s="37">
        <v>176.73756408691406</v>
      </c>
      <c r="D2131" s="35">
        <v>7102052</v>
      </c>
      <c r="E2131" s="35" t="s">
        <v>2589</v>
      </c>
      <c r="F2131" s="35" t="s">
        <v>604</v>
      </c>
    </row>
    <row r="2132" spans="1:6">
      <c r="A2132" s="35" t="s">
        <v>2738</v>
      </c>
      <c r="B2132" s="37">
        <v>190.42500305175781</v>
      </c>
      <c r="C2132" s="37">
        <v>176.11329650878906</v>
      </c>
      <c r="D2132" s="35">
        <v>9231126</v>
      </c>
      <c r="E2132" s="35" t="s">
        <v>2589</v>
      </c>
      <c r="F2132" s="35" t="s">
        <v>604</v>
      </c>
    </row>
    <row r="2133" spans="1:6">
      <c r="A2133" s="35" t="s">
        <v>2739</v>
      </c>
      <c r="B2133" s="37">
        <v>189.64999389648438</v>
      </c>
      <c r="C2133" s="37">
        <v>175.39651489257813</v>
      </c>
      <c r="D2133" s="35">
        <v>10710700</v>
      </c>
      <c r="E2133" s="35" t="s">
        <v>2589</v>
      </c>
      <c r="F2133" s="35" t="s">
        <v>604</v>
      </c>
    </row>
    <row r="2134" spans="1:6">
      <c r="A2134" s="35" t="s">
        <v>2740</v>
      </c>
      <c r="B2134" s="37">
        <v>190.82499694824219</v>
      </c>
      <c r="C2134" s="37">
        <v>176.48324584960938</v>
      </c>
      <c r="D2134" s="35">
        <v>3585902</v>
      </c>
      <c r="E2134" s="35" t="s">
        <v>2589</v>
      </c>
      <c r="F2134" s="35" t="s">
        <v>604</v>
      </c>
    </row>
    <row r="2135" spans="1:6">
      <c r="A2135" s="35" t="s">
        <v>2741</v>
      </c>
      <c r="B2135" s="37">
        <v>195.82499694824219</v>
      </c>
      <c r="C2135" s="37">
        <v>181.107421875</v>
      </c>
      <c r="D2135" s="35">
        <v>10792518</v>
      </c>
      <c r="E2135" s="35" t="s">
        <v>2589</v>
      </c>
      <c r="F2135" s="35" t="s">
        <v>604</v>
      </c>
    </row>
    <row r="2136" spans="1:6">
      <c r="A2136" s="35" t="s">
        <v>2742</v>
      </c>
      <c r="B2136" s="37">
        <v>198.55000305175781</v>
      </c>
      <c r="C2136" s="37">
        <v>183.62763977050781</v>
      </c>
      <c r="D2136" s="35">
        <v>13843576</v>
      </c>
      <c r="E2136" s="35" t="s">
        <v>2589</v>
      </c>
      <c r="F2136" s="35" t="s">
        <v>604</v>
      </c>
    </row>
    <row r="2137" spans="1:6">
      <c r="A2137" s="35" t="s">
        <v>2743</v>
      </c>
      <c r="B2137" s="37">
        <v>197.69999694824219</v>
      </c>
      <c r="C2137" s="37">
        <v>182.84152221679688</v>
      </c>
      <c r="D2137" s="35">
        <v>7886928</v>
      </c>
      <c r="E2137" s="35" t="s">
        <v>2589</v>
      </c>
      <c r="F2137" s="35" t="s">
        <v>604</v>
      </c>
    </row>
    <row r="2138" spans="1:6">
      <c r="A2138" s="35" t="s">
        <v>2744</v>
      </c>
      <c r="B2138" s="37">
        <v>200.10000610351563</v>
      </c>
      <c r="C2138" s="37">
        <v>185.06117248535156</v>
      </c>
      <c r="D2138" s="35">
        <v>8610496</v>
      </c>
      <c r="E2138" s="35" t="s">
        <v>2589</v>
      </c>
      <c r="F2138" s="35" t="s">
        <v>604</v>
      </c>
    </row>
    <row r="2139" spans="1:6">
      <c r="A2139" s="35" t="s">
        <v>2745</v>
      </c>
      <c r="B2139" s="37">
        <v>200.32499694824219</v>
      </c>
      <c r="C2139" s="37">
        <v>185.26924133300781</v>
      </c>
      <c r="D2139" s="35">
        <v>5440248</v>
      </c>
      <c r="E2139" s="35" t="s">
        <v>2589</v>
      </c>
      <c r="F2139" s="35" t="s">
        <v>604</v>
      </c>
    </row>
    <row r="2140" spans="1:6">
      <c r="A2140" s="35" t="s">
        <v>2746</v>
      </c>
      <c r="B2140" s="37">
        <v>200.125</v>
      </c>
      <c r="C2140" s="37">
        <v>185.08425903320313</v>
      </c>
      <c r="D2140" s="35">
        <v>5318582</v>
      </c>
      <c r="E2140" s="35" t="s">
        <v>2589</v>
      </c>
      <c r="F2140" s="35" t="s">
        <v>604</v>
      </c>
    </row>
    <row r="2141" spans="1:6">
      <c r="A2141" s="35" t="s">
        <v>2747</v>
      </c>
      <c r="B2141" s="37">
        <v>201.25</v>
      </c>
      <c r="C2141" s="37">
        <v>186.12471008300781</v>
      </c>
      <c r="D2141" s="35">
        <v>9677360</v>
      </c>
      <c r="E2141" s="35" t="s">
        <v>2589</v>
      </c>
      <c r="F2141" s="35" t="s">
        <v>604</v>
      </c>
    </row>
    <row r="2142" spans="1:6">
      <c r="A2142" s="35" t="s">
        <v>2748</v>
      </c>
      <c r="B2142" s="37">
        <v>198</v>
      </c>
      <c r="C2142" s="37">
        <v>183.11897277832031</v>
      </c>
      <c r="D2142" s="35">
        <v>6250566</v>
      </c>
      <c r="E2142" s="35" t="s">
        <v>2589</v>
      </c>
      <c r="F2142" s="35" t="s">
        <v>604</v>
      </c>
    </row>
    <row r="2143" spans="1:6">
      <c r="A2143" s="35" t="s">
        <v>2749</v>
      </c>
      <c r="B2143" s="37">
        <v>198.42500305175781</v>
      </c>
      <c r="C2143" s="37">
        <v>183.51205444335938</v>
      </c>
      <c r="D2143" s="35">
        <v>8145314</v>
      </c>
      <c r="E2143" s="35" t="s">
        <v>2589</v>
      </c>
      <c r="F2143" s="35" t="s">
        <v>604</v>
      </c>
    </row>
    <row r="2144" spans="1:6">
      <c r="A2144" s="35" t="s">
        <v>2750</v>
      </c>
      <c r="B2144" s="37">
        <v>203.125</v>
      </c>
      <c r="C2144" s="37">
        <v>187.85879516601563</v>
      </c>
      <c r="D2144" s="35">
        <v>15544086</v>
      </c>
      <c r="E2144" s="35" t="s">
        <v>2589</v>
      </c>
      <c r="F2144" s="35" t="s">
        <v>604</v>
      </c>
    </row>
    <row r="2145" spans="1:6">
      <c r="A2145" s="35" t="s">
        <v>2751</v>
      </c>
      <c r="B2145" s="37">
        <v>206.52499389648438</v>
      </c>
      <c r="C2145" s="37">
        <v>191.00326538085938</v>
      </c>
      <c r="D2145" s="35">
        <v>19825958</v>
      </c>
      <c r="E2145" s="35" t="s">
        <v>2589</v>
      </c>
      <c r="F2145" s="35" t="s">
        <v>604</v>
      </c>
    </row>
    <row r="2146" spans="1:6">
      <c r="A2146" s="35" t="s">
        <v>2752</v>
      </c>
      <c r="B2146" s="37">
        <v>203.82499694824219</v>
      </c>
      <c r="C2146" s="37">
        <v>188.50617980957031</v>
      </c>
      <c r="D2146" s="35">
        <v>9830426</v>
      </c>
      <c r="E2146" s="35" t="s">
        <v>2589</v>
      </c>
      <c r="F2146" s="35" t="s">
        <v>604</v>
      </c>
    </row>
    <row r="2147" spans="1:6">
      <c r="A2147" s="35" t="s">
        <v>2753</v>
      </c>
      <c r="B2147" s="37">
        <v>203.72500610351563</v>
      </c>
      <c r="C2147" s="37">
        <v>188.41371154785156</v>
      </c>
      <c r="D2147" s="35">
        <v>10662472</v>
      </c>
      <c r="E2147" s="35" t="s">
        <v>2589</v>
      </c>
      <c r="F2147" s="35" t="s">
        <v>604</v>
      </c>
    </row>
    <row r="2148" spans="1:6">
      <c r="A2148" s="35" t="s">
        <v>2754</v>
      </c>
      <c r="B2148" s="37">
        <v>202.17500305175781</v>
      </c>
      <c r="C2148" s="37">
        <v>186.98019409179688</v>
      </c>
      <c r="D2148" s="35">
        <v>11165368</v>
      </c>
      <c r="E2148" s="35" t="s">
        <v>2589</v>
      </c>
      <c r="F2148" s="35" t="s">
        <v>604</v>
      </c>
    </row>
    <row r="2149" spans="1:6">
      <c r="A2149" s="35" t="s">
        <v>2755</v>
      </c>
      <c r="B2149" s="37">
        <v>209.375</v>
      </c>
      <c r="C2149" s="37">
        <v>193.63908386230469</v>
      </c>
      <c r="D2149" s="35">
        <v>22082070</v>
      </c>
      <c r="E2149" s="35" t="s">
        <v>2589</v>
      </c>
      <c r="F2149" s="35" t="s">
        <v>604</v>
      </c>
    </row>
    <row r="2150" spans="1:6">
      <c r="A2150" s="35" t="s">
        <v>2756</v>
      </c>
      <c r="B2150" s="37">
        <v>209.125</v>
      </c>
      <c r="C2150" s="37">
        <v>193.40785217285156</v>
      </c>
      <c r="D2150" s="35">
        <v>11250552</v>
      </c>
      <c r="E2150" s="35" t="s">
        <v>2589</v>
      </c>
      <c r="F2150" s="35" t="s">
        <v>604</v>
      </c>
    </row>
    <row r="2151" spans="1:6">
      <c r="A2151" s="35" t="s">
        <v>2757</v>
      </c>
      <c r="B2151" s="37">
        <v>211.30000305175781</v>
      </c>
      <c r="C2151" s="37">
        <v>195.41938781738281</v>
      </c>
      <c r="D2151" s="35">
        <v>15479122</v>
      </c>
      <c r="E2151" s="35" t="s">
        <v>2589</v>
      </c>
      <c r="F2151" s="35" t="s">
        <v>604</v>
      </c>
    </row>
    <row r="2152" spans="1:6">
      <c r="A2152" s="35" t="s">
        <v>2758</v>
      </c>
      <c r="B2152" s="37">
        <v>210.30000305175781</v>
      </c>
      <c r="C2152" s="37">
        <v>194.49456787109375</v>
      </c>
      <c r="D2152" s="35">
        <v>10084242</v>
      </c>
      <c r="E2152" s="35" t="s">
        <v>2589</v>
      </c>
      <c r="F2152" s="35" t="s">
        <v>604</v>
      </c>
    </row>
    <row r="2153" spans="1:6">
      <c r="A2153" s="35" t="s">
        <v>2759</v>
      </c>
      <c r="B2153" s="37">
        <v>211.10000610351563</v>
      </c>
      <c r="C2153" s="37">
        <v>195.23443603515625</v>
      </c>
      <c r="D2153" s="35">
        <v>11903364</v>
      </c>
      <c r="E2153" s="35" t="s">
        <v>2589</v>
      </c>
      <c r="F2153" s="35" t="s">
        <v>604</v>
      </c>
    </row>
    <row r="2154" spans="1:6">
      <c r="A2154" s="35" t="s">
        <v>2760</v>
      </c>
      <c r="B2154" s="37">
        <v>209.82499694824219</v>
      </c>
      <c r="C2154" s="37">
        <v>194.05525207519531</v>
      </c>
      <c r="D2154" s="35">
        <v>9696816</v>
      </c>
      <c r="E2154" s="35" t="s">
        <v>2589</v>
      </c>
      <c r="F2154" s="35" t="s">
        <v>604</v>
      </c>
    </row>
    <row r="2155" spans="1:6">
      <c r="A2155" s="35" t="s">
        <v>2761</v>
      </c>
      <c r="B2155" s="37">
        <v>217.19999694824219</v>
      </c>
      <c r="C2155" s="37">
        <v>200.87596130371094</v>
      </c>
      <c r="D2155" s="35">
        <v>24681376</v>
      </c>
      <c r="E2155" s="35" t="s">
        <v>2589</v>
      </c>
      <c r="F2155" s="35" t="s">
        <v>604</v>
      </c>
    </row>
    <row r="2156" spans="1:6">
      <c r="A2156" s="35" t="s">
        <v>2762</v>
      </c>
      <c r="B2156" s="37">
        <v>223.27499389648438</v>
      </c>
      <c r="C2156" s="37">
        <v>206.494384765625</v>
      </c>
      <c r="D2156" s="35">
        <v>41567234</v>
      </c>
      <c r="E2156" s="35" t="s">
        <v>2589</v>
      </c>
      <c r="F2156" s="35" t="s">
        <v>604</v>
      </c>
    </row>
    <row r="2157" spans="1:6">
      <c r="A2157" s="35" t="s">
        <v>2763</v>
      </c>
      <c r="B2157" s="37">
        <v>222.625</v>
      </c>
      <c r="C2157" s="37">
        <v>205.89323425292969</v>
      </c>
      <c r="D2157" s="35">
        <v>20182072</v>
      </c>
      <c r="E2157" s="35" t="s">
        <v>2589</v>
      </c>
      <c r="F2157" s="35" t="s">
        <v>604</v>
      </c>
    </row>
    <row r="2158" spans="1:6">
      <c r="A2158" s="35" t="s">
        <v>2764</v>
      </c>
      <c r="B2158" s="37">
        <v>219.35000610351563</v>
      </c>
      <c r="C2158" s="37">
        <v>202.8643798828125</v>
      </c>
      <c r="D2158" s="35">
        <v>16064694</v>
      </c>
      <c r="E2158" s="35" t="s">
        <v>2589</v>
      </c>
      <c r="F2158" s="35" t="s">
        <v>604</v>
      </c>
    </row>
    <row r="2159" spans="1:6">
      <c r="A2159" s="35" t="s">
        <v>2765</v>
      </c>
      <c r="B2159" s="37">
        <v>215.97500610351563</v>
      </c>
      <c r="C2159" s="37">
        <v>199.7430419921875</v>
      </c>
      <c r="D2159" s="35">
        <v>26449942</v>
      </c>
      <c r="E2159" s="35" t="s">
        <v>2589</v>
      </c>
      <c r="F2159" s="35" t="s">
        <v>604</v>
      </c>
    </row>
    <row r="2160" spans="1:6">
      <c r="A2160" s="35" t="s">
        <v>2766</v>
      </c>
      <c r="B2160" s="37">
        <v>217</v>
      </c>
      <c r="C2160" s="37">
        <v>200.69099426269531</v>
      </c>
      <c r="D2160" s="35">
        <v>10663008</v>
      </c>
      <c r="E2160" s="35" t="s">
        <v>2589</v>
      </c>
      <c r="F2160" s="35" t="s">
        <v>604</v>
      </c>
    </row>
    <row r="2161" spans="1:6">
      <c r="A2161" s="35" t="s">
        <v>2767</v>
      </c>
      <c r="B2161" s="37">
        <v>231.32499694824219</v>
      </c>
      <c r="C2161" s="37">
        <v>213.93939208984375</v>
      </c>
      <c r="D2161" s="35">
        <v>46080814</v>
      </c>
      <c r="E2161" s="35" t="s">
        <v>2589</v>
      </c>
      <c r="F2161" s="35" t="s">
        <v>604</v>
      </c>
    </row>
    <row r="2162" spans="1:6">
      <c r="A2162" s="35" t="s">
        <v>2768</v>
      </c>
      <c r="B2162" s="37">
        <v>235.05000305175781</v>
      </c>
      <c r="C2162" s="37">
        <v>217.38441467285156</v>
      </c>
      <c r="D2162" s="35">
        <v>54628644</v>
      </c>
      <c r="E2162" s="35" t="s">
        <v>2589</v>
      </c>
      <c r="F2162" s="35" t="s">
        <v>604</v>
      </c>
    </row>
    <row r="2163" spans="1:6">
      <c r="A2163" s="35" t="s">
        <v>2769</v>
      </c>
      <c r="B2163" s="37">
        <v>235.47500610351563</v>
      </c>
      <c r="C2163" s="37">
        <v>217.77748107910156</v>
      </c>
      <c r="D2163" s="35">
        <v>25262992</v>
      </c>
      <c r="E2163" s="35" t="s">
        <v>2589</v>
      </c>
      <c r="F2163" s="35" t="s">
        <v>604</v>
      </c>
    </row>
    <row r="2164" spans="1:6">
      <c r="A2164" s="35" t="s">
        <v>2770</v>
      </c>
      <c r="B2164" s="37">
        <v>234.72500610351563</v>
      </c>
      <c r="C2164" s="37">
        <v>217.08384704589844</v>
      </c>
      <c r="D2164" s="35">
        <v>16839956</v>
      </c>
      <c r="E2164" s="35" t="s">
        <v>2589</v>
      </c>
      <c r="F2164" s="35" t="s">
        <v>604</v>
      </c>
    </row>
    <row r="2165" spans="1:6">
      <c r="A2165" s="35" t="s">
        <v>2771</v>
      </c>
      <c r="B2165" s="37">
        <v>235.64999389648438</v>
      </c>
      <c r="C2165" s="37">
        <v>217.93931579589844</v>
      </c>
      <c r="D2165" s="35">
        <v>15961140</v>
      </c>
      <c r="E2165" s="35" t="s">
        <v>2589</v>
      </c>
      <c r="F2165" s="35" t="s">
        <v>604</v>
      </c>
    </row>
    <row r="2166" spans="1:6">
      <c r="A2166" s="35" t="s">
        <v>2772</v>
      </c>
      <c r="B2166" s="37">
        <v>238.57499694824219</v>
      </c>
      <c r="C2166" s="37">
        <v>220.64450073242188</v>
      </c>
      <c r="D2166" s="35">
        <v>20347278</v>
      </c>
      <c r="E2166" s="35" t="s">
        <v>2589</v>
      </c>
      <c r="F2166" s="35" t="s">
        <v>604</v>
      </c>
    </row>
    <row r="2167" spans="1:6">
      <c r="A2167" s="35" t="s">
        <v>2773</v>
      </c>
      <c r="B2167" s="37">
        <v>234.60000610351563</v>
      </c>
      <c r="C2167" s="37">
        <v>216.96823120117188</v>
      </c>
      <c r="D2167" s="35">
        <v>14282514</v>
      </c>
      <c r="E2167" s="35" t="s">
        <v>2589</v>
      </c>
      <c r="F2167" s="35" t="s">
        <v>604</v>
      </c>
    </row>
    <row r="2168" spans="1:6">
      <c r="A2168" s="35" t="s">
        <v>2774</v>
      </c>
      <c r="B2168" s="37">
        <v>227.94999694824219</v>
      </c>
      <c r="C2168" s="37">
        <v>210.81803894042969</v>
      </c>
      <c r="D2168" s="35">
        <v>19534364</v>
      </c>
      <c r="E2168" s="35" t="s">
        <v>2589</v>
      </c>
      <c r="F2168" s="35" t="s">
        <v>604</v>
      </c>
    </row>
    <row r="2169" spans="1:6">
      <c r="A2169" s="35" t="s">
        <v>2775</v>
      </c>
      <c r="B2169" s="37">
        <v>226.19999694824219</v>
      </c>
      <c r="C2169" s="37">
        <v>209.19955444335938</v>
      </c>
      <c r="D2169" s="35">
        <v>15170336</v>
      </c>
      <c r="E2169" s="35" t="s">
        <v>2589</v>
      </c>
      <c r="F2169" s="35" t="s">
        <v>604</v>
      </c>
    </row>
    <row r="2170" spans="1:6">
      <c r="A2170" s="35" t="s">
        <v>2776</v>
      </c>
      <c r="B2170" s="37">
        <v>228.30000305175781</v>
      </c>
      <c r="C2170" s="37">
        <v>211.14173889160156</v>
      </c>
      <c r="D2170" s="35">
        <v>16889130</v>
      </c>
      <c r="E2170" s="35" t="s">
        <v>2589</v>
      </c>
      <c r="F2170" s="35" t="s">
        <v>604</v>
      </c>
    </row>
    <row r="2171" spans="1:6">
      <c r="A2171" s="35" t="s">
        <v>2777</v>
      </c>
      <c r="B2171" s="37">
        <v>225.17500305175781</v>
      </c>
      <c r="C2171" s="37">
        <v>208.2515869140625</v>
      </c>
      <c r="D2171" s="35">
        <v>10082886</v>
      </c>
      <c r="E2171" s="35" t="s">
        <v>2589</v>
      </c>
      <c r="F2171" s="35" t="s">
        <v>604</v>
      </c>
    </row>
    <row r="2172" spans="1:6">
      <c r="A2172" s="35" t="s">
        <v>2778</v>
      </c>
      <c r="B2172" s="37">
        <v>225.375</v>
      </c>
      <c r="C2172" s="37">
        <v>208.43656921386719</v>
      </c>
      <c r="D2172" s="35">
        <v>14465048</v>
      </c>
      <c r="E2172" s="35" t="s">
        <v>2589</v>
      </c>
      <c r="F2172" s="35" t="s">
        <v>604</v>
      </c>
    </row>
    <row r="2173" spans="1:6">
      <c r="A2173" s="35" t="s">
        <v>2779</v>
      </c>
      <c r="B2173" s="37">
        <v>226.80000305175781</v>
      </c>
      <c r="C2173" s="37">
        <v>209.75445556640625</v>
      </c>
      <c r="D2173" s="35">
        <v>8874676</v>
      </c>
      <c r="E2173" s="35" t="s">
        <v>2589</v>
      </c>
      <c r="F2173" s="35" t="s">
        <v>604</v>
      </c>
    </row>
    <row r="2174" spans="1:6">
      <c r="A2174" s="35" t="s">
        <v>2780</v>
      </c>
      <c r="B2174" s="37">
        <v>224.10000610351563</v>
      </c>
      <c r="C2174" s="37">
        <v>207.25738525390625</v>
      </c>
      <c r="D2174" s="35">
        <v>8638818</v>
      </c>
      <c r="E2174" s="35" t="s">
        <v>2589</v>
      </c>
      <c r="F2174" s="35" t="s">
        <v>604</v>
      </c>
    </row>
    <row r="2175" spans="1:6">
      <c r="A2175" s="35" t="s">
        <v>2781</v>
      </c>
      <c r="B2175" s="37">
        <v>232.72500610351563</v>
      </c>
      <c r="C2175" s="37">
        <v>215.23417663574219</v>
      </c>
      <c r="D2175" s="35">
        <v>36086734</v>
      </c>
      <c r="E2175" s="35" t="s">
        <v>2589</v>
      </c>
      <c r="F2175" s="35" t="s">
        <v>604</v>
      </c>
    </row>
    <row r="2176" spans="1:6">
      <c r="A2176" s="35" t="s">
        <v>2782</v>
      </c>
      <c r="B2176" s="37">
        <v>247.30000305175781</v>
      </c>
      <c r="C2176" s="37">
        <v>228.71376037597656</v>
      </c>
      <c r="D2176" s="35">
        <v>127844264</v>
      </c>
      <c r="E2176" s="35" t="s">
        <v>2589</v>
      </c>
      <c r="F2176" s="35" t="s">
        <v>604</v>
      </c>
    </row>
    <row r="2177" spans="1:6">
      <c r="A2177" s="35" t="s">
        <v>2783</v>
      </c>
      <c r="B2177" s="37">
        <v>242.5</v>
      </c>
      <c r="C2177" s="37">
        <v>224.27450561523438</v>
      </c>
      <c r="D2177" s="35">
        <v>25912492</v>
      </c>
      <c r="E2177" s="35" t="s">
        <v>2589</v>
      </c>
      <c r="F2177" s="35" t="s">
        <v>604</v>
      </c>
    </row>
    <row r="2178" spans="1:6">
      <c r="A2178" s="35" t="s">
        <v>2784</v>
      </c>
      <c r="B2178" s="37">
        <v>241.19999694824219</v>
      </c>
      <c r="C2178" s="37">
        <v>223.07220458984375</v>
      </c>
      <c r="D2178" s="35">
        <v>28668932</v>
      </c>
      <c r="E2178" s="35" t="s">
        <v>2589</v>
      </c>
      <c r="F2178" s="35" t="s">
        <v>604</v>
      </c>
    </row>
    <row r="2179" spans="1:6">
      <c r="A2179" s="35" t="s">
        <v>2785</v>
      </c>
      <c r="B2179" s="37">
        <v>241.32499694824219</v>
      </c>
      <c r="C2179" s="37">
        <v>223.18780517578125</v>
      </c>
      <c r="D2179" s="35">
        <v>26144924</v>
      </c>
      <c r="E2179" s="35" t="s">
        <v>2589</v>
      </c>
      <c r="F2179" s="35" t="s">
        <v>604</v>
      </c>
    </row>
    <row r="2180" spans="1:6">
      <c r="A2180" s="35" t="s">
        <v>2786</v>
      </c>
      <c r="B2180" s="37">
        <v>242.52499389648438</v>
      </c>
      <c r="C2180" s="37">
        <v>224.29762268066406</v>
      </c>
      <c r="D2180" s="35">
        <v>15498620</v>
      </c>
      <c r="E2180" s="35" t="s">
        <v>2589</v>
      </c>
      <c r="F2180" s="35" t="s">
        <v>604</v>
      </c>
    </row>
    <row r="2181" spans="1:6">
      <c r="A2181" s="35" t="s">
        <v>2787</v>
      </c>
      <c r="B2181" s="37">
        <v>234.94999694824219</v>
      </c>
      <c r="C2181" s="37">
        <v>217.29191589355469</v>
      </c>
      <c r="D2181" s="35">
        <v>19972336</v>
      </c>
      <c r="E2181" s="35" t="s">
        <v>2589</v>
      </c>
      <c r="F2181" s="35" t="s">
        <v>604</v>
      </c>
    </row>
    <row r="2182" spans="1:6">
      <c r="A2182" s="35" t="s">
        <v>2788</v>
      </c>
      <c r="B2182" s="37">
        <v>239.02499389648438</v>
      </c>
      <c r="C2182" s="37">
        <v>221.53211975097656</v>
      </c>
      <c r="D2182" s="35">
        <v>11708750</v>
      </c>
      <c r="E2182" s="35" t="s">
        <v>2589</v>
      </c>
      <c r="F2182" s="35" t="s">
        <v>604</v>
      </c>
    </row>
    <row r="2183" spans="1:6">
      <c r="A2183" s="35" t="s">
        <v>2789</v>
      </c>
      <c r="B2183" s="37">
        <v>235</v>
      </c>
      <c r="C2183" s="37">
        <v>217.80169677734375</v>
      </c>
      <c r="D2183" s="35">
        <v>12852980</v>
      </c>
      <c r="E2183" s="35" t="s">
        <v>2589</v>
      </c>
      <c r="F2183" s="35" t="s">
        <v>604</v>
      </c>
    </row>
    <row r="2184" spans="1:6">
      <c r="A2184" s="35" t="s">
        <v>2790</v>
      </c>
      <c r="B2184" s="37">
        <v>236.5</v>
      </c>
      <c r="C2184" s="37">
        <v>219.19189453125</v>
      </c>
      <c r="D2184" s="35">
        <v>10051300</v>
      </c>
      <c r="E2184" s="35" t="s">
        <v>2589</v>
      </c>
      <c r="F2184" s="35" t="s">
        <v>604</v>
      </c>
    </row>
    <row r="2185" spans="1:6">
      <c r="A2185" s="35" t="s">
        <v>2791</v>
      </c>
      <c r="B2185" s="37">
        <v>236.25</v>
      </c>
      <c r="C2185" s="37">
        <v>218.960205078125</v>
      </c>
      <c r="D2185" s="35">
        <v>11828014</v>
      </c>
      <c r="E2185" s="35" t="s">
        <v>2589</v>
      </c>
      <c r="F2185" s="35" t="s">
        <v>604</v>
      </c>
    </row>
    <row r="2186" spans="1:6">
      <c r="A2186" s="35" t="s">
        <v>2792</v>
      </c>
      <c r="B2186" s="37">
        <v>239.07499694824219</v>
      </c>
      <c r="C2186" s="37">
        <v>221.57846069335938</v>
      </c>
      <c r="D2186" s="35">
        <v>10584480</v>
      </c>
      <c r="E2186" s="35" t="s">
        <v>2589</v>
      </c>
      <c r="F2186" s="35" t="s">
        <v>604</v>
      </c>
    </row>
    <row r="2187" spans="1:6">
      <c r="A2187" s="35" t="s">
        <v>2793</v>
      </c>
      <c r="B2187" s="37">
        <v>235.67500305175781</v>
      </c>
      <c r="C2187" s="37">
        <v>218.42729187011719</v>
      </c>
      <c r="D2187" s="35">
        <v>7828120</v>
      </c>
      <c r="E2187" s="35" t="s">
        <v>2589</v>
      </c>
      <c r="F2187" s="35" t="s">
        <v>604</v>
      </c>
    </row>
    <row r="2188" spans="1:6">
      <c r="A2188" s="35" t="s">
        <v>2794</v>
      </c>
      <c r="B2188" s="37">
        <v>241.57499694824219</v>
      </c>
      <c r="C2188" s="37">
        <v>223.8955078125</v>
      </c>
      <c r="D2188" s="35">
        <v>16296222</v>
      </c>
      <c r="E2188" s="35" t="s">
        <v>2589</v>
      </c>
      <c r="F2188" s="35" t="s">
        <v>604</v>
      </c>
    </row>
    <row r="2189" spans="1:6">
      <c r="A2189" s="35" t="s">
        <v>2795</v>
      </c>
      <c r="B2189" s="37">
        <v>241.17500305175781</v>
      </c>
      <c r="C2189" s="37">
        <v>223.5247802734375</v>
      </c>
      <c r="D2189" s="35">
        <v>11566604</v>
      </c>
      <c r="E2189" s="35" t="s">
        <v>2589</v>
      </c>
      <c r="F2189" s="35" t="s">
        <v>604</v>
      </c>
    </row>
    <row r="2190" spans="1:6">
      <c r="A2190" s="35" t="s">
        <v>2796</v>
      </c>
      <c r="B2190" s="37">
        <v>249.82499694824219</v>
      </c>
      <c r="C2190" s="37">
        <v>231.54173278808594</v>
      </c>
      <c r="D2190" s="35">
        <v>29024038</v>
      </c>
      <c r="E2190" s="35" t="s">
        <v>2589</v>
      </c>
      <c r="F2190" s="35" t="s">
        <v>604</v>
      </c>
    </row>
    <row r="2191" spans="1:6">
      <c r="A2191" s="35" t="s">
        <v>2797</v>
      </c>
      <c r="B2191" s="37">
        <v>247.60000610351563</v>
      </c>
      <c r="C2191" s="37">
        <v>229.47956848144531</v>
      </c>
      <c r="D2191" s="35">
        <v>9103534</v>
      </c>
      <c r="E2191" s="35" t="s">
        <v>2589</v>
      </c>
      <c r="F2191" s="35" t="s">
        <v>604</v>
      </c>
    </row>
    <row r="2192" spans="1:6">
      <c r="A2192" s="35" t="s">
        <v>2798</v>
      </c>
      <c r="B2192" s="37">
        <v>244.42500305175781</v>
      </c>
      <c r="C2192" s="37">
        <v>226.53694152832031</v>
      </c>
      <c r="D2192" s="35">
        <v>11303840</v>
      </c>
      <c r="E2192" s="35" t="s">
        <v>2589</v>
      </c>
      <c r="F2192" s="35" t="s">
        <v>604</v>
      </c>
    </row>
    <row r="2193" spans="1:6">
      <c r="A2193" s="35" t="s">
        <v>2799</v>
      </c>
      <c r="B2193" s="37">
        <v>245.22500610351563</v>
      </c>
      <c r="C2193" s="37">
        <v>227.27838134765625</v>
      </c>
      <c r="D2193" s="35">
        <v>7893788</v>
      </c>
      <c r="E2193" s="35" t="s">
        <v>2589</v>
      </c>
      <c r="F2193" s="35" t="s">
        <v>604</v>
      </c>
    </row>
    <row r="2194" spans="1:6">
      <c r="A2194" s="35" t="s">
        <v>2800</v>
      </c>
      <c r="B2194" s="37">
        <v>250.72500610351563</v>
      </c>
      <c r="C2194" s="37">
        <v>232.37586975097656</v>
      </c>
      <c r="D2194" s="35">
        <v>48873500</v>
      </c>
      <c r="E2194" s="35" t="s">
        <v>2589</v>
      </c>
      <c r="F2194" s="35" t="s">
        <v>604</v>
      </c>
    </row>
    <row r="2195" spans="1:6">
      <c r="A2195" s="35" t="s">
        <v>2801</v>
      </c>
      <c r="B2195" s="37">
        <v>255.80000305175781</v>
      </c>
      <c r="C2195" s="37">
        <v>237.07945251464844</v>
      </c>
      <c r="D2195" s="35">
        <v>22373576</v>
      </c>
      <c r="E2195" s="35" t="s">
        <v>2589</v>
      </c>
      <c r="F2195" s="35" t="s">
        <v>604</v>
      </c>
    </row>
    <row r="2196" spans="1:6">
      <c r="A2196" s="35" t="s">
        <v>2802</v>
      </c>
      <c r="B2196" s="37">
        <v>257.25</v>
      </c>
      <c r="C2196" s="37">
        <v>238.42333984375</v>
      </c>
      <c r="D2196" s="35">
        <v>22594656</v>
      </c>
      <c r="E2196" s="35" t="s">
        <v>2589</v>
      </c>
      <c r="F2196" s="35" t="s">
        <v>604</v>
      </c>
    </row>
    <row r="2197" spans="1:6">
      <c r="A2197" s="35" t="s">
        <v>2803</v>
      </c>
      <c r="B2197" s="37">
        <v>259.25</v>
      </c>
      <c r="C2197" s="37">
        <v>240.2769775390625</v>
      </c>
      <c r="D2197" s="35">
        <v>14570776</v>
      </c>
      <c r="E2197" s="35" t="s">
        <v>2589</v>
      </c>
      <c r="F2197" s="35" t="s">
        <v>604</v>
      </c>
    </row>
    <row r="2198" spans="1:6">
      <c r="A2198" s="35" t="s">
        <v>2804</v>
      </c>
      <c r="B2198" s="37">
        <v>271.5</v>
      </c>
      <c r="C2198" s="37">
        <v>251.63044738769531</v>
      </c>
      <c r="D2198" s="35">
        <v>34942644</v>
      </c>
      <c r="E2198" s="35" t="s">
        <v>2589</v>
      </c>
      <c r="F2198" s="35" t="s">
        <v>604</v>
      </c>
    </row>
    <row r="2199" spans="1:6">
      <c r="A2199" s="35" t="s">
        <v>2805</v>
      </c>
      <c r="B2199" s="37">
        <v>267.97500610351563</v>
      </c>
      <c r="C2199" s="37">
        <v>248.36346435546875</v>
      </c>
      <c r="D2199" s="35">
        <v>18602758</v>
      </c>
      <c r="E2199" s="35" t="s">
        <v>2589</v>
      </c>
      <c r="F2199" s="35" t="s">
        <v>604</v>
      </c>
    </row>
    <row r="2200" spans="1:6">
      <c r="A2200" s="35" t="s">
        <v>2806</v>
      </c>
      <c r="B2200" s="37">
        <v>265.97500610351563</v>
      </c>
      <c r="C2200" s="37">
        <v>246.50984191894531</v>
      </c>
      <c r="D2200" s="35">
        <v>10374126</v>
      </c>
      <c r="E2200" s="35" t="s">
        <v>2589</v>
      </c>
      <c r="F2200" s="35" t="s">
        <v>604</v>
      </c>
    </row>
    <row r="2201" spans="1:6">
      <c r="A2201" s="35" t="s">
        <v>2807</v>
      </c>
      <c r="B2201" s="37">
        <v>260.70001220703125</v>
      </c>
      <c r="C2201" s="37">
        <v>241.62088012695313</v>
      </c>
      <c r="D2201" s="35">
        <v>13115574</v>
      </c>
      <c r="E2201" s="35" t="s">
        <v>2589</v>
      </c>
      <c r="F2201" s="35" t="s">
        <v>604</v>
      </c>
    </row>
    <row r="2202" spans="1:6">
      <c r="A2202" s="35" t="s">
        <v>2808</v>
      </c>
      <c r="B2202" s="37">
        <v>265.52499389648438</v>
      </c>
      <c r="C2202" s="37">
        <v>246.09274291992188</v>
      </c>
      <c r="D2202" s="35">
        <v>14596482</v>
      </c>
      <c r="E2202" s="35" t="s">
        <v>2589</v>
      </c>
      <c r="F2202" s="35" t="s">
        <v>604</v>
      </c>
    </row>
    <row r="2203" spans="1:6">
      <c r="A2203" s="35" t="s">
        <v>2809</v>
      </c>
      <c r="B2203" s="37">
        <v>268.07501220703125</v>
      </c>
      <c r="C2203" s="37">
        <v>248.45614624023438</v>
      </c>
      <c r="D2203" s="35">
        <v>19860994</v>
      </c>
      <c r="E2203" s="35" t="s">
        <v>2589</v>
      </c>
      <c r="F2203" s="35" t="s">
        <v>604</v>
      </c>
    </row>
    <row r="2204" spans="1:6">
      <c r="A2204" s="35" t="s">
        <v>2810</v>
      </c>
      <c r="B2204" s="37">
        <v>266.45001220703125</v>
      </c>
      <c r="C2204" s="37">
        <v>246.95005798339844</v>
      </c>
      <c r="D2204" s="35">
        <v>8820636</v>
      </c>
      <c r="E2204" s="35" t="s">
        <v>2589</v>
      </c>
      <c r="F2204" s="35" t="s">
        <v>604</v>
      </c>
    </row>
    <row r="2205" spans="1:6">
      <c r="A2205" s="35" t="s">
        <v>2811</v>
      </c>
      <c r="B2205" s="37">
        <v>265.72500610351563</v>
      </c>
      <c r="C2205" s="37">
        <v>246.27810668945313</v>
      </c>
      <c r="D2205" s="35">
        <v>10399260</v>
      </c>
      <c r="E2205" s="35" t="s">
        <v>2589</v>
      </c>
      <c r="F2205" s="35" t="s">
        <v>604</v>
      </c>
    </row>
    <row r="2206" spans="1:6">
      <c r="A2206" s="35" t="s">
        <v>2812</v>
      </c>
      <c r="B2206" s="37">
        <v>258.85000610351563</v>
      </c>
      <c r="C2206" s="37">
        <v>239.90625</v>
      </c>
      <c r="D2206" s="35">
        <v>12789056</v>
      </c>
      <c r="E2206" s="35" t="s">
        <v>2589</v>
      </c>
      <c r="F2206" s="35" t="s">
        <v>604</v>
      </c>
    </row>
    <row r="2207" spans="1:6">
      <c r="A2207" s="35" t="s">
        <v>2813</v>
      </c>
      <c r="B2207" s="37">
        <v>259.29998779296875</v>
      </c>
      <c r="C2207" s="37">
        <v>240.32328796386719</v>
      </c>
      <c r="D2207" s="35">
        <v>14462764</v>
      </c>
      <c r="E2207" s="35" t="s">
        <v>2589</v>
      </c>
      <c r="F2207" s="35" t="s">
        <v>604</v>
      </c>
    </row>
    <row r="2208" spans="1:6">
      <c r="A2208" s="35" t="s">
        <v>2814</v>
      </c>
      <c r="B2208" s="37">
        <v>259.54998779296875</v>
      </c>
      <c r="C2208" s="37">
        <v>240.55500793457031</v>
      </c>
      <c r="D2208" s="35">
        <v>9420630</v>
      </c>
      <c r="E2208" s="35" t="s">
        <v>2589</v>
      </c>
      <c r="F2208" s="35" t="s">
        <v>604</v>
      </c>
    </row>
    <row r="2209" spans="1:6">
      <c r="A2209" s="35" t="s">
        <v>2815</v>
      </c>
      <c r="B2209" s="37">
        <v>260.25</v>
      </c>
      <c r="C2209" s="37">
        <v>241.20378112792969</v>
      </c>
      <c r="D2209" s="35">
        <v>5662370</v>
      </c>
      <c r="E2209" s="35" t="s">
        <v>2589</v>
      </c>
      <c r="F2209" s="35" t="s">
        <v>604</v>
      </c>
    </row>
    <row r="2210" spans="1:6">
      <c r="A2210" s="35" t="s">
        <v>2816</v>
      </c>
      <c r="B2210" s="37">
        <v>256.64999389648438</v>
      </c>
      <c r="C2210" s="37">
        <v>237.86724853515625</v>
      </c>
      <c r="D2210" s="35">
        <v>10521548</v>
      </c>
      <c r="E2210" s="35" t="s">
        <v>2589</v>
      </c>
      <c r="F2210" s="35" t="s">
        <v>604</v>
      </c>
    </row>
    <row r="2211" spans="1:6">
      <c r="A2211" s="35" t="s">
        <v>2817</v>
      </c>
      <c r="B2211" s="37">
        <v>256.57501220703125</v>
      </c>
      <c r="C2211" s="37">
        <v>237.79774475097656</v>
      </c>
      <c r="D2211" s="35">
        <v>11091922</v>
      </c>
      <c r="E2211" s="35" t="s">
        <v>2589</v>
      </c>
      <c r="F2211" s="35" t="s">
        <v>604</v>
      </c>
    </row>
    <row r="2212" spans="1:6">
      <c r="A2212" s="35" t="s">
        <v>2818</v>
      </c>
      <c r="B2212" s="37">
        <v>257.75</v>
      </c>
      <c r="C2212" s="37">
        <v>238.88673400878906</v>
      </c>
      <c r="D2212" s="35">
        <v>9707982</v>
      </c>
      <c r="E2212" s="35" t="s">
        <v>2589</v>
      </c>
      <c r="F2212" s="35" t="s">
        <v>604</v>
      </c>
    </row>
    <row r="2213" spans="1:6">
      <c r="A2213" s="35" t="s">
        <v>2819</v>
      </c>
      <c r="B2213" s="37">
        <v>257.27499389648438</v>
      </c>
      <c r="C2213" s="37">
        <v>238.44650268554688</v>
      </c>
      <c r="D2213" s="35">
        <v>11131512</v>
      </c>
      <c r="E2213" s="35" t="s">
        <v>2589</v>
      </c>
      <c r="F2213" s="35" t="s">
        <v>604</v>
      </c>
    </row>
    <row r="2214" spans="1:6">
      <c r="A2214" s="35" t="s">
        <v>2820</v>
      </c>
      <c r="B2214" s="37">
        <v>255.42500305175781</v>
      </c>
      <c r="C2214" s="37">
        <v>236.73190307617188</v>
      </c>
      <c r="D2214" s="35">
        <v>11652760</v>
      </c>
      <c r="E2214" s="35" t="s">
        <v>2589</v>
      </c>
      <c r="F2214" s="35" t="s">
        <v>604</v>
      </c>
    </row>
    <row r="2215" spans="1:6">
      <c r="A2215" s="35" t="s">
        <v>2821</v>
      </c>
      <c r="B2215" s="37">
        <v>252.19999694824219</v>
      </c>
      <c r="C2215" s="37">
        <v>233.74290466308594</v>
      </c>
      <c r="D2215" s="35">
        <v>13580480</v>
      </c>
      <c r="E2215" s="35" t="s">
        <v>2589</v>
      </c>
      <c r="F2215" s="35" t="s">
        <v>604</v>
      </c>
    </row>
    <row r="2216" spans="1:6">
      <c r="A2216" s="35" t="s">
        <v>2822</v>
      </c>
      <c r="B2216" s="37">
        <v>258.97500610351563</v>
      </c>
      <c r="C2216" s="37">
        <v>240.0220947265625</v>
      </c>
      <c r="D2216" s="35">
        <v>12825472</v>
      </c>
      <c r="E2216" s="35" t="s">
        <v>2589</v>
      </c>
      <c r="F2216" s="35" t="s">
        <v>604</v>
      </c>
    </row>
    <row r="2217" spans="1:6">
      <c r="A2217" s="35" t="s">
        <v>2823</v>
      </c>
      <c r="B2217" s="37">
        <v>258.5</v>
      </c>
      <c r="C2217" s="37">
        <v>239.58186340332031</v>
      </c>
      <c r="D2217" s="35">
        <v>13649086</v>
      </c>
      <c r="E2217" s="35" t="s">
        <v>2589</v>
      </c>
      <c r="F2217" s="35" t="s">
        <v>604</v>
      </c>
    </row>
    <row r="2218" spans="1:6">
      <c r="A2218" s="35" t="s">
        <v>2824</v>
      </c>
      <c r="B2218" s="37">
        <v>255.10000610351563</v>
      </c>
      <c r="C2218" s="37">
        <v>236.43067932128906</v>
      </c>
      <c r="D2218" s="35">
        <v>6393960</v>
      </c>
      <c r="E2218" s="35" t="s">
        <v>2589</v>
      </c>
      <c r="F2218" s="35" t="s">
        <v>604</v>
      </c>
    </row>
    <row r="2219" spans="1:6">
      <c r="A2219" s="35" t="s">
        <v>2825</v>
      </c>
      <c r="B2219" s="37">
        <v>247.42500305175781</v>
      </c>
      <c r="C2219" s="37">
        <v>229.3173828125</v>
      </c>
      <c r="D2219" s="35">
        <v>9617386</v>
      </c>
      <c r="E2219" s="35" t="s">
        <v>2589</v>
      </c>
      <c r="F2219" s="35" t="s">
        <v>604</v>
      </c>
    </row>
    <row r="2220" spans="1:6">
      <c r="A2220" s="35" t="s">
        <v>2826</v>
      </c>
      <c r="B2220" s="37">
        <v>246.75</v>
      </c>
      <c r="C2220" s="37">
        <v>228.6917724609375</v>
      </c>
      <c r="D2220" s="35">
        <v>8385344</v>
      </c>
      <c r="E2220" s="35" t="s">
        <v>2589</v>
      </c>
      <c r="F2220" s="35" t="s">
        <v>604</v>
      </c>
    </row>
    <row r="2221" spans="1:6">
      <c r="A2221" s="35" t="s">
        <v>2827</v>
      </c>
      <c r="B2221" s="37">
        <v>250.22500610351563</v>
      </c>
      <c r="C2221" s="37">
        <v>231.91246032714844</v>
      </c>
      <c r="D2221" s="35">
        <v>11644580</v>
      </c>
      <c r="E2221" s="35" t="s">
        <v>2589</v>
      </c>
      <c r="F2221" s="35" t="s">
        <v>604</v>
      </c>
    </row>
    <row r="2222" spans="1:6">
      <c r="A2222" s="35" t="s">
        <v>2828</v>
      </c>
      <c r="B2222" s="37">
        <v>243.55000305175781</v>
      </c>
      <c r="C2222" s="37">
        <v>225.72596740722656</v>
      </c>
      <c r="D2222" s="35">
        <v>28646502</v>
      </c>
      <c r="E2222" s="35" t="s">
        <v>2589</v>
      </c>
      <c r="F2222" s="35" t="s">
        <v>604</v>
      </c>
    </row>
    <row r="2223" spans="1:6">
      <c r="A2223" s="35" t="s">
        <v>2829</v>
      </c>
      <c r="B2223" s="37">
        <v>239.92500305175781</v>
      </c>
      <c r="C2223" s="37">
        <v>222.36625671386719</v>
      </c>
      <c r="D2223" s="35">
        <v>18273346</v>
      </c>
      <c r="E2223" s="35" t="s">
        <v>2589</v>
      </c>
      <c r="F2223" s="35" t="s">
        <v>604</v>
      </c>
    </row>
    <row r="2224" spans="1:6">
      <c r="A2224" s="35" t="s">
        <v>2830</v>
      </c>
      <c r="B2224" s="37">
        <v>236.14999389648438</v>
      </c>
      <c r="C2224" s="37">
        <v>218.86750793457031</v>
      </c>
      <c r="D2224" s="35">
        <v>14320668</v>
      </c>
      <c r="E2224" s="35" t="s">
        <v>2589</v>
      </c>
      <c r="F2224" s="35" t="s">
        <v>604</v>
      </c>
    </row>
    <row r="2225" spans="1:6">
      <c r="A2225" s="35" t="s">
        <v>2831</v>
      </c>
      <c r="B2225" s="37">
        <v>240.05000305175781</v>
      </c>
      <c r="C2225" s="37">
        <v>222.48211669921875</v>
      </c>
      <c r="D2225" s="35">
        <v>15455150</v>
      </c>
      <c r="E2225" s="35" t="s">
        <v>2589</v>
      </c>
      <c r="F2225" s="35" t="s">
        <v>604</v>
      </c>
    </row>
    <row r="2226" spans="1:6">
      <c r="A2226" s="35" t="s">
        <v>2832</v>
      </c>
      <c r="B2226" s="37">
        <v>242.47500610351563</v>
      </c>
      <c r="C2226" s="37">
        <v>224.72962951660156</v>
      </c>
      <c r="D2226" s="35">
        <v>6041008</v>
      </c>
      <c r="E2226" s="35" t="s">
        <v>2833</v>
      </c>
      <c r="F2226" s="35" t="s">
        <v>604</v>
      </c>
    </row>
    <row r="2227" spans="1:6">
      <c r="A2227" s="35" t="s">
        <v>2834</v>
      </c>
      <c r="B2227" s="37">
        <v>240.60000610351563</v>
      </c>
      <c r="C2227" s="37">
        <v>222.99186706542969</v>
      </c>
      <c r="D2227" s="35">
        <v>6932654</v>
      </c>
      <c r="E2227" s="35" t="s">
        <v>2833</v>
      </c>
      <c r="F2227" s="35" t="s">
        <v>604</v>
      </c>
    </row>
    <row r="2228" spans="1:6">
      <c r="A2228" s="35" t="s">
        <v>2835</v>
      </c>
      <c r="B2228" s="37">
        <v>241.60000610351563</v>
      </c>
      <c r="C2228" s="37">
        <v>223.91867065429688</v>
      </c>
      <c r="D2228" s="35">
        <v>13794516</v>
      </c>
      <c r="E2228" s="35" t="s">
        <v>2833</v>
      </c>
      <c r="F2228" s="35" t="s">
        <v>604</v>
      </c>
    </row>
    <row r="2229" spans="1:6">
      <c r="A2229" s="35" t="s">
        <v>2836</v>
      </c>
      <c r="B2229" s="37">
        <v>243.69999694824219</v>
      </c>
      <c r="C2229" s="37">
        <v>225.864990234375</v>
      </c>
      <c r="D2229" s="35">
        <v>16004046</v>
      </c>
      <c r="E2229" s="35" t="s">
        <v>2833</v>
      </c>
      <c r="F2229" s="35" t="s">
        <v>604</v>
      </c>
    </row>
    <row r="2230" spans="1:6">
      <c r="A2230" s="35" t="s">
        <v>2837</v>
      </c>
      <c r="B2230" s="37">
        <v>242.52499389648438</v>
      </c>
      <c r="C2230" s="37">
        <v>224.77597045898438</v>
      </c>
      <c r="D2230" s="35">
        <v>6414344</v>
      </c>
      <c r="E2230" s="35" t="s">
        <v>2833</v>
      </c>
      <c r="F2230" s="35" t="s">
        <v>604</v>
      </c>
    </row>
    <row r="2231" spans="1:6">
      <c r="A2231" s="35" t="s">
        <v>2838</v>
      </c>
      <c r="B2231" s="37">
        <v>239.94999694824219</v>
      </c>
      <c r="C2231" s="37">
        <v>222.38941955566406</v>
      </c>
      <c r="D2231" s="35">
        <v>26640770</v>
      </c>
      <c r="E2231" s="35" t="s">
        <v>2833</v>
      </c>
      <c r="F2231" s="35" t="s">
        <v>604</v>
      </c>
    </row>
    <row r="2232" spans="1:6">
      <c r="A2232" s="35" t="s">
        <v>2839</v>
      </c>
      <c r="B2232" s="37">
        <v>237.89999389648438</v>
      </c>
      <c r="C2232" s="37">
        <v>220.48945617675781</v>
      </c>
      <c r="D2232" s="35">
        <v>15801250</v>
      </c>
      <c r="E2232" s="35" t="s">
        <v>2833</v>
      </c>
      <c r="F2232" s="35" t="s">
        <v>604</v>
      </c>
    </row>
    <row r="2233" spans="1:6">
      <c r="A2233" s="35" t="s">
        <v>2840</v>
      </c>
      <c r="B2233" s="37">
        <v>238.64999389648438</v>
      </c>
      <c r="C2233" s="37">
        <v>221.18455505371094</v>
      </c>
      <c r="D2233" s="35">
        <v>10771534</v>
      </c>
      <c r="E2233" s="35" t="s">
        <v>2833</v>
      </c>
      <c r="F2233" s="35" t="s">
        <v>604</v>
      </c>
    </row>
    <row r="2234" spans="1:6">
      <c r="A2234" s="35" t="s">
        <v>2841</v>
      </c>
      <c r="B2234" s="37">
        <v>235.375</v>
      </c>
      <c r="C2234" s="37">
        <v>218.14926147460938</v>
      </c>
      <c r="D2234" s="35">
        <v>13170046</v>
      </c>
      <c r="E2234" s="35" t="s">
        <v>2833</v>
      </c>
      <c r="F2234" s="35" t="s">
        <v>604</v>
      </c>
    </row>
    <row r="2235" spans="1:6">
      <c r="A2235" s="35" t="s">
        <v>2842</v>
      </c>
      <c r="B2235" s="37">
        <v>229.67500305175781</v>
      </c>
      <c r="C2235" s="37">
        <v>212.86639404296875</v>
      </c>
      <c r="D2235" s="35">
        <v>12176472</v>
      </c>
      <c r="E2235" s="35" t="s">
        <v>2833</v>
      </c>
      <c r="F2235" s="35" t="s">
        <v>604</v>
      </c>
    </row>
    <row r="2236" spans="1:6">
      <c r="A2236" s="35" t="s">
        <v>2843</v>
      </c>
      <c r="B2236" s="37">
        <v>224.17500305175781</v>
      </c>
      <c r="C2236" s="37">
        <v>207.76890563964844</v>
      </c>
      <c r="D2236" s="35">
        <v>21439424</v>
      </c>
      <c r="E2236" s="35" t="s">
        <v>2833</v>
      </c>
      <c r="F2236" s="35" t="s">
        <v>604</v>
      </c>
    </row>
    <row r="2237" spans="1:6">
      <c r="A2237" s="35" t="s">
        <v>2844</v>
      </c>
      <c r="B2237" s="37">
        <v>222.17500305175781</v>
      </c>
      <c r="C2237" s="37">
        <v>205.915283203125</v>
      </c>
      <c r="D2237" s="35">
        <v>21986258</v>
      </c>
      <c r="E2237" s="35" t="s">
        <v>2833</v>
      </c>
      <c r="F2237" s="35" t="s">
        <v>604</v>
      </c>
    </row>
    <row r="2238" spans="1:6">
      <c r="A2238" s="35" t="s">
        <v>2845</v>
      </c>
      <c r="B2238" s="37">
        <v>226.375</v>
      </c>
      <c r="C2238" s="37">
        <v>209.80790710449219</v>
      </c>
      <c r="D2238" s="35">
        <v>20470106</v>
      </c>
      <c r="E2238" s="35" t="s">
        <v>2833</v>
      </c>
      <c r="F2238" s="35" t="s">
        <v>604</v>
      </c>
    </row>
    <row r="2239" spans="1:6">
      <c r="A2239" s="35" t="s">
        <v>2846</v>
      </c>
      <c r="B2239" s="37">
        <v>231</v>
      </c>
      <c r="C2239" s="37">
        <v>214.09442138671875</v>
      </c>
      <c r="D2239" s="35">
        <v>18881740</v>
      </c>
      <c r="E2239" s="35" t="s">
        <v>2833</v>
      </c>
      <c r="F2239" s="35" t="s">
        <v>604</v>
      </c>
    </row>
    <row r="2240" spans="1:6">
      <c r="A2240" s="35" t="s">
        <v>2847</v>
      </c>
      <c r="B2240" s="37">
        <v>231.05000305175781</v>
      </c>
      <c r="C2240" s="37">
        <v>214.14076232910156</v>
      </c>
      <c r="D2240" s="35">
        <v>10322712</v>
      </c>
      <c r="E2240" s="35" t="s">
        <v>2833</v>
      </c>
      <c r="F2240" s="35" t="s">
        <v>604</v>
      </c>
    </row>
    <row r="2241" spans="1:6">
      <c r="A2241" s="35" t="s">
        <v>2848</v>
      </c>
      <c r="B2241" s="37">
        <v>229.94999694824219</v>
      </c>
      <c r="C2241" s="37">
        <v>213.12126159667969</v>
      </c>
      <c r="D2241" s="35">
        <v>5915168</v>
      </c>
      <c r="E2241" s="35" t="s">
        <v>2833</v>
      </c>
      <c r="F2241" s="35" t="s">
        <v>604</v>
      </c>
    </row>
    <row r="2242" spans="1:6">
      <c r="A2242" s="35" t="s">
        <v>2849</v>
      </c>
      <c r="B2242" s="37">
        <v>230.5</v>
      </c>
      <c r="C2242" s="37">
        <v>213.63102722167969</v>
      </c>
      <c r="D2242" s="35">
        <v>11805090</v>
      </c>
      <c r="E2242" s="35" t="s">
        <v>2833</v>
      </c>
      <c r="F2242" s="35" t="s">
        <v>604</v>
      </c>
    </row>
    <row r="2243" spans="1:6">
      <c r="A2243" s="35" t="s">
        <v>2850</v>
      </c>
      <c r="B2243" s="37">
        <v>232.30000305175781</v>
      </c>
      <c r="C2243" s="37">
        <v>215.29928588867188</v>
      </c>
      <c r="D2243" s="35">
        <v>21478294</v>
      </c>
      <c r="E2243" s="35" t="s">
        <v>2833</v>
      </c>
      <c r="F2243" s="35" t="s">
        <v>604</v>
      </c>
    </row>
    <row r="2244" spans="1:6">
      <c r="A2244" s="35" t="s">
        <v>2851</v>
      </c>
      <c r="B2244" s="37">
        <v>231.47500610351563</v>
      </c>
      <c r="C2244" s="37">
        <v>214.53466796875</v>
      </c>
      <c r="D2244" s="35">
        <v>7249940</v>
      </c>
      <c r="E2244" s="35" t="s">
        <v>2833</v>
      </c>
      <c r="F2244" s="35" t="s">
        <v>604</v>
      </c>
    </row>
    <row r="2245" spans="1:6">
      <c r="A2245" s="35" t="s">
        <v>2852</v>
      </c>
      <c r="B2245" s="37">
        <v>231.19999694824219</v>
      </c>
      <c r="C2245" s="37">
        <v>214.27980041503906</v>
      </c>
      <c r="D2245" s="35">
        <v>8902956</v>
      </c>
      <c r="E2245" s="35" t="s">
        <v>2833</v>
      </c>
      <c r="F2245" s="35" t="s">
        <v>604</v>
      </c>
    </row>
    <row r="2246" spans="1:6">
      <c r="A2246" s="35" t="s">
        <v>2853</v>
      </c>
      <c r="B2246" s="37">
        <v>228.69999694824219</v>
      </c>
      <c r="C2246" s="37">
        <v>211.96275329589844</v>
      </c>
      <c r="D2246" s="35">
        <v>14937276</v>
      </c>
      <c r="E2246" s="35" t="s">
        <v>2833</v>
      </c>
      <c r="F2246" s="35" t="s">
        <v>604</v>
      </c>
    </row>
    <row r="2247" spans="1:6">
      <c r="A2247" s="35" t="s">
        <v>2854</v>
      </c>
      <c r="B2247" s="37">
        <v>228.67500305175781</v>
      </c>
      <c r="C2247" s="37">
        <v>211.9395751953125</v>
      </c>
      <c r="D2247" s="35">
        <v>9730626</v>
      </c>
      <c r="E2247" s="35" t="s">
        <v>2833</v>
      </c>
      <c r="F2247" s="35" t="s">
        <v>604</v>
      </c>
    </row>
    <row r="2248" spans="1:6">
      <c r="A2248" s="35" t="s">
        <v>2855</v>
      </c>
      <c r="B2248" s="37">
        <v>229.32499694824219</v>
      </c>
      <c r="C2248" s="37">
        <v>212.5419921875</v>
      </c>
      <c r="D2248" s="35">
        <v>6918126</v>
      </c>
      <c r="E2248" s="35" t="s">
        <v>2833</v>
      </c>
      <c r="F2248" s="35" t="s">
        <v>604</v>
      </c>
    </row>
    <row r="2249" spans="1:6">
      <c r="A2249" s="35" t="s">
        <v>2856</v>
      </c>
      <c r="B2249" s="37">
        <v>231.94999694824219</v>
      </c>
      <c r="C2249" s="37">
        <v>214.97489929199219</v>
      </c>
      <c r="D2249" s="35">
        <v>9278528</v>
      </c>
      <c r="E2249" s="35" t="s">
        <v>2833</v>
      </c>
      <c r="F2249" s="35" t="s">
        <v>604</v>
      </c>
    </row>
    <row r="2250" spans="1:6">
      <c r="A2250" s="35" t="s">
        <v>2857</v>
      </c>
      <c r="B2250" s="37">
        <v>231.60000610351563</v>
      </c>
      <c r="C2250" s="37">
        <v>214.6505126953125</v>
      </c>
      <c r="D2250" s="35">
        <v>8205680</v>
      </c>
      <c r="E2250" s="35" t="s">
        <v>2833</v>
      </c>
      <c r="F2250" s="35" t="s">
        <v>604</v>
      </c>
    </row>
    <row r="2251" spans="1:6">
      <c r="A2251" s="35" t="s">
        <v>2858</v>
      </c>
      <c r="B2251" s="37">
        <v>227.94999694824219</v>
      </c>
      <c r="C2251" s="37">
        <v>211.26763916015625</v>
      </c>
      <c r="D2251" s="35">
        <v>9233484</v>
      </c>
      <c r="E2251" s="35" t="s">
        <v>2833</v>
      </c>
      <c r="F2251" s="35" t="s">
        <v>604</v>
      </c>
    </row>
    <row r="2252" spans="1:6">
      <c r="A2252" s="35" t="s">
        <v>2859</v>
      </c>
      <c r="B2252" s="37">
        <v>225.92500305175781</v>
      </c>
      <c r="C2252" s="37">
        <v>209.39083862304688</v>
      </c>
      <c r="D2252" s="35">
        <v>6654714</v>
      </c>
      <c r="E2252" s="35" t="s">
        <v>2833</v>
      </c>
      <c r="F2252" s="35" t="s">
        <v>604</v>
      </c>
    </row>
    <row r="2253" spans="1:6">
      <c r="A2253" s="35" t="s">
        <v>2860</v>
      </c>
      <c r="B2253" s="37">
        <v>225.97500610351563</v>
      </c>
      <c r="C2253" s="37">
        <v>209.43716430664063</v>
      </c>
      <c r="D2253" s="35">
        <v>7111608</v>
      </c>
      <c r="E2253" s="35" t="s">
        <v>2833</v>
      </c>
      <c r="F2253" s="35" t="s">
        <v>604</v>
      </c>
    </row>
    <row r="2254" spans="1:6">
      <c r="A2254" s="35" t="s">
        <v>2861</v>
      </c>
      <c r="B2254" s="37">
        <v>228.17500305175781</v>
      </c>
      <c r="C2254" s="37">
        <v>211.47616577148438</v>
      </c>
      <c r="D2254" s="35">
        <v>4909420</v>
      </c>
      <c r="E2254" s="35" t="s">
        <v>2833</v>
      </c>
      <c r="F2254" s="35" t="s">
        <v>604</v>
      </c>
    </row>
    <row r="2255" spans="1:6">
      <c r="A2255" s="35" t="s">
        <v>2862</v>
      </c>
      <c r="B2255" s="37">
        <v>229.14999389648438</v>
      </c>
      <c r="C2255" s="37">
        <v>212.37980651855469</v>
      </c>
      <c r="D2255" s="35">
        <v>4793424</v>
      </c>
      <c r="E2255" s="35" t="s">
        <v>2833</v>
      </c>
      <c r="F2255" s="35" t="s">
        <v>604</v>
      </c>
    </row>
    <row r="2256" spans="1:6">
      <c r="A2256" s="35" t="s">
        <v>2863</v>
      </c>
      <c r="B2256" s="37">
        <v>232.22500610351563</v>
      </c>
      <c r="C2256" s="37">
        <v>215.22978210449219</v>
      </c>
      <c r="D2256" s="35">
        <v>14621472</v>
      </c>
      <c r="E2256" s="35" t="s">
        <v>2833</v>
      </c>
      <c r="F2256" s="35" t="s">
        <v>604</v>
      </c>
    </row>
    <row r="2257" spans="1:6">
      <c r="A2257" s="35" t="s">
        <v>2864</v>
      </c>
      <c r="B2257" s="37">
        <v>230.5</v>
      </c>
      <c r="C2257" s="37">
        <v>213.63102722167969</v>
      </c>
      <c r="D2257" s="35">
        <v>6876820</v>
      </c>
      <c r="E2257" s="35" t="s">
        <v>2833</v>
      </c>
      <c r="F2257" s="35" t="s">
        <v>604</v>
      </c>
    </row>
    <row r="2258" spans="1:6">
      <c r="A2258" s="35" t="s">
        <v>2865</v>
      </c>
      <c r="B2258" s="37">
        <v>230.44999694824219</v>
      </c>
      <c r="C2258" s="37">
        <v>213.58467102050781</v>
      </c>
      <c r="D2258" s="35">
        <v>8467448</v>
      </c>
      <c r="E2258" s="35" t="s">
        <v>2833</v>
      </c>
      <c r="F2258" s="35" t="s">
        <v>604</v>
      </c>
    </row>
    <row r="2259" spans="1:6">
      <c r="A2259" s="35" t="s">
        <v>2866</v>
      </c>
      <c r="B2259" s="37">
        <v>230.64999389648438</v>
      </c>
      <c r="C2259" s="37">
        <v>213.77001953125</v>
      </c>
      <c r="D2259" s="35">
        <v>7765884</v>
      </c>
      <c r="E2259" s="35" t="s">
        <v>2833</v>
      </c>
      <c r="F2259" s="35" t="s">
        <v>604</v>
      </c>
    </row>
    <row r="2260" spans="1:6">
      <c r="A2260" s="35" t="s">
        <v>2867</v>
      </c>
      <c r="B2260" s="37">
        <v>232.89999389648438</v>
      </c>
      <c r="C2260" s="37">
        <v>215.85536193847656</v>
      </c>
      <c r="D2260" s="35">
        <v>13171332</v>
      </c>
      <c r="E2260" s="35" t="s">
        <v>2833</v>
      </c>
      <c r="F2260" s="35" t="s">
        <v>604</v>
      </c>
    </row>
    <row r="2261" spans="1:6">
      <c r="A2261" s="35" t="s">
        <v>2868</v>
      </c>
      <c r="B2261" s="37">
        <v>231.82499694824219</v>
      </c>
      <c r="C2261" s="37">
        <v>214.85903930664063</v>
      </c>
      <c r="D2261" s="35">
        <v>8205526</v>
      </c>
      <c r="E2261" s="35" t="s">
        <v>2833</v>
      </c>
      <c r="F2261" s="35" t="s">
        <v>604</v>
      </c>
    </row>
    <row r="2262" spans="1:6">
      <c r="A2262" s="35" t="s">
        <v>2869</v>
      </c>
      <c r="B2262" s="37">
        <v>226.22500610351563</v>
      </c>
      <c r="C2262" s="37">
        <v>209.66888427734375</v>
      </c>
      <c r="D2262" s="35">
        <v>40983758</v>
      </c>
      <c r="E2262" s="35" t="s">
        <v>2833</v>
      </c>
      <c r="F2262" s="35" t="s">
        <v>604</v>
      </c>
    </row>
    <row r="2263" spans="1:6">
      <c r="A2263" s="35" t="s">
        <v>2870</v>
      </c>
      <c r="B2263" s="37">
        <v>228.02499389648438</v>
      </c>
      <c r="C2263" s="37">
        <v>211.33714294433594</v>
      </c>
      <c r="D2263" s="35">
        <v>15778126</v>
      </c>
      <c r="E2263" s="35" t="s">
        <v>2833</v>
      </c>
      <c r="F2263" s="35" t="s">
        <v>604</v>
      </c>
    </row>
    <row r="2264" spans="1:6">
      <c r="A2264" s="35" t="s">
        <v>2871</v>
      </c>
      <c r="B2264" s="37">
        <v>225.39999389648438</v>
      </c>
      <c r="C2264" s="37">
        <v>208.90425109863281</v>
      </c>
      <c r="D2264" s="35">
        <v>9756036</v>
      </c>
      <c r="E2264" s="35" t="s">
        <v>2833</v>
      </c>
      <c r="F2264" s="35" t="s">
        <v>604</v>
      </c>
    </row>
    <row r="2265" spans="1:6">
      <c r="A2265" s="35" t="s">
        <v>2872</v>
      </c>
      <c r="B2265" s="37">
        <v>218.47500610351563</v>
      </c>
      <c r="C2265" s="37">
        <v>202.48605346679688</v>
      </c>
      <c r="D2265" s="35">
        <v>20724568</v>
      </c>
      <c r="E2265" s="35" t="s">
        <v>2833</v>
      </c>
      <c r="F2265" s="35" t="s">
        <v>604</v>
      </c>
    </row>
    <row r="2266" spans="1:6">
      <c r="A2266" s="35" t="s">
        <v>2873</v>
      </c>
      <c r="B2266" s="37">
        <v>219.10000610351563</v>
      </c>
      <c r="C2266" s="37">
        <v>203.06532287597656</v>
      </c>
      <c r="D2266" s="35">
        <v>21438004</v>
      </c>
      <c r="E2266" s="35" t="s">
        <v>2833</v>
      </c>
      <c r="F2266" s="35" t="s">
        <v>604</v>
      </c>
    </row>
    <row r="2267" spans="1:6">
      <c r="A2267" s="35" t="s">
        <v>2874</v>
      </c>
      <c r="B2267" s="37">
        <v>222.05000305175781</v>
      </c>
      <c r="C2267" s="37">
        <v>205.79942321777344</v>
      </c>
      <c r="D2267" s="35">
        <v>8964424</v>
      </c>
      <c r="E2267" s="35" t="s">
        <v>2833</v>
      </c>
      <c r="F2267" s="35" t="s">
        <v>604</v>
      </c>
    </row>
    <row r="2268" spans="1:6">
      <c r="A2268" s="35" t="s">
        <v>2875</v>
      </c>
      <c r="B2268" s="37">
        <v>219.07499694824219</v>
      </c>
      <c r="C2268" s="37">
        <v>203.04214477539063</v>
      </c>
      <c r="D2268" s="35">
        <v>17730732</v>
      </c>
      <c r="E2268" s="35" t="s">
        <v>2833</v>
      </c>
      <c r="F2268" s="35" t="s">
        <v>604</v>
      </c>
    </row>
    <row r="2269" spans="1:6">
      <c r="A2269" s="35" t="s">
        <v>2876</v>
      </c>
      <c r="B2269" s="37">
        <v>225.75</v>
      </c>
      <c r="C2269" s="37">
        <v>209.2286376953125</v>
      </c>
      <c r="D2269" s="35">
        <v>12267428</v>
      </c>
      <c r="E2269" s="35" t="s">
        <v>2833</v>
      </c>
      <c r="F2269" s="35" t="s">
        <v>604</v>
      </c>
    </row>
    <row r="2270" spans="1:6">
      <c r="A2270" s="35" t="s">
        <v>2877</v>
      </c>
      <c r="B2270" s="37">
        <v>230.5</v>
      </c>
      <c r="C2270" s="37">
        <v>213.63102722167969</v>
      </c>
      <c r="D2270" s="35">
        <v>15425568</v>
      </c>
      <c r="E2270" s="35" t="s">
        <v>2833</v>
      </c>
      <c r="F2270" s="35" t="s">
        <v>604</v>
      </c>
    </row>
    <row r="2271" spans="1:6">
      <c r="A2271" s="35" t="s">
        <v>2878</v>
      </c>
      <c r="B2271" s="37">
        <v>242.27499389648438</v>
      </c>
      <c r="C2271" s="37">
        <v>224.54426574707031</v>
      </c>
      <c r="D2271" s="35">
        <v>72672440</v>
      </c>
      <c r="E2271" s="35" t="s">
        <v>2833</v>
      </c>
      <c r="F2271" s="35" t="s">
        <v>604</v>
      </c>
    </row>
    <row r="2272" spans="1:6">
      <c r="A2272" s="35" t="s">
        <v>2879</v>
      </c>
      <c r="B2272" s="37">
        <v>237.625</v>
      </c>
      <c r="C2272" s="37">
        <v>220.23458862304688</v>
      </c>
      <c r="D2272" s="35">
        <v>18311752</v>
      </c>
      <c r="E2272" s="35" t="s">
        <v>2833</v>
      </c>
      <c r="F2272" s="35" t="s">
        <v>604</v>
      </c>
    </row>
    <row r="2273" spans="1:6">
      <c r="A2273" s="35" t="s">
        <v>2880</v>
      </c>
      <c r="B2273" s="37">
        <v>238.02499389648438</v>
      </c>
      <c r="C2273" s="37">
        <v>220.60530090332031</v>
      </c>
      <c r="D2273" s="35">
        <v>9371714</v>
      </c>
      <c r="E2273" s="35" t="s">
        <v>2833</v>
      </c>
      <c r="F2273" s="35" t="s">
        <v>604</v>
      </c>
    </row>
    <row r="2274" spans="1:6">
      <c r="A2274" s="35" t="s">
        <v>2881</v>
      </c>
      <c r="B2274" s="37">
        <v>238.44999694824219</v>
      </c>
      <c r="C2274" s="37">
        <v>220.99919128417969</v>
      </c>
      <c r="D2274" s="35">
        <v>13875116</v>
      </c>
      <c r="E2274" s="35" t="s">
        <v>2833</v>
      </c>
      <c r="F2274" s="35" t="s">
        <v>604</v>
      </c>
    </row>
    <row r="2275" spans="1:6">
      <c r="A2275" s="35" t="s">
        <v>2882</v>
      </c>
      <c r="B2275" s="37">
        <v>241.30000305175781</v>
      </c>
      <c r="C2275" s="37">
        <v>223.640625</v>
      </c>
      <c r="D2275" s="35">
        <v>12995932</v>
      </c>
      <c r="E2275" s="35" t="s">
        <v>2833</v>
      </c>
      <c r="F2275" s="35" t="s">
        <v>604</v>
      </c>
    </row>
    <row r="2276" spans="1:6">
      <c r="A2276" s="35" t="s">
        <v>2883</v>
      </c>
      <c r="B2276" s="37">
        <v>238.75</v>
      </c>
      <c r="C2276" s="37">
        <v>221.27723693847656</v>
      </c>
      <c r="D2276" s="35">
        <v>11322596</v>
      </c>
      <c r="E2276" s="35" t="s">
        <v>2833</v>
      </c>
      <c r="F2276" s="35" t="s">
        <v>604</v>
      </c>
    </row>
    <row r="2277" spans="1:6">
      <c r="A2277" s="35" t="s">
        <v>2884</v>
      </c>
      <c r="B2277" s="37">
        <v>245.92500305175781</v>
      </c>
      <c r="C2277" s="37">
        <v>227.92715454101563</v>
      </c>
      <c r="D2277" s="35">
        <v>31870984</v>
      </c>
      <c r="E2277" s="35" t="s">
        <v>2833</v>
      </c>
      <c r="F2277" s="35" t="s">
        <v>604</v>
      </c>
    </row>
    <row r="2278" spans="1:6">
      <c r="A2278" s="35" t="s">
        <v>2885</v>
      </c>
      <c r="B2278" s="37">
        <v>247.875</v>
      </c>
      <c r="C2278" s="37">
        <v>229.73443603515625</v>
      </c>
      <c r="D2278" s="35">
        <v>20880284</v>
      </c>
      <c r="E2278" s="35" t="s">
        <v>2833</v>
      </c>
      <c r="F2278" s="35" t="s">
        <v>604</v>
      </c>
    </row>
    <row r="2279" spans="1:6">
      <c r="A2279" s="35" t="s">
        <v>2886</v>
      </c>
      <c r="B2279" s="37">
        <v>245.19999694824219</v>
      </c>
      <c r="C2279" s="37">
        <v>227.25518798828125</v>
      </c>
      <c r="D2279" s="35">
        <v>12571126</v>
      </c>
      <c r="E2279" s="35" t="s">
        <v>2833</v>
      </c>
      <c r="F2279" s="35" t="s">
        <v>604</v>
      </c>
    </row>
    <row r="2280" spans="1:6">
      <c r="A2280" s="35" t="s">
        <v>2887</v>
      </c>
      <c r="B2280" s="37">
        <v>245.27499389648438</v>
      </c>
      <c r="C2280" s="37">
        <v>227.32472229003906</v>
      </c>
      <c r="D2280" s="35">
        <v>95171176</v>
      </c>
      <c r="E2280" s="35" t="s">
        <v>2833</v>
      </c>
      <c r="F2280" s="35" t="s">
        <v>604</v>
      </c>
    </row>
    <row r="2281" spans="1:6">
      <c r="A2281" s="35" t="s">
        <v>2888</v>
      </c>
      <c r="B2281" s="37">
        <v>245.27499389648438</v>
      </c>
      <c r="C2281" s="37">
        <v>227.32472229003906</v>
      </c>
      <c r="D2281" s="35">
        <v>9934518</v>
      </c>
      <c r="E2281" s="35" t="s">
        <v>2833</v>
      </c>
      <c r="F2281" s="35" t="s">
        <v>604</v>
      </c>
    </row>
    <row r="2282" spans="1:6">
      <c r="A2282" s="35" t="s">
        <v>2889</v>
      </c>
      <c r="B2282" s="37">
        <v>248.42500305175781</v>
      </c>
      <c r="C2282" s="37">
        <v>230.24418640136719</v>
      </c>
      <c r="D2282" s="35">
        <v>9258210</v>
      </c>
      <c r="E2282" s="35" t="s">
        <v>2833</v>
      </c>
      <c r="F2282" s="35" t="s">
        <v>604</v>
      </c>
    </row>
    <row r="2283" spans="1:6">
      <c r="A2283" s="35" t="s">
        <v>2890</v>
      </c>
      <c r="B2283" s="37">
        <v>247.60000610351563</v>
      </c>
      <c r="C2283" s="37">
        <v>229.47956848144531</v>
      </c>
      <c r="D2283" s="35">
        <v>12812090</v>
      </c>
      <c r="E2283" s="35" t="s">
        <v>2833</v>
      </c>
      <c r="F2283" s="35" t="s">
        <v>604</v>
      </c>
    </row>
    <row r="2284" spans="1:6">
      <c r="A2284" s="35" t="s">
        <v>2891</v>
      </c>
      <c r="B2284" s="37">
        <v>255.39999389648438</v>
      </c>
      <c r="C2284" s="37">
        <v>236.70870971679688</v>
      </c>
      <c r="D2284" s="35">
        <v>42137138</v>
      </c>
      <c r="E2284" s="35" t="s">
        <v>2833</v>
      </c>
      <c r="F2284" s="35" t="s">
        <v>604</v>
      </c>
    </row>
    <row r="2285" spans="1:6">
      <c r="A2285" s="35" t="s">
        <v>2892</v>
      </c>
      <c r="B2285" s="37">
        <v>257.42498779296875</v>
      </c>
      <c r="C2285" s="37">
        <v>238.58551025390625</v>
      </c>
      <c r="D2285" s="35">
        <v>16405832</v>
      </c>
      <c r="E2285" s="35" t="s">
        <v>2833</v>
      </c>
      <c r="F2285" s="35" t="s">
        <v>604</v>
      </c>
    </row>
    <row r="2286" spans="1:6">
      <c r="A2286" s="35" t="s">
        <v>2893</v>
      </c>
      <c r="B2286" s="37">
        <v>263.67498779296875</v>
      </c>
      <c r="C2286" s="37">
        <v>244.37811279296875</v>
      </c>
      <c r="D2286" s="35">
        <v>30757528</v>
      </c>
      <c r="E2286" s="35" t="s">
        <v>2833</v>
      </c>
      <c r="F2286" s="35" t="s">
        <v>604</v>
      </c>
    </row>
    <row r="2287" spans="1:6">
      <c r="A2287" s="35" t="s">
        <v>2894</v>
      </c>
      <c r="B2287" s="37">
        <v>269.10000610351563</v>
      </c>
      <c r="C2287" s="37">
        <v>249.40609741210938</v>
      </c>
      <c r="D2287" s="35">
        <v>36276968</v>
      </c>
      <c r="E2287" s="35" t="s">
        <v>2833</v>
      </c>
      <c r="F2287" s="35" t="s">
        <v>604</v>
      </c>
    </row>
    <row r="2288" spans="1:6">
      <c r="A2288" s="35" t="s">
        <v>2895</v>
      </c>
      <c r="B2288" s="37">
        <v>269.5</v>
      </c>
      <c r="C2288" s="37">
        <v>249.77680969238281</v>
      </c>
      <c r="D2288" s="35">
        <v>16049384</v>
      </c>
      <c r="E2288" s="35" t="s">
        <v>2833</v>
      </c>
      <c r="F2288" s="35" t="s">
        <v>604</v>
      </c>
    </row>
    <row r="2289" spans="1:6">
      <c r="A2289" s="35" t="s">
        <v>2896</v>
      </c>
      <c r="B2289" s="37">
        <v>265.35000610351563</v>
      </c>
      <c r="C2289" s="37">
        <v>245.93055725097656</v>
      </c>
      <c r="D2289" s="35">
        <v>19524632</v>
      </c>
      <c r="E2289" s="35" t="s">
        <v>2833</v>
      </c>
      <c r="F2289" s="35" t="s">
        <v>604</v>
      </c>
    </row>
    <row r="2290" spans="1:6">
      <c r="A2290" s="35" t="s">
        <v>2897</v>
      </c>
      <c r="B2290" s="37">
        <v>267.54998779296875</v>
      </c>
      <c r="C2290" s="37">
        <v>247.96952819824219</v>
      </c>
      <c r="D2290" s="35">
        <v>10376090</v>
      </c>
      <c r="E2290" s="35" t="s">
        <v>2833</v>
      </c>
      <c r="F2290" s="35" t="s">
        <v>604</v>
      </c>
    </row>
    <row r="2291" spans="1:6">
      <c r="A2291" s="35" t="s">
        <v>2898</v>
      </c>
      <c r="B2291" s="37">
        <v>270.60000610351563</v>
      </c>
      <c r="C2291" s="37">
        <v>250.79634094238281</v>
      </c>
      <c r="D2291" s="35">
        <v>12176360</v>
      </c>
      <c r="E2291" s="35" t="s">
        <v>2833</v>
      </c>
      <c r="F2291" s="35" t="s">
        <v>604</v>
      </c>
    </row>
    <row r="2292" spans="1:6">
      <c r="A2292" s="35" t="s">
        <v>2899</v>
      </c>
      <c r="B2292" s="37">
        <v>270.5</v>
      </c>
      <c r="C2292" s="37">
        <v>250.70367431640625</v>
      </c>
      <c r="D2292" s="35">
        <v>8681444</v>
      </c>
      <c r="E2292" s="35" t="s">
        <v>2833</v>
      </c>
      <c r="F2292" s="35" t="s">
        <v>604</v>
      </c>
    </row>
    <row r="2293" spans="1:6">
      <c r="A2293" s="35" t="s">
        <v>2900</v>
      </c>
      <c r="B2293" s="37">
        <v>267.77499389648438</v>
      </c>
      <c r="C2293" s="37">
        <v>248.17807006835938</v>
      </c>
      <c r="D2293" s="35">
        <v>9233748</v>
      </c>
      <c r="E2293" s="35" t="s">
        <v>2833</v>
      </c>
      <c r="F2293" s="35" t="s">
        <v>604</v>
      </c>
    </row>
    <row r="2294" spans="1:6">
      <c r="A2294" s="35" t="s">
        <v>2901</v>
      </c>
      <c r="B2294" s="37">
        <v>267.04998779296875</v>
      </c>
      <c r="C2294" s="37">
        <v>247.50611877441406</v>
      </c>
      <c r="D2294" s="35">
        <v>8807618</v>
      </c>
      <c r="E2294" s="35" t="s">
        <v>2833</v>
      </c>
      <c r="F2294" s="35" t="s">
        <v>604</v>
      </c>
    </row>
    <row r="2295" spans="1:6">
      <c r="A2295" s="35" t="s">
        <v>2902</v>
      </c>
      <c r="B2295" s="37">
        <v>280.07501220703125</v>
      </c>
      <c r="C2295" s="37">
        <v>259.57794189453125</v>
      </c>
      <c r="D2295" s="35">
        <v>54186042</v>
      </c>
      <c r="E2295" s="35" t="s">
        <v>2833</v>
      </c>
      <c r="F2295" s="35" t="s">
        <v>604</v>
      </c>
    </row>
    <row r="2296" spans="1:6">
      <c r="A2296" s="35" t="s">
        <v>2903</v>
      </c>
      <c r="B2296" s="37">
        <v>279.85000610351563</v>
      </c>
      <c r="C2296" s="37">
        <v>259.369384765625</v>
      </c>
      <c r="D2296" s="35">
        <v>16099478</v>
      </c>
      <c r="E2296" s="35" t="s">
        <v>2833</v>
      </c>
      <c r="F2296" s="35" t="s">
        <v>604</v>
      </c>
    </row>
    <row r="2297" spans="1:6">
      <c r="A2297" s="35" t="s">
        <v>2904</v>
      </c>
      <c r="B2297" s="37">
        <v>279.85000610351563</v>
      </c>
      <c r="C2297" s="37">
        <v>259.369384765625</v>
      </c>
      <c r="D2297" s="35">
        <v>11239032</v>
      </c>
      <c r="E2297" s="35" t="s">
        <v>2833</v>
      </c>
      <c r="F2297" s="35" t="s">
        <v>604</v>
      </c>
    </row>
    <row r="2298" spans="1:6">
      <c r="A2298" s="35" t="s">
        <v>2905</v>
      </c>
      <c r="B2298" s="37">
        <v>286.60000610351563</v>
      </c>
      <c r="C2298" s="37">
        <v>265.62539672851563</v>
      </c>
      <c r="D2298" s="35">
        <v>25019786</v>
      </c>
      <c r="E2298" s="35" t="s">
        <v>2833</v>
      </c>
      <c r="F2298" s="35" t="s">
        <v>604</v>
      </c>
    </row>
    <row r="2299" spans="1:6">
      <c r="A2299" s="35" t="s">
        <v>2906</v>
      </c>
      <c r="B2299" s="37">
        <v>278.60000610351563</v>
      </c>
      <c r="C2299" s="37">
        <v>258.21084594726563</v>
      </c>
      <c r="D2299" s="35">
        <v>26523490</v>
      </c>
      <c r="E2299" s="35" t="s">
        <v>2833</v>
      </c>
      <c r="F2299" s="35" t="s">
        <v>604</v>
      </c>
    </row>
    <row r="2300" spans="1:6">
      <c r="A2300" s="35" t="s">
        <v>2907</v>
      </c>
      <c r="B2300" s="37">
        <v>252.89999389648438</v>
      </c>
      <c r="C2300" s="37">
        <v>234.39167785644531</v>
      </c>
      <c r="D2300" s="35">
        <v>76014568</v>
      </c>
      <c r="E2300" s="35" t="s">
        <v>2833</v>
      </c>
      <c r="F2300" s="35" t="s">
        <v>604</v>
      </c>
    </row>
    <row r="2301" spans="1:6">
      <c r="A2301" s="35" t="s">
        <v>2908</v>
      </c>
      <c r="B2301" s="37">
        <v>250.27499389648438</v>
      </c>
      <c r="C2301" s="37">
        <v>231.95880126953125</v>
      </c>
      <c r="D2301" s="35">
        <v>25847632</v>
      </c>
      <c r="E2301" s="35" t="s">
        <v>2833</v>
      </c>
      <c r="F2301" s="35" t="s">
        <v>604</v>
      </c>
    </row>
    <row r="2302" spans="1:6">
      <c r="A2302" s="35" t="s">
        <v>2909</v>
      </c>
      <c r="B2302" s="37">
        <v>250.05000305175781</v>
      </c>
      <c r="C2302" s="37">
        <v>231.75027465820313</v>
      </c>
      <c r="D2302" s="35">
        <v>12240276</v>
      </c>
      <c r="E2302" s="35" t="s">
        <v>2833</v>
      </c>
      <c r="F2302" s="35" t="s">
        <v>604</v>
      </c>
    </row>
    <row r="2303" spans="1:6">
      <c r="A2303" s="35" t="s">
        <v>2910</v>
      </c>
      <c r="B2303" s="37">
        <v>253.42500305175781</v>
      </c>
      <c r="C2303" s="37">
        <v>234.87826538085938</v>
      </c>
      <c r="D2303" s="35">
        <v>21887890</v>
      </c>
      <c r="E2303" s="35" t="s">
        <v>2833</v>
      </c>
      <c r="F2303" s="35" t="s">
        <v>604</v>
      </c>
    </row>
    <row r="2304" spans="1:6">
      <c r="A2304" s="35" t="s">
        <v>2911</v>
      </c>
      <c r="B2304" s="37">
        <v>262.39999389648438</v>
      </c>
      <c r="C2304" s="37">
        <v>243.19642639160156</v>
      </c>
      <c r="D2304" s="35">
        <v>26153996</v>
      </c>
      <c r="E2304" s="35" t="s">
        <v>2833</v>
      </c>
      <c r="F2304" s="35" t="s">
        <v>604</v>
      </c>
    </row>
    <row r="2305" spans="1:6">
      <c r="A2305" s="35" t="s">
        <v>2912</v>
      </c>
      <c r="B2305" s="37">
        <v>262.20001220703125</v>
      </c>
      <c r="C2305" s="37">
        <v>243.01109313964844</v>
      </c>
      <c r="D2305" s="35">
        <v>12011554</v>
      </c>
      <c r="E2305" s="35" t="s">
        <v>2833</v>
      </c>
      <c r="F2305" s="35" t="s">
        <v>604</v>
      </c>
    </row>
    <row r="2306" spans="1:6">
      <c r="A2306" s="35" t="s">
        <v>2913</v>
      </c>
      <c r="B2306" s="37">
        <v>260.75</v>
      </c>
      <c r="C2306" s="37">
        <v>241.66719055175781</v>
      </c>
      <c r="D2306" s="35">
        <v>10816526</v>
      </c>
      <c r="E2306" s="35" t="s">
        <v>2833</v>
      </c>
      <c r="F2306" s="35" t="s">
        <v>604</v>
      </c>
    </row>
    <row r="2307" spans="1:6">
      <c r="A2307" s="35" t="s">
        <v>2914</v>
      </c>
      <c r="B2307" s="37">
        <v>261</v>
      </c>
      <c r="C2307" s="37">
        <v>241.89891052246094</v>
      </c>
      <c r="D2307" s="35">
        <v>7758508</v>
      </c>
      <c r="E2307" s="35" t="s">
        <v>2833</v>
      </c>
      <c r="F2307" s="35" t="s">
        <v>604</v>
      </c>
    </row>
    <row r="2308" spans="1:6">
      <c r="A2308" s="35" t="s">
        <v>2915</v>
      </c>
      <c r="B2308" s="37">
        <v>260.77499389648438</v>
      </c>
      <c r="C2308" s="37">
        <v>241.69035339355469</v>
      </c>
      <c r="D2308" s="35">
        <v>10759752</v>
      </c>
      <c r="E2308" s="35" t="s">
        <v>2833</v>
      </c>
      <c r="F2308" s="35" t="s">
        <v>604</v>
      </c>
    </row>
    <row r="2309" spans="1:6">
      <c r="A2309" s="35" t="s">
        <v>2916</v>
      </c>
      <c r="B2309" s="37">
        <v>251.07499694824219</v>
      </c>
      <c r="C2309" s="37">
        <v>232.70025634765625</v>
      </c>
      <c r="D2309" s="35">
        <v>15652228</v>
      </c>
      <c r="E2309" s="35" t="s">
        <v>2833</v>
      </c>
      <c r="F2309" s="35" t="s">
        <v>604</v>
      </c>
    </row>
    <row r="2310" spans="1:6">
      <c r="A2310" s="35" t="s">
        <v>2917</v>
      </c>
      <c r="B2310" s="37">
        <v>242.5</v>
      </c>
      <c r="C2310" s="37">
        <v>224.7528076171875</v>
      </c>
      <c r="D2310" s="35">
        <v>21938080</v>
      </c>
      <c r="E2310" s="35" t="s">
        <v>2833</v>
      </c>
      <c r="F2310" s="35" t="s">
        <v>604</v>
      </c>
    </row>
    <row r="2311" spans="1:6">
      <c r="A2311" s="35" t="s">
        <v>2918</v>
      </c>
      <c r="B2311" s="37">
        <v>244.75</v>
      </c>
      <c r="C2311" s="37">
        <v>226.838134765625</v>
      </c>
      <c r="D2311" s="35">
        <v>11271584</v>
      </c>
      <c r="E2311" s="35" t="s">
        <v>2833</v>
      </c>
      <c r="F2311" s="35" t="s">
        <v>604</v>
      </c>
    </row>
    <row r="2312" spans="1:6">
      <c r="A2312" s="35" t="s">
        <v>2919</v>
      </c>
      <c r="B2312" s="37">
        <v>248.69999694824219</v>
      </c>
      <c r="C2312" s="37">
        <v>230.49905395507813</v>
      </c>
      <c r="D2312" s="35">
        <v>7079826</v>
      </c>
      <c r="E2312" s="35" t="s">
        <v>2833</v>
      </c>
      <c r="F2312" s="35" t="s">
        <v>604</v>
      </c>
    </row>
    <row r="2313" spans="1:6">
      <c r="A2313" s="35" t="s">
        <v>2920</v>
      </c>
      <c r="B2313" s="37">
        <v>243.64999389648438</v>
      </c>
      <c r="C2313" s="37">
        <v>225.81863403320313</v>
      </c>
      <c r="D2313" s="35">
        <v>13160570</v>
      </c>
      <c r="E2313" s="35" t="s">
        <v>2833</v>
      </c>
      <c r="F2313" s="35" t="s">
        <v>604</v>
      </c>
    </row>
    <row r="2314" spans="1:6">
      <c r="A2314" s="35" t="s">
        <v>2921</v>
      </c>
      <c r="B2314" s="37">
        <v>245.64999389648438</v>
      </c>
      <c r="C2314" s="37">
        <v>227.67228698730469</v>
      </c>
      <c r="D2314" s="35">
        <v>6065948</v>
      </c>
      <c r="E2314" s="35" t="s">
        <v>2833</v>
      </c>
      <c r="F2314" s="35" t="s">
        <v>604</v>
      </c>
    </row>
    <row r="2315" spans="1:6">
      <c r="A2315" s="35" t="s">
        <v>2922</v>
      </c>
      <c r="B2315" s="37">
        <v>244.52499389648438</v>
      </c>
      <c r="C2315" s="37">
        <v>226.62959289550781</v>
      </c>
      <c r="D2315" s="35">
        <v>7338468</v>
      </c>
      <c r="E2315" s="35" t="s">
        <v>2833</v>
      </c>
      <c r="F2315" s="35" t="s">
        <v>604</v>
      </c>
    </row>
    <row r="2316" spans="1:6">
      <c r="A2316" s="35" t="s">
        <v>2923</v>
      </c>
      <c r="B2316" s="37">
        <v>245.25</v>
      </c>
      <c r="C2316" s="37">
        <v>227.30152893066406</v>
      </c>
      <c r="D2316" s="35">
        <v>6289418</v>
      </c>
      <c r="E2316" s="35" t="s">
        <v>2833</v>
      </c>
      <c r="F2316" s="35" t="s">
        <v>604</v>
      </c>
    </row>
    <row r="2317" spans="1:6">
      <c r="A2317" s="35" t="s">
        <v>2924</v>
      </c>
      <c r="B2317" s="37">
        <v>247.57499694824219</v>
      </c>
      <c r="C2317" s="37">
        <v>229.45640563964844</v>
      </c>
      <c r="D2317" s="35">
        <v>11121756</v>
      </c>
      <c r="E2317" s="35" t="s">
        <v>2833</v>
      </c>
      <c r="F2317" s="35" t="s">
        <v>604</v>
      </c>
    </row>
    <row r="2318" spans="1:6">
      <c r="A2318" s="35" t="s">
        <v>2925</v>
      </c>
      <c r="B2318" s="37">
        <v>258.125</v>
      </c>
      <c r="C2318" s="37">
        <v>239.23429870605469</v>
      </c>
      <c r="D2318" s="35">
        <v>25931140</v>
      </c>
      <c r="E2318" s="35" t="s">
        <v>2833</v>
      </c>
      <c r="F2318" s="35" t="s">
        <v>604</v>
      </c>
    </row>
    <row r="2319" spans="1:6">
      <c r="A2319" s="35" t="s">
        <v>2926</v>
      </c>
      <c r="B2319" s="37">
        <v>259.875</v>
      </c>
      <c r="C2319" s="37">
        <v>240.85623168945313</v>
      </c>
      <c r="D2319" s="35">
        <v>11466562</v>
      </c>
      <c r="E2319" s="35" t="s">
        <v>2833</v>
      </c>
      <c r="F2319" s="35" t="s">
        <v>604</v>
      </c>
    </row>
    <row r="2320" spans="1:6">
      <c r="A2320" s="35" t="s">
        <v>2927</v>
      </c>
      <c r="B2320" s="37">
        <v>262.32501220703125</v>
      </c>
      <c r="C2320" s="37">
        <v>243.126953125</v>
      </c>
      <c r="D2320" s="35">
        <v>9543812</v>
      </c>
      <c r="E2320" s="35" t="s">
        <v>2833</v>
      </c>
      <c r="F2320" s="35" t="s">
        <v>604</v>
      </c>
    </row>
    <row r="2321" spans="1:6">
      <c r="A2321" s="35" t="s">
        <v>2928</v>
      </c>
      <c r="B2321" s="37">
        <v>263.17498779296875</v>
      </c>
      <c r="C2321" s="37">
        <v>243.91470336914063</v>
      </c>
      <c r="D2321" s="35">
        <v>6454402</v>
      </c>
      <c r="E2321" s="35" t="s">
        <v>2833</v>
      </c>
      <c r="F2321" s="35" t="s">
        <v>604</v>
      </c>
    </row>
    <row r="2322" spans="1:6">
      <c r="A2322" s="35" t="s">
        <v>2929</v>
      </c>
      <c r="B2322" s="37">
        <v>259.5</v>
      </c>
      <c r="C2322" s="37">
        <v>240.5086669921875</v>
      </c>
      <c r="D2322" s="35">
        <v>11496506</v>
      </c>
      <c r="E2322" s="35" t="s">
        <v>2833</v>
      </c>
      <c r="F2322" s="35" t="s">
        <v>604</v>
      </c>
    </row>
    <row r="2323" spans="1:6">
      <c r="A2323" s="35" t="s">
        <v>2930</v>
      </c>
      <c r="B2323" s="37">
        <v>256.20001220703125</v>
      </c>
      <c r="C2323" s="37">
        <v>237.45018005371094</v>
      </c>
      <c r="D2323" s="35">
        <v>11277706</v>
      </c>
      <c r="E2323" s="35" t="s">
        <v>2833</v>
      </c>
      <c r="F2323" s="35" t="s">
        <v>604</v>
      </c>
    </row>
    <row r="2324" spans="1:6">
      <c r="A2324" s="35" t="s">
        <v>2931</v>
      </c>
      <c r="B2324" s="37">
        <v>260</v>
      </c>
      <c r="C2324" s="37">
        <v>240.97207641601563</v>
      </c>
      <c r="D2324" s="35">
        <v>17351380</v>
      </c>
      <c r="E2324" s="35" t="s">
        <v>2833</v>
      </c>
      <c r="F2324" s="35" t="s">
        <v>604</v>
      </c>
    </row>
    <row r="2325" spans="1:6">
      <c r="A2325" s="35" t="s">
        <v>2932</v>
      </c>
      <c r="B2325" s="37">
        <v>258.57501220703125</v>
      </c>
      <c r="C2325" s="37">
        <v>239.65138244628906</v>
      </c>
      <c r="D2325" s="35">
        <v>7965796</v>
      </c>
      <c r="E2325" s="35" t="s">
        <v>2833</v>
      </c>
      <c r="F2325" s="35" t="s">
        <v>604</v>
      </c>
    </row>
    <row r="2326" spans="1:6">
      <c r="A2326" s="35" t="s">
        <v>2933</v>
      </c>
      <c r="B2326" s="37">
        <v>267.29998779296875</v>
      </c>
      <c r="C2326" s="37">
        <v>247.73782348632813</v>
      </c>
      <c r="D2326" s="35">
        <v>34375566</v>
      </c>
      <c r="E2326" s="35" t="s">
        <v>2833</v>
      </c>
      <c r="F2326" s="35" t="s">
        <v>604</v>
      </c>
    </row>
    <row r="2327" spans="1:6">
      <c r="A2327" s="35" t="s">
        <v>2934</v>
      </c>
      <c r="B2327" s="37">
        <v>269.35000610351563</v>
      </c>
      <c r="C2327" s="37">
        <v>249.6378173828125</v>
      </c>
      <c r="D2327" s="35">
        <v>25685318</v>
      </c>
      <c r="E2327" s="35" t="s">
        <v>2833</v>
      </c>
      <c r="F2327" s="35" t="s">
        <v>604</v>
      </c>
    </row>
    <row r="2328" spans="1:6">
      <c r="A2328" s="35" t="s">
        <v>2935</v>
      </c>
      <c r="B2328" s="37">
        <v>269.20001220703125</v>
      </c>
      <c r="C2328" s="37">
        <v>249.49880981445313</v>
      </c>
      <c r="D2328" s="35">
        <v>19434804</v>
      </c>
      <c r="E2328" s="35" t="s">
        <v>2833</v>
      </c>
      <c r="F2328" s="35" t="s">
        <v>604</v>
      </c>
    </row>
    <row r="2329" spans="1:6">
      <c r="A2329" s="35" t="s">
        <v>2936</v>
      </c>
      <c r="B2329" s="37">
        <v>266.22500610351563</v>
      </c>
      <c r="C2329" s="37">
        <v>246.74150085449219</v>
      </c>
      <c r="D2329" s="35">
        <v>15735982</v>
      </c>
      <c r="E2329" s="35" t="s">
        <v>2833</v>
      </c>
      <c r="F2329" s="35" t="s">
        <v>604</v>
      </c>
    </row>
    <row r="2330" spans="1:6">
      <c r="A2330" s="35" t="s">
        <v>2937</v>
      </c>
      <c r="B2330" s="37">
        <v>268.02499389648438</v>
      </c>
      <c r="C2330" s="37">
        <v>248.40975952148438</v>
      </c>
      <c r="D2330" s="35">
        <v>15056686</v>
      </c>
      <c r="E2330" s="35" t="s">
        <v>2833</v>
      </c>
      <c r="F2330" s="35" t="s">
        <v>604</v>
      </c>
    </row>
    <row r="2331" spans="1:6">
      <c r="A2331" s="35" t="s">
        <v>2938</v>
      </c>
      <c r="B2331" s="37">
        <v>259.57501220703125</v>
      </c>
      <c r="C2331" s="37">
        <v>240.57818603515625</v>
      </c>
      <c r="D2331" s="35">
        <v>20402128</v>
      </c>
      <c r="E2331" s="35" t="s">
        <v>2833</v>
      </c>
      <c r="F2331" s="35" t="s">
        <v>604</v>
      </c>
    </row>
    <row r="2332" spans="1:6">
      <c r="A2332" s="35" t="s">
        <v>2939</v>
      </c>
      <c r="B2332" s="37">
        <v>262.42498779296875</v>
      </c>
      <c r="C2332" s="37">
        <v>243.21958923339844</v>
      </c>
      <c r="D2332" s="35">
        <v>12069118</v>
      </c>
      <c r="E2332" s="35" t="s">
        <v>2833</v>
      </c>
      <c r="F2332" s="35" t="s">
        <v>604</v>
      </c>
    </row>
    <row r="2333" spans="1:6">
      <c r="A2333" s="35" t="s">
        <v>2940</v>
      </c>
      <c r="B2333" s="37">
        <v>260.29998779296875</v>
      </c>
      <c r="C2333" s="37">
        <v>241.25010681152344</v>
      </c>
      <c r="D2333" s="35">
        <v>14579954</v>
      </c>
      <c r="E2333" s="35" t="s">
        <v>2833</v>
      </c>
      <c r="F2333" s="35" t="s">
        <v>604</v>
      </c>
    </row>
    <row r="2334" spans="1:6">
      <c r="A2334" s="35" t="s">
        <v>2941</v>
      </c>
      <c r="B2334" s="37">
        <v>257.42498779296875</v>
      </c>
      <c r="C2334" s="37">
        <v>238.58551025390625</v>
      </c>
      <c r="D2334" s="35">
        <v>11919540</v>
      </c>
      <c r="E2334" s="35" t="s">
        <v>2833</v>
      </c>
      <c r="F2334" s="35" t="s">
        <v>604</v>
      </c>
    </row>
    <row r="2335" spans="1:6">
      <c r="A2335" s="35" t="s">
        <v>2942</v>
      </c>
      <c r="B2335" s="37">
        <v>262.875</v>
      </c>
      <c r="C2335" s="37">
        <v>243.63668823242188</v>
      </c>
      <c r="D2335" s="35">
        <v>10287272</v>
      </c>
      <c r="E2335" s="35" t="s">
        <v>2833</v>
      </c>
      <c r="F2335" s="35" t="s">
        <v>604</v>
      </c>
    </row>
    <row r="2336" spans="1:6">
      <c r="A2336" s="35" t="s">
        <v>2943</v>
      </c>
      <c r="B2336" s="37">
        <v>257.17498779296875</v>
      </c>
      <c r="C2336" s="37">
        <v>238.35382080078125</v>
      </c>
      <c r="D2336" s="35">
        <v>8261524</v>
      </c>
      <c r="E2336" s="35" t="s">
        <v>2833</v>
      </c>
      <c r="F2336" s="35" t="s">
        <v>604</v>
      </c>
    </row>
    <row r="2337" spans="1:6">
      <c r="A2337" s="35" t="s">
        <v>2944</v>
      </c>
      <c r="B2337" s="37">
        <v>265.02499389648438</v>
      </c>
      <c r="C2337" s="37">
        <v>245.62933349609375</v>
      </c>
      <c r="D2337" s="35">
        <v>15779474</v>
      </c>
      <c r="E2337" s="35" t="s">
        <v>2833</v>
      </c>
      <c r="F2337" s="35" t="s">
        <v>604</v>
      </c>
    </row>
    <row r="2338" spans="1:6">
      <c r="A2338" s="35" t="s">
        <v>2945</v>
      </c>
      <c r="B2338" s="37">
        <v>275.29998779296875</v>
      </c>
      <c r="C2338" s="37">
        <v>255.15234375</v>
      </c>
      <c r="D2338" s="35">
        <v>35919706</v>
      </c>
      <c r="E2338" s="35" t="s">
        <v>2833</v>
      </c>
      <c r="F2338" s="35" t="s">
        <v>604</v>
      </c>
    </row>
    <row r="2339" spans="1:6">
      <c r="A2339" s="35" t="s">
        <v>2946</v>
      </c>
      <c r="B2339" s="37">
        <v>275.95001220703125</v>
      </c>
      <c r="C2339" s="37">
        <v>255.75480651855469</v>
      </c>
      <c r="D2339" s="35">
        <v>11088578</v>
      </c>
      <c r="E2339" s="35" t="s">
        <v>2833</v>
      </c>
      <c r="F2339" s="35" t="s">
        <v>604</v>
      </c>
    </row>
    <row r="2340" spans="1:6">
      <c r="A2340" s="35" t="s">
        <v>2947</v>
      </c>
      <c r="B2340" s="37">
        <v>275.95001220703125</v>
      </c>
      <c r="C2340" s="37">
        <v>255.75480651855469</v>
      </c>
      <c r="D2340" s="35">
        <v>8728238</v>
      </c>
      <c r="E2340" s="35" t="s">
        <v>2833</v>
      </c>
      <c r="F2340" s="35" t="s">
        <v>604</v>
      </c>
    </row>
    <row r="2341" spans="1:6">
      <c r="A2341" s="35" t="s">
        <v>2948</v>
      </c>
      <c r="B2341" s="37">
        <v>269.07501220703125</v>
      </c>
      <c r="C2341" s="37">
        <v>249.3829345703125</v>
      </c>
      <c r="D2341" s="35">
        <v>16665520</v>
      </c>
      <c r="E2341" s="35" t="s">
        <v>2833</v>
      </c>
      <c r="F2341" s="35" t="s">
        <v>604</v>
      </c>
    </row>
    <row r="2342" spans="1:6">
      <c r="A2342" s="35" t="s">
        <v>2949</v>
      </c>
      <c r="B2342" s="37">
        <v>266.67498779296875</v>
      </c>
      <c r="C2342" s="37">
        <v>247.15858459472656</v>
      </c>
      <c r="D2342" s="35">
        <v>20969182</v>
      </c>
      <c r="E2342" s="35" t="s">
        <v>2833</v>
      </c>
      <c r="F2342" s="35" t="s">
        <v>604</v>
      </c>
    </row>
    <row r="2343" spans="1:6">
      <c r="A2343" s="35" t="s">
        <v>2950</v>
      </c>
      <c r="B2343" s="37">
        <v>269.54998779296875</v>
      </c>
      <c r="C2343" s="37">
        <v>249.82316589355469</v>
      </c>
      <c r="D2343" s="35">
        <v>16664232</v>
      </c>
      <c r="E2343" s="35" t="s">
        <v>2833</v>
      </c>
      <c r="F2343" s="35" t="s">
        <v>604</v>
      </c>
    </row>
    <row r="2344" spans="1:6">
      <c r="A2344" s="35" t="s">
        <v>2951</v>
      </c>
      <c r="B2344" s="37">
        <v>267.45001220703125</v>
      </c>
      <c r="C2344" s="37">
        <v>247.87686157226563</v>
      </c>
      <c r="D2344" s="35">
        <v>8544290</v>
      </c>
      <c r="E2344" s="35" t="s">
        <v>2833</v>
      </c>
      <c r="F2344" s="35" t="s">
        <v>604</v>
      </c>
    </row>
    <row r="2345" spans="1:6">
      <c r="A2345" s="35" t="s">
        <v>2952</v>
      </c>
      <c r="B2345" s="37">
        <v>269.77499389648438</v>
      </c>
      <c r="C2345" s="37">
        <v>250.03169250488281</v>
      </c>
      <c r="D2345" s="35">
        <v>12355694</v>
      </c>
      <c r="E2345" s="35" t="s">
        <v>2833</v>
      </c>
      <c r="F2345" s="35" t="s">
        <v>604</v>
      </c>
    </row>
    <row r="2346" spans="1:6">
      <c r="A2346" s="35" t="s">
        <v>2953</v>
      </c>
      <c r="B2346" s="37">
        <v>268.10000610351563</v>
      </c>
      <c r="C2346" s="37">
        <v>248.47930908203125</v>
      </c>
      <c r="D2346" s="35">
        <v>8065196</v>
      </c>
      <c r="E2346" s="35" t="s">
        <v>2833</v>
      </c>
      <c r="F2346" s="35" t="s">
        <v>604</v>
      </c>
    </row>
    <row r="2347" spans="1:6">
      <c r="A2347" s="35" t="s">
        <v>2954</v>
      </c>
      <c r="B2347" s="37">
        <v>270.95001220703125</v>
      </c>
      <c r="C2347" s="37">
        <v>251.12071228027344</v>
      </c>
      <c r="D2347" s="35">
        <v>11403400</v>
      </c>
      <c r="E2347" s="35" t="s">
        <v>2833</v>
      </c>
      <c r="F2347" s="35" t="s">
        <v>604</v>
      </c>
    </row>
    <row r="2348" spans="1:6">
      <c r="A2348" s="35" t="s">
        <v>2955</v>
      </c>
      <c r="B2348" s="37">
        <v>270.89999389648438</v>
      </c>
      <c r="C2348" s="37">
        <v>251.0743408203125</v>
      </c>
      <c r="D2348" s="35">
        <v>26462384</v>
      </c>
      <c r="E2348" s="35" t="s">
        <v>2833</v>
      </c>
      <c r="F2348" s="35" t="s">
        <v>604</v>
      </c>
    </row>
    <row r="2349" spans="1:6">
      <c r="A2349" s="35" t="s">
        <v>2956</v>
      </c>
      <c r="B2349" s="37">
        <v>270.72500610351563</v>
      </c>
      <c r="C2349" s="37">
        <v>250.91218566894531</v>
      </c>
      <c r="D2349" s="35">
        <v>8199446</v>
      </c>
      <c r="E2349" s="35" t="s">
        <v>2833</v>
      </c>
      <c r="F2349" s="35" t="s">
        <v>604</v>
      </c>
    </row>
    <row r="2350" spans="1:6">
      <c r="A2350" s="35" t="s">
        <v>2957</v>
      </c>
      <c r="B2350" s="37">
        <v>273.375</v>
      </c>
      <c r="C2350" s="37">
        <v>253.36824035644531</v>
      </c>
      <c r="D2350" s="35">
        <v>9411274</v>
      </c>
      <c r="E2350" s="35" t="s">
        <v>2833</v>
      </c>
      <c r="F2350" s="35" t="s">
        <v>604</v>
      </c>
    </row>
    <row r="2351" spans="1:6">
      <c r="A2351" s="35" t="s">
        <v>2958</v>
      </c>
      <c r="B2351" s="37">
        <v>265.07501220703125</v>
      </c>
      <c r="C2351" s="37">
        <v>245.67567443847656</v>
      </c>
      <c r="D2351" s="35">
        <v>14035368</v>
      </c>
      <c r="E2351" s="35" t="s">
        <v>2833</v>
      </c>
      <c r="F2351" s="35" t="s">
        <v>604</v>
      </c>
    </row>
    <row r="2352" spans="1:6">
      <c r="A2352" s="35" t="s">
        <v>2959</v>
      </c>
      <c r="B2352" s="37">
        <v>266.77499389648438</v>
      </c>
      <c r="C2352" s="37">
        <v>247.25126647949219</v>
      </c>
      <c r="D2352" s="35">
        <v>11922754</v>
      </c>
      <c r="E2352" s="35" t="s">
        <v>2833</v>
      </c>
      <c r="F2352" s="35" t="s">
        <v>604</v>
      </c>
    </row>
    <row r="2353" spans="1:6">
      <c r="A2353" s="35" t="s">
        <v>2960</v>
      </c>
      <c r="B2353" s="37">
        <v>265.72500610351563</v>
      </c>
      <c r="C2353" s="37">
        <v>246.27810668945313</v>
      </c>
      <c r="D2353" s="35">
        <v>9878074</v>
      </c>
      <c r="E2353" s="35" t="s">
        <v>2833</v>
      </c>
      <c r="F2353" s="35" t="s">
        <v>604</v>
      </c>
    </row>
    <row r="2354" spans="1:6">
      <c r="A2354" s="35" t="s">
        <v>2961</v>
      </c>
      <c r="B2354" s="37">
        <v>263.47500610351563</v>
      </c>
      <c r="C2354" s="37">
        <v>244.19277954101563</v>
      </c>
      <c r="D2354" s="35">
        <v>11502804</v>
      </c>
      <c r="E2354" s="35" t="s">
        <v>2833</v>
      </c>
      <c r="F2354" s="35" t="s">
        <v>604</v>
      </c>
    </row>
    <row r="2355" spans="1:6">
      <c r="A2355" s="35" t="s">
        <v>2962</v>
      </c>
      <c r="B2355" s="37">
        <v>265.57501220703125</v>
      </c>
      <c r="C2355" s="37">
        <v>246.13909912109375</v>
      </c>
      <c r="D2355" s="35">
        <v>8841688</v>
      </c>
      <c r="E2355" s="35" t="s">
        <v>2833</v>
      </c>
      <c r="F2355" s="35" t="s">
        <v>604</v>
      </c>
    </row>
    <row r="2356" spans="1:6">
      <c r="A2356" s="35" t="s">
        <v>2963</v>
      </c>
      <c r="B2356" s="37">
        <v>262.5</v>
      </c>
      <c r="C2356" s="37">
        <v>243.28912353515625</v>
      </c>
      <c r="D2356" s="35">
        <v>12620244</v>
      </c>
      <c r="E2356" s="35" t="s">
        <v>2833</v>
      </c>
      <c r="F2356" s="35" t="s">
        <v>604</v>
      </c>
    </row>
    <row r="2357" spans="1:6">
      <c r="A2357" s="35" t="s">
        <v>2964</v>
      </c>
      <c r="B2357" s="37">
        <v>264.14999389648438</v>
      </c>
      <c r="C2357" s="37">
        <v>244.81837463378906</v>
      </c>
      <c r="D2357" s="35">
        <v>8436982</v>
      </c>
      <c r="E2357" s="35" t="s">
        <v>2833</v>
      </c>
      <c r="F2357" s="35" t="s">
        <v>604</v>
      </c>
    </row>
    <row r="2358" spans="1:6">
      <c r="A2358" s="35" t="s">
        <v>2965</v>
      </c>
      <c r="B2358" s="37">
        <v>274.77499389648438</v>
      </c>
      <c r="C2358" s="37">
        <v>254.665771484375</v>
      </c>
      <c r="D2358" s="35">
        <v>33136266</v>
      </c>
      <c r="E2358" s="35" t="s">
        <v>2833</v>
      </c>
      <c r="F2358" s="35" t="s">
        <v>604</v>
      </c>
    </row>
    <row r="2359" spans="1:6">
      <c r="A2359" s="35" t="s">
        <v>2966</v>
      </c>
      <c r="B2359" s="37">
        <v>266.47500610351563</v>
      </c>
      <c r="C2359" s="37">
        <v>246.97320556640625</v>
      </c>
      <c r="D2359" s="35">
        <v>21601252</v>
      </c>
      <c r="E2359" s="35" t="s">
        <v>2833</v>
      </c>
      <c r="F2359" s="35" t="s">
        <v>604</v>
      </c>
    </row>
    <row r="2360" spans="1:6">
      <c r="A2360" s="35" t="s">
        <v>2967</v>
      </c>
      <c r="B2360" s="37">
        <v>266.07501220703125</v>
      </c>
      <c r="C2360" s="37">
        <v>246.60250854492188</v>
      </c>
      <c r="D2360" s="35">
        <v>12553622</v>
      </c>
      <c r="E2360" s="35" t="s">
        <v>2833</v>
      </c>
      <c r="F2360" s="35" t="s">
        <v>604</v>
      </c>
    </row>
    <row r="2361" spans="1:6">
      <c r="A2361" s="35" t="s">
        <v>2968</v>
      </c>
      <c r="B2361" s="37">
        <v>264.375</v>
      </c>
      <c r="C2361" s="37">
        <v>245.02688598632813</v>
      </c>
      <c r="D2361" s="35">
        <v>23755278</v>
      </c>
      <c r="E2361" s="35" t="s">
        <v>2833</v>
      </c>
      <c r="F2361" s="35" t="s">
        <v>604</v>
      </c>
    </row>
    <row r="2362" spans="1:6">
      <c r="A2362" s="35" t="s">
        <v>2969</v>
      </c>
      <c r="B2362" s="37">
        <v>274.32501220703125</v>
      </c>
      <c r="C2362" s="37">
        <v>254.24874877929688</v>
      </c>
      <c r="D2362" s="35">
        <v>74653054</v>
      </c>
      <c r="E2362" s="35" t="s">
        <v>2833</v>
      </c>
      <c r="F2362" s="35" t="s">
        <v>604</v>
      </c>
    </row>
    <row r="2363" spans="1:6">
      <c r="A2363" s="35" t="s">
        <v>2970</v>
      </c>
      <c r="B2363" s="37">
        <v>274.04998779296875</v>
      </c>
      <c r="C2363" s="37">
        <v>253.99382019042969</v>
      </c>
      <c r="D2363" s="35">
        <v>23966964</v>
      </c>
      <c r="E2363" s="35" t="s">
        <v>2833</v>
      </c>
      <c r="F2363" s="35" t="s">
        <v>604</v>
      </c>
    </row>
    <row r="2364" spans="1:6">
      <c r="A2364" s="35" t="s">
        <v>2971</v>
      </c>
      <c r="B2364" s="37">
        <v>272.72500610351563</v>
      </c>
      <c r="C2364" s="37">
        <v>252.76582336425781</v>
      </c>
      <c r="D2364" s="35">
        <v>18478300</v>
      </c>
      <c r="E2364" s="35" t="s">
        <v>2833</v>
      </c>
      <c r="F2364" s="35" t="s">
        <v>604</v>
      </c>
    </row>
    <row r="2365" spans="1:6">
      <c r="A2365" s="35" t="s">
        <v>2972</v>
      </c>
      <c r="B2365" s="37">
        <v>273.60000610351563</v>
      </c>
      <c r="C2365" s="37">
        <v>253.57676696777344</v>
      </c>
      <c r="D2365" s="35">
        <v>12698576</v>
      </c>
      <c r="E2365" s="35" t="s">
        <v>2833</v>
      </c>
      <c r="F2365" s="35" t="s">
        <v>604</v>
      </c>
    </row>
    <row r="2366" spans="1:6">
      <c r="A2366" s="35" t="s">
        <v>2973</v>
      </c>
      <c r="B2366" s="37">
        <v>273.45001220703125</v>
      </c>
      <c r="C2366" s="37">
        <v>253.43775939941406</v>
      </c>
      <c r="D2366" s="35">
        <v>9576604</v>
      </c>
      <c r="E2366" s="35" t="s">
        <v>2833</v>
      </c>
      <c r="F2366" s="35" t="s">
        <v>604</v>
      </c>
    </row>
    <row r="2367" spans="1:6">
      <c r="A2367" s="35" t="s">
        <v>2974</v>
      </c>
      <c r="B2367" s="37">
        <v>271.72500610351563</v>
      </c>
      <c r="C2367" s="37">
        <v>251.83900451660156</v>
      </c>
      <c r="D2367" s="35">
        <v>10124540</v>
      </c>
      <c r="E2367" s="35" t="s">
        <v>2833</v>
      </c>
      <c r="F2367" s="35" t="s">
        <v>604</v>
      </c>
    </row>
    <row r="2368" spans="1:6">
      <c r="A2368" s="35" t="s">
        <v>2975</v>
      </c>
      <c r="B2368" s="37">
        <v>279.29998779296875</v>
      </c>
      <c r="C2368" s="37">
        <v>258.859619140625</v>
      </c>
      <c r="D2368" s="35">
        <v>11185858</v>
      </c>
      <c r="E2368" s="35" t="s">
        <v>2833</v>
      </c>
      <c r="F2368" s="35" t="s">
        <v>604</v>
      </c>
    </row>
    <row r="2369" spans="1:6">
      <c r="A2369" s="35" t="s">
        <v>2976</v>
      </c>
      <c r="B2369" s="37">
        <v>281.10000610351563</v>
      </c>
      <c r="C2369" s="37">
        <v>260.52786254882813</v>
      </c>
      <c r="D2369" s="35">
        <v>12055630</v>
      </c>
      <c r="E2369" s="35" t="s">
        <v>2833</v>
      </c>
      <c r="F2369" s="35" t="s">
        <v>604</v>
      </c>
    </row>
    <row r="2370" spans="1:6">
      <c r="A2370" s="35" t="s">
        <v>2977</v>
      </c>
      <c r="B2370" s="37">
        <v>282.625</v>
      </c>
      <c r="C2370" s="37">
        <v>261.94125366210938</v>
      </c>
      <c r="D2370" s="35">
        <v>20755492</v>
      </c>
      <c r="E2370" s="35" t="s">
        <v>2833</v>
      </c>
      <c r="F2370" s="35" t="s">
        <v>604</v>
      </c>
    </row>
    <row r="2371" spans="1:6">
      <c r="A2371" s="35" t="s">
        <v>2978</v>
      </c>
      <c r="B2371" s="37">
        <v>275.89999389648438</v>
      </c>
      <c r="C2371" s="37">
        <v>255.70843505859375</v>
      </c>
      <c r="D2371" s="35">
        <v>15680094</v>
      </c>
      <c r="E2371" s="35" t="s">
        <v>2833</v>
      </c>
      <c r="F2371" s="35" t="s">
        <v>604</v>
      </c>
    </row>
    <row r="2372" spans="1:6">
      <c r="A2372" s="35" t="s">
        <v>2979</v>
      </c>
      <c r="B2372" s="37">
        <v>275.67498779296875</v>
      </c>
      <c r="C2372" s="37">
        <v>255.49990844726563</v>
      </c>
      <c r="D2372" s="35">
        <v>1962810</v>
      </c>
      <c r="E2372" s="35" t="s">
        <v>2833</v>
      </c>
      <c r="F2372" s="35" t="s">
        <v>604</v>
      </c>
    </row>
    <row r="2373" spans="1:6">
      <c r="A2373" s="35" t="s">
        <v>2980</v>
      </c>
      <c r="B2373" s="37">
        <v>270.39999389648438</v>
      </c>
      <c r="C2373" s="37">
        <v>250.6109619140625</v>
      </c>
      <c r="D2373" s="35">
        <v>9855560</v>
      </c>
      <c r="E2373" s="35" t="s">
        <v>2833</v>
      </c>
      <c r="F2373" s="35" t="s">
        <v>604</v>
      </c>
    </row>
    <row r="2374" spans="1:6">
      <c r="A2374" s="35" t="s">
        <v>2981</v>
      </c>
      <c r="B2374" s="37">
        <v>271.85000610351563</v>
      </c>
      <c r="C2374" s="37">
        <v>251.95484924316406</v>
      </c>
      <c r="D2374" s="35">
        <v>6862260</v>
      </c>
      <c r="E2374" s="35" t="s">
        <v>2833</v>
      </c>
      <c r="F2374" s="35" t="s">
        <v>604</v>
      </c>
    </row>
    <row r="2375" spans="1:6">
      <c r="A2375" s="35" t="s">
        <v>2982</v>
      </c>
      <c r="B2375" s="37">
        <v>281.95001220703125</v>
      </c>
      <c r="C2375" s="37">
        <v>261.315673828125</v>
      </c>
      <c r="D2375" s="35">
        <v>19554884</v>
      </c>
      <c r="E2375" s="35" t="s">
        <v>2833</v>
      </c>
      <c r="F2375" s="35" t="s">
        <v>604</v>
      </c>
    </row>
    <row r="2376" spans="1:6">
      <c r="A2376" s="35" t="s">
        <v>2983</v>
      </c>
      <c r="B2376" s="37">
        <v>281.70001220703125</v>
      </c>
      <c r="C2376" s="37">
        <v>261.083984375</v>
      </c>
      <c r="D2376" s="35">
        <v>11997142</v>
      </c>
      <c r="E2376" s="35" t="s">
        <v>2833</v>
      </c>
      <c r="F2376" s="35" t="s">
        <v>604</v>
      </c>
    </row>
    <row r="2377" spans="1:6">
      <c r="A2377" s="35" t="s">
        <v>2984</v>
      </c>
      <c r="B2377" s="37">
        <v>284.5</v>
      </c>
      <c r="C2377" s="37">
        <v>263.67904663085938</v>
      </c>
      <c r="D2377" s="35">
        <v>20852658</v>
      </c>
      <c r="E2377" s="35" t="s">
        <v>2833</v>
      </c>
      <c r="F2377" s="35" t="s">
        <v>604</v>
      </c>
    </row>
    <row r="2378" spans="1:6">
      <c r="A2378" s="35" t="s">
        <v>2985</v>
      </c>
      <c r="B2378" s="37">
        <v>286.75</v>
      </c>
      <c r="C2378" s="37">
        <v>265.76443481445313</v>
      </c>
      <c r="D2378" s="35">
        <v>16139444</v>
      </c>
      <c r="E2378" s="35" t="s">
        <v>2833</v>
      </c>
      <c r="F2378" s="35" t="s">
        <v>604</v>
      </c>
    </row>
    <row r="2379" spans="1:6">
      <c r="A2379" s="35" t="s">
        <v>2986</v>
      </c>
      <c r="B2379" s="37">
        <v>285.32501220703125</v>
      </c>
      <c r="C2379" s="37">
        <v>264.4437255859375</v>
      </c>
      <c r="D2379" s="35">
        <v>11260890</v>
      </c>
      <c r="E2379" s="35" t="s">
        <v>2833</v>
      </c>
      <c r="F2379" s="35" t="s">
        <v>604</v>
      </c>
    </row>
    <row r="2380" spans="1:6">
      <c r="A2380" s="35" t="s">
        <v>2987</v>
      </c>
      <c r="B2380" s="37">
        <v>284.5</v>
      </c>
      <c r="C2380" s="37">
        <v>263.67904663085938</v>
      </c>
      <c r="D2380" s="35">
        <v>11391200</v>
      </c>
      <c r="E2380" s="35" t="s">
        <v>2833</v>
      </c>
      <c r="F2380" s="35" t="s">
        <v>604</v>
      </c>
    </row>
    <row r="2381" spans="1:6">
      <c r="A2381" s="35" t="s">
        <v>2988</v>
      </c>
      <c r="B2381" s="37">
        <v>283.35000610351563</v>
      </c>
      <c r="C2381" s="37">
        <v>262.61325073242188</v>
      </c>
      <c r="D2381" s="35">
        <v>9783520</v>
      </c>
      <c r="E2381" s="35" t="s">
        <v>2833</v>
      </c>
      <c r="F2381" s="35" t="s">
        <v>604</v>
      </c>
    </row>
    <row r="2382" spans="1:6">
      <c r="A2382" s="35" t="s">
        <v>2989</v>
      </c>
      <c r="B2382" s="37">
        <v>276.42498779296875</v>
      </c>
      <c r="C2382" s="37">
        <v>256.19503784179688</v>
      </c>
      <c r="D2382" s="35">
        <v>15289764</v>
      </c>
      <c r="E2382" s="35" t="s">
        <v>2833</v>
      </c>
      <c r="F2382" s="35" t="s">
        <v>604</v>
      </c>
    </row>
    <row r="2383" spans="1:6">
      <c r="A2383" s="35" t="s">
        <v>2990</v>
      </c>
      <c r="B2383" s="37">
        <v>281</v>
      </c>
      <c r="C2383" s="37">
        <v>260.43521118164063</v>
      </c>
      <c r="D2383" s="35">
        <v>12919778</v>
      </c>
      <c r="E2383" s="35" t="s">
        <v>2833</v>
      </c>
      <c r="F2383" s="35" t="s">
        <v>604</v>
      </c>
    </row>
    <row r="2384" spans="1:6">
      <c r="A2384" s="35" t="s">
        <v>2991</v>
      </c>
      <c r="B2384" s="37">
        <v>278.57501220703125</v>
      </c>
      <c r="C2384" s="37">
        <v>258.18768310546875</v>
      </c>
      <c r="D2384" s="35">
        <v>11672608</v>
      </c>
      <c r="E2384" s="35" t="s">
        <v>2833</v>
      </c>
      <c r="F2384" s="35" t="s">
        <v>604</v>
      </c>
    </row>
    <row r="2385" spans="1:6">
      <c r="A2385" s="35" t="s">
        <v>2992</v>
      </c>
      <c r="B2385" s="37">
        <v>285.82501220703125</v>
      </c>
      <c r="C2385" s="37">
        <v>264.9071044921875</v>
      </c>
      <c r="D2385" s="35">
        <v>14733232</v>
      </c>
      <c r="E2385" s="35" t="s">
        <v>2833</v>
      </c>
      <c r="F2385" s="35" t="s">
        <v>604</v>
      </c>
    </row>
    <row r="2386" spans="1:6">
      <c r="A2386" s="35" t="s">
        <v>2993</v>
      </c>
      <c r="B2386" s="37">
        <v>291.22500610351563</v>
      </c>
      <c r="C2386" s="37">
        <v>269.91189575195313</v>
      </c>
      <c r="D2386" s="35">
        <v>23297474</v>
      </c>
      <c r="E2386" s="35" t="s">
        <v>2833</v>
      </c>
      <c r="F2386" s="35" t="s">
        <v>604</v>
      </c>
    </row>
    <row r="2387" spans="1:6">
      <c r="A2387" s="35" t="s">
        <v>2994</v>
      </c>
      <c r="B2387" s="37">
        <v>294.5</v>
      </c>
      <c r="C2387" s="37">
        <v>272.94720458984375</v>
      </c>
      <c r="D2387" s="35">
        <v>15771340</v>
      </c>
      <c r="E2387" s="35" t="s">
        <v>2833</v>
      </c>
      <c r="F2387" s="35" t="s">
        <v>604</v>
      </c>
    </row>
    <row r="2388" spans="1:6">
      <c r="A2388" s="35" t="s">
        <v>2995</v>
      </c>
      <c r="B2388" s="37">
        <v>291.45001220703125</v>
      </c>
      <c r="C2388" s="37">
        <v>270.12042236328125</v>
      </c>
      <c r="D2388" s="35">
        <v>13659676</v>
      </c>
      <c r="E2388" s="35" t="s">
        <v>2833</v>
      </c>
      <c r="F2388" s="35" t="s">
        <v>604</v>
      </c>
    </row>
    <row r="2389" spans="1:6">
      <c r="A2389" s="35" t="s">
        <v>2996</v>
      </c>
      <c r="B2389" s="37">
        <v>286.10000610351563</v>
      </c>
      <c r="C2389" s="37">
        <v>265.1619873046875</v>
      </c>
      <c r="D2389" s="35">
        <v>11896556</v>
      </c>
      <c r="E2389" s="35" t="s">
        <v>2833</v>
      </c>
      <c r="F2389" s="35" t="s">
        <v>604</v>
      </c>
    </row>
    <row r="2390" spans="1:6">
      <c r="A2390" s="35" t="s">
        <v>2997</v>
      </c>
      <c r="B2390" s="37">
        <v>288.92498779296875</v>
      </c>
      <c r="C2390" s="37">
        <v>267.78021240234375</v>
      </c>
      <c r="D2390" s="35">
        <v>8540112</v>
      </c>
      <c r="E2390" s="35" t="s">
        <v>2833</v>
      </c>
      <c r="F2390" s="35" t="s">
        <v>604</v>
      </c>
    </row>
    <row r="2391" spans="1:6">
      <c r="A2391" s="35" t="s">
        <v>2998</v>
      </c>
      <c r="B2391" s="37">
        <v>292.27499389648438</v>
      </c>
      <c r="C2391" s="37">
        <v>270.88507080078125</v>
      </c>
      <c r="D2391" s="35">
        <v>11194000</v>
      </c>
      <c r="E2391" s="35" t="s">
        <v>2833</v>
      </c>
      <c r="F2391" s="35" t="s">
        <v>604</v>
      </c>
    </row>
    <row r="2392" spans="1:6">
      <c r="A2392" s="35" t="s">
        <v>2999</v>
      </c>
      <c r="B2392" s="37">
        <v>291.64999389648438</v>
      </c>
      <c r="C2392" s="37">
        <v>270.3057861328125</v>
      </c>
      <c r="D2392" s="35">
        <v>15445286</v>
      </c>
      <c r="E2392" s="35" t="s">
        <v>2833</v>
      </c>
      <c r="F2392" s="35" t="s">
        <v>604</v>
      </c>
    </row>
    <row r="2393" spans="1:6">
      <c r="A2393" s="35" t="s">
        <v>3000</v>
      </c>
      <c r="B2393" s="37">
        <v>294</v>
      </c>
      <c r="C2393" s="37">
        <v>272.48379516601563</v>
      </c>
      <c r="D2393" s="35">
        <v>14036431</v>
      </c>
      <c r="E2393" s="35" t="s">
        <v>2833</v>
      </c>
      <c r="F2393" s="35" t="s">
        <v>604</v>
      </c>
    </row>
    <row r="2394" spans="1:6">
      <c r="A2394" s="35" t="s">
        <v>3001</v>
      </c>
      <c r="B2394" s="37">
        <v>299.29998779296875</v>
      </c>
      <c r="C2394" s="37">
        <v>277.39590454101563</v>
      </c>
      <c r="D2394" s="35">
        <v>13487264</v>
      </c>
      <c r="E2394" s="35" t="s">
        <v>2833</v>
      </c>
      <c r="F2394" s="35" t="s">
        <v>604</v>
      </c>
    </row>
    <row r="2395" spans="1:6">
      <c r="A2395" s="35" t="s">
        <v>3002</v>
      </c>
      <c r="B2395" s="37">
        <v>297.35000610351563</v>
      </c>
      <c r="C2395" s="37">
        <v>275.588623046875</v>
      </c>
      <c r="D2395" s="35">
        <v>7894350</v>
      </c>
      <c r="E2395" s="35" t="s">
        <v>2833</v>
      </c>
      <c r="F2395" s="35" t="s">
        <v>604</v>
      </c>
    </row>
    <row r="2396" spans="1:6">
      <c r="A2396" s="35" t="s">
        <v>3003</v>
      </c>
      <c r="B2396" s="37">
        <v>303.75</v>
      </c>
      <c r="C2396" s="37">
        <v>281.520263671875</v>
      </c>
      <c r="D2396" s="35">
        <v>9285213</v>
      </c>
      <c r="E2396" s="35" t="s">
        <v>2833</v>
      </c>
      <c r="F2396" s="35" t="s">
        <v>604</v>
      </c>
    </row>
    <row r="2397" spans="1:6">
      <c r="A2397" s="35" t="s">
        <v>3004</v>
      </c>
      <c r="B2397" s="37">
        <v>308.10000610351563</v>
      </c>
      <c r="C2397" s="37">
        <v>285.5518798828125</v>
      </c>
      <c r="D2397" s="35">
        <v>17028502</v>
      </c>
      <c r="E2397" s="35" t="s">
        <v>2833</v>
      </c>
      <c r="F2397" s="35" t="s">
        <v>604</v>
      </c>
    </row>
    <row r="2398" spans="1:6">
      <c r="A2398" s="35" t="s">
        <v>3005</v>
      </c>
      <c r="B2398" s="37">
        <v>309</v>
      </c>
      <c r="C2398" s="37">
        <v>286.38607788085938</v>
      </c>
      <c r="D2398" s="35">
        <v>8608406</v>
      </c>
      <c r="E2398" s="35" t="s">
        <v>2833</v>
      </c>
      <c r="F2398" s="35" t="s">
        <v>604</v>
      </c>
    </row>
    <row r="2399" spans="1:6">
      <c r="A2399" s="35" t="s">
        <v>3006</v>
      </c>
      <c r="B2399" s="37">
        <v>309.10000610351563</v>
      </c>
      <c r="C2399" s="37">
        <v>286.47872924804688</v>
      </c>
      <c r="D2399" s="35">
        <v>12958440</v>
      </c>
      <c r="E2399" s="35" t="s">
        <v>2833</v>
      </c>
      <c r="F2399" s="35" t="s">
        <v>604</v>
      </c>
    </row>
    <row r="2400" spans="1:6">
      <c r="A2400" s="35" t="s">
        <v>3007</v>
      </c>
      <c r="B2400" s="37">
        <v>309.95001220703125</v>
      </c>
      <c r="C2400" s="37">
        <v>287.26654052734375</v>
      </c>
      <c r="D2400" s="35">
        <v>7382211</v>
      </c>
      <c r="E2400" s="35" t="s">
        <v>2833</v>
      </c>
      <c r="F2400" s="35" t="s">
        <v>604</v>
      </c>
    </row>
    <row r="2401" spans="1:6">
      <c r="A2401" s="35" t="s">
        <v>3008</v>
      </c>
      <c r="B2401" s="37">
        <v>309.20001220703125</v>
      </c>
      <c r="C2401" s="37">
        <v>286.57144165039063</v>
      </c>
      <c r="D2401" s="35">
        <v>7221189</v>
      </c>
      <c r="E2401" s="35" t="s">
        <v>2833</v>
      </c>
      <c r="F2401" s="35" t="s">
        <v>604</v>
      </c>
    </row>
    <row r="2402" spans="1:6">
      <c r="A2402" s="35" t="s">
        <v>3009</v>
      </c>
      <c r="B2402" s="37">
        <v>308.85000610351563</v>
      </c>
      <c r="C2402" s="37">
        <v>286.24700927734375</v>
      </c>
      <c r="D2402" s="35">
        <v>10568517</v>
      </c>
      <c r="E2402" s="35" t="s">
        <v>2833</v>
      </c>
      <c r="F2402" s="35" t="s">
        <v>604</v>
      </c>
    </row>
    <row r="2403" spans="1:6">
      <c r="A2403" s="35" t="s">
        <v>3010</v>
      </c>
      <c r="B2403" s="37">
        <v>312.60000610351563</v>
      </c>
      <c r="C2403" s="37">
        <v>289.72259521484375</v>
      </c>
      <c r="D2403" s="35">
        <v>10965226</v>
      </c>
      <c r="E2403" s="35" t="s">
        <v>2833</v>
      </c>
      <c r="F2403" s="35" t="s">
        <v>604</v>
      </c>
    </row>
    <row r="2404" spans="1:6">
      <c r="A2404" s="35" t="s">
        <v>3011</v>
      </c>
      <c r="B2404" s="37">
        <v>312.75</v>
      </c>
      <c r="C2404" s="37">
        <v>289.861572265625</v>
      </c>
      <c r="D2404" s="35">
        <v>12405595</v>
      </c>
      <c r="E2404" s="35" t="s">
        <v>2833</v>
      </c>
      <c r="F2404" s="35" t="s">
        <v>604</v>
      </c>
    </row>
    <row r="2405" spans="1:6">
      <c r="A2405" s="35" t="s">
        <v>3012</v>
      </c>
      <c r="B2405" s="37">
        <v>305.20001220703125</v>
      </c>
      <c r="C2405" s="37">
        <v>282.86416625976563</v>
      </c>
      <c r="D2405" s="35">
        <v>22214824</v>
      </c>
      <c r="E2405" s="35" t="s">
        <v>2833</v>
      </c>
      <c r="F2405" s="35" t="s">
        <v>604</v>
      </c>
    </row>
    <row r="2406" spans="1:6">
      <c r="A2406" s="35" t="s">
        <v>3013</v>
      </c>
      <c r="B2406" s="37">
        <v>307.89999389648438</v>
      </c>
      <c r="C2406" s="37">
        <v>285.36654663085938</v>
      </c>
      <c r="D2406" s="35">
        <v>6693583</v>
      </c>
      <c r="E2406" s="35" t="s">
        <v>2833</v>
      </c>
      <c r="F2406" s="35" t="s">
        <v>604</v>
      </c>
    </row>
    <row r="2407" spans="1:6">
      <c r="A2407" s="35" t="s">
        <v>3014</v>
      </c>
      <c r="B2407" s="37">
        <v>305.29998779296875</v>
      </c>
      <c r="C2407" s="37">
        <v>282.95681762695313</v>
      </c>
      <c r="D2407" s="35">
        <v>8837902</v>
      </c>
      <c r="E2407" s="35" t="s">
        <v>2833</v>
      </c>
      <c r="F2407" s="35" t="s">
        <v>604</v>
      </c>
    </row>
    <row r="2408" spans="1:6">
      <c r="A2408" s="35" t="s">
        <v>3015</v>
      </c>
      <c r="B2408" s="37">
        <v>305.04998779296875</v>
      </c>
      <c r="C2408" s="37">
        <v>282.72509765625</v>
      </c>
      <c r="D2408" s="35">
        <v>6516148</v>
      </c>
      <c r="E2408" s="35" t="s">
        <v>2833</v>
      </c>
      <c r="F2408" s="35" t="s">
        <v>604</v>
      </c>
    </row>
    <row r="2409" spans="1:6">
      <c r="A2409" s="35" t="s">
        <v>3016</v>
      </c>
      <c r="B2409" s="37">
        <v>309.10000610351563</v>
      </c>
      <c r="C2409" s="37">
        <v>286.47872924804688</v>
      </c>
      <c r="D2409" s="35">
        <v>8063921</v>
      </c>
      <c r="E2409" s="35" t="s">
        <v>2833</v>
      </c>
      <c r="F2409" s="35" t="s">
        <v>604</v>
      </c>
    </row>
    <row r="2410" spans="1:6">
      <c r="A2410" s="35" t="s">
        <v>3017</v>
      </c>
      <c r="B2410" s="37">
        <v>303.70001220703125</v>
      </c>
      <c r="C2410" s="37">
        <v>281.47390747070313</v>
      </c>
      <c r="D2410" s="35">
        <v>13709891</v>
      </c>
      <c r="E2410" s="35" t="s">
        <v>2833</v>
      </c>
      <c r="F2410" s="35" t="s">
        <v>604</v>
      </c>
    </row>
    <row r="2411" spans="1:6">
      <c r="A2411" s="35" t="s">
        <v>3018</v>
      </c>
      <c r="B2411" s="37">
        <v>301.85000610351563</v>
      </c>
      <c r="C2411" s="37">
        <v>279.75930786132813</v>
      </c>
      <c r="D2411" s="35">
        <v>9337030</v>
      </c>
      <c r="E2411" s="35" t="s">
        <v>2833</v>
      </c>
      <c r="F2411" s="35" t="s">
        <v>604</v>
      </c>
    </row>
    <row r="2412" spans="1:6">
      <c r="A2412" s="35" t="s">
        <v>3019</v>
      </c>
      <c r="B2412" s="37">
        <v>300.29998779296875</v>
      </c>
      <c r="C2412" s="37">
        <v>278.32275390625</v>
      </c>
      <c r="D2412" s="35">
        <v>7878201</v>
      </c>
      <c r="E2412" s="35" t="s">
        <v>2833</v>
      </c>
      <c r="F2412" s="35" t="s">
        <v>604</v>
      </c>
    </row>
    <row r="2413" spans="1:6">
      <c r="A2413" s="35" t="s">
        <v>3020</v>
      </c>
      <c r="B2413" s="37">
        <v>303.79998779296875</v>
      </c>
      <c r="C2413" s="37">
        <v>281.56658935546875</v>
      </c>
      <c r="D2413" s="35">
        <v>8800435</v>
      </c>
      <c r="E2413" s="35" t="s">
        <v>2833</v>
      </c>
      <c r="F2413" s="35" t="s">
        <v>604</v>
      </c>
    </row>
    <row r="2414" spans="1:6">
      <c r="A2414" s="35" t="s">
        <v>3021</v>
      </c>
      <c r="B2414" s="37">
        <v>294.45001220703125</v>
      </c>
      <c r="C2414" s="37">
        <v>272.90090942382813</v>
      </c>
      <c r="D2414" s="35">
        <v>12535720</v>
      </c>
      <c r="E2414" s="35" t="s">
        <v>2833</v>
      </c>
      <c r="F2414" s="35" t="s">
        <v>604</v>
      </c>
    </row>
    <row r="2415" spans="1:6">
      <c r="A2415" s="35" t="s">
        <v>3022</v>
      </c>
      <c r="B2415" s="37">
        <v>294.29998779296875</v>
      </c>
      <c r="C2415" s="37">
        <v>272.7618408203125</v>
      </c>
      <c r="D2415" s="35">
        <v>9173687</v>
      </c>
      <c r="E2415" s="35" t="s">
        <v>2833</v>
      </c>
      <c r="F2415" s="35" t="s">
        <v>604</v>
      </c>
    </row>
    <row r="2416" spans="1:6">
      <c r="A2416" s="35" t="s">
        <v>3023</v>
      </c>
      <c r="B2416" s="37">
        <v>294.04998779296875</v>
      </c>
      <c r="C2416" s="37">
        <v>272.5301513671875</v>
      </c>
      <c r="D2416" s="35">
        <v>7381943</v>
      </c>
      <c r="E2416" s="35" t="s">
        <v>2833</v>
      </c>
      <c r="F2416" s="35" t="s">
        <v>604</v>
      </c>
    </row>
    <row r="2417" spans="1:6">
      <c r="A2417" s="35" t="s">
        <v>3024</v>
      </c>
      <c r="B2417" s="37">
        <v>297.54998779296875</v>
      </c>
      <c r="C2417" s="37">
        <v>275.77401733398438</v>
      </c>
      <c r="D2417" s="35">
        <v>7937785</v>
      </c>
      <c r="E2417" s="35" t="s">
        <v>2833</v>
      </c>
      <c r="F2417" s="35" t="s">
        <v>604</v>
      </c>
    </row>
    <row r="2418" spans="1:6">
      <c r="A2418" s="35" t="s">
        <v>3025</v>
      </c>
      <c r="B2418" s="37">
        <v>292.29998779296875</v>
      </c>
      <c r="C2418" s="37">
        <v>270.90823364257813</v>
      </c>
      <c r="D2418" s="35">
        <v>7964702</v>
      </c>
      <c r="E2418" s="35" t="s">
        <v>2833</v>
      </c>
      <c r="F2418" s="35" t="s">
        <v>604</v>
      </c>
    </row>
    <row r="2419" spans="1:6">
      <c r="A2419" s="35" t="s">
        <v>3026</v>
      </c>
      <c r="B2419" s="37">
        <v>300.54998779296875</v>
      </c>
      <c r="C2419" s="37">
        <v>278.554443359375</v>
      </c>
      <c r="D2419" s="35">
        <v>19505556</v>
      </c>
      <c r="E2419" s="35" t="s">
        <v>2833</v>
      </c>
      <c r="F2419" s="35" t="s">
        <v>604</v>
      </c>
    </row>
    <row r="2420" spans="1:6">
      <c r="A2420" s="35" t="s">
        <v>3027</v>
      </c>
      <c r="B2420" s="37">
        <v>291.85000610351563</v>
      </c>
      <c r="C2420" s="37">
        <v>270.49118041992188</v>
      </c>
      <c r="D2420" s="35">
        <v>9541248</v>
      </c>
      <c r="E2420" s="35" t="s">
        <v>2833</v>
      </c>
      <c r="F2420" s="35" t="s">
        <v>604</v>
      </c>
    </row>
    <row r="2421" spans="1:6">
      <c r="A2421" s="35" t="s">
        <v>3028</v>
      </c>
      <c r="B2421" s="37">
        <v>292.85000610351563</v>
      </c>
      <c r="C2421" s="37">
        <v>271.41796875</v>
      </c>
      <c r="D2421" s="35">
        <v>7670070</v>
      </c>
      <c r="E2421" s="35" t="s">
        <v>2833</v>
      </c>
      <c r="F2421" s="35" t="s">
        <v>604</v>
      </c>
    </row>
    <row r="2422" spans="1:6">
      <c r="A2422" s="35" t="s">
        <v>3029</v>
      </c>
      <c r="B2422" s="37">
        <v>292.64999389648438</v>
      </c>
      <c r="C2422" s="37">
        <v>271.23260498046875</v>
      </c>
      <c r="D2422" s="35">
        <v>4662694</v>
      </c>
      <c r="E2422" s="35" t="s">
        <v>2833</v>
      </c>
      <c r="F2422" s="35" t="s">
        <v>604</v>
      </c>
    </row>
    <row r="2423" spans="1:6">
      <c r="A2423" s="35" t="s">
        <v>3030</v>
      </c>
      <c r="B2423" s="37">
        <v>288.04998779296875</v>
      </c>
      <c r="C2423" s="37">
        <v>266.96923828125</v>
      </c>
      <c r="D2423" s="35">
        <v>10345666</v>
      </c>
      <c r="E2423" s="35" t="s">
        <v>2833</v>
      </c>
      <c r="F2423" s="35" t="s">
        <v>604</v>
      </c>
    </row>
    <row r="2424" spans="1:6">
      <c r="A2424" s="35" t="s">
        <v>3031</v>
      </c>
      <c r="B2424" s="37">
        <v>281.95001220703125</v>
      </c>
      <c r="C2424" s="37">
        <v>261.315673828125</v>
      </c>
      <c r="D2424" s="35">
        <v>9358955</v>
      </c>
      <c r="E2424" s="35" t="s">
        <v>2833</v>
      </c>
      <c r="F2424" s="35" t="s">
        <v>604</v>
      </c>
    </row>
    <row r="2425" spans="1:6">
      <c r="A2425" s="35" t="s">
        <v>3032</v>
      </c>
      <c r="B2425" s="37">
        <v>300.25</v>
      </c>
      <c r="C2425" s="37">
        <v>278.27639770507813</v>
      </c>
      <c r="D2425" s="35">
        <v>39380165</v>
      </c>
      <c r="E2425" s="35" t="s">
        <v>2833</v>
      </c>
      <c r="F2425" s="35" t="s">
        <v>604</v>
      </c>
    </row>
    <row r="2426" spans="1:6">
      <c r="A2426" s="35" t="s">
        <v>3033</v>
      </c>
      <c r="B2426" s="37">
        <v>298.35000610351563</v>
      </c>
      <c r="C2426" s="37">
        <v>276.51544189453125</v>
      </c>
      <c r="D2426" s="35">
        <v>15619474</v>
      </c>
      <c r="E2426" s="35" t="s">
        <v>2833</v>
      </c>
      <c r="F2426" s="35" t="s">
        <v>604</v>
      </c>
    </row>
    <row r="2427" spans="1:6">
      <c r="A2427" s="35" t="s">
        <v>3034</v>
      </c>
      <c r="B2427" s="37">
        <v>309.10000610351563</v>
      </c>
      <c r="C2427" s="37">
        <v>286.47872924804688</v>
      </c>
      <c r="D2427" s="35">
        <v>30859317</v>
      </c>
      <c r="E2427" s="35" t="s">
        <v>2833</v>
      </c>
      <c r="F2427" s="35" t="s">
        <v>604</v>
      </c>
    </row>
    <row r="2428" spans="1:6">
      <c r="A2428" s="35" t="s">
        <v>3035</v>
      </c>
      <c r="B2428" s="37">
        <v>317.70001220703125</v>
      </c>
      <c r="C2428" s="37">
        <v>294.44937133789063</v>
      </c>
      <c r="D2428" s="35">
        <v>39904371</v>
      </c>
      <c r="E2428" s="35" t="s">
        <v>2833</v>
      </c>
      <c r="F2428" s="35" t="s">
        <v>604</v>
      </c>
    </row>
    <row r="2429" spans="1:6">
      <c r="A2429" s="35" t="s">
        <v>3036</v>
      </c>
      <c r="B2429" s="37">
        <v>320.10000610351563</v>
      </c>
      <c r="C2429" s="37">
        <v>296.6737060546875</v>
      </c>
      <c r="D2429" s="35">
        <v>17479586</v>
      </c>
      <c r="E2429" s="35" t="s">
        <v>2833</v>
      </c>
      <c r="F2429" s="35" t="s">
        <v>604</v>
      </c>
    </row>
    <row r="2430" spans="1:6">
      <c r="A2430" s="35" t="s">
        <v>3037</v>
      </c>
      <c r="B2430" s="37">
        <v>307.95001220703125</v>
      </c>
      <c r="C2430" s="37">
        <v>285.41290283203125</v>
      </c>
      <c r="D2430" s="35">
        <v>12372895</v>
      </c>
      <c r="E2430" s="35" t="s">
        <v>2833</v>
      </c>
      <c r="F2430" s="35" t="s">
        <v>604</v>
      </c>
    </row>
    <row r="2431" spans="1:6">
      <c r="A2431" s="35" t="s">
        <v>3038</v>
      </c>
      <c r="B2431" s="37">
        <v>303.60000610351563</v>
      </c>
      <c r="C2431" s="37">
        <v>286.9725341796875</v>
      </c>
      <c r="D2431" s="35">
        <v>12077491</v>
      </c>
      <c r="E2431" s="35" t="s">
        <v>2833</v>
      </c>
      <c r="F2431" s="35" t="s">
        <v>604</v>
      </c>
    </row>
    <row r="2432" spans="1:6">
      <c r="A2432" s="35" t="s">
        <v>3039</v>
      </c>
      <c r="B2432" s="37">
        <v>312.45001220703125</v>
      </c>
      <c r="C2432" s="37">
        <v>295.33782958984375</v>
      </c>
      <c r="D2432" s="35">
        <v>16338112</v>
      </c>
      <c r="E2432" s="35" t="s">
        <v>2833</v>
      </c>
      <c r="F2432" s="35" t="s">
        <v>604</v>
      </c>
    </row>
    <row r="2433" spans="1:6">
      <c r="A2433" s="35" t="s">
        <v>3040</v>
      </c>
      <c r="B2433" s="37">
        <v>309</v>
      </c>
      <c r="C2433" s="37">
        <v>292.0767822265625</v>
      </c>
      <c r="D2433" s="35">
        <v>9984186</v>
      </c>
      <c r="E2433" s="35" t="s">
        <v>2833</v>
      </c>
      <c r="F2433" s="35" t="s">
        <v>604</v>
      </c>
    </row>
    <row r="2434" spans="1:6">
      <c r="A2434" s="35" t="s">
        <v>3041</v>
      </c>
      <c r="B2434" s="37">
        <v>311.89999389648438</v>
      </c>
      <c r="C2434" s="37">
        <v>294.81796264648438</v>
      </c>
      <c r="D2434" s="35">
        <v>15597644</v>
      </c>
      <c r="E2434" s="35" t="s">
        <v>2833</v>
      </c>
      <c r="F2434" s="35" t="s">
        <v>604</v>
      </c>
    </row>
    <row r="2435" spans="1:6">
      <c r="A2435" s="35" t="s">
        <v>3042</v>
      </c>
      <c r="B2435" s="37">
        <v>304.79998779296875</v>
      </c>
      <c r="C2435" s="37">
        <v>288.10678100585938</v>
      </c>
      <c r="D2435" s="35">
        <v>6046117</v>
      </c>
      <c r="E2435" s="35" t="s">
        <v>2833</v>
      </c>
      <c r="F2435" s="35" t="s">
        <v>604</v>
      </c>
    </row>
    <row r="2436" spans="1:6">
      <c r="A2436" s="35" t="s">
        <v>3043</v>
      </c>
      <c r="B2436" s="37">
        <v>313.60000610351563</v>
      </c>
      <c r="C2436" s="37">
        <v>296.42483520507813</v>
      </c>
      <c r="D2436" s="35">
        <v>14877076</v>
      </c>
      <c r="E2436" s="35" t="s">
        <v>2833</v>
      </c>
      <c r="F2436" s="35" t="s">
        <v>604</v>
      </c>
    </row>
    <row r="2437" spans="1:6">
      <c r="A2437" s="35" t="s">
        <v>3044</v>
      </c>
      <c r="B2437" s="37">
        <v>316.25</v>
      </c>
      <c r="C2437" s="37">
        <v>298.92971801757813</v>
      </c>
      <c r="D2437" s="35">
        <v>15366864</v>
      </c>
      <c r="E2437" s="35" t="s">
        <v>2833</v>
      </c>
      <c r="F2437" s="35" t="s">
        <v>604</v>
      </c>
    </row>
    <row r="2438" spans="1:6">
      <c r="A2438" s="35" t="s">
        <v>3045</v>
      </c>
      <c r="B2438" s="37">
        <v>317.10000610351563</v>
      </c>
      <c r="C2438" s="37">
        <v>299.733154296875</v>
      </c>
      <c r="D2438" s="35">
        <v>9628027</v>
      </c>
      <c r="E2438" s="35" t="s">
        <v>2833</v>
      </c>
      <c r="F2438" s="35" t="s">
        <v>604</v>
      </c>
    </row>
    <row r="2439" spans="1:6">
      <c r="A2439" s="35" t="s">
        <v>3046</v>
      </c>
      <c r="B2439" s="37">
        <v>317.95001220703125</v>
      </c>
      <c r="C2439" s="37">
        <v>300.53662109375</v>
      </c>
      <c r="D2439" s="35">
        <v>15062390</v>
      </c>
      <c r="E2439" s="35" t="s">
        <v>2833</v>
      </c>
      <c r="F2439" s="35" t="s">
        <v>604</v>
      </c>
    </row>
    <row r="2440" spans="1:6">
      <c r="A2440" s="35" t="s">
        <v>3047</v>
      </c>
      <c r="B2440" s="37">
        <v>318</v>
      </c>
      <c r="C2440" s="37">
        <v>300.5838623046875</v>
      </c>
      <c r="D2440" s="35">
        <v>8589587</v>
      </c>
      <c r="E2440" s="35" t="s">
        <v>2833</v>
      </c>
      <c r="F2440" s="35" t="s">
        <v>604</v>
      </c>
    </row>
    <row r="2441" spans="1:6">
      <c r="A2441" s="35" t="s">
        <v>3048</v>
      </c>
      <c r="B2441" s="37">
        <v>319.04998779296875</v>
      </c>
      <c r="C2441" s="37">
        <v>301.57632446289063</v>
      </c>
      <c r="D2441" s="35">
        <v>12304840</v>
      </c>
      <c r="E2441" s="35" t="s">
        <v>2833</v>
      </c>
      <c r="F2441" s="35" t="s">
        <v>604</v>
      </c>
    </row>
    <row r="2442" spans="1:6">
      <c r="A2442" s="35" t="s">
        <v>3049</v>
      </c>
      <c r="B2442" s="37">
        <v>313</v>
      </c>
      <c r="C2442" s="37">
        <v>295.85772705078125</v>
      </c>
      <c r="D2442" s="35">
        <v>10627890</v>
      </c>
      <c r="E2442" s="35" t="s">
        <v>2833</v>
      </c>
      <c r="F2442" s="35" t="s">
        <v>604</v>
      </c>
    </row>
    <row r="2443" spans="1:6">
      <c r="A2443" s="35" t="s">
        <v>3050</v>
      </c>
      <c r="B2443" s="37">
        <v>310.20001220703125</v>
      </c>
      <c r="C2443" s="37">
        <v>293.21109008789063</v>
      </c>
      <c r="D2443" s="35">
        <v>9668342</v>
      </c>
      <c r="E2443" s="35" t="s">
        <v>2833</v>
      </c>
      <c r="F2443" s="35" t="s">
        <v>604</v>
      </c>
    </row>
    <row r="2444" spans="1:6">
      <c r="A2444" s="35" t="s">
        <v>3051</v>
      </c>
      <c r="B2444" s="37">
        <v>308.54998779296875</v>
      </c>
      <c r="C2444" s="37">
        <v>291.65142822265625</v>
      </c>
      <c r="D2444" s="35">
        <v>8832731</v>
      </c>
      <c r="E2444" s="35" t="s">
        <v>2833</v>
      </c>
      <c r="F2444" s="35" t="s">
        <v>604</v>
      </c>
    </row>
    <row r="2445" spans="1:6">
      <c r="A2445" s="35" t="s">
        <v>3052</v>
      </c>
      <c r="B2445" s="37">
        <v>308.10000610351563</v>
      </c>
      <c r="C2445" s="37">
        <v>291.22610473632813</v>
      </c>
      <c r="D2445" s="35">
        <v>7371341</v>
      </c>
      <c r="E2445" s="35" t="s">
        <v>2833</v>
      </c>
      <c r="F2445" s="35" t="s">
        <v>604</v>
      </c>
    </row>
    <row r="2446" spans="1:6">
      <c r="A2446" s="35" t="s">
        <v>3053</v>
      </c>
      <c r="B2446" s="37">
        <v>305.35000610351563</v>
      </c>
      <c r="C2446" s="37">
        <v>288.626708984375</v>
      </c>
      <c r="D2446" s="35">
        <v>7507772</v>
      </c>
      <c r="E2446" s="35" t="s">
        <v>2833</v>
      </c>
      <c r="F2446" s="35" t="s">
        <v>604</v>
      </c>
    </row>
    <row r="2447" spans="1:6">
      <c r="A2447" s="35" t="s">
        <v>3054</v>
      </c>
      <c r="B2447" s="37">
        <v>312.20001220703125</v>
      </c>
      <c r="C2447" s="37">
        <v>295.1015625</v>
      </c>
      <c r="D2447" s="35">
        <v>10368789</v>
      </c>
      <c r="E2447" s="35" t="s">
        <v>2833</v>
      </c>
      <c r="F2447" s="35" t="s">
        <v>604</v>
      </c>
    </row>
    <row r="2448" spans="1:6">
      <c r="A2448" s="35" t="s">
        <v>3055</v>
      </c>
      <c r="B2448" s="37">
        <v>314.10000610351563</v>
      </c>
      <c r="C2448" s="37">
        <v>296.8974609375</v>
      </c>
      <c r="D2448" s="35">
        <v>7835672</v>
      </c>
      <c r="E2448" s="35" t="s">
        <v>2833</v>
      </c>
      <c r="F2448" s="35" t="s">
        <v>604</v>
      </c>
    </row>
    <row r="2449" spans="1:6">
      <c r="A2449" s="35" t="s">
        <v>3056</v>
      </c>
      <c r="B2449" s="37">
        <v>313.29998779296875</v>
      </c>
      <c r="C2449" s="37">
        <v>296.1412353515625</v>
      </c>
      <c r="D2449" s="35">
        <v>7697134</v>
      </c>
      <c r="E2449" s="35" t="s">
        <v>2833</v>
      </c>
      <c r="F2449" s="35" t="s">
        <v>604</v>
      </c>
    </row>
    <row r="2450" spans="1:6">
      <c r="A2450" s="35" t="s">
        <v>3057</v>
      </c>
      <c r="B2450" s="37">
        <v>306.35000610351563</v>
      </c>
      <c r="C2450" s="37">
        <v>289.57192993164063</v>
      </c>
      <c r="D2450" s="35">
        <v>8722925</v>
      </c>
      <c r="E2450" s="35" t="s">
        <v>2833</v>
      </c>
      <c r="F2450" s="35" t="s">
        <v>604</v>
      </c>
    </row>
    <row r="2451" spans="1:6">
      <c r="A2451" s="35" t="s">
        <v>3058</v>
      </c>
      <c r="B2451" s="37">
        <v>295.04998779296875</v>
      </c>
      <c r="C2451" s="37">
        <v>278.89077758789063</v>
      </c>
      <c r="D2451" s="35">
        <v>12600963</v>
      </c>
      <c r="E2451" s="35" t="s">
        <v>2833</v>
      </c>
      <c r="F2451" s="35" t="s">
        <v>604</v>
      </c>
    </row>
    <row r="2452" spans="1:6">
      <c r="A2452" s="35" t="s">
        <v>3059</v>
      </c>
      <c r="B2452" s="37">
        <v>291.29998779296875</v>
      </c>
      <c r="C2452" s="37">
        <v>275.34619140625</v>
      </c>
      <c r="D2452" s="35">
        <v>10810040</v>
      </c>
      <c r="E2452" s="35" t="s">
        <v>2833</v>
      </c>
      <c r="F2452" s="35" t="s">
        <v>604</v>
      </c>
    </row>
    <row r="2453" spans="1:6">
      <c r="A2453" s="35" t="s">
        <v>3060</v>
      </c>
      <c r="B2453" s="37">
        <v>294.5</v>
      </c>
      <c r="C2453" s="37">
        <v>278.37094116210938</v>
      </c>
      <c r="D2453" s="35">
        <v>15555649</v>
      </c>
      <c r="E2453" s="35" t="s">
        <v>2833</v>
      </c>
      <c r="F2453" s="35" t="s">
        <v>604</v>
      </c>
    </row>
    <row r="2454" spans="1:6">
      <c r="A2454" s="35" t="s">
        <v>3061</v>
      </c>
      <c r="B2454" s="37">
        <v>277.64999389648438</v>
      </c>
      <c r="C2454" s="37">
        <v>262.44375610351563</v>
      </c>
      <c r="D2454" s="35">
        <v>17458839</v>
      </c>
      <c r="E2454" s="35" t="s">
        <v>2833</v>
      </c>
      <c r="F2454" s="35" t="s">
        <v>604</v>
      </c>
    </row>
    <row r="2455" spans="1:6">
      <c r="A2455" s="35" t="s">
        <v>3062</v>
      </c>
      <c r="B2455" s="37">
        <v>283.54998779296875</v>
      </c>
      <c r="C2455" s="37">
        <v>268.02059936523438</v>
      </c>
      <c r="D2455" s="35">
        <v>11471554</v>
      </c>
      <c r="E2455" s="35" t="s">
        <v>2833</v>
      </c>
      <c r="F2455" s="35" t="s">
        <v>604</v>
      </c>
    </row>
    <row r="2456" spans="1:6">
      <c r="A2456" s="35" t="s">
        <v>3063</v>
      </c>
      <c r="B2456" s="37">
        <v>280</v>
      </c>
      <c r="C2456" s="37">
        <v>264.6650390625</v>
      </c>
      <c r="D2456" s="35">
        <v>9331785</v>
      </c>
      <c r="E2456" s="35" t="s">
        <v>2833</v>
      </c>
      <c r="F2456" s="35" t="s">
        <v>604</v>
      </c>
    </row>
    <row r="2457" spans="1:6">
      <c r="A2457" s="35" t="s">
        <v>3064</v>
      </c>
      <c r="B2457" s="37">
        <v>285.10000610351563</v>
      </c>
      <c r="C2457" s="37">
        <v>269.48574829101563</v>
      </c>
      <c r="D2457" s="35">
        <v>10285712</v>
      </c>
      <c r="E2457" s="35" t="s">
        <v>2833</v>
      </c>
      <c r="F2457" s="35" t="s">
        <v>604</v>
      </c>
    </row>
    <row r="2458" spans="1:6">
      <c r="A2458" s="35" t="s">
        <v>3065</v>
      </c>
      <c r="B2458" s="37">
        <v>285.89999389648438</v>
      </c>
      <c r="C2458" s="37">
        <v>270.24191284179688</v>
      </c>
      <c r="D2458" s="35">
        <v>9782051</v>
      </c>
      <c r="E2458" s="35" t="s">
        <v>2833</v>
      </c>
      <c r="F2458" s="35" t="s">
        <v>604</v>
      </c>
    </row>
    <row r="2459" spans="1:6">
      <c r="A2459" s="35" t="s">
        <v>3066</v>
      </c>
      <c r="B2459" s="37">
        <v>284.79998779296875</v>
      </c>
      <c r="C2459" s="37">
        <v>269.2021484375</v>
      </c>
      <c r="D2459" s="35">
        <v>8097300</v>
      </c>
      <c r="E2459" s="35" t="s">
        <v>2833</v>
      </c>
      <c r="F2459" s="35" t="s">
        <v>604</v>
      </c>
    </row>
    <row r="2460" spans="1:6">
      <c r="A2460" s="35" t="s">
        <v>3067</v>
      </c>
      <c r="B2460" s="37">
        <v>280.89999389648438</v>
      </c>
      <c r="C2460" s="37">
        <v>265.51577758789063</v>
      </c>
      <c r="D2460" s="35">
        <v>8165123</v>
      </c>
      <c r="E2460" s="35" t="s">
        <v>2833</v>
      </c>
      <c r="F2460" s="35" t="s">
        <v>604</v>
      </c>
    </row>
    <row r="2461" spans="1:6">
      <c r="A2461" s="35" t="s">
        <v>3068</v>
      </c>
      <c r="B2461" s="37">
        <v>277.75</v>
      </c>
      <c r="C2461" s="37">
        <v>262.53826904296875</v>
      </c>
      <c r="D2461" s="35">
        <v>8602609</v>
      </c>
      <c r="E2461" s="35" t="s">
        <v>2833</v>
      </c>
      <c r="F2461" s="35" t="s">
        <v>604</v>
      </c>
    </row>
    <row r="2462" spans="1:6">
      <c r="A2462" s="35" t="s">
        <v>3069</v>
      </c>
      <c r="B2462" s="37">
        <v>268.54998779296875</v>
      </c>
      <c r="C2462" s="37">
        <v>253.84213256835938</v>
      </c>
      <c r="D2462" s="35">
        <v>18584311</v>
      </c>
      <c r="E2462" s="35" t="s">
        <v>2833</v>
      </c>
      <c r="F2462" s="35" t="s">
        <v>604</v>
      </c>
    </row>
    <row r="2463" spans="1:6">
      <c r="A2463" s="35" t="s">
        <v>3070</v>
      </c>
      <c r="B2463" s="37">
        <v>264</v>
      </c>
      <c r="C2463" s="37">
        <v>249.54133605957031</v>
      </c>
      <c r="D2463" s="35">
        <v>8683943</v>
      </c>
      <c r="E2463" s="35" t="s">
        <v>2833</v>
      </c>
      <c r="F2463" s="35" t="s">
        <v>604</v>
      </c>
    </row>
    <row r="2464" spans="1:6">
      <c r="A2464" s="35" t="s">
        <v>3071</v>
      </c>
      <c r="B2464" s="37">
        <v>259.85000610351563</v>
      </c>
      <c r="C2464" s="37">
        <v>245.61862182617188</v>
      </c>
      <c r="D2464" s="35">
        <v>12697926</v>
      </c>
      <c r="E2464" s="35" t="s">
        <v>2833</v>
      </c>
      <c r="F2464" s="35" t="s">
        <v>604</v>
      </c>
    </row>
    <row r="2465" spans="1:6">
      <c r="A2465" s="35" t="s">
        <v>3072</v>
      </c>
      <c r="B2465" s="37">
        <v>259.85000610351563</v>
      </c>
      <c r="C2465" s="37">
        <v>245.61862182617188</v>
      </c>
      <c r="D2465" s="35">
        <v>0</v>
      </c>
      <c r="E2465" s="35" t="s">
        <v>2833</v>
      </c>
      <c r="F2465" s="35" t="s">
        <v>604</v>
      </c>
    </row>
    <row r="2466" spans="1:6">
      <c r="A2466" s="35" t="s">
        <v>3073</v>
      </c>
      <c r="B2466" s="37">
        <v>265.70001220703125</v>
      </c>
      <c r="C2466" s="37">
        <v>251.14823913574219</v>
      </c>
      <c r="D2466" s="35">
        <v>14044300</v>
      </c>
      <c r="E2466" s="35" t="s">
        <v>2833</v>
      </c>
      <c r="F2466" s="35" t="s">
        <v>604</v>
      </c>
    </row>
    <row r="2467" spans="1:6">
      <c r="A2467" s="35" t="s">
        <v>3074</v>
      </c>
      <c r="B2467" s="37">
        <v>268</v>
      </c>
      <c r="C2467" s="37">
        <v>253.322265625</v>
      </c>
      <c r="D2467" s="35">
        <v>17038774</v>
      </c>
      <c r="E2467" s="35" t="s">
        <v>2833</v>
      </c>
      <c r="F2467" s="35" t="s">
        <v>604</v>
      </c>
    </row>
    <row r="2468" spans="1:6">
      <c r="A2468" s="35" t="s">
        <v>3075</v>
      </c>
      <c r="B2468" s="37">
        <v>264.29998779296875</v>
      </c>
      <c r="C2468" s="37">
        <v>249.82489013671875</v>
      </c>
      <c r="D2468" s="35">
        <v>22659168</v>
      </c>
      <c r="E2468" s="35" t="s">
        <v>2833</v>
      </c>
      <c r="F2468" s="35" t="s">
        <v>604</v>
      </c>
    </row>
    <row r="2469" spans="1:6">
      <c r="A2469" s="35" t="s">
        <v>3076</v>
      </c>
      <c r="B2469" s="37">
        <v>269.39999389648438</v>
      </c>
      <c r="C2469" s="37">
        <v>254.64558410644531</v>
      </c>
      <c r="D2469" s="35">
        <v>9269617</v>
      </c>
      <c r="E2469" s="35" t="s">
        <v>2833</v>
      </c>
      <c r="F2469" s="35" t="s">
        <v>604</v>
      </c>
    </row>
    <row r="2470" spans="1:6">
      <c r="A2470" s="35" t="s">
        <v>3077</v>
      </c>
      <c r="B2470" s="37">
        <v>271</v>
      </c>
      <c r="C2470" s="37">
        <v>256.157958984375</v>
      </c>
      <c r="D2470" s="35">
        <v>12563930</v>
      </c>
      <c r="E2470" s="35" t="s">
        <v>2833</v>
      </c>
      <c r="F2470" s="35" t="s">
        <v>604</v>
      </c>
    </row>
    <row r="2471" spans="1:6">
      <c r="A2471" s="35" t="s">
        <v>3078</v>
      </c>
      <c r="B2471" s="37">
        <v>267.39999389648438</v>
      </c>
      <c r="C2471" s="37">
        <v>252.75511169433594</v>
      </c>
      <c r="D2471" s="35">
        <v>7308412</v>
      </c>
      <c r="E2471" s="35" t="s">
        <v>2833</v>
      </c>
      <c r="F2471" s="35" t="s">
        <v>604</v>
      </c>
    </row>
    <row r="2472" spans="1:6">
      <c r="A2472" s="35" t="s">
        <v>3079</v>
      </c>
      <c r="B2472" s="37">
        <v>272.20001220703125</v>
      </c>
      <c r="C2472" s="37">
        <v>257.292236328125</v>
      </c>
      <c r="D2472" s="35">
        <v>14783522</v>
      </c>
      <c r="E2472" s="35" t="s">
        <v>2833</v>
      </c>
      <c r="F2472" s="35" t="s">
        <v>604</v>
      </c>
    </row>
    <row r="2473" spans="1:6">
      <c r="A2473" s="35" t="s">
        <v>3080</v>
      </c>
      <c r="B2473" s="37">
        <v>262.25</v>
      </c>
      <c r="C2473" s="37">
        <v>247.88717651367188</v>
      </c>
      <c r="D2473" s="35">
        <v>14283389</v>
      </c>
      <c r="E2473" s="35" t="s">
        <v>2833</v>
      </c>
      <c r="F2473" s="35" t="s">
        <v>604</v>
      </c>
    </row>
    <row r="2474" spans="1:6">
      <c r="A2474" s="35" t="s">
        <v>3081</v>
      </c>
      <c r="B2474" s="37">
        <v>262.60000610351563</v>
      </c>
      <c r="C2474" s="37">
        <v>248.21800231933594</v>
      </c>
      <c r="D2474" s="35">
        <v>8388635</v>
      </c>
      <c r="E2474" s="35" t="s">
        <v>3082</v>
      </c>
      <c r="F2474" s="35" t="s">
        <v>604</v>
      </c>
    </row>
    <row r="2475" spans="1:6">
      <c r="A2475" s="35" t="s">
        <v>3083</v>
      </c>
      <c r="B2475" s="37">
        <v>263.60000610351563</v>
      </c>
      <c r="C2475" s="37">
        <v>249.16325378417969</v>
      </c>
      <c r="D2475" s="35">
        <v>7136992</v>
      </c>
      <c r="E2475" s="35" t="s">
        <v>3082</v>
      </c>
      <c r="F2475" s="35" t="s">
        <v>604</v>
      </c>
    </row>
    <row r="2476" spans="1:6">
      <c r="A2476" s="35" t="s">
        <v>3084</v>
      </c>
      <c r="B2476" s="37">
        <v>256.35000610351563</v>
      </c>
      <c r="C2476" s="37">
        <v>242.31031799316406</v>
      </c>
      <c r="D2476" s="35">
        <v>12262561</v>
      </c>
      <c r="E2476" s="35" t="s">
        <v>3082</v>
      </c>
      <c r="F2476" s="35" t="s">
        <v>604</v>
      </c>
    </row>
    <row r="2477" spans="1:6">
      <c r="A2477" s="35" t="s">
        <v>3085</v>
      </c>
      <c r="B2477" s="37">
        <v>246.30000305175781</v>
      </c>
      <c r="C2477" s="37">
        <v>232.81071472167969</v>
      </c>
      <c r="D2477" s="35">
        <v>14639785</v>
      </c>
      <c r="E2477" s="35" t="s">
        <v>3082</v>
      </c>
      <c r="F2477" s="35" t="s">
        <v>604</v>
      </c>
    </row>
    <row r="2478" spans="1:6">
      <c r="A2478" s="35" t="s">
        <v>3086</v>
      </c>
      <c r="B2478" s="37">
        <v>242.89999389648438</v>
      </c>
      <c r="C2478" s="37">
        <v>229.59690856933594</v>
      </c>
      <c r="D2478" s="35">
        <v>13011904</v>
      </c>
      <c r="E2478" s="35" t="s">
        <v>3082</v>
      </c>
      <c r="F2478" s="35" t="s">
        <v>604</v>
      </c>
    </row>
    <row r="2479" spans="1:6">
      <c r="A2479" s="35" t="s">
        <v>3087</v>
      </c>
      <c r="B2479" s="37">
        <v>247.25</v>
      </c>
      <c r="C2479" s="37">
        <v>233.70869445800781</v>
      </c>
      <c r="D2479" s="35">
        <v>13806651</v>
      </c>
      <c r="E2479" s="35" t="s">
        <v>3082</v>
      </c>
      <c r="F2479" s="35" t="s">
        <v>604</v>
      </c>
    </row>
    <row r="2480" spans="1:6">
      <c r="A2480" s="35" t="s">
        <v>3088</v>
      </c>
      <c r="B2480" s="37">
        <v>236.64999389648438</v>
      </c>
      <c r="C2480" s="37">
        <v>223.68922424316406</v>
      </c>
      <c r="D2480" s="35">
        <v>19063559</v>
      </c>
      <c r="E2480" s="35" t="s">
        <v>3082</v>
      </c>
      <c r="F2480" s="35" t="s">
        <v>604</v>
      </c>
    </row>
    <row r="2481" spans="1:6">
      <c r="A2481" s="35" t="s">
        <v>3089</v>
      </c>
      <c r="B2481" s="37">
        <v>239.75</v>
      </c>
      <c r="C2481" s="37">
        <v>226.61944580078125</v>
      </c>
      <c r="D2481" s="35">
        <v>11205821</v>
      </c>
      <c r="E2481" s="35" t="s">
        <v>3082</v>
      </c>
      <c r="F2481" s="35" t="s">
        <v>604</v>
      </c>
    </row>
    <row r="2482" spans="1:6">
      <c r="A2482" s="35" t="s">
        <v>3090</v>
      </c>
      <c r="B2482" s="37">
        <v>244</v>
      </c>
      <c r="C2482" s="37">
        <v>230.63668823242188</v>
      </c>
      <c r="D2482" s="35">
        <v>10694621</v>
      </c>
      <c r="E2482" s="35" t="s">
        <v>3082</v>
      </c>
      <c r="F2482" s="35" t="s">
        <v>604</v>
      </c>
    </row>
    <row r="2483" spans="1:6">
      <c r="A2483" s="35" t="s">
        <v>3091</v>
      </c>
      <c r="B2483" s="37">
        <v>247.64999389648438</v>
      </c>
      <c r="C2483" s="37">
        <v>234.08677673339844</v>
      </c>
      <c r="D2483" s="35">
        <v>16203319</v>
      </c>
      <c r="E2483" s="35" t="s">
        <v>3082</v>
      </c>
      <c r="F2483" s="35" t="s">
        <v>604</v>
      </c>
    </row>
    <row r="2484" spans="1:6">
      <c r="A2484" s="35" t="s">
        <v>3092</v>
      </c>
      <c r="B2484" s="37">
        <v>236.89999389648438</v>
      </c>
      <c r="C2484" s="37">
        <v>223.92552185058594</v>
      </c>
      <c r="D2484" s="35">
        <v>54875421</v>
      </c>
      <c r="E2484" s="35" t="s">
        <v>3082</v>
      </c>
      <c r="F2484" s="35" t="s">
        <v>604</v>
      </c>
    </row>
    <row r="2485" spans="1:6">
      <c r="A2485" s="35" t="s">
        <v>3093</v>
      </c>
      <c r="B2485" s="37">
        <v>238.44999694824219</v>
      </c>
      <c r="C2485" s="37">
        <v>225.39064025878906</v>
      </c>
      <c r="D2485" s="35">
        <v>16298364</v>
      </c>
      <c r="E2485" s="35" t="s">
        <v>3082</v>
      </c>
      <c r="F2485" s="35" t="s">
        <v>604</v>
      </c>
    </row>
    <row r="2486" spans="1:6">
      <c r="A2486" s="35" t="s">
        <v>3094</v>
      </c>
      <c r="B2486" s="37">
        <v>234.14999389648438</v>
      </c>
      <c r="C2486" s="37">
        <v>221.32614135742188</v>
      </c>
      <c r="D2486" s="35">
        <v>18367713</v>
      </c>
      <c r="E2486" s="35" t="s">
        <v>3082</v>
      </c>
      <c r="F2486" s="35" t="s">
        <v>604</v>
      </c>
    </row>
    <row r="2487" spans="1:6">
      <c r="A2487" s="35" t="s">
        <v>3095</v>
      </c>
      <c r="B2487" s="37">
        <v>243.60000610351563</v>
      </c>
      <c r="C2487" s="37">
        <v>230.25859069824219</v>
      </c>
      <c r="D2487" s="35">
        <v>31898042</v>
      </c>
      <c r="E2487" s="35" t="s">
        <v>3082</v>
      </c>
      <c r="F2487" s="35" t="s">
        <v>604</v>
      </c>
    </row>
    <row r="2488" spans="1:6">
      <c r="A2488" s="35" t="s">
        <v>3096</v>
      </c>
      <c r="B2488" s="37">
        <v>242.75</v>
      </c>
      <c r="C2488" s="37">
        <v>229.45512390136719</v>
      </c>
      <c r="D2488" s="35">
        <v>23000820</v>
      </c>
      <c r="E2488" s="35" t="s">
        <v>3082</v>
      </c>
      <c r="F2488" s="35" t="s">
        <v>604</v>
      </c>
    </row>
    <row r="2489" spans="1:6">
      <c r="A2489" s="35" t="s">
        <v>3097</v>
      </c>
      <c r="B2489" s="37">
        <v>240.89999389648438</v>
      </c>
      <c r="C2489" s="37">
        <v>227.70645141601563</v>
      </c>
      <c r="D2489" s="35">
        <v>16620430</v>
      </c>
      <c r="E2489" s="35" t="s">
        <v>3082</v>
      </c>
      <c r="F2489" s="35" t="s">
        <v>604</v>
      </c>
    </row>
    <row r="2490" spans="1:6">
      <c r="A2490" s="35" t="s">
        <v>3098</v>
      </c>
      <c r="B2490" s="37">
        <v>240.5</v>
      </c>
      <c r="C2490" s="37">
        <v>227.328369140625</v>
      </c>
      <c r="D2490" s="35">
        <v>14218414</v>
      </c>
      <c r="E2490" s="35" t="s">
        <v>3082</v>
      </c>
      <c r="F2490" s="35" t="s">
        <v>604</v>
      </c>
    </row>
    <row r="2491" spans="1:6">
      <c r="A2491" s="35" t="s">
        <v>3099</v>
      </c>
      <c r="B2491" s="37">
        <v>241.39999389648438</v>
      </c>
      <c r="C2491" s="37">
        <v>228.1790771484375</v>
      </c>
      <c r="D2491" s="35">
        <v>16647246</v>
      </c>
      <c r="E2491" s="35" t="s">
        <v>3082</v>
      </c>
      <c r="F2491" s="35" t="s">
        <v>604</v>
      </c>
    </row>
    <row r="2492" spans="1:6">
      <c r="A2492" s="35" t="s">
        <v>3100</v>
      </c>
      <c r="B2492" s="37">
        <v>241.5</v>
      </c>
      <c r="C2492" s="37">
        <v>228.27360534667969</v>
      </c>
      <c r="D2492" s="35">
        <v>14206640</v>
      </c>
      <c r="E2492" s="35" t="s">
        <v>3082</v>
      </c>
      <c r="F2492" s="35" t="s">
        <v>604</v>
      </c>
    </row>
    <row r="2493" spans="1:6">
      <c r="A2493" s="35" t="s">
        <v>3101</v>
      </c>
      <c r="B2493" s="37">
        <v>241.67999267578125</v>
      </c>
      <c r="C2493" s="37">
        <v>228.4437255859375</v>
      </c>
      <c r="D2493" s="35">
        <v>10822257</v>
      </c>
      <c r="E2493" s="35" t="s">
        <v>3082</v>
      </c>
      <c r="F2493" s="35" t="s">
        <v>604</v>
      </c>
    </row>
    <row r="2494" spans="1:6">
      <c r="A2494" s="35" t="s">
        <v>3102</v>
      </c>
      <c r="B2494" s="37">
        <v>243.57000732421875</v>
      </c>
      <c r="C2494" s="37">
        <v>230.23023986816406</v>
      </c>
      <c r="D2494" s="35">
        <v>12170446</v>
      </c>
      <c r="E2494" s="35" t="s">
        <v>3082</v>
      </c>
      <c r="F2494" s="35" t="s">
        <v>604</v>
      </c>
    </row>
    <row r="2495" spans="1:6">
      <c r="A2495" s="35" t="s">
        <v>3103</v>
      </c>
      <c r="B2495" s="37">
        <v>241.19000244140625</v>
      </c>
      <c r="C2495" s="37">
        <v>227.9805908203125</v>
      </c>
      <c r="D2495" s="35">
        <v>8869045</v>
      </c>
      <c r="E2495" s="35" t="s">
        <v>3082</v>
      </c>
      <c r="F2495" s="35" t="s">
        <v>604</v>
      </c>
    </row>
    <row r="2496" spans="1:6">
      <c r="A2496" s="35" t="s">
        <v>3104</v>
      </c>
      <c r="B2496" s="37">
        <v>244.03999328613281</v>
      </c>
      <c r="C2496" s="37">
        <v>230.67448425292969</v>
      </c>
      <c r="D2496" s="35">
        <v>9130056</v>
      </c>
      <c r="E2496" s="35" t="s">
        <v>3082</v>
      </c>
      <c r="F2496" s="35" t="s">
        <v>604</v>
      </c>
    </row>
    <row r="2497" spans="1:6">
      <c r="A2497" s="35" t="s">
        <v>3105</v>
      </c>
      <c r="B2497" s="37">
        <v>241.57000732421875</v>
      </c>
      <c r="C2497" s="37">
        <v>228.33976745605469</v>
      </c>
      <c r="D2497" s="35">
        <v>11434833</v>
      </c>
      <c r="E2497" s="35" t="s">
        <v>3082</v>
      </c>
      <c r="F2497" s="35" t="s">
        <v>604</v>
      </c>
    </row>
    <row r="2498" spans="1:6">
      <c r="A2498" s="35" t="s">
        <v>3106</v>
      </c>
      <c r="B2498" s="37">
        <v>242.00999450683594</v>
      </c>
      <c r="C2498" s="37">
        <v>228.75566101074219</v>
      </c>
      <c r="D2498" s="35">
        <v>10582438</v>
      </c>
      <c r="E2498" s="35" t="s">
        <v>3082</v>
      </c>
      <c r="F2498" s="35" t="s">
        <v>604</v>
      </c>
    </row>
    <row r="2499" spans="1:6">
      <c r="A2499" s="35" t="s">
        <v>3107</v>
      </c>
      <c r="B2499" s="37">
        <v>257.27999877929688</v>
      </c>
      <c r="C2499" s="37">
        <v>243.18937683105469</v>
      </c>
      <c r="D2499" s="35">
        <v>19791711</v>
      </c>
      <c r="E2499" s="35" t="s">
        <v>3082</v>
      </c>
      <c r="F2499" s="35" t="s">
        <v>604</v>
      </c>
    </row>
    <row r="2500" spans="1:6">
      <c r="A2500" s="35" t="s">
        <v>3108</v>
      </c>
      <c r="B2500" s="37">
        <v>251.57000732421875</v>
      </c>
      <c r="C2500" s="37">
        <v>237.79209899902344</v>
      </c>
      <c r="D2500" s="35">
        <v>11714159</v>
      </c>
      <c r="E2500" s="35" t="s">
        <v>3082</v>
      </c>
      <c r="F2500" s="35" t="s">
        <v>604</v>
      </c>
    </row>
    <row r="2501" spans="1:6">
      <c r="A2501" s="35" t="s">
        <v>3109</v>
      </c>
      <c r="B2501" s="37">
        <v>252.94000244140625</v>
      </c>
      <c r="C2501" s="37">
        <v>239.08705139160156</v>
      </c>
      <c r="D2501" s="35">
        <v>8839105</v>
      </c>
      <c r="E2501" s="35" t="s">
        <v>3082</v>
      </c>
      <c r="F2501" s="35" t="s">
        <v>604</v>
      </c>
    </row>
    <row r="2502" spans="1:6">
      <c r="A2502" s="35" t="s">
        <v>3110</v>
      </c>
      <c r="B2502" s="37">
        <v>256.57000732421875</v>
      </c>
      <c r="C2502" s="37">
        <v>242.51826477050781</v>
      </c>
      <c r="D2502" s="35">
        <v>12083645</v>
      </c>
      <c r="E2502" s="35" t="s">
        <v>3082</v>
      </c>
      <c r="F2502" s="35" t="s">
        <v>604</v>
      </c>
    </row>
    <row r="2503" spans="1:6">
      <c r="A2503" s="35" t="s">
        <v>3111</v>
      </c>
      <c r="B2503" s="37">
        <v>254.30999755859375</v>
      </c>
      <c r="C2503" s="37">
        <v>240.38201904296875</v>
      </c>
      <c r="D2503" s="35">
        <v>6640387</v>
      </c>
      <c r="E2503" s="35" t="s">
        <v>3082</v>
      </c>
      <c r="F2503" s="35" t="s">
        <v>604</v>
      </c>
    </row>
    <row r="2504" spans="1:6">
      <c r="A2504" s="35" t="s">
        <v>3112</v>
      </c>
      <c r="B2504" s="37">
        <v>251.75</v>
      </c>
      <c r="C2504" s="37">
        <v>237.96223449707031</v>
      </c>
      <c r="D2504" s="35">
        <v>6788784</v>
      </c>
      <c r="E2504" s="35" t="s">
        <v>3082</v>
      </c>
      <c r="F2504" s="35" t="s">
        <v>604</v>
      </c>
    </row>
    <row r="2505" spans="1:6">
      <c r="A2505" s="35" t="s">
        <v>3113</v>
      </c>
      <c r="B2505" s="37">
        <v>249.71000671386719</v>
      </c>
      <c r="C2505" s="37">
        <v>236.03396606445313</v>
      </c>
      <c r="D2505" s="35">
        <v>9366429</v>
      </c>
      <c r="E2505" s="35" t="s">
        <v>3082</v>
      </c>
      <c r="F2505" s="35" t="s">
        <v>604</v>
      </c>
    </row>
    <row r="2506" spans="1:6">
      <c r="A2506" s="35" t="s">
        <v>3114</v>
      </c>
      <c r="B2506" s="37">
        <v>250.91999816894531</v>
      </c>
      <c r="C2506" s="37">
        <v>237.17768859863281</v>
      </c>
      <c r="D2506" s="35">
        <v>5313593</v>
      </c>
      <c r="E2506" s="35" t="s">
        <v>3082</v>
      </c>
      <c r="F2506" s="35" t="s">
        <v>604</v>
      </c>
    </row>
    <row r="2507" spans="1:6">
      <c r="A2507" s="35" t="s">
        <v>3115</v>
      </c>
      <c r="B2507" s="37">
        <v>245.94000244140625</v>
      </c>
      <c r="C2507" s="37">
        <v>232.47044372558594</v>
      </c>
      <c r="D2507" s="35">
        <v>11469037</v>
      </c>
      <c r="E2507" s="35" t="s">
        <v>3082</v>
      </c>
      <c r="F2507" s="35" t="s">
        <v>604</v>
      </c>
    </row>
    <row r="2508" spans="1:6">
      <c r="A2508" s="35" t="s">
        <v>3116</v>
      </c>
      <c r="B2508" s="37">
        <v>247.36000061035156</v>
      </c>
      <c r="C2508" s="37">
        <v>233.81266784667969</v>
      </c>
      <c r="D2508" s="35">
        <v>7437642</v>
      </c>
      <c r="E2508" s="35" t="s">
        <v>3082</v>
      </c>
      <c r="F2508" s="35" t="s">
        <v>604</v>
      </c>
    </row>
    <row r="2509" spans="1:6">
      <c r="A2509" s="35" t="s">
        <v>3117</v>
      </c>
      <c r="B2509" s="37">
        <v>250.24000549316406</v>
      </c>
      <c r="C2509" s="37">
        <v>236.53494262695313</v>
      </c>
      <c r="D2509" s="35">
        <v>3690751</v>
      </c>
      <c r="E2509" s="35" t="s">
        <v>3082</v>
      </c>
      <c r="F2509" s="35" t="s">
        <v>604</v>
      </c>
    </row>
    <row r="2510" spans="1:6">
      <c r="A2510" s="35" t="s">
        <v>3118</v>
      </c>
      <c r="B2510" s="37">
        <v>248.25</v>
      </c>
      <c r="C2510" s="37">
        <v>234.65391540527344</v>
      </c>
      <c r="D2510" s="35">
        <v>6861143</v>
      </c>
      <c r="E2510" s="35" t="s">
        <v>3082</v>
      </c>
      <c r="F2510" s="35" t="s">
        <v>604</v>
      </c>
    </row>
    <row r="2511" spans="1:6">
      <c r="A2511" s="35" t="s">
        <v>3119</v>
      </c>
      <c r="B2511" s="37">
        <v>247.42999267578125</v>
      </c>
      <c r="C2511" s="37">
        <v>233.87881469726563</v>
      </c>
      <c r="D2511" s="35">
        <v>6205160</v>
      </c>
      <c r="E2511" s="35" t="s">
        <v>3082</v>
      </c>
      <c r="F2511" s="35" t="s">
        <v>604</v>
      </c>
    </row>
    <row r="2512" spans="1:6">
      <c r="A2512" s="35" t="s">
        <v>3120</v>
      </c>
      <c r="B2512" s="37">
        <v>250.13999938964844</v>
      </c>
      <c r="C2512" s="37">
        <v>236.44039916992188</v>
      </c>
      <c r="D2512" s="35">
        <v>11785042</v>
      </c>
      <c r="E2512" s="35" t="s">
        <v>3082</v>
      </c>
      <c r="F2512" s="35" t="s">
        <v>604</v>
      </c>
    </row>
    <row r="2513" spans="1:6">
      <c r="A2513" s="35" t="s">
        <v>3121</v>
      </c>
      <c r="B2513" s="37">
        <v>249.66999816894531</v>
      </c>
      <c r="C2513" s="37">
        <v>235.99615478515625</v>
      </c>
      <c r="D2513" s="35">
        <v>13858429</v>
      </c>
      <c r="E2513" s="35" t="s">
        <v>3082</v>
      </c>
      <c r="F2513" s="35" t="s">
        <v>604</v>
      </c>
    </row>
    <row r="2514" spans="1:6">
      <c r="A2514" s="35" t="s">
        <v>3122</v>
      </c>
      <c r="B2514" s="37">
        <v>247.67999267578125</v>
      </c>
      <c r="C2514" s="37">
        <v>234.11514282226563</v>
      </c>
      <c r="D2514" s="35">
        <v>5846259</v>
      </c>
      <c r="E2514" s="35" t="s">
        <v>3082</v>
      </c>
      <c r="F2514" s="35" t="s">
        <v>604</v>
      </c>
    </row>
    <row r="2515" spans="1:6">
      <c r="A2515" s="35" t="s">
        <v>3123</v>
      </c>
      <c r="B2515" s="37">
        <v>246.22000122070313</v>
      </c>
      <c r="C2515" s="37">
        <v>232.73509216308594</v>
      </c>
      <c r="D2515" s="35">
        <v>8573438</v>
      </c>
      <c r="E2515" s="35" t="s">
        <v>3082</v>
      </c>
      <c r="F2515" s="35" t="s">
        <v>604</v>
      </c>
    </row>
    <row r="2516" spans="1:6">
      <c r="A2516" s="35" t="s">
        <v>3124</v>
      </c>
      <c r="B2516" s="37">
        <v>246.86000061035156</v>
      </c>
      <c r="C2516" s="37">
        <v>233.34004211425781</v>
      </c>
      <c r="D2516" s="35">
        <v>6698150</v>
      </c>
      <c r="E2516" s="35" t="s">
        <v>3082</v>
      </c>
      <c r="F2516" s="35" t="s">
        <v>604</v>
      </c>
    </row>
    <row r="2517" spans="1:6">
      <c r="A2517" s="35" t="s">
        <v>3125</v>
      </c>
      <c r="B2517" s="37">
        <v>247.94000244140625</v>
      </c>
      <c r="C2517" s="37">
        <v>234.36090087890625</v>
      </c>
      <c r="D2517" s="35">
        <v>6468060</v>
      </c>
      <c r="E2517" s="35" t="s">
        <v>3082</v>
      </c>
      <c r="F2517" s="35" t="s">
        <v>604</v>
      </c>
    </row>
    <row r="2518" spans="1:6">
      <c r="A2518" s="35" t="s">
        <v>3126</v>
      </c>
      <c r="B2518" s="37">
        <v>248.58999633789063</v>
      </c>
      <c r="C2518" s="37">
        <v>234.97529602050781</v>
      </c>
      <c r="D2518" s="35">
        <v>4445411</v>
      </c>
      <c r="E2518" s="35" t="s">
        <v>3082</v>
      </c>
      <c r="F2518" s="35" t="s">
        <v>604</v>
      </c>
    </row>
    <row r="2519" spans="1:6">
      <c r="A2519" s="35" t="s">
        <v>3127</v>
      </c>
      <c r="B2519" s="37">
        <v>251.28999328613281</v>
      </c>
      <c r="C2519" s="37">
        <v>237.52743530273438</v>
      </c>
      <c r="D2519" s="35">
        <v>9193904</v>
      </c>
      <c r="E2519" s="35" t="s">
        <v>3082</v>
      </c>
      <c r="F2519" s="35" t="s">
        <v>604</v>
      </c>
    </row>
    <row r="2520" spans="1:6">
      <c r="A2520" s="35" t="s">
        <v>3128</v>
      </c>
      <c r="B2520" s="37">
        <v>254.8699951171875</v>
      </c>
      <c r="C2520" s="37">
        <v>240.91136169433594</v>
      </c>
      <c r="D2520" s="35">
        <v>10739851</v>
      </c>
      <c r="E2520" s="35" t="s">
        <v>3082</v>
      </c>
      <c r="F2520" s="35" t="s">
        <v>604</v>
      </c>
    </row>
    <row r="2521" spans="1:6">
      <c r="A2521" s="35" t="s">
        <v>3129</v>
      </c>
      <c r="B2521" s="37">
        <v>258.92001342773438</v>
      </c>
      <c r="C2521" s="37">
        <v>244.73956298828125</v>
      </c>
      <c r="D2521" s="35">
        <v>17268454</v>
      </c>
      <c r="E2521" s="35" t="s">
        <v>3082</v>
      </c>
      <c r="F2521" s="35" t="s">
        <v>604</v>
      </c>
    </row>
    <row r="2522" spans="1:6">
      <c r="A2522" s="35" t="s">
        <v>3130</v>
      </c>
      <c r="B2522" s="37">
        <v>259.6099853515625</v>
      </c>
      <c r="C2522" s="37">
        <v>245.39173889160156</v>
      </c>
      <c r="D2522" s="35">
        <v>14528657</v>
      </c>
      <c r="E2522" s="35" t="s">
        <v>3082</v>
      </c>
      <c r="F2522" s="35" t="s">
        <v>604</v>
      </c>
    </row>
    <row r="2523" spans="1:6">
      <c r="A2523" s="35" t="s">
        <v>3131</v>
      </c>
      <c r="B2523" s="37">
        <v>260.20999145507813</v>
      </c>
      <c r="C2523" s="37">
        <v>245.95889282226563</v>
      </c>
      <c r="D2523" s="35">
        <v>8692116</v>
      </c>
      <c r="E2523" s="35" t="s">
        <v>3082</v>
      </c>
      <c r="F2523" s="35" t="s">
        <v>604</v>
      </c>
    </row>
    <row r="2524" spans="1:6">
      <c r="A2524" s="35" t="s">
        <v>3132</v>
      </c>
      <c r="B2524" s="37">
        <v>262.8900146484375</v>
      </c>
      <c r="C2524" s="37">
        <v>248.49212646484375</v>
      </c>
      <c r="D2524" s="35">
        <v>10935361</v>
      </c>
      <c r="E2524" s="35" t="s">
        <v>3082</v>
      </c>
      <c r="F2524" s="35" t="s">
        <v>604</v>
      </c>
    </row>
    <row r="2525" spans="1:6">
      <c r="A2525" s="35" t="s">
        <v>3133</v>
      </c>
      <c r="B2525" s="37">
        <v>262.91000366210938</v>
      </c>
      <c r="C2525" s="37">
        <v>248.51103210449219</v>
      </c>
      <c r="D2525" s="35">
        <v>7528454</v>
      </c>
      <c r="E2525" s="35" t="s">
        <v>3082</v>
      </c>
      <c r="F2525" s="35" t="s">
        <v>604</v>
      </c>
    </row>
    <row r="2526" spans="1:6">
      <c r="A2526" s="35" t="s">
        <v>3134</v>
      </c>
      <c r="B2526" s="37">
        <v>261.58999633789063</v>
      </c>
      <c r="C2526" s="37">
        <v>247.26332092285156</v>
      </c>
      <c r="D2526" s="35">
        <v>5016660</v>
      </c>
      <c r="E2526" s="35" t="s">
        <v>3082</v>
      </c>
      <c r="F2526" s="35" t="s">
        <v>604</v>
      </c>
    </row>
    <row r="2527" spans="1:6">
      <c r="A2527" s="35" t="s">
        <v>3135</v>
      </c>
      <c r="B2527" s="37">
        <v>265.57998657226563</v>
      </c>
      <c r="C2527" s="37">
        <v>251.0347900390625</v>
      </c>
      <c r="D2527" s="35">
        <v>14184486</v>
      </c>
      <c r="E2527" s="35" t="s">
        <v>3082</v>
      </c>
      <c r="F2527" s="35" t="s">
        <v>604</v>
      </c>
    </row>
    <row r="2528" spans="1:6">
      <c r="A2528" s="35" t="s">
        <v>3136</v>
      </c>
      <c r="B2528" s="37">
        <v>266.54000854492188</v>
      </c>
      <c r="C2528" s="37">
        <v>251.94223022460938</v>
      </c>
      <c r="D2528" s="35">
        <v>12904674</v>
      </c>
      <c r="E2528" s="35" t="s">
        <v>3082</v>
      </c>
      <c r="F2528" s="35" t="s">
        <v>604</v>
      </c>
    </row>
    <row r="2529" spans="1:6">
      <c r="A2529" s="35" t="s">
        <v>3137</v>
      </c>
      <c r="B2529" s="37">
        <v>263.239990234375</v>
      </c>
      <c r="C2529" s="37">
        <v>248.82295227050781</v>
      </c>
      <c r="D2529" s="35">
        <v>6214062</v>
      </c>
      <c r="E2529" s="35" t="s">
        <v>3082</v>
      </c>
      <c r="F2529" s="35" t="s">
        <v>604</v>
      </c>
    </row>
    <row r="2530" spans="1:6">
      <c r="A2530" s="35" t="s">
        <v>3138</v>
      </c>
      <c r="B2530" s="37">
        <v>264.97000122070313</v>
      </c>
      <c r="C2530" s="37">
        <v>250.45820617675781</v>
      </c>
      <c r="D2530" s="35">
        <v>6319428</v>
      </c>
      <c r="E2530" s="35" t="s">
        <v>3082</v>
      </c>
      <c r="F2530" s="35" t="s">
        <v>604</v>
      </c>
    </row>
    <row r="2531" spans="1:6">
      <c r="A2531" s="35" t="s">
        <v>3139</v>
      </c>
      <c r="B2531" s="37">
        <v>269.41000366210938</v>
      </c>
      <c r="C2531" s="37">
        <v>254.655029296875</v>
      </c>
      <c r="D2531" s="35">
        <v>5331739</v>
      </c>
      <c r="E2531" s="35" t="s">
        <v>3082</v>
      </c>
      <c r="F2531" s="35" t="s">
        <v>604</v>
      </c>
    </row>
    <row r="2532" spans="1:6">
      <c r="A2532" s="35" t="s">
        <v>3140</v>
      </c>
      <c r="B2532" s="37">
        <v>268.51998901367188</v>
      </c>
      <c r="C2532" s="37">
        <v>253.81375122070313</v>
      </c>
      <c r="D2532" s="35">
        <v>8564099</v>
      </c>
      <c r="E2532" s="35" t="s">
        <v>3082</v>
      </c>
      <c r="F2532" s="35" t="s">
        <v>604</v>
      </c>
    </row>
    <row r="2533" spans="1:6">
      <c r="A2533" s="35" t="s">
        <v>3141</v>
      </c>
      <c r="B2533" s="37">
        <v>265.04998779296875</v>
      </c>
      <c r="C2533" s="37">
        <v>250.5338134765625</v>
      </c>
      <c r="D2533" s="35">
        <v>8906108</v>
      </c>
      <c r="E2533" s="35" t="s">
        <v>3082</v>
      </c>
      <c r="F2533" s="35" t="s">
        <v>604</v>
      </c>
    </row>
    <row r="2534" spans="1:6">
      <c r="A2534" s="35" t="s">
        <v>3142</v>
      </c>
      <c r="B2534" s="37">
        <v>265.98001098632813</v>
      </c>
      <c r="C2534" s="37">
        <v>251.41290283203125</v>
      </c>
      <c r="D2534" s="35">
        <v>7119563</v>
      </c>
      <c r="E2534" s="35" t="s">
        <v>3082</v>
      </c>
      <c r="F2534" s="35" t="s">
        <v>604</v>
      </c>
    </row>
    <row r="2535" spans="1:6">
      <c r="A2535" s="35" t="s">
        <v>3143</v>
      </c>
      <c r="B2535" s="37">
        <v>264.54998779296875</v>
      </c>
      <c r="C2535" s="37">
        <v>250.06117248535156</v>
      </c>
      <c r="D2535" s="35">
        <v>3886095</v>
      </c>
      <c r="E2535" s="35" t="s">
        <v>3082</v>
      </c>
      <c r="F2535" s="35" t="s">
        <v>604</v>
      </c>
    </row>
    <row r="2536" spans="1:6">
      <c r="A2536" s="35" t="s">
        <v>3144</v>
      </c>
      <c r="B2536" s="37">
        <v>267</v>
      </c>
      <c r="C2536" s="37">
        <v>252.37702941894531</v>
      </c>
      <c r="D2536" s="35">
        <v>8750887</v>
      </c>
      <c r="E2536" s="35" t="s">
        <v>3082</v>
      </c>
      <c r="F2536" s="35" t="s">
        <v>604</v>
      </c>
    </row>
    <row r="2537" spans="1:6">
      <c r="A2537" s="35" t="s">
        <v>3145</v>
      </c>
      <c r="B2537" s="37">
        <v>267.04998779296875</v>
      </c>
      <c r="C2537" s="37">
        <v>252.42428588867188</v>
      </c>
      <c r="D2537" s="35">
        <v>9357962</v>
      </c>
      <c r="E2537" s="35" t="s">
        <v>3082</v>
      </c>
      <c r="F2537" s="35" t="s">
        <v>604</v>
      </c>
    </row>
    <row r="2538" spans="1:6">
      <c r="A2538" s="35" t="s">
        <v>3146</v>
      </c>
      <c r="B2538" s="37">
        <v>270.04998779296875</v>
      </c>
      <c r="C2538" s="37">
        <v>255.25999450683594</v>
      </c>
      <c r="D2538" s="35">
        <v>7141779</v>
      </c>
      <c r="E2538" s="35" t="s">
        <v>3082</v>
      </c>
      <c r="F2538" s="35" t="s">
        <v>604</v>
      </c>
    </row>
    <row r="2539" spans="1:6">
      <c r="A2539" s="35" t="s">
        <v>3147</v>
      </c>
      <c r="B2539" s="37">
        <v>267.75</v>
      </c>
      <c r="C2539" s="37">
        <v>253.0859375</v>
      </c>
      <c r="D2539" s="35">
        <v>4849218</v>
      </c>
      <c r="E2539" s="35" t="s">
        <v>3082</v>
      </c>
      <c r="F2539" s="35" t="s">
        <v>604</v>
      </c>
    </row>
    <row r="2540" spans="1:6">
      <c r="A2540" s="35" t="s">
        <v>3148</v>
      </c>
      <c r="B2540" s="37">
        <v>269.64999389648438</v>
      </c>
      <c r="C2540" s="37">
        <v>254.88186645507813</v>
      </c>
      <c r="D2540" s="35">
        <v>5519016</v>
      </c>
      <c r="E2540" s="35" t="s">
        <v>3082</v>
      </c>
      <c r="F2540" s="35" t="s">
        <v>604</v>
      </c>
    </row>
    <row r="2541" spans="1:6">
      <c r="A2541" s="35" t="s">
        <v>3149</v>
      </c>
      <c r="B2541" s="37">
        <v>267.79998779296875</v>
      </c>
      <c r="C2541" s="37">
        <v>253.13319396972656</v>
      </c>
      <c r="D2541" s="35">
        <v>11564433</v>
      </c>
      <c r="E2541" s="35" t="s">
        <v>3082</v>
      </c>
      <c r="F2541" s="35" t="s">
        <v>604</v>
      </c>
    </row>
    <row r="2542" spans="1:6">
      <c r="A2542" s="35" t="s">
        <v>3150</v>
      </c>
      <c r="B2542" s="37">
        <v>265.04998779296875</v>
      </c>
      <c r="C2542" s="37">
        <v>250.5338134765625</v>
      </c>
      <c r="D2542" s="35">
        <v>6911031</v>
      </c>
      <c r="E2542" s="35" t="s">
        <v>3082</v>
      </c>
      <c r="F2542" s="35" t="s">
        <v>604</v>
      </c>
    </row>
    <row r="2543" spans="1:6">
      <c r="A2543" s="35" t="s">
        <v>3151</v>
      </c>
      <c r="B2543" s="37">
        <v>258.29998779296875</v>
      </c>
      <c r="C2543" s="37">
        <v>244.15348815917969</v>
      </c>
      <c r="D2543" s="35">
        <v>13109857</v>
      </c>
      <c r="E2543" s="35" t="s">
        <v>3082</v>
      </c>
      <c r="F2543" s="35" t="s">
        <v>604</v>
      </c>
    </row>
    <row r="2544" spans="1:6">
      <c r="A2544" s="35" t="s">
        <v>3152</v>
      </c>
      <c r="B2544" s="37">
        <v>254.25</v>
      </c>
      <c r="C2544" s="37">
        <v>240.32530212402344</v>
      </c>
      <c r="D2544" s="35">
        <v>10388421</v>
      </c>
      <c r="E2544" s="35" t="s">
        <v>3082</v>
      </c>
      <c r="F2544" s="35" t="s">
        <v>604</v>
      </c>
    </row>
    <row r="2545" spans="1:6">
      <c r="A2545" s="35" t="s">
        <v>3153</v>
      </c>
      <c r="B2545" s="37">
        <v>257.39999389648438</v>
      </c>
      <c r="C2545" s="37">
        <v>243.30279541015625</v>
      </c>
      <c r="D2545" s="35">
        <v>8750149</v>
      </c>
      <c r="E2545" s="35" t="s">
        <v>3082</v>
      </c>
      <c r="F2545" s="35" t="s">
        <v>604</v>
      </c>
    </row>
    <row r="2546" spans="1:6">
      <c r="A2546" s="35" t="s">
        <v>3154</v>
      </c>
      <c r="B2546" s="37">
        <v>262.79998779296875</v>
      </c>
      <c r="C2546" s="37">
        <v>248.40704345703125</v>
      </c>
      <c r="D2546" s="35">
        <v>12179338</v>
      </c>
      <c r="E2546" s="35" t="s">
        <v>3082</v>
      </c>
      <c r="F2546" s="35" t="s">
        <v>604</v>
      </c>
    </row>
    <row r="2547" spans="1:6">
      <c r="A2547" s="35" t="s">
        <v>3155</v>
      </c>
      <c r="B2547" s="37">
        <v>260.60000610351563</v>
      </c>
      <c r="C2547" s="37">
        <v>246.32754516601563</v>
      </c>
      <c r="D2547" s="35">
        <v>7484171</v>
      </c>
      <c r="E2547" s="35" t="s">
        <v>3082</v>
      </c>
      <c r="F2547" s="35" t="s">
        <v>604</v>
      </c>
    </row>
    <row r="2548" spans="1:6">
      <c r="A2548" s="35" t="s">
        <v>3156</v>
      </c>
      <c r="B2548" s="37">
        <v>266.95001220703125</v>
      </c>
      <c r="C2548" s="37">
        <v>252.32977294921875</v>
      </c>
      <c r="D2548" s="35">
        <v>30319126</v>
      </c>
      <c r="E2548" s="35" t="s">
        <v>3082</v>
      </c>
      <c r="F2548" s="35" t="s">
        <v>604</v>
      </c>
    </row>
    <row r="2549" spans="1:6">
      <c r="A2549" s="35" t="s">
        <v>3157</v>
      </c>
      <c r="B2549" s="37">
        <v>260.35000610351563</v>
      </c>
      <c r="C2549" s="37">
        <v>246.09123229980469</v>
      </c>
      <c r="D2549" s="35">
        <v>12190000</v>
      </c>
      <c r="E2549" s="35" t="s">
        <v>3082</v>
      </c>
      <c r="F2549" s="35" t="s">
        <v>604</v>
      </c>
    </row>
    <row r="2550" spans="1:6">
      <c r="A2550" s="35" t="s">
        <v>3158</v>
      </c>
      <c r="B2550" s="37">
        <v>259.70001220703125</v>
      </c>
      <c r="C2550" s="37">
        <v>245.47683715820313</v>
      </c>
      <c r="D2550" s="35">
        <v>6724044</v>
      </c>
      <c r="E2550" s="35" t="s">
        <v>3082</v>
      </c>
      <c r="F2550" s="35" t="s">
        <v>604</v>
      </c>
    </row>
    <row r="2551" spans="1:6">
      <c r="A2551" s="35" t="s">
        <v>3159</v>
      </c>
      <c r="B2551" s="37">
        <v>261.39999389648438</v>
      </c>
      <c r="C2551" s="37">
        <v>247.08370971679688</v>
      </c>
      <c r="D2551" s="35">
        <v>6510321</v>
      </c>
      <c r="E2551" s="35" t="s">
        <v>3082</v>
      </c>
      <c r="F2551" s="35" t="s">
        <v>604</v>
      </c>
    </row>
    <row r="2552" spans="1:6">
      <c r="A2552" s="35" t="s">
        <v>3160</v>
      </c>
      <c r="B2552" s="37">
        <v>261.85000610351563</v>
      </c>
      <c r="C2552" s="37">
        <v>247.50909423828125</v>
      </c>
      <c r="D2552" s="35">
        <v>8139900</v>
      </c>
      <c r="E2552" s="35" t="s">
        <v>3082</v>
      </c>
      <c r="F2552" s="35" t="s">
        <v>604</v>
      </c>
    </row>
    <row r="2553" spans="1:6">
      <c r="A2553" s="35" t="s">
        <v>3161</v>
      </c>
      <c r="B2553" s="37">
        <v>259.20001220703125</v>
      </c>
      <c r="C2553" s="37">
        <v>245.00422668457031</v>
      </c>
      <c r="D2553" s="35">
        <v>8427780</v>
      </c>
      <c r="E2553" s="35" t="s">
        <v>3082</v>
      </c>
      <c r="F2553" s="35" t="s">
        <v>604</v>
      </c>
    </row>
    <row r="2554" spans="1:6">
      <c r="A2554" s="35" t="s">
        <v>3162</v>
      </c>
      <c r="B2554" s="37">
        <v>250.05000305175781</v>
      </c>
      <c r="C2554" s="37">
        <v>241.00434875488281</v>
      </c>
      <c r="D2554" s="35">
        <v>8998911</v>
      </c>
      <c r="E2554" s="35" t="s">
        <v>3082</v>
      </c>
      <c r="F2554" s="35" t="s">
        <v>604</v>
      </c>
    </row>
    <row r="2555" spans="1:6">
      <c r="A2555" s="35" t="s">
        <v>3163</v>
      </c>
      <c r="B2555" s="37">
        <v>251.80000305175781</v>
      </c>
      <c r="C2555" s="37">
        <v>242.6910400390625</v>
      </c>
      <c r="D2555" s="35">
        <v>12923128</v>
      </c>
      <c r="E2555" s="35" t="s">
        <v>3082</v>
      </c>
      <c r="F2555" s="35" t="s">
        <v>604</v>
      </c>
    </row>
    <row r="2556" spans="1:6">
      <c r="A2556" s="35" t="s">
        <v>3164</v>
      </c>
      <c r="B2556" s="37">
        <v>250.19999694824219</v>
      </c>
      <c r="C2556" s="37">
        <v>241.14891052246094</v>
      </c>
      <c r="D2556" s="35">
        <v>6057152</v>
      </c>
      <c r="E2556" s="35" t="s">
        <v>3082</v>
      </c>
      <c r="F2556" s="35" t="s">
        <v>604</v>
      </c>
    </row>
    <row r="2557" spans="1:6">
      <c r="A2557" s="35" t="s">
        <v>3165</v>
      </c>
      <c r="B2557" s="37">
        <v>248.30000305175781</v>
      </c>
      <c r="C2557" s="37">
        <v>239.31765747070313</v>
      </c>
      <c r="D2557" s="35">
        <v>7338764</v>
      </c>
      <c r="E2557" s="35" t="s">
        <v>3082</v>
      </c>
      <c r="F2557" s="35" t="s">
        <v>604</v>
      </c>
    </row>
    <row r="2558" spans="1:6">
      <c r="A2558" s="35" t="s">
        <v>3166</v>
      </c>
      <c r="B2558" s="37">
        <v>242.75</v>
      </c>
      <c r="C2558" s="37">
        <v>233.96841430664063</v>
      </c>
      <c r="D2558" s="35">
        <v>7436999</v>
      </c>
      <c r="E2558" s="35" t="s">
        <v>3082</v>
      </c>
      <c r="F2558" s="35" t="s">
        <v>604</v>
      </c>
    </row>
    <row r="2559" spans="1:6">
      <c r="A2559" s="35" t="s">
        <v>3167</v>
      </c>
      <c r="B2559" s="37">
        <v>246.05000305175781</v>
      </c>
      <c r="C2559" s="37">
        <v>237.1490478515625</v>
      </c>
      <c r="D2559" s="35">
        <v>5234393</v>
      </c>
      <c r="E2559" s="35" t="s">
        <v>3082</v>
      </c>
      <c r="F2559" s="35" t="s">
        <v>604</v>
      </c>
    </row>
    <row r="2560" spans="1:6">
      <c r="A2560" s="35" t="s">
        <v>3168</v>
      </c>
      <c r="B2560" s="37">
        <v>245.91000366210938</v>
      </c>
      <c r="C2560" s="37">
        <v>237.01411437988281</v>
      </c>
      <c r="D2560" s="35">
        <v>7383968</v>
      </c>
      <c r="E2560" s="35" t="s">
        <v>3082</v>
      </c>
      <c r="F2560" s="35" t="s">
        <v>604</v>
      </c>
    </row>
    <row r="2561" spans="1:6">
      <c r="A2561" s="35" t="s">
        <v>3169</v>
      </c>
      <c r="B2561" s="37">
        <v>239.96000671386719</v>
      </c>
      <c r="C2561" s="37">
        <v>231.27935791015625</v>
      </c>
      <c r="D2561" s="35">
        <v>7700190</v>
      </c>
      <c r="E2561" s="35" t="s">
        <v>3082</v>
      </c>
      <c r="F2561" s="35" t="s">
        <v>604</v>
      </c>
    </row>
    <row r="2562" spans="1:6">
      <c r="A2562" s="35" t="s">
        <v>3170</v>
      </c>
      <c r="B2562" s="37">
        <v>242.32000732421875</v>
      </c>
      <c r="C2562" s="37">
        <v>233.55400085449219</v>
      </c>
      <c r="D2562" s="35">
        <v>6190830</v>
      </c>
      <c r="E2562" s="35" t="s">
        <v>3082</v>
      </c>
      <c r="F2562" s="35" t="s">
        <v>604</v>
      </c>
    </row>
    <row r="2563" spans="1:6">
      <c r="A2563" s="35" t="s">
        <v>3171</v>
      </c>
      <c r="B2563" s="37">
        <v>239.05000305175781</v>
      </c>
      <c r="C2563" s="37">
        <v>230.40228271484375</v>
      </c>
      <c r="D2563" s="35">
        <v>8922847</v>
      </c>
      <c r="E2563" s="35" t="s">
        <v>3082</v>
      </c>
      <c r="F2563" s="35" t="s">
        <v>604</v>
      </c>
    </row>
    <row r="2564" spans="1:6">
      <c r="A2564" s="35" t="s">
        <v>3172</v>
      </c>
      <c r="B2564" s="37">
        <v>241.6199951171875</v>
      </c>
      <c r="C2564" s="37">
        <v>232.87930297851563</v>
      </c>
      <c r="D2564" s="35">
        <v>3047287</v>
      </c>
      <c r="E2564" s="35" t="s">
        <v>3082</v>
      </c>
      <c r="F2564" s="35" t="s">
        <v>604</v>
      </c>
    </row>
    <row r="2565" spans="1:6">
      <c r="A2565" s="35" t="s">
        <v>3173</v>
      </c>
      <c r="B2565" s="37">
        <v>241.72000122070313</v>
      </c>
      <c r="C2565" s="37">
        <v>232.97567749023438</v>
      </c>
      <c r="D2565" s="35">
        <v>8101435</v>
      </c>
      <c r="E2565" s="35" t="s">
        <v>3082</v>
      </c>
      <c r="F2565" s="35" t="s">
        <v>604</v>
      </c>
    </row>
    <row r="2566" spans="1:6">
      <c r="A2566" s="35" t="s">
        <v>3174</v>
      </c>
      <c r="B2566" s="37">
        <v>241.64999389648438</v>
      </c>
      <c r="C2566" s="37">
        <v>232.90821838378906</v>
      </c>
      <c r="D2566" s="35">
        <v>5820844</v>
      </c>
      <c r="E2566" s="35" t="s">
        <v>3082</v>
      </c>
      <c r="F2566" s="35" t="s">
        <v>604</v>
      </c>
    </row>
    <row r="2567" spans="1:6">
      <c r="A2567" s="35" t="s">
        <v>3175</v>
      </c>
      <c r="B2567" s="37">
        <v>246.80999755859375</v>
      </c>
      <c r="C2567" s="37">
        <v>237.88156127929688</v>
      </c>
      <c r="D2567" s="35">
        <v>12857225</v>
      </c>
      <c r="E2567" s="35" t="s">
        <v>3082</v>
      </c>
      <c r="F2567" s="35" t="s">
        <v>604</v>
      </c>
    </row>
    <row r="2568" spans="1:6">
      <c r="A2568" s="35" t="s">
        <v>3176</v>
      </c>
      <c r="B2568" s="37">
        <v>245.21000671386719</v>
      </c>
      <c r="C2568" s="37">
        <v>236.33944702148438</v>
      </c>
      <c r="D2568" s="35">
        <v>5789317</v>
      </c>
      <c r="E2568" s="35" t="s">
        <v>3082</v>
      </c>
      <c r="F2568" s="35" t="s">
        <v>604</v>
      </c>
    </row>
    <row r="2569" spans="1:6">
      <c r="A2569" s="35" t="s">
        <v>3177</v>
      </c>
      <c r="B2569" s="37">
        <v>246.96000671386719</v>
      </c>
      <c r="C2569" s="37">
        <v>238.02613830566406</v>
      </c>
      <c r="D2569" s="35">
        <v>4090961</v>
      </c>
      <c r="E2569" s="35" t="s">
        <v>3082</v>
      </c>
      <c r="F2569" s="35" t="s">
        <v>604</v>
      </c>
    </row>
    <row r="2570" spans="1:6">
      <c r="A2570" s="35" t="s">
        <v>3178</v>
      </c>
      <c r="B2570" s="37">
        <v>250.83999633789063</v>
      </c>
      <c r="C2570" s="37">
        <v>241.76576232910156</v>
      </c>
      <c r="D2570" s="35">
        <v>10099384</v>
      </c>
      <c r="E2570" s="35" t="s">
        <v>3082</v>
      </c>
      <c r="F2570" s="35" t="s">
        <v>604</v>
      </c>
    </row>
    <row r="2571" spans="1:6">
      <c r="A2571" s="35" t="s">
        <v>3179</v>
      </c>
      <c r="B2571" s="37">
        <v>249.91000366210938</v>
      </c>
      <c r="C2571" s="37">
        <v>240.86941528320313</v>
      </c>
      <c r="D2571" s="35">
        <v>7607486</v>
      </c>
      <c r="E2571" s="35" t="s">
        <v>3082</v>
      </c>
      <c r="F2571" s="35" t="s">
        <v>604</v>
      </c>
    </row>
    <row r="2572" spans="1:6">
      <c r="A2572" s="35" t="s">
        <v>3180</v>
      </c>
      <c r="B2572" s="37">
        <v>248.63999938964844</v>
      </c>
      <c r="C2572" s="37">
        <v>239.64535522460938</v>
      </c>
      <c r="D2572" s="35">
        <v>13572686</v>
      </c>
      <c r="E2572" s="35" t="s">
        <v>3082</v>
      </c>
      <c r="F2572" s="35" t="s">
        <v>604</v>
      </c>
    </row>
    <row r="2573" spans="1:6">
      <c r="A2573" s="35" t="s">
        <v>3181</v>
      </c>
      <c r="B2573" s="37">
        <v>253.83999633789063</v>
      </c>
      <c r="C2573" s="37">
        <v>244.65724182128906</v>
      </c>
      <c r="D2573" s="35">
        <v>16391069</v>
      </c>
      <c r="E2573" s="35" t="s">
        <v>3082</v>
      </c>
      <c r="F2573" s="35" t="s">
        <v>604</v>
      </c>
    </row>
    <row r="2574" spans="1:6">
      <c r="A2574" s="35" t="s">
        <v>3182</v>
      </c>
      <c r="B2574" s="37">
        <v>252.02999877929688</v>
      </c>
      <c r="C2574" s="37">
        <v>242.9127197265625</v>
      </c>
      <c r="D2574" s="35">
        <v>15797327</v>
      </c>
      <c r="E2574" s="35" t="s">
        <v>3082</v>
      </c>
      <c r="F2574" s="35" t="s">
        <v>604</v>
      </c>
    </row>
    <row r="2575" spans="1:6">
      <c r="A2575" s="35" t="s">
        <v>3183</v>
      </c>
      <c r="B2575" s="37">
        <v>250.64999389648438</v>
      </c>
      <c r="C2575" s="37">
        <v>241.58262634277344</v>
      </c>
      <c r="D2575" s="35">
        <v>5851451</v>
      </c>
      <c r="E2575" s="35" t="s">
        <v>3082</v>
      </c>
      <c r="F2575" s="35" t="s">
        <v>604</v>
      </c>
    </row>
    <row r="2576" spans="1:6">
      <c r="A2576" s="35" t="s">
        <v>3184</v>
      </c>
      <c r="B2576" s="37">
        <v>249.41000366210938</v>
      </c>
      <c r="C2576" s="37">
        <v>240.38751220703125</v>
      </c>
      <c r="D2576" s="35">
        <v>10117017</v>
      </c>
      <c r="E2576" s="35" t="s">
        <v>3082</v>
      </c>
      <c r="F2576" s="35" t="s">
        <v>604</v>
      </c>
    </row>
    <row r="2577" spans="1:6">
      <c r="A2577" s="35" t="s">
        <v>3185</v>
      </c>
      <c r="B2577" s="37">
        <v>250.36000061035156</v>
      </c>
      <c r="C2577" s="37">
        <v>241.30314636230469</v>
      </c>
      <c r="D2577" s="35">
        <v>3198345</v>
      </c>
      <c r="E2577" s="35" t="s">
        <v>3082</v>
      </c>
      <c r="F2577" s="35" t="s">
        <v>604</v>
      </c>
    </row>
    <row r="2578" spans="1:6">
      <c r="A2578" s="35" t="s">
        <v>3186</v>
      </c>
      <c r="B2578" s="37">
        <v>250.92999267578125</v>
      </c>
      <c r="C2578" s="37">
        <v>241.85249328613281</v>
      </c>
      <c r="D2578" s="35">
        <v>5046939</v>
      </c>
      <c r="E2578" s="35" t="s">
        <v>3082</v>
      </c>
      <c r="F2578" s="35" t="s">
        <v>604</v>
      </c>
    </row>
    <row r="2579" spans="1:6">
      <c r="A2579" s="35" t="s">
        <v>3187</v>
      </c>
      <c r="B2579" s="37">
        <v>249.55999755859375</v>
      </c>
      <c r="C2579" s="37">
        <v>240.53207397460938</v>
      </c>
      <c r="D2579" s="35">
        <v>3862765</v>
      </c>
      <c r="E2579" s="35" t="s">
        <v>3082</v>
      </c>
      <c r="F2579" s="35" t="s">
        <v>604</v>
      </c>
    </row>
    <row r="2580" spans="1:6">
      <c r="A2580" s="35" t="s">
        <v>3188</v>
      </c>
      <c r="B2580" s="37">
        <v>244.97000122070313</v>
      </c>
      <c r="C2580" s="37">
        <v>236.10812377929688</v>
      </c>
      <c r="D2580" s="35">
        <v>5021036</v>
      </c>
      <c r="E2580" s="35" t="s">
        <v>3082</v>
      </c>
      <c r="F2580" s="35" t="s">
        <v>604</v>
      </c>
    </row>
    <row r="2581" spans="1:6">
      <c r="A2581" s="35" t="s">
        <v>3189</v>
      </c>
      <c r="B2581" s="37">
        <v>243.66999816894531</v>
      </c>
      <c r="C2581" s="37">
        <v>234.85514831542969</v>
      </c>
      <c r="D2581" s="35">
        <v>6233782</v>
      </c>
      <c r="E2581" s="35" t="s">
        <v>3082</v>
      </c>
      <c r="F2581" s="35" t="s">
        <v>604</v>
      </c>
    </row>
    <row r="2582" spans="1:6">
      <c r="A2582" s="35" t="s">
        <v>3190</v>
      </c>
      <c r="B2582" s="37">
        <v>242.52000427246094</v>
      </c>
      <c r="C2582" s="37">
        <v>233.74674987792969</v>
      </c>
      <c r="D2582" s="35">
        <v>6596932</v>
      </c>
      <c r="E2582" s="35" t="s">
        <v>3082</v>
      </c>
      <c r="F2582" s="35" t="s">
        <v>604</v>
      </c>
    </row>
    <row r="2583" spans="1:6">
      <c r="A2583" s="35" t="s">
        <v>3191</v>
      </c>
      <c r="B2583" s="37">
        <v>249.14999389648438</v>
      </c>
      <c r="C2583" s="37">
        <v>240.13688659667969</v>
      </c>
      <c r="D2583" s="35">
        <v>12836972</v>
      </c>
      <c r="E2583" s="35" t="s">
        <v>3082</v>
      </c>
      <c r="F2583" s="35" t="s">
        <v>604</v>
      </c>
    </row>
    <row r="2584" spans="1:6">
      <c r="A2584" s="35" t="s">
        <v>3192</v>
      </c>
      <c r="B2584" s="37">
        <v>255.75</v>
      </c>
      <c r="C2584" s="37">
        <v>246.49813842773438</v>
      </c>
      <c r="D2584" s="35">
        <v>15261331</v>
      </c>
      <c r="E2584" s="35" t="s">
        <v>3082</v>
      </c>
      <c r="F2584" s="35" t="s">
        <v>604</v>
      </c>
    </row>
    <row r="2585" spans="1:6">
      <c r="A2585" s="35" t="s">
        <v>3193</v>
      </c>
      <c r="B2585" s="37">
        <v>253.91000366210938</v>
      </c>
      <c r="C2585" s="37">
        <v>244.72471618652344</v>
      </c>
      <c r="D2585" s="35">
        <v>5865301</v>
      </c>
      <c r="E2585" s="35" t="s">
        <v>3082</v>
      </c>
      <c r="F2585" s="35" t="s">
        <v>604</v>
      </c>
    </row>
    <row r="2586" spans="1:6">
      <c r="A2586" s="35" t="s">
        <v>3194</v>
      </c>
      <c r="B2586" s="37">
        <v>251.94000244140625</v>
      </c>
      <c r="C2586" s="37">
        <v>242.82598876953125</v>
      </c>
      <c r="D2586" s="35">
        <v>5345794</v>
      </c>
      <c r="E2586" s="35" t="s">
        <v>3082</v>
      </c>
      <c r="F2586" s="35" t="s">
        <v>604</v>
      </c>
    </row>
    <row r="2587" spans="1:6">
      <c r="A2587" s="35" t="s">
        <v>3195</v>
      </c>
      <c r="B2587" s="37">
        <v>251.27999877929688</v>
      </c>
      <c r="C2587" s="37">
        <v>242.18984985351563</v>
      </c>
      <c r="D2587" s="35">
        <v>3700703</v>
      </c>
      <c r="E2587" s="35" t="s">
        <v>3082</v>
      </c>
      <c r="F2587" s="35" t="s">
        <v>604</v>
      </c>
    </row>
    <row r="2588" spans="1:6">
      <c r="A2588" s="35" t="s">
        <v>3196</v>
      </c>
      <c r="B2588" s="37">
        <v>254.00999450683594</v>
      </c>
      <c r="C2588" s="37">
        <v>244.82107543945313</v>
      </c>
      <c r="D2588" s="35">
        <v>7316998</v>
      </c>
      <c r="E2588" s="35" t="s">
        <v>3082</v>
      </c>
      <c r="F2588" s="35" t="s">
        <v>604</v>
      </c>
    </row>
    <row r="2589" spans="1:6">
      <c r="A2589" s="35" t="s">
        <v>3197</v>
      </c>
      <c r="B2589" s="37">
        <v>254.14999389648438</v>
      </c>
      <c r="C2589" s="37">
        <v>244.95600891113281</v>
      </c>
      <c r="D2589" s="35">
        <v>7339871</v>
      </c>
      <c r="E2589" s="35" t="s">
        <v>3082</v>
      </c>
      <c r="F2589" s="35" t="s">
        <v>604</v>
      </c>
    </row>
    <row r="2590" spans="1:6">
      <c r="A2590" s="35" t="s">
        <v>3198</v>
      </c>
      <c r="B2590" s="37">
        <v>256.92999267578125</v>
      </c>
      <c r="C2590" s="37">
        <v>247.63545227050781</v>
      </c>
      <c r="D2590" s="35">
        <v>10498239</v>
      </c>
      <c r="E2590" s="35" t="s">
        <v>3082</v>
      </c>
      <c r="F2590" s="35" t="s">
        <v>604</v>
      </c>
    </row>
    <row r="2591" spans="1:6">
      <c r="A2591" s="35" t="s">
        <v>3199</v>
      </c>
      <c r="B2591" s="37">
        <v>255.8800048828125</v>
      </c>
      <c r="C2591" s="37">
        <v>246.62344360351563</v>
      </c>
      <c r="D2591" s="35">
        <v>10741757</v>
      </c>
      <c r="E2591" s="35" t="s">
        <v>3082</v>
      </c>
      <c r="F2591" s="35" t="s">
        <v>604</v>
      </c>
    </row>
    <row r="2592" spans="1:6">
      <c r="A2592" s="35" t="s">
        <v>3200</v>
      </c>
      <c r="B2592" s="37">
        <v>250.33000183105469</v>
      </c>
      <c r="C2592" s="37">
        <v>241.27421569824219</v>
      </c>
      <c r="D2592" s="35">
        <v>15784007</v>
      </c>
      <c r="E2592" s="35" t="s">
        <v>3082</v>
      </c>
      <c r="F2592" s="35" t="s">
        <v>604</v>
      </c>
    </row>
    <row r="2593" spans="1:6">
      <c r="A2593" s="35" t="s">
        <v>3201</v>
      </c>
      <c r="B2593" s="37">
        <v>249.6300048828125</v>
      </c>
      <c r="C2593" s="37">
        <v>240.59954833984375</v>
      </c>
      <c r="D2593" s="35">
        <v>8674114</v>
      </c>
      <c r="E2593" s="35" t="s">
        <v>3082</v>
      </c>
      <c r="F2593" s="35" t="s">
        <v>604</v>
      </c>
    </row>
    <row r="2594" spans="1:6">
      <c r="A2594" s="35" t="s">
        <v>3202</v>
      </c>
      <c r="B2594" s="37">
        <v>244.58999633789063</v>
      </c>
      <c r="C2594" s="37">
        <v>235.74186706542969</v>
      </c>
      <c r="D2594" s="35">
        <v>7888797</v>
      </c>
      <c r="E2594" s="35" t="s">
        <v>3082</v>
      </c>
      <c r="F2594" s="35" t="s">
        <v>604</v>
      </c>
    </row>
    <row r="2595" spans="1:6">
      <c r="A2595" s="35" t="s">
        <v>3203</v>
      </c>
      <c r="B2595" s="37">
        <v>242</v>
      </c>
      <c r="C2595" s="37">
        <v>233.24555969238281</v>
      </c>
      <c r="D2595" s="35">
        <v>7957740</v>
      </c>
      <c r="E2595" s="35" t="s">
        <v>3082</v>
      </c>
      <c r="F2595" s="35" t="s">
        <v>604</v>
      </c>
    </row>
    <row r="2596" spans="1:6">
      <c r="A2596" s="35" t="s">
        <v>3204</v>
      </c>
      <c r="B2596" s="37">
        <v>235.75</v>
      </c>
      <c r="C2596" s="37">
        <v>227.22164916992188</v>
      </c>
      <c r="D2596" s="35">
        <v>16999628</v>
      </c>
      <c r="E2596" s="35" t="s">
        <v>3082</v>
      </c>
      <c r="F2596" s="35" t="s">
        <v>604</v>
      </c>
    </row>
    <row r="2597" spans="1:6">
      <c r="A2597" s="35" t="s">
        <v>3205</v>
      </c>
      <c r="B2597" s="37">
        <v>239.63999938964844</v>
      </c>
      <c r="C2597" s="37">
        <v>230.97093200683594</v>
      </c>
      <c r="D2597" s="35">
        <v>8894412</v>
      </c>
      <c r="E2597" s="35" t="s">
        <v>3082</v>
      </c>
      <c r="F2597" s="35" t="s">
        <v>604</v>
      </c>
    </row>
    <row r="2598" spans="1:6">
      <c r="A2598" s="35" t="s">
        <v>3206</v>
      </c>
      <c r="B2598" s="37">
        <v>239.3699951171875</v>
      </c>
      <c r="C2598" s="37">
        <v>230.710693359375</v>
      </c>
      <c r="D2598" s="35">
        <v>5590909</v>
      </c>
      <c r="E2598" s="35" t="s">
        <v>3082</v>
      </c>
      <c r="F2598" s="35" t="s">
        <v>604</v>
      </c>
    </row>
    <row r="2599" spans="1:6">
      <c r="A2599" s="35" t="s">
        <v>3207</v>
      </c>
      <c r="B2599" s="37">
        <v>241.07000732421875</v>
      </c>
      <c r="C2599" s="37">
        <v>232.34919738769531</v>
      </c>
      <c r="D2599" s="35">
        <v>9479378</v>
      </c>
      <c r="E2599" s="35" t="s">
        <v>3082</v>
      </c>
      <c r="F2599" s="35" t="s">
        <v>604</v>
      </c>
    </row>
    <row r="2600" spans="1:6">
      <c r="A2600" s="35" t="s">
        <v>3208</v>
      </c>
      <c r="B2600" s="37">
        <v>240.97999572753906</v>
      </c>
      <c r="C2600" s="37">
        <v>232.262451171875</v>
      </c>
      <c r="D2600" s="35">
        <v>10968346</v>
      </c>
      <c r="E2600" s="35" t="s">
        <v>3082</v>
      </c>
      <c r="F2600" s="35" t="s">
        <v>604</v>
      </c>
    </row>
    <row r="2601" spans="1:6">
      <c r="A2601" s="35" t="s">
        <v>3209</v>
      </c>
      <c r="B2601" s="37">
        <v>242.1300048828125</v>
      </c>
      <c r="C2601" s="37">
        <v>233.37086486816406</v>
      </c>
      <c r="D2601" s="35">
        <v>6064946</v>
      </c>
      <c r="E2601" s="35" t="s">
        <v>3082</v>
      </c>
      <c r="F2601" s="35" t="s">
        <v>604</v>
      </c>
    </row>
    <row r="2602" spans="1:6">
      <c r="A2602" s="35" t="s">
        <v>3210</v>
      </c>
      <c r="B2602" s="37">
        <v>243.52999877929688</v>
      </c>
      <c r="C2602" s="37">
        <v>234.72021484375</v>
      </c>
      <c r="D2602" s="35">
        <v>6587728</v>
      </c>
      <c r="E2602" s="35" t="s">
        <v>3082</v>
      </c>
      <c r="F2602" s="35" t="s">
        <v>604</v>
      </c>
    </row>
    <row r="2603" spans="1:6">
      <c r="A2603" s="35" t="s">
        <v>3211</v>
      </c>
      <c r="B2603" s="37">
        <v>244.27000427246094</v>
      </c>
      <c r="C2603" s="37">
        <v>235.43344116210938</v>
      </c>
      <c r="D2603" s="35">
        <v>7360563</v>
      </c>
      <c r="E2603" s="35" t="s">
        <v>3082</v>
      </c>
      <c r="F2603" s="35" t="s">
        <v>604</v>
      </c>
    </row>
    <row r="2604" spans="1:6">
      <c r="A2604" s="35" t="s">
        <v>3212</v>
      </c>
      <c r="B2604" s="37">
        <v>246.39999389648438</v>
      </c>
      <c r="C2604" s="37">
        <v>237.48637390136719</v>
      </c>
      <c r="D2604" s="35">
        <v>4629760</v>
      </c>
      <c r="E2604" s="35" t="s">
        <v>3082</v>
      </c>
      <c r="F2604" s="35" t="s">
        <v>604</v>
      </c>
    </row>
    <row r="2605" spans="1:6">
      <c r="A2605" s="35" t="s">
        <v>3213</v>
      </c>
      <c r="B2605" s="37">
        <v>248.69999694824219</v>
      </c>
      <c r="C2605" s="37">
        <v>239.70318603515625</v>
      </c>
      <c r="D2605" s="35">
        <v>7070200</v>
      </c>
      <c r="E2605" s="35" t="s">
        <v>3082</v>
      </c>
      <c r="F2605" s="35" t="s">
        <v>604</v>
      </c>
    </row>
    <row r="2606" spans="1:6">
      <c r="A2606" s="35" t="s">
        <v>3214</v>
      </c>
      <c r="B2606" s="37">
        <v>245.1300048828125</v>
      </c>
      <c r="C2606" s="37">
        <v>236.2623291015625</v>
      </c>
      <c r="D2606" s="35">
        <v>6717589</v>
      </c>
      <c r="E2606" s="35" t="s">
        <v>3082</v>
      </c>
      <c r="F2606" s="35" t="s">
        <v>604</v>
      </c>
    </row>
    <row r="2607" spans="1:6">
      <c r="A2607" s="35" t="s">
        <v>3215</v>
      </c>
      <c r="B2607" s="37">
        <v>248.41999816894531</v>
      </c>
      <c r="C2607" s="37">
        <v>239.43330383300781</v>
      </c>
      <c r="D2607" s="35">
        <v>7888607</v>
      </c>
      <c r="E2607" s="35" t="s">
        <v>3082</v>
      </c>
      <c r="F2607" s="35" t="s">
        <v>604</v>
      </c>
    </row>
    <row r="2608" spans="1:6">
      <c r="A2608" s="35" t="s">
        <v>3216</v>
      </c>
      <c r="B2608" s="37">
        <v>250.21000671386719</v>
      </c>
      <c r="C2608" s="37">
        <v>241.1585693359375</v>
      </c>
      <c r="D2608" s="35">
        <v>13278925</v>
      </c>
      <c r="E2608" s="35" t="s">
        <v>3082</v>
      </c>
      <c r="F2608" s="35" t="s">
        <v>604</v>
      </c>
    </row>
    <row r="2609" spans="1:6">
      <c r="A2609" s="35" t="s">
        <v>3217</v>
      </c>
      <c r="B2609" s="37">
        <v>253.80999755859375</v>
      </c>
      <c r="C2609" s="37">
        <v>244.62832641601563</v>
      </c>
      <c r="D2609" s="35">
        <v>10661302</v>
      </c>
      <c r="E2609" s="35" t="s">
        <v>3082</v>
      </c>
      <c r="F2609" s="35" t="s">
        <v>604</v>
      </c>
    </row>
    <row r="2610" spans="1:6">
      <c r="A2610" s="35" t="s">
        <v>3218</v>
      </c>
      <c r="B2610" s="37">
        <v>240.89999389648438</v>
      </c>
      <c r="C2610" s="37">
        <v>232.18534851074219</v>
      </c>
      <c r="D2610" s="35">
        <v>43802251</v>
      </c>
      <c r="E2610" s="35" t="s">
        <v>3082</v>
      </c>
      <c r="F2610" s="35" t="s">
        <v>604</v>
      </c>
    </row>
    <row r="2611" spans="1:6">
      <c r="A2611" s="35" t="s">
        <v>3219</v>
      </c>
      <c r="B2611" s="37">
        <v>241.24000549316406</v>
      </c>
      <c r="C2611" s="37">
        <v>232.5130615234375</v>
      </c>
      <c r="D2611" s="35">
        <v>9871824</v>
      </c>
      <c r="E2611" s="35" t="s">
        <v>3082</v>
      </c>
      <c r="F2611" s="35" t="s">
        <v>604</v>
      </c>
    </row>
    <row r="2612" spans="1:6">
      <c r="A2612" s="35" t="s">
        <v>3220</v>
      </c>
      <c r="B2612" s="37">
        <v>241.36000061035156</v>
      </c>
      <c r="C2612" s="37">
        <v>232.62870788574219</v>
      </c>
      <c r="D2612" s="35">
        <v>2082336</v>
      </c>
      <c r="E2612" s="35" t="s">
        <v>3082</v>
      </c>
      <c r="F2612" s="35" t="s">
        <v>604</v>
      </c>
    </row>
    <row r="2613" spans="1:6">
      <c r="A2613" s="35" t="s">
        <v>3221</v>
      </c>
      <c r="B2613" s="37">
        <v>244.30000305175781</v>
      </c>
      <c r="C2613" s="37">
        <v>235.46235656738281</v>
      </c>
      <c r="D2613" s="35">
        <v>18964626</v>
      </c>
      <c r="E2613" s="35" t="s">
        <v>3082</v>
      </c>
      <c r="F2613" s="35" t="s">
        <v>604</v>
      </c>
    </row>
    <row r="2614" spans="1:6">
      <c r="A2614" s="35" t="s">
        <v>3222</v>
      </c>
      <c r="B2614" s="37">
        <v>242.97999572753906</v>
      </c>
      <c r="C2614" s="37">
        <v>234.19009399414063</v>
      </c>
      <c r="D2614" s="35">
        <v>6803979</v>
      </c>
      <c r="E2614" s="35" t="s">
        <v>3082</v>
      </c>
      <c r="F2614" s="35" t="s">
        <v>604</v>
      </c>
    </row>
    <row r="2615" spans="1:6">
      <c r="A2615" s="35" t="s">
        <v>3223</v>
      </c>
      <c r="B2615" s="37">
        <v>243.91000366210938</v>
      </c>
      <c r="C2615" s="37">
        <v>235.08647155761719</v>
      </c>
      <c r="D2615" s="35">
        <v>9550336</v>
      </c>
      <c r="E2615" s="35" t="s">
        <v>3082</v>
      </c>
      <c r="F2615" s="35" t="s">
        <v>604</v>
      </c>
    </row>
    <row r="2616" spans="1:6">
      <c r="A2616" s="35" t="s">
        <v>3224</v>
      </c>
      <c r="B2616" s="37">
        <v>242.3800048828125</v>
      </c>
      <c r="C2616" s="37">
        <v>233.61181640625</v>
      </c>
      <c r="D2616" s="35">
        <v>8780789</v>
      </c>
      <c r="E2616" s="35" t="s">
        <v>3082</v>
      </c>
      <c r="F2616" s="35" t="s">
        <v>604</v>
      </c>
    </row>
    <row r="2617" spans="1:6">
      <c r="A2617" s="35" t="s">
        <v>3225</v>
      </c>
      <c r="B2617" s="37">
        <v>242.27999877929688</v>
      </c>
      <c r="C2617" s="37">
        <v>233.51542663574219</v>
      </c>
      <c r="D2617" s="35">
        <v>8776917</v>
      </c>
      <c r="E2617" s="35" t="s">
        <v>3082</v>
      </c>
      <c r="F2617" s="35" t="s">
        <v>604</v>
      </c>
    </row>
    <row r="2618" spans="1:6">
      <c r="A2618" s="35" t="s">
        <v>3226</v>
      </c>
      <c r="B2618" s="37">
        <v>241.91999816894531</v>
      </c>
      <c r="C2618" s="37">
        <v>233.16844177246094</v>
      </c>
      <c r="D2618" s="35">
        <v>8344622</v>
      </c>
      <c r="E2618" s="35" t="s">
        <v>3082</v>
      </c>
      <c r="F2618" s="35" t="s">
        <v>604</v>
      </c>
    </row>
    <row r="2619" spans="1:6">
      <c r="A2619" s="35" t="s">
        <v>3227</v>
      </c>
      <c r="B2619" s="37">
        <v>240.66999816894531</v>
      </c>
      <c r="C2619" s="37">
        <v>231.96366882324219</v>
      </c>
      <c r="D2619" s="35">
        <v>5659566</v>
      </c>
      <c r="E2619" s="35" t="s">
        <v>3082</v>
      </c>
      <c r="F2619" s="35" t="s">
        <v>604</v>
      </c>
    </row>
    <row r="2620" spans="1:6">
      <c r="A2620" s="35" t="s">
        <v>3228</v>
      </c>
      <c r="B2620" s="37">
        <v>240.5</v>
      </c>
      <c r="C2620" s="37">
        <v>231.79983520507813</v>
      </c>
      <c r="D2620" s="35">
        <v>4902693</v>
      </c>
      <c r="E2620" s="35" t="s">
        <v>3082</v>
      </c>
      <c r="F2620" s="35" t="s">
        <v>604</v>
      </c>
    </row>
    <row r="2621" spans="1:6">
      <c r="A2621" s="35" t="s">
        <v>3229</v>
      </c>
      <c r="B2621" s="37">
        <v>237.91999816894531</v>
      </c>
      <c r="C2621" s="37">
        <v>229.31315612792969</v>
      </c>
      <c r="D2621" s="35">
        <v>6848284</v>
      </c>
      <c r="E2621" s="35" t="s">
        <v>3082</v>
      </c>
      <c r="F2621" s="35" t="s">
        <v>604</v>
      </c>
    </row>
    <row r="2622" spans="1:6">
      <c r="A2622" s="35" t="s">
        <v>3230</v>
      </c>
      <c r="B2622" s="37">
        <v>240.05000305175781</v>
      </c>
      <c r="C2622" s="37">
        <v>231.36610412597656</v>
      </c>
      <c r="D2622" s="35">
        <v>7141517</v>
      </c>
      <c r="E2622" s="35" t="s">
        <v>3082</v>
      </c>
      <c r="F2622" s="35" t="s">
        <v>604</v>
      </c>
    </row>
    <row r="2623" spans="1:6">
      <c r="A2623" s="35" t="s">
        <v>3231</v>
      </c>
      <c r="B2623" s="37">
        <v>236.49000549316406</v>
      </c>
      <c r="C2623" s="37">
        <v>227.93489074707031</v>
      </c>
      <c r="D2623" s="35">
        <v>5520619</v>
      </c>
      <c r="E2623" s="35" t="s">
        <v>3082</v>
      </c>
      <c r="F2623" s="35" t="s">
        <v>604</v>
      </c>
    </row>
    <row r="2624" spans="1:6">
      <c r="A2624" s="35" t="s">
        <v>3232</v>
      </c>
      <c r="B2624" s="37">
        <v>239.83999633789063</v>
      </c>
      <c r="C2624" s="37">
        <v>231.1636962890625</v>
      </c>
      <c r="D2624" s="35">
        <v>8566758</v>
      </c>
      <c r="E2624" s="35" t="s">
        <v>3082</v>
      </c>
      <c r="F2624" s="35" t="s">
        <v>604</v>
      </c>
    </row>
    <row r="2625" spans="1:6">
      <c r="A2625" s="35" t="s">
        <v>3233</v>
      </c>
      <c r="B2625" s="37">
        <v>241.69000244140625</v>
      </c>
      <c r="C2625" s="37">
        <v>232.94677734375</v>
      </c>
      <c r="D2625" s="35">
        <v>8831094</v>
      </c>
      <c r="E2625" s="35" t="s">
        <v>3082</v>
      </c>
      <c r="F2625" s="35" t="s">
        <v>604</v>
      </c>
    </row>
    <row r="2626" spans="1:6">
      <c r="A2626" s="35" t="s">
        <v>3234</v>
      </c>
      <c r="B2626" s="37">
        <v>245.22000122070313</v>
      </c>
      <c r="C2626" s="37">
        <v>236.34907531738281</v>
      </c>
      <c r="D2626" s="35">
        <v>13152546</v>
      </c>
      <c r="E2626" s="35" t="s">
        <v>3082</v>
      </c>
      <c r="F2626" s="35" t="s">
        <v>604</v>
      </c>
    </row>
    <row r="2627" spans="1:6">
      <c r="A2627" s="35" t="s">
        <v>3235</v>
      </c>
      <c r="B2627" s="37">
        <v>245.33000183105469</v>
      </c>
      <c r="C2627" s="37">
        <v>236.45509338378906</v>
      </c>
      <c r="D2627" s="35">
        <v>6211124</v>
      </c>
      <c r="E2627" s="35" t="s">
        <v>3082</v>
      </c>
      <c r="F2627" s="35" t="s">
        <v>604</v>
      </c>
    </row>
    <row r="2628" spans="1:6">
      <c r="A2628" s="35" t="s">
        <v>3236</v>
      </c>
      <c r="B2628" s="37">
        <v>244.3699951171875</v>
      </c>
      <c r="C2628" s="37">
        <v>235.52981567382813</v>
      </c>
      <c r="D2628" s="35">
        <v>6841554</v>
      </c>
      <c r="E2628" s="35" t="s">
        <v>3082</v>
      </c>
      <c r="F2628" s="35" t="s">
        <v>604</v>
      </c>
    </row>
    <row r="2629" spans="1:6">
      <c r="A2629" s="35" t="s">
        <v>3237</v>
      </c>
      <c r="B2629" s="37">
        <v>244.05000305175781</v>
      </c>
      <c r="C2629" s="37">
        <v>235.22140502929688</v>
      </c>
      <c r="D2629" s="35">
        <v>6559062</v>
      </c>
      <c r="E2629" s="35" t="s">
        <v>3082</v>
      </c>
      <c r="F2629" s="35" t="s">
        <v>604</v>
      </c>
    </row>
    <row r="2630" spans="1:6">
      <c r="A2630" s="35" t="s">
        <v>3238</v>
      </c>
      <c r="B2630" s="37">
        <v>240.89999389648438</v>
      </c>
      <c r="C2630" s="37">
        <v>232.18534851074219</v>
      </c>
      <c r="D2630" s="35">
        <v>4730012</v>
      </c>
      <c r="E2630" s="35" t="s">
        <v>3082</v>
      </c>
      <c r="F2630" s="35" t="s">
        <v>604</v>
      </c>
    </row>
    <row r="2631" spans="1:6">
      <c r="A2631" s="35" t="s">
        <v>3239</v>
      </c>
      <c r="B2631" s="37">
        <v>246.07000732421875</v>
      </c>
      <c r="C2631" s="37">
        <v>237.16831970214844</v>
      </c>
      <c r="D2631" s="35">
        <v>13298452</v>
      </c>
      <c r="E2631" s="35" t="s">
        <v>3082</v>
      </c>
      <c r="F2631" s="35" t="s">
        <v>604</v>
      </c>
    </row>
    <row r="2632" spans="1:6">
      <c r="A2632" s="35" t="s">
        <v>3240</v>
      </c>
      <c r="B2632" s="37">
        <v>246.25999450683594</v>
      </c>
      <c r="C2632" s="37">
        <v>237.3514404296875</v>
      </c>
      <c r="D2632" s="35">
        <v>6705862</v>
      </c>
      <c r="E2632" s="35" t="s">
        <v>3082</v>
      </c>
      <c r="F2632" s="35" t="s">
        <v>604</v>
      </c>
    </row>
    <row r="2633" spans="1:6">
      <c r="A2633" s="35" t="s">
        <v>3241</v>
      </c>
      <c r="B2633" s="37">
        <v>244.49000549316406</v>
      </c>
      <c r="C2633" s="37">
        <v>235.64549255371094</v>
      </c>
      <c r="D2633" s="35">
        <v>5516450</v>
      </c>
      <c r="E2633" s="35" t="s">
        <v>3082</v>
      </c>
      <c r="F2633" s="35" t="s">
        <v>604</v>
      </c>
    </row>
    <row r="2634" spans="1:6">
      <c r="A2634" s="35" t="s">
        <v>3242</v>
      </c>
      <c r="B2634" s="37">
        <v>247.27000427246094</v>
      </c>
      <c r="C2634" s="37">
        <v>238.32492065429688</v>
      </c>
      <c r="D2634" s="35">
        <v>19711070</v>
      </c>
      <c r="E2634" s="35" t="s">
        <v>3082</v>
      </c>
      <c r="F2634" s="35" t="s">
        <v>604</v>
      </c>
    </row>
    <row r="2635" spans="1:6">
      <c r="A2635" s="35" t="s">
        <v>3243</v>
      </c>
      <c r="B2635" s="37">
        <v>245.63999938964844</v>
      </c>
      <c r="C2635" s="37">
        <v>236.75389099121094</v>
      </c>
      <c r="D2635" s="35">
        <v>8188793</v>
      </c>
      <c r="E2635" s="35" t="s">
        <v>3082</v>
      </c>
      <c r="F2635" s="35" t="s">
        <v>604</v>
      </c>
    </row>
    <row r="2636" spans="1:6">
      <c r="A2636" s="35" t="s">
        <v>3244</v>
      </c>
      <c r="B2636" s="37">
        <v>250.19000244140625</v>
      </c>
      <c r="C2636" s="37">
        <v>241.1392822265625</v>
      </c>
      <c r="D2636" s="35">
        <v>8202096</v>
      </c>
      <c r="E2636" s="35" t="s">
        <v>3082</v>
      </c>
      <c r="F2636" s="35" t="s">
        <v>604</v>
      </c>
    </row>
    <row r="2637" spans="1:6">
      <c r="A2637" s="35" t="s">
        <v>3245</v>
      </c>
      <c r="B2637" s="37">
        <v>249.55999755859375</v>
      </c>
      <c r="C2637" s="37">
        <v>240.53207397460938</v>
      </c>
      <c r="D2637" s="35">
        <v>5268129</v>
      </c>
      <c r="E2637" s="35" t="s">
        <v>3082</v>
      </c>
      <c r="F2637" s="35" t="s">
        <v>604</v>
      </c>
    </row>
    <row r="2638" spans="1:6">
      <c r="A2638" s="35" t="s">
        <v>3246</v>
      </c>
      <c r="B2638" s="37">
        <v>249.52999877929688</v>
      </c>
      <c r="C2638" s="37">
        <v>240.50315856933594</v>
      </c>
      <c r="D2638" s="35">
        <v>7049965</v>
      </c>
      <c r="E2638" s="35" t="s">
        <v>3082</v>
      </c>
      <c r="F2638" s="35" t="s">
        <v>604</v>
      </c>
    </row>
    <row r="2639" spans="1:6">
      <c r="A2639" s="35" t="s">
        <v>3247</v>
      </c>
      <c r="B2639" s="37">
        <v>250.27999877929688</v>
      </c>
      <c r="C2639" s="37">
        <v>241.22602844238281</v>
      </c>
      <c r="D2639" s="35">
        <v>3865446</v>
      </c>
      <c r="E2639" s="35" t="s">
        <v>3082</v>
      </c>
      <c r="F2639" s="35" t="s">
        <v>604</v>
      </c>
    </row>
    <row r="2640" spans="1:6">
      <c r="A2640" s="35" t="s">
        <v>3248</v>
      </c>
      <c r="B2640" s="37">
        <v>250.16999816894531</v>
      </c>
      <c r="C2640" s="37">
        <v>241.12001037597656</v>
      </c>
      <c r="D2640" s="35">
        <v>8535708</v>
      </c>
      <c r="E2640" s="35" t="s">
        <v>3082</v>
      </c>
      <c r="F2640" s="35" t="s">
        <v>604</v>
      </c>
    </row>
    <row r="2641" spans="1:6">
      <c r="A2641" s="35" t="s">
        <v>3249</v>
      </c>
      <c r="B2641" s="37">
        <v>254.69000244140625</v>
      </c>
      <c r="C2641" s="37">
        <v>245.47650146484375</v>
      </c>
      <c r="D2641" s="35">
        <v>17215454</v>
      </c>
      <c r="E2641" s="35" t="s">
        <v>3082</v>
      </c>
      <c r="F2641" s="35" t="s">
        <v>604</v>
      </c>
    </row>
    <row r="2642" spans="1:6">
      <c r="A2642" s="35" t="s">
        <v>3250</v>
      </c>
      <c r="B2642" s="37">
        <v>256.92999267578125</v>
      </c>
      <c r="C2642" s="37">
        <v>247.63545227050781</v>
      </c>
      <c r="D2642" s="35">
        <v>10687381</v>
      </c>
      <c r="E2642" s="35" t="s">
        <v>3082</v>
      </c>
      <c r="F2642" s="35" t="s">
        <v>604</v>
      </c>
    </row>
    <row r="2643" spans="1:6">
      <c r="A2643" s="35" t="s">
        <v>3251</v>
      </c>
      <c r="B2643" s="37">
        <v>259.91000366210938</v>
      </c>
      <c r="C2643" s="37">
        <v>250.50765991210938</v>
      </c>
      <c r="D2643" s="35">
        <v>7886562</v>
      </c>
      <c r="E2643" s="35" t="s">
        <v>3082</v>
      </c>
      <c r="F2643" s="35" t="s">
        <v>604</v>
      </c>
    </row>
    <row r="2644" spans="1:6">
      <c r="A2644" s="35" t="s">
        <v>3252</v>
      </c>
      <c r="B2644" s="37">
        <v>261.3800048828125</v>
      </c>
      <c r="C2644" s="37">
        <v>251.92448425292969</v>
      </c>
      <c r="D2644" s="35">
        <v>9684253</v>
      </c>
      <c r="E2644" s="35" t="s">
        <v>3082</v>
      </c>
      <c r="F2644" s="35" t="s">
        <v>604</v>
      </c>
    </row>
    <row r="2645" spans="1:6">
      <c r="A2645" s="35" t="s">
        <v>3253</v>
      </c>
      <c r="B2645" s="37">
        <v>257.41000366210938</v>
      </c>
      <c r="C2645" s="37">
        <v>248.09809875488281</v>
      </c>
      <c r="D2645" s="35">
        <v>8560580</v>
      </c>
      <c r="E2645" s="35" t="s">
        <v>3082</v>
      </c>
      <c r="F2645" s="35" t="s">
        <v>604</v>
      </c>
    </row>
    <row r="2646" spans="1:6">
      <c r="A2646" s="35" t="s">
        <v>3254</v>
      </c>
      <c r="B2646" s="37">
        <v>257.98001098632813</v>
      </c>
      <c r="C2646" s="37">
        <v>248.64749145507813</v>
      </c>
      <c r="D2646" s="35">
        <v>7944200</v>
      </c>
      <c r="E2646" s="35" t="s">
        <v>3082</v>
      </c>
      <c r="F2646" s="35" t="s">
        <v>604</v>
      </c>
    </row>
    <row r="2647" spans="1:6">
      <c r="A2647" s="35" t="s">
        <v>3255</v>
      </c>
      <c r="B2647" s="37">
        <v>259.25</v>
      </c>
      <c r="C2647" s="37">
        <v>249.87152099609375</v>
      </c>
      <c r="D2647" s="35">
        <v>6473376</v>
      </c>
      <c r="E2647" s="35" t="s">
        <v>3082</v>
      </c>
      <c r="F2647" s="35" t="s">
        <v>604</v>
      </c>
    </row>
    <row r="2648" spans="1:6">
      <c r="A2648" s="35" t="s">
        <v>3256</v>
      </c>
      <c r="B2648" s="37">
        <v>260.60000610351563</v>
      </c>
      <c r="C2648" s="37">
        <v>251.17269897460938</v>
      </c>
      <c r="D2648" s="35">
        <v>4008271</v>
      </c>
      <c r="E2648" s="35" t="s">
        <v>3082</v>
      </c>
      <c r="F2648" s="35" t="s">
        <v>604</v>
      </c>
    </row>
    <row r="2649" spans="1:6">
      <c r="A2649" s="35" t="s">
        <v>3257</v>
      </c>
      <c r="B2649" s="37">
        <v>261.739990234375</v>
      </c>
      <c r="C2649" s="37">
        <v>252.27143859863281</v>
      </c>
      <c r="D2649" s="35">
        <v>4023911</v>
      </c>
      <c r="E2649" s="35" t="s">
        <v>3082</v>
      </c>
      <c r="F2649" s="35" t="s">
        <v>604</v>
      </c>
    </row>
    <row r="2650" spans="1:6">
      <c r="A2650" s="35" t="s">
        <v>3258</v>
      </c>
      <c r="B2650" s="37">
        <v>259.22000122070313</v>
      </c>
      <c r="C2650" s="37">
        <v>249.84262084960938</v>
      </c>
      <c r="D2650" s="35">
        <v>2982041</v>
      </c>
      <c r="E2650" s="35" t="s">
        <v>3082</v>
      </c>
      <c r="F2650" s="35" t="s">
        <v>604</v>
      </c>
    </row>
    <row r="2651" spans="1:6">
      <c r="A2651" s="35" t="s">
        <v>3259</v>
      </c>
      <c r="B2651" s="37">
        <v>261.1400146484375</v>
      </c>
      <c r="C2651" s="37">
        <v>251.69317626953125</v>
      </c>
      <c r="D2651" s="35">
        <v>4923276</v>
      </c>
      <c r="E2651" s="35" t="s">
        <v>3082</v>
      </c>
      <c r="F2651" s="35" t="s">
        <v>604</v>
      </c>
    </row>
    <row r="2652" spans="1:6">
      <c r="A2652" s="35" t="s">
        <v>3260</v>
      </c>
      <c r="B2652" s="37">
        <v>263.85000610351563</v>
      </c>
      <c r="C2652" s="37">
        <v>254.30514526367188</v>
      </c>
      <c r="D2652" s="35">
        <v>9008412</v>
      </c>
      <c r="E2652" s="35" t="s">
        <v>3082</v>
      </c>
      <c r="F2652" s="35" t="s">
        <v>604</v>
      </c>
    </row>
    <row r="2653" spans="1:6">
      <c r="A2653" s="35" t="s">
        <v>3261</v>
      </c>
      <c r="B2653" s="37">
        <v>264.45001220703125</v>
      </c>
      <c r="C2653" s="37">
        <v>254.88343811035156</v>
      </c>
      <c r="D2653" s="35">
        <v>12750745</v>
      </c>
      <c r="E2653" s="35" t="s">
        <v>3082</v>
      </c>
      <c r="F2653" s="35" t="s">
        <v>604</v>
      </c>
    </row>
    <row r="2654" spans="1:6">
      <c r="A2654" s="35" t="s">
        <v>3262</v>
      </c>
      <c r="B2654" s="37">
        <v>272.67001342773438</v>
      </c>
      <c r="C2654" s="37">
        <v>262.80609130859375</v>
      </c>
      <c r="D2654" s="35">
        <v>14651313</v>
      </c>
      <c r="E2654" s="35" t="s">
        <v>3082</v>
      </c>
      <c r="F2654" s="35" t="s">
        <v>604</v>
      </c>
    </row>
    <row r="2655" spans="1:6">
      <c r="A2655" s="35" t="s">
        <v>3263</v>
      </c>
      <c r="B2655" s="37">
        <v>271.39999389648438</v>
      </c>
      <c r="C2655" s="37">
        <v>261.58200073242188</v>
      </c>
      <c r="D2655" s="35">
        <v>7572420</v>
      </c>
      <c r="E2655" s="35" t="s">
        <v>3082</v>
      </c>
      <c r="F2655" s="35" t="s">
        <v>604</v>
      </c>
    </row>
    <row r="2656" spans="1:6">
      <c r="A2656" s="35" t="s">
        <v>3264</v>
      </c>
      <c r="B2656" s="37">
        <v>268.05999755859375</v>
      </c>
      <c r="C2656" s="37">
        <v>258.36282348632813</v>
      </c>
      <c r="D2656" s="35">
        <v>4694861</v>
      </c>
      <c r="E2656" s="35" t="s">
        <v>3082</v>
      </c>
      <c r="F2656" s="35" t="s">
        <v>604</v>
      </c>
    </row>
    <row r="2657" spans="1:6">
      <c r="A2657" s="35" t="s">
        <v>3265</v>
      </c>
      <c r="B2657" s="37">
        <v>266.29998779296875</v>
      </c>
      <c r="C2657" s="37">
        <v>256.66647338867188</v>
      </c>
      <c r="D2657" s="35">
        <v>2899112</v>
      </c>
      <c r="E2657" s="35" t="s">
        <v>3082</v>
      </c>
      <c r="F2657" s="35" t="s">
        <v>604</v>
      </c>
    </row>
    <row r="2658" spans="1:6">
      <c r="A2658" s="35" t="s">
        <v>3266</v>
      </c>
      <c r="B2658" s="37">
        <v>264.239990234375</v>
      </c>
      <c r="C2658" s="37">
        <v>254.68101501464844</v>
      </c>
      <c r="D2658" s="35">
        <v>3755074</v>
      </c>
      <c r="E2658" s="35" t="s">
        <v>3082</v>
      </c>
      <c r="F2658" s="35" t="s">
        <v>604</v>
      </c>
    </row>
    <row r="2659" spans="1:6">
      <c r="A2659" s="35" t="s">
        <v>3267</v>
      </c>
      <c r="B2659" s="37">
        <v>263.64999389648438</v>
      </c>
      <c r="C2659" s="37">
        <v>254.11236572265625</v>
      </c>
      <c r="D2659" s="35">
        <v>5117699</v>
      </c>
      <c r="E2659" s="35" t="s">
        <v>3082</v>
      </c>
      <c r="F2659" s="35" t="s">
        <v>604</v>
      </c>
    </row>
    <row r="2660" spans="1:6">
      <c r="A2660" s="35" t="s">
        <v>3268</v>
      </c>
      <c r="B2660" s="37">
        <v>263.27999877929688</v>
      </c>
      <c r="C2660" s="37">
        <v>253.75575256347656</v>
      </c>
      <c r="D2660" s="35">
        <v>5705044</v>
      </c>
      <c r="E2660" s="35" t="s">
        <v>3082</v>
      </c>
      <c r="F2660" s="35" t="s">
        <v>604</v>
      </c>
    </row>
    <row r="2661" spans="1:6">
      <c r="A2661" s="35" t="s">
        <v>3269</v>
      </c>
      <c r="B2661" s="37">
        <v>267.35000610351563</v>
      </c>
      <c r="C2661" s="37">
        <v>257.67852783203125</v>
      </c>
      <c r="D2661" s="35">
        <v>3639755</v>
      </c>
      <c r="E2661" s="35" t="s">
        <v>3082</v>
      </c>
      <c r="F2661" s="35" t="s">
        <v>604</v>
      </c>
    </row>
    <row r="2662" spans="1:6">
      <c r="A2662" s="35" t="s">
        <v>3270</v>
      </c>
      <c r="B2662" s="37">
        <v>269</v>
      </c>
      <c r="C2662" s="37">
        <v>259.268798828125</v>
      </c>
      <c r="D2662" s="35">
        <v>8286204</v>
      </c>
      <c r="E2662" s="35" t="s">
        <v>3082</v>
      </c>
      <c r="F2662" s="35" t="s">
        <v>604</v>
      </c>
    </row>
    <row r="2663" spans="1:6">
      <c r="A2663" s="35" t="s">
        <v>3271</v>
      </c>
      <c r="B2663" s="37">
        <v>263.29998779296875</v>
      </c>
      <c r="C2663" s="37">
        <v>253.77500915527344</v>
      </c>
      <c r="D2663" s="35">
        <v>7006599</v>
      </c>
      <c r="E2663" s="35" t="s">
        <v>3082</v>
      </c>
      <c r="F2663" s="35" t="s">
        <v>604</v>
      </c>
    </row>
    <row r="2664" spans="1:6">
      <c r="A2664" s="35" t="s">
        <v>3272</v>
      </c>
      <c r="B2664" s="37">
        <v>265.60000610351563</v>
      </c>
      <c r="C2664" s="37">
        <v>255.9918212890625</v>
      </c>
      <c r="D2664" s="35">
        <v>4083654</v>
      </c>
      <c r="E2664" s="35" t="s">
        <v>3082</v>
      </c>
      <c r="F2664" s="35" t="s">
        <v>604</v>
      </c>
    </row>
    <row r="2665" spans="1:6">
      <c r="A2665" s="35" t="s">
        <v>3273</v>
      </c>
      <c r="B2665" s="37">
        <v>270.79998779296875</v>
      </c>
      <c r="C2665" s="37">
        <v>261.00369262695313</v>
      </c>
      <c r="D2665" s="35">
        <v>10242615</v>
      </c>
      <c r="E2665" s="35" t="s">
        <v>3082</v>
      </c>
      <c r="F2665" s="35" t="s">
        <v>604</v>
      </c>
    </row>
    <row r="2666" spans="1:6">
      <c r="A2666" s="35" t="s">
        <v>3274</v>
      </c>
      <c r="B2666" s="37">
        <v>262.20001220703125</v>
      </c>
      <c r="C2666" s="37">
        <v>252.71482849121094</v>
      </c>
      <c r="D2666" s="35">
        <v>9269522</v>
      </c>
      <c r="E2666" s="35" t="s">
        <v>3082</v>
      </c>
      <c r="F2666" s="35" t="s">
        <v>604</v>
      </c>
    </row>
    <row r="2667" spans="1:6">
      <c r="A2667" s="35" t="s">
        <v>3275</v>
      </c>
      <c r="B2667" s="37">
        <v>261.95001220703125</v>
      </c>
      <c r="C2667" s="37">
        <v>252.473876953125</v>
      </c>
      <c r="D2667" s="35">
        <v>4735387</v>
      </c>
      <c r="E2667" s="35" t="s">
        <v>3082</v>
      </c>
      <c r="F2667" s="35" t="s">
        <v>604</v>
      </c>
    </row>
    <row r="2668" spans="1:6">
      <c r="A2668" s="35" t="s">
        <v>3276</v>
      </c>
      <c r="B2668" s="37">
        <v>263.10000610351563</v>
      </c>
      <c r="C2668" s="37">
        <v>253.58226013183594</v>
      </c>
      <c r="D2668" s="35">
        <v>3802164</v>
      </c>
      <c r="E2668" s="35" t="s">
        <v>3082</v>
      </c>
      <c r="F2668" s="35" t="s">
        <v>604</v>
      </c>
    </row>
    <row r="2669" spans="1:6">
      <c r="A2669" s="35" t="s">
        <v>3277</v>
      </c>
      <c r="B2669" s="37">
        <v>264.20001220703125</v>
      </c>
      <c r="C2669" s="37">
        <v>254.64247131347656</v>
      </c>
      <c r="D2669" s="35">
        <v>6931244</v>
      </c>
      <c r="E2669" s="35" t="s">
        <v>3082</v>
      </c>
      <c r="F2669" s="35" t="s">
        <v>604</v>
      </c>
    </row>
    <row r="2670" spans="1:6">
      <c r="A2670" s="35" t="s">
        <v>3278</v>
      </c>
      <c r="B2670" s="37">
        <v>260.20001220703125</v>
      </c>
      <c r="C2670" s="37">
        <v>250.78718566894531</v>
      </c>
      <c r="D2670" s="35">
        <v>5625861</v>
      </c>
      <c r="E2670" s="35" t="s">
        <v>3082</v>
      </c>
      <c r="F2670" s="35" t="s">
        <v>604</v>
      </c>
    </row>
    <row r="2671" spans="1:6">
      <c r="A2671" s="35" t="s">
        <v>3279</v>
      </c>
      <c r="B2671" s="37">
        <v>260.20001220703125</v>
      </c>
      <c r="C2671" s="37">
        <v>250.78718566894531</v>
      </c>
      <c r="D2671" s="35">
        <v>0</v>
      </c>
      <c r="E2671" s="35" t="s">
        <v>3082</v>
      </c>
      <c r="F2671" s="35" t="s">
        <v>604</v>
      </c>
    </row>
    <row r="2672" spans="1:6">
      <c r="A2672" s="35" t="s">
        <v>3280</v>
      </c>
      <c r="B2672" s="37">
        <v>267.45001220703125</v>
      </c>
      <c r="C2672" s="37">
        <v>257.77490234375</v>
      </c>
      <c r="D2672" s="35">
        <v>12028289</v>
      </c>
      <c r="E2672" s="35" t="s">
        <v>3082</v>
      </c>
      <c r="F2672" s="35" t="s">
        <v>604</v>
      </c>
    </row>
    <row r="2673" spans="1:6">
      <c r="A2673" s="35" t="s">
        <v>3281</v>
      </c>
      <c r="B2673" s="37">
        <v>245.94999694824219</v>
      </c>
      <c r="C2673" s="37">
        <v>237.05265808105469</v>
      </c>
      <c r="D2673" s="35">
        <v>65833247</v>
      </c>
      <c r="E2673" s="35" t="s">
        <v>3082</v>
      </c>
      <c r="F2673" s="35" t="s">
        <v>604</v>
      </c>
    </row>
    <row r="2674" spans="1:6">
      <c r="A2674" s="35" t="s">
        <v>3282</v>
      </c>
      <c r="B2674" s="37">
        <v>239.89999389648438</v>
      </c>
      <c r="C2674" s="37">
        <v>231.22151184082031</v>
      </c>
      <c r="D2674" s="35">
        <v>16796201</v>
      </c>
      <c r="E2674" s="35" t="s">
        <v>3082</v>
      </c>
      <c r="F2674" s="35" t="s">
        <v>604</v>
      </c>
    </row>
    <row r="2675" spans="1:6">
      <c r="A2675" s="35" t="s">
        <v>3283</v>
      </c>
      <c r="B2675" s="37">
        <v>239.55000305175781</v>
      </c>
      <c r="C2675" s="37">
        <v>230.88420104980469</v>
      </c>
      <c r="D2675" s="35">
        <v>14397792</v>
      </c>
      <c r="E2675" s="35" t="s">
        <v>3082</v>
      </c>
      <c r="F2675" s="35" t="s">
        <v>604</v>
      </c>
    </row>
    <row r="2676" spans="1:6">
      <c r="A2676" s="35" t="s">
        <v>3284</v>
      </c>
      <c r="B2676" s="37">
        <v>240.64999389648438</v>
      </c>
      <c r="C2676" s="37">
        <v>231.94438171386719</v>
      </c>
      <c r="D2676" s="35">
        <v>8537915</v>
      </c>
      <c r="E2676" s="35" t="s">
        <v>3082</v>
      </c>
      <c r="F2676" s="35" t="s">
        <v>604</v>
      </c>
    </row>
    <row r="2677" spans="1:6">
      <c r="A2677" s="35" t="s">
        <v>3285</v>
      </c>
      <c r="B2677" s="37">
        <v>238.39999389648438</v>
      </c>
      <c r="C2677" s="37">
        <v>229.77577209472656</v>
      </c>
      <c r="D2677" s="35">
        <v>13546802</v>
      </c>
      <c r="E2677" s="35" t="s">
        <v>3082</v>
      </c>
      <c r="F2677" s="35" t="s">
        <v>604</v>
      </c>
    </row>
    <row r="2678" spans="1:6">
      <c r="A2678" s="35" t="s">
        <v>3286</v>
      </c>
      <c r="B2678" s="37">
        <v>234.80000305175781</v>
      </c>
      <c r="C2678" s="37">
        <v>232.148681640625</v>
      </c>
      <c r="D2678" s="35">
        <v>15677537</v>
      </c>
      <c r="E2678" s="35" t="s">
        <v>3082</v>
      </c>
      <c r="F2678" s="35" t="s">
        <v>604</v>
      </c>
    </row>
    <row r="2679" spans="1:6">
      <c r="A2679" s="35" t="s">
        <v>3287</v>
      </c>
      <c r="B2679" s="37">
        <v>237.35000610351563</v>
      </c>
      <c r="C2679" s="37">
        <v>234.66989135742188</v>
      </c>
      <c r="D2679" s="35">
        <v>10155128</v>
      </c>
      <c r="E2679" s="35" t="s">
        <v>3082</v>
      </c>
      <c r="F2679" s="35" t="s">
        <v>604</v>
      </c>
    </row>
    <row r="2680" spans="1:6">
      <c r="A2680" s="35" t="s">
        <v>3288</v>
      </c>
      <c r="B2680" s="37">
        <v>239.80000305175781</v>
      </c>
      <c r="C2680" s="37">
        <v>237.09222412109375</v>
      </c>
      <c r="D2680" s="35">
        <v>12201949</v>
      </c>
      <c r="E2680" s="35" t="s">
        <v>3082</v>
      </c>
      <c r="F2680" s="35" t="s">
        <v>604</v>
      </c>
    </row>
    <row r="2681" spans="1:6">
      <c r="A2681" s="35" t="s">
        <v>3289</v>
      </c>
      <c r="B2681" s="37">
        <v>236.89999389648438</v>
      </c>
      <c r="C2681" s="37">
        <v>234.22496032714844</v>
      </c>
      <c r="D2681" s="35">
        <v>11362317</v>
      </c>
      <c r="E2681" s="35" t="s">
        <v>3082</v>
      </c>
      <c r="F2681" s="35" t="s">
        <v>604</v>
      </c>
    </row>
    <row r="2682" spans="1:6">
      <c r="A2682" s="35" t="s">
        <v>3290</v>
      </c>
      <c r="B2682" s="37">
        <v>242.30000305175781</v>
      </c>
      <c r="C2682" s="37">
        <v>239.56399536132813</v>
      </c>
      <c r="D2682" s="35">
        <v>12335721</v>
      </c>
      <c r="E2682" s="35" t="s">
        <v>3082</v>
      </c>
      <c r="F2682" s="35" t="s">
        <v>604</v>
      </c>
    </row>
    <row r="2683" spans="1:6">
      <c r="A2683" s="35" t="s">
        <v>3291</v>
      </c>
      <c r="B2683" s="37">
        <v>242.69000244140625</v>
      </c>
      <c r="C2683" s="37">
        <v>239.94960021972656</v>
      </c>
      <c r="D2683" s="35">
        <v>25915412</v>
      </c>
      <c r="E2683" s="35" t="s">
        <v>3082</v>
      </c>
      <c r="F2683" s="35" t="s">
        <v>604</v>
      </c>
    </row>
    <row r="2684" spans="1:6">
      <c r="A2684" s="35" t="s">
        <v>3292</v>
      </c>
      <c r="B2684" s="37">
        <v>233.33999633789063</v>
      </c>
      <c r="C2684" s="37">
        <v>230.70516967773438</v>
      </c>
      <c r="D2684" s="35">
        <v>25995324</v>
      </c>
      <c r="E2684" s="35" t="s">
        <v>3082</v>
      </c>
      <c r="F2684" s="35" t="s">
        <v>604</v>
      </c>
    </row>
    <row r="2685" spans="1:6">
      <c r="A2685" s="35" t="s">
        <v>3293</v>
      </c>
      <c r="B2685" s="37">
        <v>233.38999938964844</v>
      </c>
      <c r="C2685" s="37">
        <v>230.75460815429688</v>
      </c>
      <c r="D2685" s="35">
        <v>10102736</v>
      </c>
      <c r="E2685" s="35" t="s">
        <v>3082</v>
      </c>
      <c r="F2685" s="35" t="s">
        <v>604</v>
      </c>
    </row>
    <row r="2686" spans="1:6">
      <c r="A2686" s="35" t="s">
        <v>3294</v>
      </c>
      <c r="B2686" s="37">
        <v>230.72000122070313</v>
      </c>
      <c r="C2686" s="37">
        <v>228.11476135253906</v>
      </c>
      <c r="D2686" s="35">
        <v>12279085</v>
      </c>
      <c r="E2686" s="35" t="s">
        <v>3082</v>
      </c>
      <c r="F2686" s="35" t="s">
        <v>604</v>
      </c>
    </row>
    <row r="2687" spans="1:6">
      <c r="A2687" s="35" t="s">
        <v>3295</v>
      </c>
      <c r="B2687" s="37">
        <v>230.08000183105469</v>
      </c>
      <c r="C2687" s="37">
        <v>227.48197937011719</v>
      </c>
      <c r="D2687" s="35">
        <v>9112474</v>
      </c>
      <c r="E2687" s="35" t="s">
        <v>3082</v>
      </c>
      <c r="F2687" s="35" t="s">
        <v>604</v>
      </c>
    </row>
    <row r="2688" spans="1:6">
      <c r="A2688" s="35" t="s">
        <v>3296</v>
      </c>
      <c r="B2688" s="37">
        <v>231.47000122070313</v>
      </c>
      <c r="C2688" s="37">
        <v>228.85629272460938</v>
      </c>
      <c r="D2688" s="35">
        <v>12435622</v>
      </c>
      <c r="E2688" s="35" t="s">
        <v>3082</v>
      </c>
      <c r="F2688" s="35" t="s">
        <v>604</v>
      </c>
    </row>
    <row r="2689" spans="1:6">
      <c r="A2689" s="35" t="s">
        <v>3297</v>
      </c>
      <c r="B2689" s="37">
        <v>229.80999755859375</v>
      </c>
      <c r="C2689" s="37">
        <v>227.21502685546875</v>
      </c>
      <c r="D2689" s="35">
        <v>7874912</v>
      </c>
      <c r="E2689" s="35" t="s">
        <v>3082</v>
      </c>
      <c r="F2689" s="35" t="s">
        <v>604</v>
      </c>
    </row>
    <row r="2690" spans="1:6">
      <c r="A2690" s="35" t="s">
        <v>3298</v>
      </c>
      <c r="B2690" s="37">
        <v>219.08000183105469</v>
      </c>
      <c r="C2690" s="37">
        <v>216.606201171875</v>
      </c>
      <c r="D2690" s="35">
        <v>40899346</v>
      </c>
      <c r="E2690" s="35" t="s">
        <v>3082</v>
      </c>
      <c r="F2690" s="35" t="s">
        <v>604</v>
      </c>
    </row>
    <row r="2691" spans="1:6">
      <c r="A2691" s="35" t="s">
        <v>3299</v>
      </c>
      <c r="B2691" s="37">
        <v>214.08999633789063</v>
      </c>
      <c r="C2691" s="37">
        <v>211.67253112792969</v>
      </c>
      <c r="D2691" s="35">
        <v>23721186</v>
      </c>
      <c r="E2691" s="35" t="s">
        <v>3082</v>
      </c>
      <c r="F2691" s="35" t="s">
        <v>604</v>
      </c>
    </row>
    <row r="2692" spans="1:6">
      <c r="A2692" s="35" t="s">
        <v>3300</v>
      </c>
      <c r="B2692" s="37">
        <v>213.25999450683594</v>
      </c>
      <c r="C2692" s="37">
        <v>210.85189819335938</v>
      </c>
      <c r="D2692" s="35">
        <v>20754327</v>
      </c>
      <c r="E2692" s="35" t="s">
        <v>3082</v>
      </c>
      <c r="F2692" s="35" t="s">
        <v>604</v>
      </c>
    </row>
    <row r="2693" spans="1:6">
      <c r="A2693" s="35" t="s">
        <v>3301</v>
      </c>
      <c r="B2693" s="37">
        <v>215.69000244140625</v>
      </c>
      <c r="C2693" s="37">
        <v>213.25447082519531</v>
      </c>
      <c r="D2693" s="35">
        <v>26941553</v>
      </c>
      <c r="E2693" s="35" t="s">
        <v>3082</v>
      </c>
      <c r="F2693" s="35" t="s">
        <v>604</v>
      </c>
    </row>
    <row r="2694" spans="1:6">
      <c r="A2694" s="35" t="s">
        <v>3302</v>
      </c>
      <c r="B2694" s="37">
        <v>211.94999694824219</v>
      </c>
      <c r="C2694" s="37">
        <v>209.55670166015625</v>
      </c>
      <c r="D2694" s="35">
        <v>22679760</v>
      </c>
      <c r="E2694" s="35" t="s">
        <v>3082</v>
      </c>
      <c r="F2694" s="35" t="s">
        <v>604</v>
      </c>
    </row>
    <row r="2695" spans="1:6">
      <c r="A2695" s="35" t="s">
        <v>3303</v>
      </c>
      <c r="B2695" s="37">
        <v>211.21000671386719</v>
      </c>
      <c r="C2695" s="37">
        <v>208.82505798339844</v>
      </c>
      <c r="D2695" s="35">
        <v>14151588</v>
      </c>
      <c r="E2695" s="35" t="s">
        <v>3082</v>
      </c>
      <c r="F2695" s="35" t="s">
        <v>604</v>
      </c>
    </row>
    <row r="2696" spans="1:6">
      <c r="A2696" s="35" t="s">
        <v>3304</v>
      </c>
      <c r="B2696" s="37">
        <v>209.86000061035156</v>
      </c>
      <c r="C2696" s="37">
        <v>207.49031066894531</v>
      </c>
      <c r="D2696" s="35">
        <v>17690420</v>
      </c>
      <c r="E2696" s="35" t="s">
        <v>3082</v>
      </c>
      <c r="F2696" s="35" t="s">
        <v>604</v>
      </c>
    </row>
    <row r="2697" spans="1:6">
      <c r="A2697" s="35" t="s">
        <v>3305</v>
      </c>
      <c r="B2697" s="37">
        <v>205.88999938964844</v>
      </c>
      <c r="C2697" s="37">
        <v>203.56512451171875</v>
      </c>
      <c r="D2697" s="35">
        <v>20946229</v>
      </c>
      <c r="E2697" s="35" t="s">
        <v>3082</v>
      </c>
      <c r="F2697" s="35" t="s">
        <v>604</v>
      </c>
    </row>
    <row r="2698" spans="1:6">
      <c r="A2698" s="35" t="s">
        <v>3306</v>
      </c>
      <c r="B2698" s="37">
        <v>200.13999938964844</v>
      </c>
      <c r="C2698" s="37">
        <v>197.88005065917969</v>
      </c>
      <c r="D2698" s="35">
        <v>25036686</v>
      </c>
      <c r="E2698" s="35" t="s">
        <v>3082</v>
      </c>
      <c r="F2698" s="35" t="s">
        <v>604</v>
      </c>
    </row>
    <row r="2699" spans="1:6">
      <c r="A2699" s="35" t="s">
        <v>3307</v>
      </c>
      <c r="B2699" s="37">
        <v>201.91999816894531</v>
      </c>
      <c r="C2699" s="37">
        <v>199.63995361328125</v>
      </c>
      <c r="D2699" s="35">
        <v>13979068</v>
      </c>
      <c r="E2699" s="35" t="s">
        <v>3082</v>
      </c>
      <c r="F2699" s="35" t="s">
        <v>604</v>
      </c>
    </row>
    <row r="2700" spans="1:6">
      <c r="A2700" s="35" t="s">
        <v>3308</v>
      </c>
      <c r="B2700" s="37">
        <v>201.08000183105469</v>
      </c>
      <c r="C2700" s="37">
        <v>198.8094482421875</v>
      </c>
      <c r="D2700" s="35">
        <v>14378069</v>
      </c>
      <c r="E2700" s="35" t="s">
        <v>3082</v>
      </c>
      <c r="F2700" s="35" t="s">
        <v>604</v>
      </c>
    </row>
    <row r="2701" spans="1:6">
      <c r="A2701" s="35" t="s">
        <v>3309</v>
      </c>
      <c r="B2701" s="37">
        <v>200.96000671386719</v>
      </c>
      <c r="C2701" s="37">
        <v>198.69081115722656</v>
      </c>
      <c r="D2701" s="35">
        <v>13288519</v>
      </c>
      <c r="E2701" s="35" t="s">
        <v>3082</v>
      </c>
      <c r="F2701" s="35" t="s">
        <v>604</v>
      </c>
    </row>
    <row r="2702" spans="1:6">
      <c r="A2702" s="35" t="s">
        <v>3310</v>
      </c>
      <c r="B2702" s="37">
        <v>198.57000732421875</v>
      </c>
      <c r="C2702" s="37">
        <v>196.32778930664063</v>
      </c>
      <c r="D2702" s="35">
        <v>10486866</v>
      </c>
      <c r="E2702" s="35" t="s">
        <v>3082</v>
      </c>
      <c r="F2702" s="35" t="s">
        <v>604</v>
      </c>
    </row>
    <row r="2703" spans="1:6">
      <c r="A2703" s="35" t="s">
        <v>3311</v>
      </c>
      <c r="B2703" s="37">
        <v>195.55000305175781</v>
      </c>
      <c r="C2703" s="37">
        <v>193.34188842773438</v>
      </c>
      <c r="D2703" s="35">
        <v>19562075</v>
      </c>
      <c r="E2703" s="35" t="s">
        <v>3082</v>
      </c>
      <c r="F2703" s="35" t="s">
        <v>604</v>
      </c>
    </row>
    <row r="2704" spans="1:6">
      <c r="A2704" s="35" t="s">
        <v>3312</v>
      </c>
      <c r="B2704" s="37">
        <v>195.67999267578125</v>
      </c>
      <c r="C2704" s="37">
        <v>193.47041320800781</v>
      </c>
      <c r="D2704" s="35">
        <v>13149281</v>
      </c>
      <c r="E2704" s="35" t="s">
        <v>3082</v>
      </c>
      <c r="F2704" s="35" t="s">
        <v>604</v>
      </c>
    </row>
    <row r="2705" spans="1:6">
      <c r="A2705" s="35" t="s">
        <v>3313</v>
      </c>
      <c r="B2705" s="37">
        <v>195.39999389648438</v>
      </c>
      <c r="C2705" s="37">
        <v>193.19357299804688</v>
      </c>
      <c r="D2705" s="35">
        <v>9022914</v>
      </c>
      <c r="E2705" s="35" t="s">
        <v>3082</v>
      </c>
      <c r="F2705" s="35" t="s">
        <v>604</v>
      </c>
    </row>
    <row r="2706" spans="1:6">
      <c r="A2706" s="35" t="s">
        <v>3314</v>
      </c>
      <c r="B2706" s="37">
        <v>198.75</v>
      </c>
      <c r="C2706" s="37">
        <v>196.50575256347656</v>
      </c>
      <c r="D2706" s="35">
        <v>25862728</v>
      </c>
      <c r="E2706" s="35" t="s">
        <v>3082</v>
      </c>
      <c r="F2706" s="35" t="s">
        <v>604</v>
      </c>
    </row>
    <row r="2707" spans="1:6">
      <c r="A2707" s="35" t="s">
        <v>3315</v>
      </c>
      <c r="B2707" s="37">
        <v>200.92999267578125</v>
      </c>
      <c r="C2707" s="37">
        <v>198.6611328125</v>
      </c>
      <c r="D2707" s="35">
        <v>12982340</v>
      </c>
      <c r="E2707" s="35" t="s">
        <v>3082</v>
      </c>
      <c r="F2707" s="35" t="s">
        <v>604</v>
      </c>
    </row>
    <row r="2708" spans="1:6">
      <c r="A2708" s="35" t="s">
        <v>3316</v>
      </c>
      <c r="B2708" s="37">
        <v>202.22999572753906</v>
      </c>
      <c r="C2708" s="37">
        <v>199.94645690917969</v>
      </c>
      <c r="D2708" s="35">
        <v>29199002</v>
      </c>
      <c r="E2708" s="35" t="s">
        <v>3082</v>
      </c>
      <c r="F2708" s="35" t="s">
        <v>604</v>
      </c>
    </row>
    <row r="2709" spans="1:6">
      <c r="A2709" s="35" t="s">
        <v>3317</v>
      </c>
      <c r="B2709" s="37">
        <v>202.50999450683594</v>
      </c>
      <c r="C2709" s="37">
        <v>200.22329711914063</v>
      </c>
      <c r="D2709" s="35">
        <v>19042475</v>
      </c>
      <c r="E2709" s="35" t="s">
        <v>3082</v>
      </c>
      <c r="F2709" s="35" t="s">
        <v>604</v>
      </c>
    </row>
    <row r="2710" spans="1:6">
      <c r="A2710" s="35" t="s">
        <v>3318</v>
      </c>
      <c r="B2710" s="37">
        <v>197.58000183105469</v>
      </c>
      <c r="C2710" s="37">
        <v>195.34896850585938</v>
      </c>
      <c r="D2710" s="35">
        <v>12629652</v>
      </c>
      <c r="E2710" s="35" t="s">
        <v>3082</v>
      </c>
      <c r="F2710" s="35" t="s">
        <v>604</v>
      </c>
    </row>
    <row r="2711" spans="1:6">
      <c r="A2711" s="35" t="s">
        <v>3319</v>
      </c>
      <c r="B2711" s="37">
        <v>195.11000061035156</v>
      </c>
      <c r="C2711" s="37">
        <v>192.9068603515625</v>
      </c>
      <c r="D2711" s="35">
        <v>12631649</v>
      </c>
      <c r="E2711" s="35" t="s">
        <v>3082</v>
      </c>
      <c r="F2711" s="35" t="s">
        <v>604</v>
      </c>
    </row>
    <row r="2712" spans="1:6">
      <c r="A2712" s="35" t="s">
        <v>3320</v>
      </c>
      <c r="B2712" s="37">
        <v>191.32000732421875</v>
      </c>
      <c r="C2712" s="37">
        <v>189.15965270996094</v>
      </c>
      <c r="D2712" s="35">
        <v>21778468</v>
      </c>
      <c r="E2712" s="35" t="s">
        <v>3082</v>
      </c>
      <c r="F2712" s="35" t="s">
        <v>604</v>
      </c>
    </row>
    <row r="2713" spans="1:6">
      <c r="A2713" s="35" t="s">
        <v>3321</v>
      </c>
      <c r="B2713" s="37">
        <v>194.30000305175781</v>
      </c>
      <c r="C2713" s="37">
        <v>192.10600280761719</v>
      </c>
      <c r="D2713" s="35">
        <v>24529164</v>
      </c>
      <c r="E2713" s="35" t="s">
        <v>3082</v>
      </c>
      <c r="F2713" s="35" t="s">
        <v>604</v>
      </c>
    </row>
    <row r="2714" spans="1:6">
      <c r="A2714" s="35" t="s">
        <v>3322</v>
      </c>
      <c r="B2714" s="37">
        <v>188.41000366210938</v>
      </c>
      <c r="C2714" s="37">
        <v>186.28251647949219</v>
      </c>
      <c r="D2714" s="35">
        <v>13685195</v>
      </c>
      <c r="E2714" s="35" t="s">
        <v>3082</v>
      </c>
      <c r="F2714" s="35" t="s">
        <v>604</v>
      </c>
    </row>
    <row r="2715" spans="1:6">
      <c r="A2715" s="35" t="s">
        <v>3323</v>
      </c>
      <c r="B2715" s="37">
        <v>190.89999389648438</v>
      </c>
      <c r="C2715" s="37">
        <v>188.744384765625</v>
      </c>
      <c r="D2715" s="35">
        <v>24395304</v>
      </c>
      <c r="E2715" s="35" t="s">
        <v>3082</v>
      </c>
      <c r="F2715" s="35" t="s">
        <v>604</v>
      </c>
    </row>
    <row r="2716" spans="1:6">
      <c r="A2716" s="35" t="s">
        <v>3324</v>
      </c>
      <c r="B2716" s="37">
        <v>187.53999328613281</v>
      </c>
      <c r="C2716" s="37">
        <v>185.42233276367188</v>
      </c>
      <c r="D2716" s="35">
        <v>12014988</v>
      </c>
      <c r="E2716" s="35" t="s">
        <v>3082</v>
      </c>
      <c r="F2716" s="35" t="s">
        <v>604</v>
      </c>
    </row>
    <row r="2717" spans="1:6">
      <c r="A2717" s="35" t="s">
        <v>3325</v>
      </c>
      <c r="B2717" s="37">
        <v>188.74000549316406</v>
      </c>
      <c r="C2717" s="37">
        <v>186.60879516601563</v>
      </c>
      <c r="D2717" s="35">
        <v>11843191</v>
      </c>
      <c r="E2717" s="35" t="s">
        <v>3082</v>
      </c>
      <c r="F2717" s="35" t="s">
        <v>604</v>
      </c>
    </row>
    <row r="2718" spans="1:6">
      <c r="A2718" s="35" t="s">
        <v>3326</v>
      </c>
      <c r="B2718" s="37">
        <v>189.05000305175781</v>
      </c>
      <c r="C2718" s="37">
        <v>186.915283203125</v>
      </c>
      <c r="D2718" s="35">
        <v>13862888</v>
      </c>
      <c r="E2718" s="35" t="s">
        <v>3082</v>
      </c>
      <c r="F2718" s="35" t="s">
        <v>604</v>
      </c>
    </row>
    <row r="2719" spans="1:6">
      <c r="A2719" s="35" t="s">
        <v>3327</v>
      </c>
      <c r="B2719" s="37">
        <v>191.60000610351563</v>
      </c>
      <c r="C2719" s="37">
        <v>189.43649291992188</v>
      </c>
      <c r="D2719" s="35">
        <v>26269256</v>
      </c>
      <c r="E2719" s="35" t="s">
        <v>3082</v>
      </c>
      <c r="F2719" s="35" t="s">
        <v>604</v>
      </c>
    </row>
    <row r="2720" spans="1:6">
      <c r="A2720" s="35" t="s">
        <v>3328</v>
      </c>
      <c r="B2720" s="37">
        <v>187.63999938964844</v>
      </c>
      <c r="C2720" s="37">
        <v>185.52120971679688</v>
      </c>
      <c r="D2720" s="35">
        <v>27946986</v>
      </c>
      <c r="E2720" s="35" t="s">
        <v>3082</v>
      </c>
      <c r="F2720" s="35" t="s">
        <v>604</v>
      </c>
    </row>
    <row r="2721" spans="1:6">
      <c r="A2721" s="35" t="s">
        <v>3329</v>
      </c>
      <c r="B2721" s="37">
        <v>191.17999267578125</v>
      </c>
      <c r="C2721" s="37">
        <v>189.02122497558594</v>
      </c>
      <c r="D2721" s="35">
        <v>11769673</v>
      </c>
      <c r="E2721" s="35" t="s">
        <v>3330</v>
      </c>
      <c r="F2721" s="35" t="s">
        <v>604</v>
      </c>
    </row>
    <row r="2722" spans="1:6">
      <c r="A2722" s="35" t="s">
        <v>3331</v>
      </c>
      <c r="B2722" s="37">
        <v>194.91000366210938</v>
      </c>
      <c r="C2722" s="37">
        <v>192.70912170410156</v>
      </c>
      <c r="D2722" s="35">
        <v>16623045</v>
      </c>
      <c r="E2722" s="35" t="s">
        <v>3330</v>
      </c>
      <c r="F2722" s="35" t="s">
        <v>604</v>
      </c>
    </row>
    <row r="2723" spans="1:6">
      <c r="A2723" s="35" t="s">
        <v>3332</v>
      </c>
      <c r="B2723" s="37">
        <v>197.28999328613281</v>
      </c>
      <c r="C2723" s="37">
        <v>195.06224060058594</v>
      </c>
      <c r="D2723" s="35">
        <v>23282287</v>
      </c>
      <c r="E2723" s="35" t="s">
        <v>3330</v>
      </c>
      <c r="F2723" s="35" t="s">
        <v>604</v>
      </c>
    </row>
    <row r="2724" spans="1:6">
      <c r="A2724" s="35" t="s">
        <v>3333</v>
      </c>
      <c r="B2724" s="37">
        <v>204.72000122070313</v>
      </c>
      <c r="C2724" s="37">
        <v>202.40834045410156</v>
      </c>
      <c r="D2724" s="35">
        <v>24771466</v>
      </c>
      <c r="E2724" s="35" t="s">
        <v>3330</v>
      </c>
      <c r="F2724" s="35" t="s">
        <v>604</v>
      </c>
    </row>
    <row r="2725" spans="1:6">
      <c r="A2725" s="35" t="s">
        <v>3334</v>
      </c>
      <c r="B2725" s="37">
        <v>203.41999816894531</v>
      </c>
      <c r="C2725" s="37">
        <v>201.12301635742188</v>
      </c>
      <c r="D2725" s="35">
        <v>22084158</v>
      </c>
      <c r="E2725" s="35" t="s">
        <v>3330</v>
      </c>
      <c r="F2725" s="35" t="s">
        <v>604</v>
      </c>
    </row>
    <row r="2726" spans="1:6">
      <c r="A2726" s="35" t="s">
        <v>3335</v>
      </c>
      <c r="B2726" s="37">
        <v>202.8699951171875</v>
      </c>
      <c r="C2726" s="37">
        <v>200.5792236328125</v>
      </c>
      <c r="D2726" s="35">
        <v>14540807</v>
      </c>
      <c r="E2726" s="35" t="s">
        <v>3330</v>
      </c>
      <c r="F2726" s="35" t="s">
        <v>604</v>
      </c>
    </row>
    <row r="2727" spans="1:6">
      <c r="A2727" s="35" t="s">
        <v>3336</v>
      </c>
      <c r="B2727" s="37">
        <v>204.8800048828125</v>
      </c>
      <c r="C2727" s="37">
        <v>202.56654357910156</v>
      </c>
      <c r="D2727" s="35">
        <v>51219565</v>
      </c>
      <c r="E2727" s="35" t="s">
        <v>3330</v>
      </c>
      <c r="F2727" s="35" t="s">
        <v>604</v>
      </c>
    </row>
    <row r="2728" spans="1:6">
      <c r="A2728" s="35" t="s">
        <v>3337</v>
      </c>
      <c r="B2728" s="37">
        <v>202.97000122070313</v>
      </c>
      <c r="C2728" s="37">
        <v>200.6781005859375</v>
      </c>
      <c r="D2728" s="35">
        <v>21930624</v>
      </c>
      <c r="E2728" s="35" t="s">
        <v>3330</v>
      </c>
      <c r="F2728" s="35" t="s">
        <v>604</v>
      </c>
    </row>
    <row r="2729" spans="1:6">
      <c r="A2729" s="35" t="s">
        <v>3338</v>
      </c>
      <c r="B2729" s="37">
        <v>209.75</v>
      </c>
      <c r="C2729" s="37">
        <v>207.38154602050781</v>
      </c>
      <c r="D2729" s="35">
        <v>27890080</v>
      </c>
      <c r="E2729" s="35" t="s">
        <v>3330</v>
      </c>
      <c r="F2729" s="35" t="s">
        <v>604</v>
      </c>
    </row>
    <row r="2730" spans="1:6">
      <c r="A2730" s="35" t="s">
        <v>3339</v>
      </c>
      <c r="B2730" s="37">
        <v>210.25999450683594</v>
      </c>
      <c r="C2730" s="37">
        <v>207.88577270507813</v>
      </c>
      <c r="D2730" s="35">
        <v>36305074</v>
      </c>
      <c r="E2730" s="35" t="s">
        <v>3330</v>
      </c>
      <c r="F2730" s="35" t="s">
        <v>604</v>
      </c>
    </row>
    <row r="2731" spans="1:6">
      <c r="A2731" s="35" t="s">
        <v>3340</v>
      </c>
      <c r="B2731" s="37">
        <v>204.32000732421875</v>
      </c>
      <c r="C2731" s="37">
        <v>202.01286315917969</v>
      </c>
      <c r="D2731" s="35">
        <v>80542603</v>
      </c>
      <c r="E2731" s="35" t="s">
        <v>3330</v>
      </c>
      <c r="F2731" s="35" t="s">
        <v>604</v>
      </c>
    </row>
    <row r="2732" spans="1:6">
      <c r="A2732" s="35" t="s">
        <v>3341</v>
      </c>
      <c r="B2732" s="37">
        <v>202.47999572753906</v>
      </c>
      <c r="C2732" s="37">
        <v>200.19363403320313</v>
      </c>
      <c r="D2732" s="35">
        <v>27927164</v>
      </c>
      <c r="E2732" s="35" t="s">
        <v>3330</v>
      </c>
      <c r="F2732" s="35" t="s">
        <v>604</v>
      </c>
    </row>
    <row r="2733" spans="1:6">
      <c r="A2733" s="35" t="s">
        <v>3342</v>
      </c>
      <c r="B2733" s="37">
        <v>205.00999450683594</v>
      </c>
      <c r="C2733" s="37">
        <v>202.695068359375</v>
      </c>
      <c r="D2733" s="35">
        <v>21530723</v>
      </c>
      <c r="E2733" s="35" t="s">
        <v>3330</v>
      </c>
      <c r="F2733" s="35" t="s">
        <v>604</v>
      </c>
    </row>
    <row r="2734" spans="1:6">
      <c r="A2734" s="35" t="s">
        <v>3343</v>
      </c>
      <c r="B2734" s="37">
        <v>204</v>
      </c>
      <c r="C2734" s="37">
        <v>201.69647216796875</v>
      </c>
      <c r="D2734" s="35">
        <v>21790433</v>
      </c>
      <c r="E2734" s="35" t="s">
        <v>3330</v>
      </c>
      <c r="F2734" s="35" t="s">
        <v>604</v>
      </c>
    </row>
    <row r="2735" spans="1:6">
      <c r="A2735" s="35" t="s">
        <v>3344</v>
      </c>
      <c r="B2735" s="37">
        <v>202.75999450683594</v>
      </c>
      <c r="C2735" s="37">
        <v>200.47047424316406</v>
      </c>
      <c r="D2735" s="35">
        <v>20307250</v>
      </c>
      <c r="E2735" s="35" t="s">
        <v>3330</v>
      </c>
      <c r="F2735" s="35" t="s">
        <v>604</v>
      </c>
    </row>
    <row r="2736" spans="1:6">
      <c r="A2736" s="35" t="s">
        <v>3345</v>
      </c>
      <c r="B2736" s="37">
        <v>199.36000061035156</v>
      </c>
      <c r="C2736" s="37">
        <v>197.10887145996094</v>
      </c>
      <c r="D2736" s="35">
        <v>39363394</v>
      </c>
      <c r="E2736" s="35" t="s">
        <v>3330</v>
      </c>
      <c r="F2736" s="35" t="s">
        <v>604</v>
      </c>
    </row>
    <row r="2737" spans="1:6">
      <c r="A2737" s="35" t="s">
        <v>3346</v>
      </c>
      <c r="B2737" s="37">
        <v>205.05000305175781</v>
      </c>
      <c r="C2737" s="37">
        <v>202.734619140625</v>
      </c>
      <c r="D2737" s="35">
        <v>42632215</v>
      </c>
      <c r="E2737" s="35" t="s">
        <v>3330</v>
      </c>
      <c r="F2737" s="35" t="s">
        <v>604</v>
      </c>
    </row>
    <row r="2738" spans="1:6">
      <c r="A2738" s="35" t="s">
        <v>3347</v>
      </c>
      <c r="B2738" s="37">
        <v>201.58000183105469</v>
      </c>
      <c r="C2738" s="37">
        <v>199.30380249023438</v>
      </c>
      <c r="D2738" s="35">
        <v>23455983</v>
      </c>
      <c r="E2738" s="35" t="s">
        <v>3330</v>
      </c>
      <c r="F2738" s="35" t="s">
        <v>604</v>
      </c>
    </row>
    <row r="2739" spans="1:6">
      <c r="A2739" s="35" t="s">
        <v>3348</v>
      </c>
      <c r="B2739" s="37">
        <v>200.67999267578125</v>
      </c>
      <c r="C2739" s="37">
        <v>198.41395568847656</v>
      </c>
      <c r="D2739" s="35">
        <v>15667662</v>
      </c>
      <c r="E2739" s="35" t="s">
        <v>3330</v>
      </c>
      <c r="F2739" s="35" t="s">
        <v>604</v>
      </c>
    </row>
    <row r="2740" spans="1:6">
      <c r="A2740" s="35" t="s">
        <v>3349</v>
      </c>
      <c r="B2740" s="37">
        <v>200.64999389648438</v>
      </c>
      <c r="C2740" s="37">
        <v>198.38429260253906</v>
      </c>
      <c r="D2740" s="35">
        <v>15300274</v>
      </c>
      <c r="E2740" s="35" t="s">
        <v>3330</v>
      </c>
      <c r="F2740" s="35" t="s">
        <v>604</v>
      </c>
    </row>
    <row r="2741" spans="1:6">
      <c r="A2741" s="35" t="s">
        <v>3350</v>
      </c>
      <c r="B2741" s="37">
        <v>200.64999389648438</v>
      </c>
      <c r="C2741" s="37">
        <v>198.38429260253906</v>
      </c>
      <c r="D2741" s="35">
        <v>0</v>
      </c>
      <c r="E2741" s="35" t="s">
        <v>3330</v>
      </c>
      <c r="F2741" s="35" t="s">
        <v>604</v>
      </c>
    </row>
    <row r="2742" spans="1:6">
      <c r="A2742" s="35" t="s">
        <v>3351</v>
      </c>
      <c r="B2742" s="37">
        <v>200.75</v>
      </c>
      <c r="C2742" s="37">
        <v>198.48316955566406</v>
      </c>
      <c r="D2742" s="35">
        <v>8446995</v>
      </c>
      <c r="E2742" s="35" t="s">
        <v>3330</v>
      </c>
      <c r="F2742" s="35" t="s">
        <v>604</v>
      </c>
    </row>
    <row r="2743" spans="1:6">
      <c r="A2743" s="35" t="s">
        <v>3352</v>
      </c>
      <c r="B2743" s="37">
        <v>199.77999877929688</v>
      </c>
      <c r="C2743" s="37">
        <v>197.52412414550781</v>
      </c>
      <c r="D2743" s="35">
        <v>8899200</v>
      </c>
      <c r="E2743" s="35" t="s">
        <v>3330</v>
      </c>
      <c r="F2743" s="35" t="s">
        <v>604</v>
      </c>
    </row>
    <row r="2744" spans="1:6">
      <c r="A2744" s="35" t="s">
        <v>3353</v>
      </c>
      <c r="B2744" s="37">
        <v>199.1199951171875</v>
      </c>
      <c r="C2744" s="37">
        <v>196.87156677246094</v>
      </c>
      <c r="D2744" s="35">
        <v>13166683</v>
      </c>
      <c r="E2744" s="35" t="s">
        <v>3330</v>
      </c>
      <c r="F2744" s="35" t="s">
        <v>604</v>
      </c>
    </row>
    <row r="2745" spans="1:6">
      <c r="A2745" s="35" t="s">
        <v>3354</v>
      </c>
      <c r="B2745" s="37">
        <v>197.36000061035156</v>
      </c>
      <c r="C2745" s="37">
        <v>195.13145446777344</v>
      </c>
      <c r="D2745" s="35">
        <v>19303572</v>
      </c>
      <c r="E2745" s="35" t="s">
        <v>3330</v>
      </c>
      <c r="F2745" s="35" t="s">
        <v>604</v>
      </c>
    </row>
    <row r="2746" spans="1:6">
      <c r="A2746" s="35" t="s">
        <v>3355</v>
      </c>
      <c r="B2746" s="37">
        <v>197.91000366210938</v>
      </c>
      <c r="C2746" s="37">
        <v>195.67524719238281</v>
      </c>
      <c r="D2746" s="35">
        <v>15970687</v>
      </c>
      <c r="E2746" s="35" t="s">
        <v>3330</v>
      </c>
      <c r="F2746" s="35" t="s">
        <v>604</v>
      </c>
    </row>
    <row r="2747" spans="1:6">
      <c r="A2747" s="35" t="s">
        <v>3356</v>
      </c>
      <c r="B2747" s="37">
        <v>196.67999267578125</v>
      </c>
      <c r="C2747" s="37">
        <v>194.45912170410156</v>
      </c>
      <c r="D2747" s="35">
        <v>9199527</v>
      </c>
      <c r="E2747" s="35" t="s">
        <v>3330</v>
      </c>
      <c r="F2747" s="35" t="s">
        <v>604</v>
      </c>
    </row>
    <row r="2748" spans="1:6">
      <c r="A2748" s="35" t="s">
        <v>3357</v>
      </c>
      <c r="B2748" s="37">
        <v>189.57000732421875</v>
      </c>
      <c r="C2748" s="37">
        <v>187.42941284179688</v>
      </c>
      <c r="D2748" s="35">
        <v>27435195</v>
      </c>
      <c r="E2748" s="35" t="s">
        <v>3330</v>
      </c>
      <c r="F2748" s="35" t="s">
        <v>604</v>
      </c>
    </row>
    <row r="2749" spans="1:6">
      <c r="A2749" s="35" t="s">
        <v>3358</v>
      </c>
      <c r="B2749" s="37">
        <v>187.80000305175781</v>
      </c>
      <c r="C2749" s="37">
        <v>185.67939758300781</v>
      </c>
      <c r="D2749" s="35">
        <v>17242394</v>
      </c>
      <c r="E2749" s="35" t="s">
        <v>3330</v>
      </c>
      <c r="F2749" s="35" t="s">
        <v>604</v>
      </c>
    </row>
    <row r="2750" spans="1:6">
      <c r="A2750" s="35" t="s">
        <v>3359</v>
      </c>
      <c r="B2750" s="37">
        <v>188.30000305175781</v>
      </c>
      <c r="C2750" s="37">
        <v>186.17375183105469</v>
      </c>
      <c r="D2750" s="35">
        <v>18280387</v>
      </c>
      <c r="E2750" s="35" t="s">
        <v>3330</v>
      </c>
      <c r="F2750" s="35" t="s">
        <v>604</v>
      </c>
    </row>
    <row r="2751" spans="1:6">
      <c r="A2751" s="35" t="s">
        <v>3360</v>
      </c>
      <c r="B2751" s="37">
        <v>190</v>
      </c>
      <c r="C2751" s="37">
        <v>187.85455322265625</v>
      </c>
      <c r="D2751" s="35">
        <v>17902610</v>
      </c>
      <c r="E2751" s="35" t="s">
        <v>3330</v>
      </c>
      <c r="F2751" s="35" t="s">
        <v>604</v>
      </c>
    </row>
    <row r="2752" spans="1:6">
      <c r="A2752" s="35" t="s">
        <v>3361</v>
      </c>
      <c r="B2752" s="37">
        <v>192.16999816894531</v>
      </c>
      <c r="C2752" s="37">
        <v>190.00004577636719</v>
      </c>
      <c r="D2752" s="35">
        <v>16327369</v>
      </c>
      <c r="E2752" s="35" t="s">
        <v>3330</v>
      </c>
      <c r="F2752" s="35" t="s">
        <v>604</v>
      </c>
    </row>
    <row r="2753" spans="1:6">
      <c r="A2753" s="35" t="s">
        <v>3362</v>
      </c>
      <c r="B2753" s="37">
        <v>195.16999816894531</v>
      </c>
      <c r="C2753" s="37">
        <v>192.96617126464844</v>
      </c>
      <c r="D2753" s="35">
        <v>20534622</v>
      </c>
      <c r="E2753" s="35" t="s">
        <v>3330</v>
      </c>
      <c r="F2753" s="35" t="s">
        <v>604</v>
      </c>
    </row>
    <row r="2754" spans="1:6">
      <c r="A2754" s="35" t="s">
        <v>3363</v>
      </c>
      <c r="B2754" s="37">
        <v>197.1199951171875</v>
      </c>
      <c r="C2754" s="37">
        <v>194.89414978027344</v>
      </c>
      <c r="D2754" s="35">
        <v>16201692</v>
      </c>
      <c r="E2754" s="35" t="s">
        <v>3330</v>
      </c>
      <c r="F2754" s="35" t="s">
        <v>604</v>
      </c>
    </row>
    <row r="2755" spans="1:6">
      <c r="A2755" s="35" t="s">
        <v>3364</v>
      </c>
      <c r="B2755" s="37">
        <v>199.74000549316406</v>
      </c>
      <c r="C2755" s="37">
        <v>197.48457336425781</v>
      </c>
      <c r="D2755" s="35">
        <v>18980608</v>
      </c>
      <c r="E2755" s="35" t="s">
        <v>3330</v>
      </c>
      <c r="F2755" s="35" t="s">
        <v>604</v>
      </c>
    </row>
    <row r="2756" spans="1:6">
      <c r="A2756" s="35" t="s">
        <v>3365</v>
      </c>
      <c r="B2756" s="37">
        <v>203.11000061035156</v>
      </c>
      <c r="C2756" s="37">
        <v>200.8165283203125</v>
      </c>
      <c r="D2756" s="35">
        <v>40014399</v>
      </c>
      <c r="E2756" s="35" t="s">
        <v>3330</v>
      </c>
      <c r="F2756" s="35" t="s">
        <v>604</v>
      </c>
    </row>
    <row r="2757" spans="1:6">
      <c r="A2757" s="35" t="s">
        <v>3366</v>
      </c>
      <c r="B2757" s="37">
        <v>206.83999633789063</v>
      </c>
      <c r="C2757" s="37">
        <v>204.50439453125</v>
      </c>
      <c r="D2757" s="35">
        <v>72041558</v>
      </c>
      <c r="E2757" s="35" t="s">
        <v>3330</v>
      </c>
      <c r="F2757" s="35" t="s">
        <v>604</v>
      </c>
    </row>
    <row r="2758" spans="1:6">
      <c r="A2758" s="35" t="s">
        <v>3367</v>
      </c>
      <c r="B2758" s="37">
        <v>203.72999572753906</v>
      </c>
      <c r="C2758" s="37">
        <v>201.42951965332031</v>
      </c>
      <c r="D2758" s="35">
        <v>46458415</v>
      </c>
      <c r="E2758" s="35" t="s">
        <v>3330</v>
      </c>
      <c r="F2758" s="35" t="s">
        <v>604</v>
      </c>
    </row>
    <row r="2759" spans="1:6">
      <c r="A2759" s="35" t="s">
        <v>3368</v>
      </c>
      <c r="B2759" s="37">
        <v>201.58000183105469</v>
      </c>
      <c r="C2759" s="37">
        <v>199.30380249023438</v>
      </c>
      <c r="D2759" s="35">
        <v>39465643</v>
      </c>
      <c r="E2759" s="35" t="s">
        <v>3330</v>
      </c>
      <c r="F2759" s="35" t="s">
        <v>604</v>
      </c>
    </row>
    <row r="2760" spans="1:6">
      <c r="A2760" s="35" t="s">
        <v>3369</v>
      </c>
      <c r="B2760" s="37">
        <v>201.58000183105469</v>
      </c>
      <c r="C2760" s="37">
        <v>199.30380249023438</v>
      </c>
      <c r="D2760" s="35">
        <v>0</v>
      </c>
      <c r="E2760" s="35" t="s">
        <v>3330</v>
      </c>
      <c r="F2760" s="35" t="s">
        <v>604</v>
      </c>
    </row>
    <row r="2761" spans="1:6">
      <c r="A2761" s="35" t="s">
        <v>3370</v>
      </c>
      <c r="B2761" s="37">
        <v>204.25</v>
      </c>
      <c r="C2761" s="37">
        <v>201.94364929199219</v>
      </c>
      <c r="D2761" s="35">
        <v>82734524</v>
      </c>
      <c r="E2761" s="35" t="s">
        <v>3330</v>
      </c>
      <c r="F2761" s="35" t="s">
        <v>604</v>
      </c>
    </row>
    <row r="2762" spans="1:6">
      <c r="A2762" s="35" t="s">
        <v>3371</v>
      </c>
      <c r="B2762" s="37">
        <v>206.41000366210938</v>
      </c>
      <c r="C2762" s="37">
        <v>204.07926940917969</v>
      </c>
      <c r="D2762" s="35">
        <v>26491139</v>
      </c>
      <c r="E2762" s="35" t="s">
        <v>3330</v>
      </c>
      <c r="F2762" s="35" t="s">
        <v>604</v>
      </c>
    </row>
    <row r="2763" spans="1:6">
      <c r="A2763" s="35" t="s">
        <v>3372</v>
      </c>
      <c r="B2763" s="37">
        <v>209.83999633789063</v>
      </c>
      <c r="C2763" s="37">
        <v>207.47052001953125</v>
      </c>
      <c r="D2763" s="35">
        <v>42476874</v>
      </c>
      <c r="E2763" s="35" t="s">
        <v>3330</v>
      </c>
      <c r="F2763" s="35" t="s">
        <v>604</v>
      </c>
    </row>
    <row r="2764" spans="1:6">
      <c r="A2764" s="35" t="s">
        <v>3373</v>
      </c>
      <c r="B2764" s="37">
        <v>204.10000610351563</v>
      </c>
      <c r="C2764" s="37">
        <v>201.79534912109375</v>
      </c>
      <c r="D2764" s="35">
        <v>62282204</v>
      </c>
      <c r="E2764" s="35" t="s">
        <v>3330</v>
      </c>
      <c r="F2764" s="35" t="s">
        <v>604</v>
      </c>
    </row>
    <row r="2765" spans="1:6">
      <c r="A2765" s="35" t="s">
        <v>3374</v>
      </c>
      <c r="B2765" s="37">
        <v>204.32000732421875</v>
      </c>
      <c r="C2765" s="37">
        <v>202.01286315917969</v>
      </c>
      <c r="D2765" s="35">
        <v>40659957</v>
      </c>
      <c r="E2765" s="35" t="s">
        <v>3330</v>
      </c>
      <c r="F2765" s="35" t="s">
        <v>604</v>
      </c>
    </row>
    <row r="2766" spans="1:6">
      <c r="A2766" s="35" t="s">
        <v>3375</v>
      </c>
      <c r="B2766" s="37">
        <v>198.3699951171875</v>
      </c>
      <c r="C2766" s="37">
        <v>196.13003540039063</v>
      </c>
      <c r="D2766" s="35">
        <v>43539069</v>
      </c>
      <c r="E2766" s="35" t="s">
        <v>3330</v>
      </c>
      <c r="F2766" s="35" t="s">
        <v>604</v>
      </c>
    </row>
    <row r="2767" spans="1:6">
      <c r="A2767" s="35" t="s">
        <v>3376</v>
      </c>
      <c r="B2767" s="37">
        <v>181.75999450683594</v>
      </c>
      <c r="C2767" s="37">
        <v>179.70759582519531</v>
      </c>
      <c r="D2767" s="35">
        <v>75164049</v>
      </c>
      <c r="E2767" s="35" t="s">
        <v>3330</v>
      </c>
      <c r="F2767" s="35" t="s">
        <v>604</v>
      </c>
    </row>
    <row r="2768" spans="1:6">
      <c r="A2768" s="35" t="s">
        <v>3377</v>
      </c>
      <c r="B2768" s="37">
        <v>181.66999816894531</v>
      </c>
      <c r="C2768" s="37">
        <v>179.61862182617188</v>
      </c>
      <c r="D2768" s="35">
        <v>28381665</v>
      </c>
      <c r="E2768" s="35" t="s">
        <v>3330</v>
      </c>
      <c r="F2768" s="35" t="s">
        <v>604</v>
      </c>
    </row>
    <row r="2769" spans="1:6">
      <c r="A2769" s="35" t="s">
        <v>3378</v>
      </c>
      <c r="B2769" s="37">
        <v>178.92999267578125</v>
      </c>
      <c r="C2769" s="37">
        <v>176.9095458984375</v>
      </c>
      <c r="D2769" s="35">
        <v>16935979</v>
      </c>
      <c r="E2769" s="35" t="s">
        <v>3330</v>
      </c>
      <c r="F2769" s="35" t="s">
        <v>604</v>
      </c>
    </row>
    <row r="2770" spans="1:6">
      <c r="A2770" s="35" t="s">
        <v>3379</v>
      </c>
      <c r="B2770" s="37">
        <v>177.3699951171875</v>
      </c>
      <c r="C2770" s="37">
        <v>175.36717224121094</v>
      </c>
      <c r="D2770" s="35">
        <v>14468882</v>
      </c>
      <c r="E2770" s="35" t="s">
        <v>3330</v>
      </c>
      <c r="F2770" s="35" t="s">
        <v>604</v>
      </c>
    </row>
    <row r="2771" spans="1:6">
      <c r="A2771" s="35" t="s">
        <v>3380</v>
      </c>
      <c r="B2771" s="37">
        <v>180.13999938964844</v>
      </c>
      <c r="C2771" s="37">
        <v>178.10589599609375</v>
      </c>
      <c r="D2771" s="35">
        <v>13850153</v>
      </c>
      <c r="E2771" s="35" t="s">
        <v>3330</v>
      </c>
      <c r="F2771" s="35" t="s">
        <v>604</v>
      </c>
    </row>
    <row r="2772" spans="1:6">
      <c r="A2772" s="35" t="s">
        <v>3381</v>
      </c>
      <c r="B2772" s="37">
        <v>181.3800048828125</v>
      </c>
      <c r="C2772" s="37">
        <v>179.33189392089844</v>
      </c>
      <c r="D2772" s="35">
        <v>13870660</v>
      </c>
      <c r="E2772" s="35" t="s">
        <v>3330</v>
      </c>
      <c r="F2772" s="35" t="s">
        <v>604</v>
      </c>
    </row>
    <row r="2773" spans="1:6">
      <c r="A2773" s="35" t="s">
        <v>3382</v>
      </c>
      <c r="B2773" s="37">
        <v>182.66999816894531</v>
      </c>
      <c r="C2773" s="37">
        <v>180.60733032226563</v>
      </c>
      <c r="D2773" s="35">
        <v>11706020</v>
      </c>
      <c r="E2773" s="35" t="s">
        <v>3330</v>
      </c>
      <c r="F2773" s="35" t="s">
        <v>604</v>
      </c>
    </row>
    <row r="2774" spans="1:6">
      <c r="A2774" s="35" t="s">
        <v>3383</v>
      </c>
      <c r="B2774" s="37">
        <v>184.47000122070313</v>
      </c>
      <c r="C2774" s="37">
        <v>182.38700866699219</v>
      </c>
      <c r="D2774" s="35">
        <v>16131548</v>
      </c>
      <c r="E2774" s="35" t="s">
        <v>3330</v>
      </c>
      <c r="F2774" s="35" t="s">
        <v>604</v>
      </c>
    </row>
    <row r="2775" spans="1:6">
      <c r="A2775" s="35" t="s">
        <v>3384</v>
      </c>
      <c r="B2775" s="37">
        <v>182.83999633789063</v>
      </c>
      <c r="C2775" s="37">
        <v>180.77540588378906</v>
      </c>
      <c r="D2775" s="35">
        <v>18165845</v>
      </c>
      <c r="E2775" s="35" t="s">
        <v>3330</v>
      </c>
      <c r="F2775" s="35" t="s">
        <v>604</v>
      </c>
    </row>
    <row r="2776" spans="1:6">
      <c r="A2776" s="35" t="s">
        <v>3385</v>
      </c>
      <c r="B2776" s="37">
        <v>180.80000305175781</v>
      </c>
      <c r="C2776" s="37">
        <v>178.75843811035156</v>
      </c>
      <c r="D2776" s="35">
        <v>37469436</v>
      </c>
      <c r="E2776" s="35" t="s">
        <v>3330</v>
      </c>
      <c r="F2776" s="35" t="s">
        <v>604</v>
      </c>
    </row>
    <row r="2777" spans="1:6">
      <c r="A2777" s="35" t="s">
        <v>3386</v>
      </c>
      <c r="B2777" s="37">
        <v>180.17999267578125</v>
      </c>
      <c r="C2777" s="37">
        <v>178.14543151855469</v>
      </c>
      <c r="D2777" s="35">
        <v>10368112</v>
      </c>
      <c r="E2777" s="35" t="s">
        <v>3330</v>
      </c>
      <c r="F2777" s="35" t="s">
        <v>604</v>
      </c>
    </row>
    <row r="2778" spans="1:6">
      <c r="A2778" s="35" t="s">
        <v>3387</v>
      </c>
      <c r="B2778" s="37">
        <v>174.49000549316406</v>
      </c>
      <c r="C2778" s="37">
        <v>172.51969909667969</v>
      </c>
      <c r="D2778" s="35">
        <v>23954730</v>
      </c>
      <c r="E2778" s="35" t="s">
        <v>3330</v>
      </c>
      <c r="F2778" s="35" t="s">
        <v>604</v>
      </c>
    </row>
    <row r="2779" spans="1:6">
      <c r="A2779" s="35" t="s">
        <v>3388</v>
      </c>
      <c r="B2779" s="37">
        <v>174.47999572753906</v>
      </c>
      <c r="C2779" s="37">
        <v>172.50979614257813</v>
      </c>
      <c r="D2779" s="35">
        <v>56627728</v>
      </c>
      <c r="E2779" s="35" t="s">
        <v>3330</v>
      </c>
      <c r="F2779" s="35" t="s">
        <v>604</v>
      </c>
    </row>
    <row r="2780" spans="1:6">
      <c r="A2780" s="35" t="s">
        <v>3389</v>
      </c>
      <c r="B2780" s="37">
        <v>175</v>
      </c>
      <c r="C2780" s="37">
        <v>173.02394104003906</v>
      </c>
      <c r="D2780" s="35">
        <v>21544904</v>
      </c>
      <c r="E2780" s="35" t="s">
        <v>3330</v>
      </c>
      <c r="F2780" s="35" t="s">
        <v>604</v>
      </c>
    </row>
    <row r="2781" spans="1:6">
      <c r="A2781" s="35" t="s">
        <v>3390</v>
      </c>
      <c r="B2781" s="37">
        <v>175</v>
      </c>
      <c r="C2781" s="37">
        <v>173.02394104003906</v>
      </c>
      <c r="D2781" s="35">
        <v>0</v>
      </c>
      <c r="E2781" s="35" t="s">
        <v>3330</v>
      </c>
      <c r="F2781" s="35" t="s">
        <v>604</v>
      </c>
    </row>
    <row r="2782" spans="1:6">
      <c r="A2782" s="35" t="s">
        <v>3391</v>
      </c>
      <c r="B2782" s="37">
        <v>175.47999572753906</v>
      </c>
      <c r="C2782" s="37">
        <v>173.49850463867188</v>
      </c>
      <c r="D2782" s="35">
        <v>24484011</v>
      </c>
      <c r="E2782" s="35" t="s">
        <v>3330</v>
      </c>
      <c r="F2782" s="35" t="s">
        <v>604</v>
      </c>
    </row>
    <row r="2783" spans="1:6">
      <c r="A2783" s="35" t="s">
        <v>3392</v>
      </c>
      <c r="B2783" s="37">
        <v>170.38999938964844</v>
      </c>
      <c r="C2783" s="37">
        <v>168.46598815917969</v>
      </c>
      <c r="D2783" s="35">
        <v>26845383</v>
      </c>
      <c r="E2783" s="35" t="s">
        <v>3330</v>
      </c>
      <c r="F2783" s="35" t="s">
        <v>604</v>
      </c>
    </row>
    <row r="2784" spans="1:6">
      <c r="A2784" s="35" t="s">
        <v>3393</v>
      </c>
      <c r="B2784" s="37">
        <v>170.1300048828125</v>
      </c>
      <c r="C2784" s="37">
        <v>168.20892333984375</v>
      </c>
      <c r="D2784" s="35">
        <v>34638511</v>
      </c>
      <c r="E2784" s="35" t="s">
        <v>3330</v>
      </c>
      <c r="F2784" s="35" t="s">
        <v>604</v>
      </c>
    </row>
    <row r="2785" spans="1:6">
      <c r="A2785" s="35" t="s">
        <v>3394</v>
      </c>
      <c r="B2785" s="37">
        <v>174</v>
      </c>
      <c r="C2785" s="37">
        <v>172.03523254394531</v>
      </c>
      <c r="D2785" s="35">
        <v>43447174</v>
      </c>
      <c r="E2785" s="35" t="s">
        <v>3330</v>
      </c>
      <c r="F2785" s="35" t="s">
        <v>604</v>
      </c>
    </row>
    <row r="2786" spans="1:6">
      <c r="A2786" s="35" t="s">
        <v>3395</v>
      </c>
      <c r="B2786" s="37">
        <v>176.08000183105469</v>
      </c>
      <c r="C2786" s="37">
        <v>174.09173583984375</v>
      </c>
      <c r="D2786" s="35">
        <v>29538753</v>
      </c>
      <c r="E2786" s="35" t="s">
        <v>3330</v>
      </c>
      <c r="F2786" s="35" t="s">
        <v>604</v>
      </c>
    </row>
    <row r="2787" spans="1:6">
      <c r="A2787" s="35" t="s">
        <v>3396</v>
      </c>
      <c r="B2787" s="37">
        <v>174.32000732421875</v>
      </c>
      <c r="C2787" s="37">
        <v>172.35162353515625</v>
      </c>
      <c r="D2787" s="35">
        <v>8304046</v>
      </c>
      <c r="E2787" s="35" t="s">
        <v>3330</v>
      </c>
      <c r="F2787" s="35" t="s">
        <v>604</v>
      </c>
    </row>
    <row r="2788" spans="1:6">
      <c r="A2788" s="35" t="s">
        <v>3397</v>
      </c>
      <c r="B2788" s="37">
        <v>173</v>
      </c>
      <c r="C2788" s="37">
        <v>171.04652404785156</v>
      </c>
      <c r="D2788" s="35">
        <v>18837725</v>
      </c>
      <c r="E2788" s="35" t="s">
        <v>3330</v>
      </c>
      <c r="F2788" s="35" t="s">
        <v>604</v>
      </c>
    </row>
    <row r="2789" spans="1:6">
      <c r="A2789" s="35" t="s">
        <v>3398</v>
      </c>
      <c r="B2789" s="37">
        <v>172.72000122070313</v>
      </c>
      <c r="C2789" s="37">
        <v>170.76968383789063</v>
      </c>
      <c r="D2789" s="35">
        <v>16482564</v>
      </c>
      <c r="E2789" s="35" t="s">
        <v>3330</v>
      </c>
      <c r="F2789" s="35" t="s">
        <v>604</v>
      </c>
    </row>
    <row r="2790" spans="1:6">
      <c r="A2790" s="35" t="s">
        <v>3399</v>
      </c>
      <c r="B2790" s="37">
        <v>172.75999450683594</v>
      </c>
      <c r="C2790" s="37">
        <v>170.80921936035156</v>
      </c>
      <c r="D2790" s="35">
        <v>10270117</v>
      </c>
      <c r="E2790" s="35" t="s">
        <v>3330</v>
      </c>
      <c r="F2790" s="35" t="s">
        <v>604</v>
      </c>
    </row>
    <row r="2791" spans="1:6">
      <c r="A2791" s="35" t="s">
        <v>3400</v>
      </c>
      <c r="B2791" s="37">
        <v>175.46000671386719</v>
      </c>
      <c r="C2791" s="37">
        <v>173.47874450683594</v>
      </c>
      <c r="D2791" s="35">
        <v>16249590</v>
      </c>
      <c r="E2791" s="35" t="s">
        <v>3330</v>
      </c>
      <c r="F2791" s="35" t="s">
        <v>604</v>
      </c>
    </row>
    <row r="2792" spans="1:6">
      <c r="A2792" s="35" t="s">
        <v>3401</v>
      </c>
      <c r="B2792" s="37">
        <v>178.42999267578125</v>
      </c>
      <c r="C2792" s="37">
        <v>176.41519165039063</v>
      </c>
      <c r="D2792" s="35">
        <v>22417855</v>
      </c>
      <c r="E2792" s="35" t="s">
        <v>3330</v>
      </c>
      <c r="F2792" s="35" t="s">
        <v>604</v>
      </c>
    </row>
    <row r="2793" spans="1:6">
      <c r="A2793" s="35" t="s">
        <v>3402</v>
      </c>
      <c r="B2793" s="37">
        <v>177.13999938964844</v>
      </c>
      <c r="C2793" s="37">
        <v>175.1397705078125</v>
      </c>
      <c r="D2793" s="35">
        <v>14461463</v>
      </c>
      <c r="E2793" s="35" t="s">
        <v>3330</v>
      </c>
      <c r="F2793" s="35" t="s">
        <v>604</v>
      </c>
    </row>
    <row r="2794" spans="1:6">
      <c r="A2794" s="35" t="s">
        <v>3403</v>
      </c>
      <c r="B2794" s="37">
        <v>174.64999389648438</v>
      </c>
      <c r="C2794" s="37">
        <v>172.67788696289063</v>
      </c>
      <c r="D2794" s="35">
        <v>10398720</v>
      </c>
      <c r="E2794" s="35" t="s">
        <v>3330</v>
      </c>
      <c r="F2794" s="35" t="s">
        <v>604</v>
      </c>
    </row>
    <row r="2795" spans="1:6">
      <c r="A2795" s="35" t="s">
        <v>3404</v>
      </c>
      <c r="B2795" s="37">
        <v>177.74000549316406</v>
      </c>
      <c r="C2795" s="37">
        <v>175.73300170898438</v>
      </c>
      <c r="D2795" s="35">
        <v>11184572</v>
      </c>
      <c r="E2795" s="35" t="s">
        <v>3330</v>
      </c>
      <c r="F2795" s="35" t="s">
        <v>604</v>
      </c>
    </row>
    <row r="2796" spans="1:6">
      <c r="A2796" s="35" t="s">
        <v>3405</v>
      </c>
      <c r="B2796" s="37">
        <v>176</v>
      </c>
      <c r="C2796" s="37">
        <v>174.01264953613281</v>
      </c>
      <c r="D2796" s="35">
        <v>22960032</v>
      </c>
      <c r="E2796" s="35" t="s">
        <v>3330</v>
      </c>
      <c r="F2796" s="35" t="s">
        <v>604</v>
      </c>
    </row>
    <row r="2797" spans="1:6">
      <c r="A2797" s="35" t="s">
        <v>3406</v>
      </c>
      <c r="B2797" s="37">
        <v>176.3800048828125</v>
      </c>
      <c r="C2797" s="37">
        <v>174.38835144042969</v>
      </c>
      <c r="D2797" s="35">
        <v>10183661</v>
      </c>
      <c r="E2797" s="35" t="s">
        <v>3330</v>
      </c>
      <c r="F2797" s="35" t="s">
        <v>604</v>
      </c>
    </row>
    <row r="2798" spans="1:6">
      <c r="A2798" s="35" t="s">
        <v>3407</v>
      </c>
      <c r="B2798" s="37">
        <v>174.97000122070313</v>
      </c>
      <c r="C2798" s="37">
        <v>172.99427795410156</v>
      </c>
      <c r="D2798" s="35">
        <v>11350578</v>
      </c>
      <c r="E2798" s="35" t="s">
        <v>3330</v>
      </c>
      <c r="F2798" s="35" t="s">
        <v>604</v>
      </c>
    </row>
    <row r="2799" spans="1:6">
      <c r="A2799" s="35" t="s">
        <v>3408</v>
      </c>
      <c r="B2799" s="37">
        <v>174.44000244140625</v>
      </c>
      <c r="C2799" s="37">
        <v>172.47026062011719</v>
      </c>
      <c r="D2799" s="35">
        <v>5057035</v>
      </c>
      <c r="E2799" s="35" t="s">
        <v>3330</v>
      </c>
      <c r="F2799" s="35" t="s">
        <v>604</v>
      </c>
    </row>
    <row r="2800" spans="1:6">
      <c r="A2800" s="35" t="s">
        <v>3409</v>
      </c>
      <c r="B2800" s="37">
        <v>174.82000732421875</v>
      </c>
      <c r="C2800" s="37">
        <v>172.84597778320313</v>
      </c>
      <c r="D2800" s="35">
        <v>9055905</v>
      </c>
      <c r="E2800" s="35" t="s">
        <v>3330</v>
      </c>
      <c r="F2800" s="35" t="s">
        <v>604</v>
      </c>
    </row>
    <row r="2801" spans="1:6">
      <c r="A2801" s="35" t="s">
        <v>3410</v>
      </c>
      <c r="B2801" s="37">
        <v>177.1199951171875</v>
      </c>
      <c r="C2801" s="37">
        <v>175.1199951171875</v>
      </c>
      <c r="D2801" s="35">
        <v>13282944</v>
      </c>
      <c r="E2801" s="35" t="s">
        <v>3330</v>
      </c>
      <c r="F2801" s="35" t="s">
        <v>604</v>
      </c>
    </row>
    <row r="2802" spans="1:6">
      <c r="A2802" s="35" t="s">
        <v>3411</v>
      </c>
      <c r="B2802" s="37">
        <v>178.52999877929688</v>
      </c>
      <c r="C2802" s="37">
        <v>178.52999877929688</v>
      </c>
      <c r="D2802" s="35">
        <v>12504426</v>
      </c>
      <c r="E2802" s="35" t="s">
        <v>3330</v>
      </c>
      <c r="F2802" s="35" t="s">
        <v>604</v>
      </c>
    </row>
    <row r="2803" spans="1:6">
      <c r="A2803" s="35" t="s">
        <v>3412</v>
      </c>
      <c r="B2803" s="37">
        <v>181.1199951171875</v>
      </c>
      <c r="C2803" s="37">
        <v>181.1199951171875</v>
      </c>
      <c r="D2803" s="35">
        <v>26873060</v>
      </c>
      <c r="E2803" s="35" t="s">
        <v>3330</v>
      </c>
      <c r="F2803" s="35" t="s">
        <v>604</v>
      </c>
    </row>
    <row r="2804" spans="1:6">
      <c r="A2804" s="35" t="s">
        <v>3413</v>
      </c>
      <c r="B2804" s="37">
        <v>183.61000061035156</v>
      </c>
      <c r="C2804" s="37">
        <v>183.61000061035156</v>
      </c>
      <c r="D2804" s="35">
        <v>26147867</v>
      </c>
      <c r="E2804" s="35" t="s">
        <v>3330</v>
      </c>
      <c r="F2804" s="35" t="s">
        <v>604</v>
      </c>
    </row>
    <row r="2805" spans="1:6">
      <c r="A2805" s="35" t="s">
        <v>3414</v>
      </c>
      <c r="B2805" s="37">
        <v>186.33000183105469</v>
      </c>
      <c r="C2805" s="37">
        <v>186.33000183105469</v>
      </c>
      <c r="D2805" s="35">
        <v>54015268</v>
      </c>
      <c r="E2805" s="35" t="s">
        <v>3330</v>
      </c>
      <c r="F2805" s="35" t="s">
        <v>604</v>
      </c>
    </row>
    <row r="2806" spans="1:6">
      <c r="A2806" s="35" t="s">
        <v>3415</v>
      </c>
      <c r="B2806" s="37">
        <v>183.64999389648438</v>
      </c>
      <c r="C2806" s="37">
        <v>183.64999389648438</v>
      </c>
      <c r="D2806" s="35">
        <v>18762810</v>
      </c>
      <c r="E2806" s="35" t="s">
        <v>3330</v>
      </c>
      <c r="F2806" s="35" t="s">
        <v>604</v>
      </c>
    </row>
    <row r="2807" spans="1:6">
      <c r="A2807" s="35" t="s">
        <v>3416</v>
      </c>
      <c r="B2807" s="37">
        <v>188.66000366210938</v>
      </c>
      <c r="C2807" s="37">
        <v>188.66000366210938</v>
      </c>
      <c r="D2807" s="35">
        <v>15840516</v>
      </c>
      <c r="E2807" s="35" t="s">
        <v>3330</v>
      </c>
      <c r="F2807" s="35" t="s">
        <v>604</v>
      </c>
    </row>
    <row r="2808" spans="1:6">
      <c r="A2808" s="35" t="s">
        <v>3417</v>
      </c>
      <c r="B2808" s="37">
        <v>186.30000305175781</v>
      </c>
      <c r="C2808" s="37">
        <v>186.30000305175781</v>
      </c>
      <c r="D2808" s="35">
        <v>11903457</v>
      </c>
      <c r="E2808" s="35" t="s">
        <v>3330</v>
      </c>
      <c r="F2808" s="35" t="s">
        <v>604</v>
      </c>
    </row>
    <row r="2809" spans="1:6">
      <c r="A2809" s="35" t="s">
        <v>3418</v>
      </c>
      <c r="B2809" s="37">
        <v>186.99000549316406</v>
      </c>
      <c r="C2809" s="37">
        <v>186.99000549316406</v>
      </c>
      <c r="D2809" s="35">
        <v>8829250</v>
      </c>
      <c r="E2809" s="35" t="s">
        <v>3330</v>
      </c>
      <c r="F2809" s="35" t="s">
        <v>604</v>
      </c>
    </row>
    <row r="2810" spans="1:6">
      <c r="A2810" s="35" t="s">
        <v>3419</v>
      </c>
      <c r="B2810" s="37">
        <v>186.1199951171875</v>
      </c>
      <c r="C2810" s="37">
        <v>186.1199951171875</v>
      </c>
      <c r="D2810" s="35">
        <v>6629768</v>
      </c>
      <c r="E2810" s="35" t="s">
        <v>3330</v>
      </c>
      <c r="F2810" s="35" t="s">
        <v>604</v>
      </c>
    </row>
    <row r="2811" spans="1:6">
      <c r="A2811" s="35" t="s">
        <v>3420</v>
      </c>
      <c r="B2811" s="37">
        <v>187.52999877929688</v>
      </c>
      <c r="C2811" s="37">
        <v>187.52999877929688</v>
      </c>
      <c r="D2811" s="35">
        <v>7823102</v>
      </c>
      <c r="E2811" s="35" t="s">
        <v>3330</v>
      </c>
      <c r="F2811" s="35" t="s">
        <v>604</v>
      </c>
    </row>
    <row r="2812" spans="1:6">
      <c r="A2812" s="35" t="s">
        <v>3421</v>
      </c>
      <c r="B2812" s="37">
        <v>185.5</v>
      </c>
      <c r="C2812" s="37">
        <v>185.5</v>
      </c>
      <c r="D2812" s="35">
        <v>5337618</v>
      </c>
      <c r="E2812" s="35" t="s">
        <v>3330</v>
      </c>
      <c r="F2812" s="35" t="s">
        <v>604</v>
      </c>
    </row>
    <row r="2813" spans="1:6">
      <c r="A2813" s="35" t="s">
        <v>3422</v>
      </c>
      <c r="B2813" s="37">
        <v>184.60000610351563</v>
      </c>
      <c r="C2813" s="37">
        <v>184.60000610351563</v>
      </c>
      <c r="D2813" s="35">
        <v>9182421</v>
      </c>
      <c r="E2813" s="35" t="s">
        <v>3330</v>
      </c>
      <c r="F2813" s="35" t="s">
        <v>604</v>
      </c>
    </row>
    <row r="2814" spans="1:6">
      <c r="A2814" s="35" t="s">
        <v>3423</v>
      </c>
      <c r="B2814" s="37">
        <v>183.94000244140625</v>
      </c>
      <c r="C2814" s="37">
        <v>183.94000244140625</v>
      </c>
      <c r="D2814" s="35">
        <v>8624548</v>
      </c>
      <c r="E2814" s="35" t="s">
        <v>3330</v>
      </c>
      <c r="F2814" s="35" t="s">
        <v>604</v>
      </c>
    </row>
    <row r="2815" spans="1:6">
      <c r="A2815" s="35" t="s">
        <v>3424</v>
      </c>
      <c r="B2815" s="37">
        <v>183.10000610351563</v>
      </c>
      <c r="C2815" s="37">
        <v>183.10000610351563</v>
      </c>
      <c r="D2815" s="35">
        <v>5434084</v>
      </c>
      <c r="E2815" s="35" t="s">
        <v>3330</v>
      </c>
      <c r="F2815" s="35" t="s">
        <v>604</v>
      </c>
    </row>
    <row r="2816" spans="1:6">
      <c r="A2816" s="35" t="s">
        <v>3425</v>
      </c>
      <c r="B2816" s="37">
        <v>184</v>
      </c>
      <c r="C2816" s="37">
        <v>184</v>
      </c>
      <c r="D2816" s="35">
        <v>7366162</v>
      </c>
      <c r="E2816" s="35" t="s">
        <v>3330</v>
      </c>
      <c r="F2816" s="35" t="s">
        <v>604</v>
      </c>
    </row>
    <row r="2817" spans="1:6">
      <c r="A2817" s="35" t="s">
        <v>3426</v>
      </c>
      <c r="B2817" s="37">
        <v>181.89999389648438</v>
      </c>
      <c r="C2817" s="37">
        <v>181.89999389648438</v>
      </c>
      <c r="D2817" s="35">
        <v>4436515</v>
      </c>
      <c r="E2817" s="35" t="s">
        <v>3330</v>
      </c>
      <c r="F2817" s="35" t="s">
        <v>604</v>
      </c>
    </row>
    <row r="2818" spans="1:6">
      <c r="A2818" s="35" t="s">
        <v>3427</v>
      </c>
      <c r="B2818" s="37">
        <v>178.05999755859375</v>
      </c>
      <c r="C2818" s="37">
        <v>178.05999755859375</v>
      </c>
      <c r="D2818" s="35">
        <v>7074731</v>
      </c>
      <c r="E2818" s="35" t="s">
        <v>3330</v>
      </c>
      <c r="F2818" s="35" t="s">
        <v>604</v>
      </c>
    </row>
    <row r="2819" spans="1:6">
      <c r="A2819" s="35" t="s">
        <v>3428</v>
      </c>
      <c r="B2819" s="37">
        <v>179.55000305175781</v>
      </c>
      <c r="C2819" s="37">
        <v>179.55000305175781</v>
      </c>
      <c r="D2819" s="35">
        <v>5964187</v>
      </c>
      <c r="E2819" s="35" t="s">
        <v>3330</v>
      </c>
      <c r="F2819" s="35" t="s">
        <v>604</v>
      </c>
    </row>
    <row r="2820" spans="1:6">
      <c r="A2820" s="35" t="s">
        <v>3429</v>
      </c>
      <c r="B2820" s="37">
        <v>181</v>
      </c>
      <c r="C2820" s="37">
        <v>181</v>
      </c>
      <c r="D2820" s="35">
        <v>5364164</v>
      </c>
      <c r="E2820" s="35" t="s">
        <v>3330</v>
      </c>
      <c r="F2820" s="35" t="s">
        <v>604</v>
      </c>
    </row>
    <row r="2821" spans="1:6">
      <c r="A2821" s="35" t="s">
        <v>3430</v>
      </c>
      <c r="B2821" s="37">
        <v>180.78999328613281</v>
      </c>
      <c r="C2821" s="37">
        <v>180.78999328613281</v>
      </c>
      <c r="D2821" s="35">
        <v>4637869</v>
      </c>
      <c r="E2821" s="35" t="s">
        <v>3330</v>
      </c>
      <c r="F2821" s="35" t="s">
        <v>604</v>
      </c>
    </row>
    <row r="2822" spans="1:6">
      <c r="A2822" s="35" t="s">
        <v>3431</v>
      </c>
      <c r="B2822" s="37">
        <v>181.30999755859375</v>
      </c>
      <c r="C2822" s="37">
        <v>181.30999755859375</v>
      </c>
      <c r="D2822" s="35">
        <v>9441129</v>
      </c>
      <c r="E2822" s="35" t="s">
        <v>3330</v>
      </c>
      <c r="F2822" s="35" t="s">
        <v>604</v>
      </c>
    </row>
    <row r="2823" spans="1:6">
      <c r="A2823" s="35" t="s">
        <v>3432</v>
      </c>
      <c r="B2823" s="37">
        <v>180.08999633789063</v>
      </c>
      <c r="C2823" s="37">
        <v>180.08999633789063</v>
      </c>
      <c r="D2823" s="35">
        <v>8352475</v>
      </c>
      <c r="E2823" s="35" t="s">
        <v>3330</v>
      </c>
      <c r="F2823" s="35" t="s">
        <v>604</v>
      </c>
    </row>
    <row r="2824" spans="1:6">
      <c r="A2824" s="35" t="s">
        <v>3433</v>
      </c>
      <c r="B2824" s="37">
        <v>177.35000610351563</v>
      </c>
      <c r="C2824" s="37">
        <v>177.35000610351563</v>
      </c>
      <c r="D2824" s="35">
        <v>9355776</v>
      </c>
      <c r="E2824" s="35" t="s">
        <v>3330</v>
      </c>
      <c r="F2824" s="35" t="s">
        <v>604</v>
      </c>
    </row>
    <row r="2825" spans="1:6">
      <c r="A2825" s="35" t="s">
        <v>3434</v>
      </c>
      <c r="B2825" s="37">
        <v>176.39999389648438</v>
      </c>
      <c r="C2825" s="37">
        <v>176.39999389648438</v>
      </c>
      <c r="D2825" s="35">
        <v>4695019</v>
      </c>
      <c r="E2825" s="35" t="s">
        <v>3330</v>
      </c>
      <c r="F2825" s="35" t="s">
        <v>604</v>
      </c>
    </row>
    <row r="2826" spans="1:6">
      <c r="A2826" s="35" t="s">
        <v>3435</v>
      </c>
      <c r="B2826" s="37">
        <v>180.28999328613281</v>
      </c>
      <c r="C2826" s="37">
        <v>180.28999328613281</v>
      </c>
      <c r="D2826" s="35">
        <v>7375000</v>
      </c>
      <c r="E2826" s="35" t="s">
        <v>3330</v>
      </c>
      <c r="F2826" s="35" t="s">
        <v>604</v>
      </c>
    </row>
  </sheetData>
  <mergeCells count="2">
    <mergeCell ref="A1:F1"/>
    <mergeCell ref="A2:F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U300"/>
  <sheetViews>
    <sheetView showGridLines="0" workbookViewId="0"/>
  </sheetViews>
  <sheetFormatPr defaultRowHeight="13.8"/>
  <cols>
    <col min="1" max="1" width="43" customWidth="1"/>
    <col min="2" max="2" width="12" customWidth="1"/>
    <col min="3" max="17" width="11.5" customWidth="1"/>
  </cols>
  <sheetData>
    <row r="1" spans="1:47" ht="25.95" customHeight="1">
      <c r="A1" s="44" t="s">
        <v>3436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45" t="s">
        <v>3437</v>
      </c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  <c r="J5" s="4" t="s">
        <v>33</v>
      </c>
      <c r="K5" s="4" t="s">
        <v>34</v>
      </c>
      <c r="L5" s="4" t="s">
        <v>35</v>
      </c>
      <c r="M5" s="4" t="s">
        <v>36</v>
      </c>
      <c r="N5" s="14" t="s">
        <v>37</v>
      </c>
      <c r="O5" s="14" t="s">
        <v>38</v>
      </c>
      <c r="P5" s="14" t="s">
        <v>39</v>
      </c>
      <c r="Q5" s="14" t="s">
        <v>40</v>
      </c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24"/>
      <c r="O6" s="24"/>
      <c r="P6" s="24"/>
      <c r="Q6" s="24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3438</v>
      </c>
      <c r="B7" s="1" t="s">
        <v>53</v>
      </c>
      <c r="C7" s="12">
        <v>105.79689788818359</v>
      </c>
      <c r="D7" s="12">
        <v>96.693771362304688</v>
      </c>
      <c r="E7" s="12">
        <v>105.4312744140625</v>
      </c>
      <c r="F7" s="12">
        <v>127.375</v>
      </c>
      <c r="G7" s="12">
        <v>98.349998474121094</v>
      </c>
      <c r="H7" s="12">
        <v>207.07499694824219</v>
      </c>
      <c r="I7" s="12">
        <v>295.95001220703125</v>
      </c>
      <c r="J7" s="12">
        <v>182.625</v>
      </c>
      <c r="K7" s="12">
        <v>240.05000305175781</v>
      </c>
      <c r="L7" s="12">
        <v>262.25</v>
      </c>
      <c r="M7" s="12">
        <v>187.63999938964844</v>
      </c>
      <c r="N7" s="31">
        <f>Assumptions!C51</f>
        <v>180.28999328613281</v>
      </c>
      <c r="O7" s="31">
        <f>Assumptions!D51</f>
        <v>180.28999328613281</v>
      </c>
      <c r="P7" s="31">
        <f>Assumptions!E51</f>
        <v>180.28999328613281</v>
      </c>
      <c r="Q7" s="31">
        <f>Assumptions!F51</f>
        <v>180.28999328613281</v>
      </c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3439</v>
      </c>
      <c r="B8" s="1" t="s">
        <v>252</v>
      </c>
      <c r="C8" s="22">
        <f>'Annual P&amp;L'!C31</f>
        <v>4913.1188000000002</v>
      </c>
      <c r="D8" s="22">
        <f>'Annual P&amp;L'!D31</f>
        <v>6476.108013</v>
      </c>
      <c r="E8" s="22">
        <f>'Annual P&amp;L'!E31</f>
        <v>6333.3912</v>
      </c>
      <c r="F8" s="22">
        <f>'Annual P&amp;L'!F31</f>
        <v>6007.3768369999998</v>
      </c>
      <c r="G8" s="22">
        <f>'Annual P&amp;L'!G31</f>
        <v>5833.3840179999997</v>
      </c>
      <c r="H8" s="22">
        <f>'Annual P&amp;L'!H31</f>
        <v>5649.2658849999998</v>
      </c>
      <c r="I8" s="22">
        <f>'Annual P&amp;L'!I31</f>
        <v>5466.7058399999996</v>
      </c>
      <c r="J8" s="22">
        <f>'Annual P&amp;L'!J31</f>
        <v>10954.933145999999</v>
      </c>
      <c r="K8" s="22">
        <f>'Annual P&amp;L'!K31</f>
        <v>10576.571110000001</v>
      </c>
      <c r="L8" s="22">
        <f>'Annual P&amp;L'!L31</f>
        <v>10456.741552</v>
      </c>
      <c r="M8" s="22">
        <f>'Annual P&amp;L'!M31</f>
        <v>10476.247846</v>
      </c>
      <c r="N8" s="25">
        <f>'Annual P&amp;L'!N31</f>
        <v>9644.2549146899437</v>
      </c>
      <c r="O8" s="25">
        <f>'Annual P&amp;L'!O31</f>
        <v>9644.2549146899437</v>
      </c>
      <c r="P8" s="25">
        <f>'Annual P&amp;L'!P31</f>
        <v>9644.2549146899437</v>
      </c>
      <c r="Q8" s="25">
        <f>'Annual P&amp;L'!Q31</f>
        <v>9644.2549146899437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3440</v>
      </c>
      <c r="B9" s="1" t="s">
        <v>252</v>
      </c>
      <c r="C9" s="22">
        <f>'Annual P&amp;L'!C32</f>
        <v>4923.3798159999997</v>
      </c>
      <c r="D9" s="22">
        <f>'Annual P&amp;L'!D32</f>
        <v>6495.1295170000003</v>
      </c>
      <c r="E9" s="22">
        <f>'Annual P&amp;L'!E32</f>
        <v>6344.4826329999996</v>
      </c>
      <c r="F9" s="22">
        <f>'Annual P&amp;L'!F32</f>
        <v>6022.3043669999997</v>
      </c>
      <c r="G9" s="22">
        <f>'Annual P&amp;L'!G32</f>
        <v>5847.8232390000003</v>
      </c>
      <c r="H9" s="22">
        <f>'Annual P&amp;L'!H32</f>
        <v>5661.6578220000001</v>
      </c>
      <c r="I9" s="22">
        <f>'Annual P&amp;L'!I32</f>
        <v>5482.0834379999997</v>
      </c>
      <c r="J9" s="22">
        <f>'Annual P&amp;L'!J32</f>
        <v>10977.98235</v>
      </c>
      <c r="K9" s="22">
        <f>'Annual P&amp;L'!K32</f>
        <v>10611.424628000001</v>
      </c>
      <c r="L9" s="22">
        <f>'Annual P&amp;L'!L32</f>
        <v>10488.939392</v>
      </c>
      <c r="M9" s="22">
        <f>'Annual P&amp;L'!M32</f>
        <v>10503.422936000001</v>
      </c>
      <c r="N9" s="25">
        <f>'Annual P&amp;L'!N32</f>
        <v>9671.4300046899443</v>
      </c>
      <c r="O9" s="25">
        <f>'Annual P&amp;L'!O32</f>
        <v>9671.4300046899443</v>
      </c>
      <c r="P9" s="25">
        <f>'Annual P&amp;L'!P32</f>
        <v>9671.4300046899443</v>
      </c>
      <c r="Q9" s="25">
        <f>'Annual P&amp;L'!Q32</f>
        <v>9671.4300046899443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3441</v>
      </c>
      <c r="B10" s="1" t="s">
        <v>42</v>
      </c>
      <c r="C10" s="17">
        <f t="shared" ref="C10:Q10" si="0">C7*C8/10</f>
        <v>51979.272799611514</v>
      </c>
      <c r="D10" s="17">
        <f t="shared" si="0"/>
        <v>62619.930752661137</v>
      </c>
      <c r="E10" s="17">
        <f t="shared" si="0"/>
        <v>66773.750557880863</v>
      </c>
      <c r="F10" s="17">
        <f t="shared" si="0"/>
        <v>76518.96246128749</v>
      </c>
      <c r="G10" s="17">
        <f t="shared" si="0"/>
        <v>57371.330926926239</v>
      </c>
      <c r="H10" s="17">
        <f t="shared" si="0"/>
        <v>116982.17158961836</v>
      </c>
      <c r="I10" s="17">
        <f t="shared" si="0"/>
        <v>161787.16600802488</v>
      </c>
      <c r="J10" s="17">
        <f t="shared" si="0"/>
        <v>200064.46657882497</v>
      </c>
      <c r="K10" s="17">
        <f t="shared" si="0"/>
        <v>253890.59272326337</v>
      </c>
      <c r="L10" s="17">
        <f t="shared" si="0"/>
        <v>274228.04720119998</v>
      </c>
      <c r="M10" s="17">
        <f t="shared" si="0"/>
        <v>196576.31394292458</v>
      </c>
      <c r="N10" s="29">
        <f t="shared" si="0"/>
        <v>173876.26538192033</v>
      </c>
      <c r="O10" s="29">
        <f t="shared" si="0"/>
        <v>173876.26538192033</v>
      </c>
      <c r="P10" s="29">
        <f t="shared" si="0"/>
        <v>173876.26538192033</v>
      </c>
      <c r="Q10" s="29">
        <f t="shared" si="0"/>
        <v>173876.26538192033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3442</v>
      </c>
      <c r="B11" s="1" t="s">
        <v>42</v>
      </c>
      <c r="C11" s="17">
        <f>SUM('Annual Balance Sheet'!C21:C22)</f>
        <v>23199.3</v>
      </c>
      <c r="D11" s="17">
        <f>SUM('Annual Balance Sheet'!D21:D22)</f>
        <v>34474</v>
      </c>
      <c r="E11" s="17">
        <f>SUM('Annual Balance Sheet'!E21:E22)</f>
        <v>29401.9</v>
      </c>
      <c r="F11" s="17">
        <f>SUM('Annual Balance Sheet'!F21:F22)</f>
        <v>37924.5</v>
      </c>
      <c r="G11" s="17">
        <f>SUM('Annual Balance Sheet'!G21:G22)</f>
        <v>33413.4</v>
      </c>
      <c r="H11" s="17">
        <f>SUM('Annual Balance Sheet'!H21:H22)</f>
        <v>34550</v>
      </c>
      <c r="I11" s="17">
        <f>SUM('Annual Balance Sheet'!I21:I22)</f>
        <v>34549.1</v>
      </c>
      <c r="J11" s="17">
        <f>SUM('Annual Balance Sheet'!J21:J22)</f>
        <v>40111.199999999997</v>
      </c>
      <c r="K11" s="17">
        <f>SUM('Annual Balance Sheet'!K21:K22)</f>
        <v>40812.399999999994</v>
      </c>
      <c r="L11" s="17">
        <f>SUM('Annual Balance Sheet'!L21:L22)</f>
        <v>53344.800000000003</v>
      </c>
      <c r="M11" s="17">
        <f>SUM('Annual Balance Sheet'!M21:M22)</f>
        <v>54323.5</v>
      </c>
      <c r="N11" s="29">
        <f>SUM('Annual Balance Sheet'!N21:N22)</f>
        <v>47952.748765318502</v>
      </c>
      <c r="O11" s="29">
        <f>SUM('Annual Balance Sheet'!O21:O22)</f>
        <v>52895.472684192617</v>
      </c>
      <c r="P11" s="29">
        <f>SUM('Annual Balance Sheet'!P21:P22)</f>
        <v>58686.449103967141</v>
      </c>
      <c r="Q11" s="29">
        <f>SUM('Annual Balance Sheet'!Q21:Q22)</f>
        <v>64878.546931107296</v>
      </c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3443</v>
      </c>
      <c r="B12" s="1" t="s">
        <v>42</v>
      </c>
      <c r="C12" s="17">
        <f>SUM('Annual Balance Sheet'!C60:C61)</f>
        <v>12522.1</v>
      </c>
      <c r="D12" s="17">
        <f>SUM('Annual Balance Sheet'!D60:D61)</f>
        <v>14241.2</v>
      </c>
      <c r="E12" s="17">
        <f>SUM('Annual Balance Sheet'!E60:E61)</f>
        <v>13825.900000000001</v>
      </c>
      <c r="F12" s="17">
        <f>SUM('Annual Balance Sheet'!F60:F61)</f>
        <v>9946.7000000000007</v>
      </c>
      <c r="G12" s="17">
        <f>SUM('Annual Balance Sheet'!G60:G61)</f>
        <v>9724</v>
      </c>
      <c r="H12" s="17">
        <f>SUM('Annual Balance Sheet'!H60:H61)</f>
        <v>10451.399999999998</v>
      </c>
      <c r="I12" s="17">
        <f>SUM('Annual Balance Sheet'!I60:I61)</f>
        <v>17592.899999999998</v>
      </c>
      <c r="J12" s="17">
        <f>SUM('Annual Balance Sheet'!J60:J61)</f>
        <v>17466.599999999999</v>
      </c>
      <c r="K12" s="17">
        <f>SUM('Annual Balance Sheet'!K60:K61)</f>
        <v>16464.900000000001</v>
      </c>
      <c r="L12" s="17">
        <f>SUM('Annual Balance Sheet'!L60:L61)</f>
        <v>19203.5</v>
      </c>
      <c r="M12" s="17">
        <f>SUM('Annual Balance Sheet'!M60:M61)</f>
        <v>20291</v>
      </c>
      <c r="N12" s="29">
        <f>SUM('Annual Balance Sheet'!N60:N61)</f>
        <v>20560.220894197992</v>
      </c>
      <c r="O12" s="29">
        <f>SUM('Annual Balance Sheet'!O60:O61)</f>
        <v>20831.024906429077</v>
      </c>
      <c r="P12" s="29">
        <f>SUM('Annual Balance Sheet'!P60:P61)</f>
        <v>21129.284165913577</v>
      </c>
      <c r="Q12" s="29">
        <f>SUM('Annual Balance Sheet'!Q60:Q61)</f>
        <v>21464.408129363386</v>
      </c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3444</v>
      </c>
      <c r="B13" s="1" t="s">
        <v>42</v>
      </c>
      <c r="C13" s="17">
        <f t="shared" ref="C13:Q13" si="1">C10-C11+C12</f>
        <v>41302.072799611517</v>
      </c>
      <c r="D13" s="17">
        <f t="shared" si="1"/>
        <v>42387.130752661134</v>
      </c>
      <c r="E13" s="17">
        <f t="shared" si="1"/>
        <v>51197.750557880863</v>
      </c>
      <c r="F13" s="17">
        <f t="shared" si="1"/>
        <v>48541.162461287488</v>
      </c>
      <c r="G13" s="17">
        <f t="shared" si="1"/>
        <v>33681.930926926238</v>
      </c>
      <c r="H13" s="17">
        <f t="shared" si="1"/>
        <v>92883.571589618354</v>
      </c>
      <c r="I13" s="17">
        <f t="shared" si="1"/>
        <v>144830.96600802487</v>
      </c>
      <c r="J13" s="17">
        <f t="shared" si="1"/>
        <v>177419.86657882496</v>
      </c>
      <c r="K13" s="17">
        <f t="shared" si="1"/>
        <v>229543.09272326337</v>
      </c>
      <c r="L13" s="17">
        <f t="shared" si="1"/>
        <v>240086.74720119999</v>
      </c>
      <c r="M13" s="17">
        <f t="shared" si="1"/>
        <v>162543.81394292458</v>
      </c>
      <c r="N13" s="29">
        <f t="shared" si="1"/>
        <v>146483.73751079981</v>
      </c>
      <c r="O13" s="29">
        <f t="shared" si="1"/>
        <v>141811.81760415679</v>
      </c>
      <c r="P13" s="29">
        <f t="shared" si="1"/>
        <v>136319.10044386677</v>
      </c>
      <c r="Q13" s="29">
        <f t="shared" si="1"/>
        <v>130462.12658017641</v>
      </c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52</v>
      </c>
      <c r="B14" s="1" t="s">
        <v>53</v>
      </c>
      <c r="C14" s="30">
        <f>'Annual P&amp;L'!C34</f>
        <v>18.092246247288106</v>
      </c>
      <c r="D14" s="30">
        <f>'Annual P&amp;L'!D34</f>
        <v>13.070563070035851</v>
      </c>
      <c r="E14" s="30">
        <f>'Annual P&amp;L'!E34</f>
        <v>12.622148192741378</v>
      </c>
      <c r="F14" s="30">
        <f>'Annual P&amp;L'!F34</f>
        <v>14.949593131382827</v>
      </c>
      <c r="G14" s="30">
        <f>'Annual P&amp;L'!G34</f>
        <v>16.624647501593198</v>
      </c>
      <c r="H14" s="30">
        <f>'Annual P&amp;L'!H34</f>
        <v>19.066146947373745</v>
      </c>
      <c r="I14" s="30">
        <f>'Annual P&amp;L'!I34</f>
        <v>22.289153636920624</v>
      </c>
      <c r="J14" s="30">
        <f>'Annual P&amp;L'!J34</f>
        <v>10.338876159697961</v>
      </c>
      <c r="K14" s="30">
        <f>'Annual P&amp;L'!K34</f>
        <v>10.408781466397462</v>
      </c>
      <c r="L14" s="30">
        <f>'Annual P&amp;L'!L34</f>
        <v>12.523096482012734</v>
      </c>
      <c r="M14" s="30">
        <f>'Annual P&amp;L'!M34</f>
        <v>12.564856314379684</v>
      </c>
      <c r="N14" s="31">
        <f>'Annual P&amp;L'!N34</f>
        <v>13.875488003906639</v>
      </c>
      <c r="O14" s="31">
        <f>'Annual P&amp;L'!O34</f>
        <v>14.617855427225379</v>
      </c>
      <c r="P14" s="31">
        <f>'Annual P&amp;L'!P34</f>
        <v>16.178667913970131</v>
      </c>
      <c r="Q14" s="31">
        <f>'Annual P&amp;L'!Q34</f>
        <v>17.909365027495145</v>
      </c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67</v>
      </c>
      <c r="B15" s="1" t="s">
        <v>68</v>
      </c>
      <c r="C15" s="33">
        <f t="shared" ref="C15:Q15" si="2">IFERROR(C7/C14,"")</f>
        <v>5.8476375151063271</v>
      </c>
      <c r="D15" s="33">
        <f t="shared" si="2"/>
        <v>7.3978275338400907</v>
      </c>
      <c r="E15" s="33">
        <f t="shared" si="2"/>
        <v>8.3528788288742231</v>
      </c>
      <c r="F15" s="33">
        <f t="shared" si="2"/>
        <v>8.5202987720521257</v>
      </c>
      <c r="G15" s="33">
        <f t="shared" si="2"/>
        <v>5.9159148165214246</v>
      </c>
      <c r="H15" s="33">
        <f t="shared" si="2"/>
        <v>10.860872808743647</v>
      </c>
      <c r="I15" s="33">
        <f t="shared" si="2"/>
        <v>13.277759085334138</v>
      </c>
      <c r="J15" s="33">
        <f t="shared" si="2"/>
        <v>17.663912129240089</v>
      </c>
      <c r="K15" s="33">
        <f t="shared" si="2"/>
        <v>23.062257943132749</v>
      </c>
      <c r="L15" s="33">
        <f t="shared" si="2"/>
        <v>20.941306359547482</v>
      </c>
      <c r="M15" s="33">
        <f t="shared" si="2"/>
        <v>14.93371628730098</v>
      </c>
      <c r="N15" s="34">
        <f t="shared" si="2"/>
        <v>12.993416392661089</v>
      </c>
      <c r="O15" s="34">
        <f t="shared" si="2"/>
        <v>12.333546065201011</v>
      </c>
      <c r="P15" s="34">
        <f t="shared" si="2"/>
        <v>11.143685885934655</v>
      </c>
      <c r="Q15" s="34">
        <f t="shared" si="2"/>
        <v>10.066799856351395</v>
      </c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46</v>
      </c>
      <c r="B16" s="1" t="s">
        <v>42</v>
      </c>
      <c r="C16" s="17">
        <f>'Annual P&amp;L'!C15</f>
        <v>11182.5</v>
      </c>
      <c r="D16" s="17">
        <f>'Annual P&amp;L'!D15</f>
        <v>11698.599999999999</v>
      </c>
      <c r="E16" s="17">
        <f>'Annual P&amp;L'!E15</f>
        <v>10541.8</v>
      </c>
      <c r="F16" s="17">
        <f>'Annual P&amp;L'!F15</f>
        <v>11938.4</v>
      </c>
      <c r="G16" s="17">
        <f>'Annual P&amp;L'!G15</f>
        <v>12659.2</v>
      </c>
      <c r="H16" s="17">
        <f>'Annual P&amp;L'!H15</f>
        <v>15070.9</v>
      </c>
      <c r="I16" s="17">
        <f>'Annual P&amp;L'!I15</f>
        <v>17119.7</v>
      </c>
      <c r="J16" s="17">
        <f>'Annual P&amp;L'!J15</f>
        <v>17300.8</v>
      </c>
      <c r="K16" s="17">
        <f>'Annual P&amp;L'!K15</f>
        <v>17017</v>
      </c>
      <c r="L16" s="17">
        <f>'Annual P&amp;L'!L15</f>
        <v>18085</v>
      </c>
      <c r="M16" s="17">
        <f>'Annual P&amp;L'!M15</f>
        <v>18035.8</v>
      </c>
      <c r="N16" s="29">
        <f>'Annual P&amp;L'!N15</f>
        <v>18608.214530717363</v>
      </c>
      <c r="O16" s="29">
        <f>'Annual P&amp;L'!O15</f>
        <v>20132.319826694638</v>
      </c>
      <c r="P16" s="29">
        <f>'Annual P&amp;L'!P15</f>
        <v>22146.716139719094</v>
      </c>
      <c r="Q16" s="29">
        <f>'Annual P&amp;L'!Q15</f>
        <v>24386.880917934166</v>
      </c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69</v>
      </c>
      <c r="B17" s="1" t="s">
        <v>68</v>
      </c>
      <c r="C17" s="33">
        <f t="shared" ref="C17:Q17" si="3">IFERROR(C13/C16,"")</f>
        <v>3.6934560965447365</v>
      </c>
      <c r="D17" s="33">
        <f t="shared" si="3"/>
        <v>3.6232652413674407</v>
      </c>
      <c r="E17" s="33">
        <f t="shared" si="3"/>
        <v>4.8566421823484474</v>
      </c>
      <c r="F17" s="33">
        <f t="shared" si="3"/>
        <v>4.0659688451792109</v>
      </c>
      <c r="G17" s="33">
        <f t="shared" si="3"/>
        <v>2.6606682039091125</v>
      </c>
      <c r="H17" s="33">
        <f t="shared" si="3"/>
        <v>6.1631071528321701</v>
      </c>
      <c r="I17" s="33">
        <f t="shared" si="3"/>
        <v>8.4599009333122002</v>
      </c>
      <c r="J17" s="33">
        <f t="shared" si="3"/>
        <v>10.255009397185388</v>
      </c>
      <c r="K17" s="33">
        <f t="shared" si="3"/>
        <v>13.489045820254061</v>
      </c>
      <c r="L17" s="33">
        <f t="shared" si="3"/>
        <v>13.275462936201272</v>
      </c>
      <c r="M17" s="33">
        <f t="shared" si="3"/>
        <v>9.0122874473505235</v>
      </c>
      <c r="N17" s="34">
        <f t="shared" si="3"/>
        <v>7.8719931602783779</v>
      </c>
      <c r="O17" s="34">
        <f t="shared" si="3"/>
        <v>7.043987917185782</v>
      </c>
      <c r="P17" s="34">
        <f t="shared" si="3"/>
        <v>6.1552737473067118</v>
      </c>
      <c r="Q17" s="34">
        <f t="shared" si="3"/>
        <v>5.3496848169801936</v>
      </c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3445</v>
      </c>
      <c r="B18" s="1" t="s">
        <v>42</v>
      </c>
      <c r="C18" s="17">
        <f>'Annual Balance Sheet'!C36</f>
        <v>46830.2</v>
      </c>
      <c r="D18" s="17">
        <f>'Annual Balance Sheet'!D36</f>
        <v>52269.5</v>
      </c>
      <c r="E18" s="17">
        <f>'Annual Balance Sheet'!E36</f>
        <v>48534.6</v>
      </c>
      <c r="F18" s="17">
        <f>'Annual Balance Sheet'!F36</f>
        <v>57075.3</v>
      </c>
      <c r="G18" s="17">
        <f>'Annual Balance Sheet'!G36</f>
        <v>55933.3</v>
      </c>
      <c r="H18" s="17">
        <f>'Annual Balance Sheet'!H36</f>
        <v>55459.3</v>
      </c>
      <c r="I18" s="17">
        <f>'Annual Balance Sheet'!I36</f>
        <v>65867.3</v>
      </c>
      <c r="J18" s="17">
        <f>'Annual Balance Sheet'!J36</f>
        <v>78175.3</v>
      </c>
      <c r="K18" s="17">
        <f>'Annual Balance Sheet'!K36</f>
        <v>75122.3</v>
      </c>
      <c r="L18" s="17">
        <f>'Annual Balance Sheet'!L36</f>
        <v>83044.7</v>
      </c>
      <c r="M18" s="17">
        <f>'Annual Balance Sheet'!M36</f>
        <v>88787.7</v>
      </c>
      <c r="N18" s="29">
        <f>'Annual Balance Sheet'!N36</f>
        <v>77619.728981183274</v>
      </c>
      <c r="O18" s="29">
        <f>'Annual Balance Sheet'!O36</f>
        <v>82084.08199908497</v>
      </c>
      <c r="P18" s="29">
        <f>'Annual Balance Sheet'!P36</f>
        <v>87323.693247262432</v>
      </c>
      <c r="Q18" s="29">
        <f>'Annual Balance Sheet'!Q36</f>
        <v>93111.882941405027</v>
      </c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3446</v>
      </c>
      <c r="B19" s="1" t="s">
        <v>68</v>
      </c>
      <c r="C19" s="33">
        <f t="shared" ref="C19:Q19" si="4">IFERROR(C10/C18,"")</f>
        <v>1.1099519711556114</v>
      </c>
      <c r="D19" s="33">
        <f t="shared" si="4"/>
        <v>1.1980204660970764</v>
      </c>
      <c r="E19" s="33">
        <f t="shared" si="4"/>
        <v>1.3757968656974791</v>
      </c>
      <c r="F19" s="33">
        <f t="shared" si="4"/>
        <v>1.3406668464517486</v>
      </c>
      <c r="G19" s="33">
        <f t="shared" si="4"/>
        <v>1.0257097458388158</v>
      </c>
      <c r="H19" s="33">
        <f t="shared" si="4"/>
        <v>2.1093337202167781</v>
      </c>
      <c r="I19" s="33">
        <f t="shared" si="4"/>
        <v>2.4562592668596537</v>
      </c>
      <c r="J19" s="33">
        <f t="shared" si="4"/>
        <v>2.5591774713857824</v>
      </c>
      <c r="K19" s="33">
        <f t="shared" si="4"/>
        <v>3.3796967441527133</v>
      </c>
      <c r="L19" s="33">
        <f t="shared" si="4"/>
        <v>3.3021739761983606</v>
      </c>
      <c r="M19" s="33">
        <f t="shared" si="4"/>
        <v>2.2140038985459087</v>
      </c>
      <c r="N19" s="34">
        <f t="shared" si="4"/>
        <v>2.2401040001578947</v>
      </c>
      <c r="O19" s="34">
        <f t="shared" si="4"/>
        <v>2.1182702071743775</v>
      </c>
      <c r="P19" s="34">
        <f t="shared" si="4"/>
        <v>1.9911693941938409</v>
      </c>
      <c r="Q19" s="34">
        <f t="shared" si="4"/>
        <v>1.8673907120033222</v>
      </c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427</v>
      </c>
      <c r="B20" s="1" t="s">
        <v>53</v>
      </c>
      <c r="C20" s="30">
        <f>'Annual P&amp;L'!C35</f>
        <v>7.2243317218382748</v>
      </c>
      <c r="D20" s="30">
        <f>'Annual P&amp;L'!D35</f>
        <v>1.3486495256823321</v>
      </c>
      <c r="E20" s="30">
        <f>'Annual P&amp;L'!E35</f>
        <v>0.85578165454235644</v>
      </c>
      <c r="F20" s="30">
        <f>'Annual P&amp;L'!F35</f>
        <v>0.74974487571005033</v>
      </c>
      <c r="G20" s="30">
        <f>'Annual P&amp;L'!G35</f>
        <v>0.97524866911650665</v>
      </c>
      <c r="H20" s="30">
        <f>'Annual P&amp;L'!H35</f>
        <v>0.96632024605087252</v>
      </c>
      <c r="I20" s="30">
        <f>'Annual P&amp;L'!I35</f>
        <v>1.0000538093705076</v>
      </c>
      <c r="J20" s="30">
        <f>'Annual P&amp;L'!J35</f>
        <v>2.9953628710168307</v>
      </c>
      <c r="K20" s="30">
        <f>'Annual P&amp;L'!K35</f>
        <v>0.49335459911638602</v>
      </c>
      <c r="L20" s="30">
        <f>'Annual P&amp;L'!L35</f>
        <v>6.0009133522094347</v>
      </c>
      <c r="M20" s="30">
        <f>'Annual P&amp;L'!M35</f>
        <v>10.996876142443261</v>
      </c>
      <c r="N20" s="31">
        <f>'Annual P&amp;L'!N35</f>
        <v>10.435939235152338</v>
      </c>
      <c r="O20" s="31">
        <f>'Annual P&amp;L'!O35</f>
        <v>10.554512310202174</v>
      </c>
      <c r="P20" s="31">
        <f>'Annual P&amp;L'!P35</f>
        <v>11.356978737935084</v>
      </c>
      <c r="Q20" s="31">
        <f>'Annual P&amp;L'!Q35</f>
        <v>12.571880386490269</v>
      </c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3447</v>
      </c>
      <c r="B21" s="1" t="s">
        <v>44</v>
      </c>
      <c r="C21" s="18">
        <f t="shared" ref="C21:Q21" si="5">IFERROR(C20/C7,"")</f>
        <v>6.8284910673596946E-2</v>
      </c>
      <c r="D21" s="18">
        <f t="shared" si="5"/>
        <v>1.3947635992281635E-2</v>
      </c>
      <c r="E21" s="18">
        <f t="shared" si="5"/>
        <v>8.1169620617638251E-3</v>
      </c>
      <c r="F21" s="18">
        <f t="shared" si="5"/>
        <v>5.8861226748580988E-3</v>
      </c>
      <c r="G21" s="18">
        <f t="shared" si="5"/>
        <v>9.9161025342885435E-3</v>
      </c>
      <c r="H21" s="18">
        <f t="shared" si="5"/>
        <v>4.6665230486150943E-3</v>
      </c>
      <c r="I21" s="18">
        <f t="shared" si="5"/>
        <v>3.3791308265631085E-3</v>
      </c>
      <c r="J21" s="18">
        <f t="shared" si="5"/>
        <v>1.64017131883194E-2</v>
      </c>
      <c r="K21" s="18">
        <f t="shared" si="5"/>
        <v>2.0552159668584236E-3</v>
      </c>
      <c r="L21" s="18">
        <f t="shared" si="5"/>
        <v>2.2882415070388691E-2</v>
      </c>
      <c r="M21" s="18">
        <f t="shared" si="5"/>
        <v>5.8606246952748214E-2</v>
      </c>
      <c r="N21" s="26">
        <f t="shared" si="5"/>
        <v>5.7884184501520136E-2</v>
      </c>
      <c r="O21" s="26">
        <f t="shared" si="5"/>
        <v>5.8541864236754539E-2</v>
      </c>
      <c r="P21" s="26">
        <f t="shared" si="5"/>
        <v>6.2992840206670619E-2</v>
      </c>
      <c r="Q21" s="26">
        <f t="shared" si="5"/>
        <v>6.9731437432236282E-2</v>
      </c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218</v>
      </c>
      <c r="B22" s="1" t="s">
        <v>68</v>
      </c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34">
        <f>Assumptions!C50</f>
        <v>19</v>
      </c>
      <c r="O22" s="34">
        <f>Assumptions!D50</f>
        <v>19.5</v>
      </c>
      <c r="P22" s="34">
        <f>Assumptions!E50</f>
        <v>20</v>
      </c>
      <c r="Q22" s="34">
        <f>Assumptions!F50</f>
        <v>20.5</v>
      </c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70</v>
      </c>
      <c r="B23" s="1" t="s">
        <v>53</v>
      </c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31">
        <f>N14*N22</f>
        <v>263.63427207422615</v>
      </c>
      <c r="O23" s="31">
        <f>O14*O22</f>
        <v>285.04818083089492</v>
      </c>
      <c r="P23" s="31">
        <f>P14*P22</f>
        <v>323.57335827940261</v>
      </c>
      <c r="Q23" s="31">
        <f>Q14*Q22</f>
        <v>367.14198306365046</v>
      </c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3448</v>
      </c>
      <c r="B24" s="1" t="s">
        <v>44</v>
      </c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26">
        <f>IFERROR(N23/N7-1,"")</f>
        <v>0.46227900544552214</v>
      </c>
      <c r="O24" s="26">
        <f>IFERROR(O23/O7-1,"")</f>
        <v>0.58105381022730174</v>
      </c>
      <c r="P24" s="26">
        <f>IFERROR(P23/P7-1,"")</f>
        <v>0.79473831232479486</v>
      </c>
      <c r="Q24" s="26">
        <f>IFERROR(Q23/Q7-1,"")</f>
        <v>1.0363968979740905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24"/>
      <c r="O25" s="24"/>
      <c r="P25" s="24"/>
      <c r="Q25" s="24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24"/>
      <c r="O26" s="24"/>
      <c r="P26" s="24"/>
      <c r="Q26" s="24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24"/>
      <c r="O27" s="24"/>
      <c r="P27" s="24"/>
      <c r="Q27" s="24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24"/>
      <c r="O28" s="24"/>
      <c r="P28" s="24"/>
      <c r="Q28" s="24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24"/>
      <c r="O29" s="24"/>
      <c r="P29" s="24"/>
      <c r="Q29" s="24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24"/>
      <c r="O30" s="24"/>
      <c r="P30" s="24"/>
      <c r="Q30" s="24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24"/>
      <c r="O31" s="24"/>
      <c r="P31" s="24"/>
      <c r="Q31" s="24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24"/>
      <c r="O32" s="24"/>
      <c r="P32" s="24"/>
      <c r="Q32" s="24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24"/>
      <c r="O33" s="24"/>
      <c r="P33" s="24"/>
      <c r="Q33" s="24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24"/>
      <c r="O34" s="24"/>
      <c r="P34" s="24"/>
      <c r="Q34" s="24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24"/>
      <c r="O35" s="24"/>
      <c r="P35" s="24"/>
      <c r="Q35" s="24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24"/>
      <c r="O36" s="24"/>
      <c r="P36" s="24"/>
      <c r="Q36" s="24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24"/>
      <c r="O37" s="24"/>
      <c r="P37" s="24"/>
      <c r="Q37" s="24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24"/>
      <c r="O38" s="24"/>
      <c r="P38" s="24"/>
      <c r="Q38" s="24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24"/>
      <c r="O39" s="24"/>
      <c r="P39" s="24"/>
      <c r="Q39" s="24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24"/>
      <c r="O40" s="24"/>
      <c r="P40" s="24"/>
      <c r="Q40" s="24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24"/>
      <c r="O41" s="24"/>
      <c r="P41" s="24"/>
      <c r="Q41" s="24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24"/>
      <c r="O42" s="24"/>
      <c r="P42" s="24"/>
      <c r="Q42" s="24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24"/>
      <c r="O43" s="24"/>
      <c r="P43" s="24"/>
      <c r="Q43" s="24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24"/>
      <c r="O44" s="24"/>
      <c r="P44" s="24"/>
      <c r="Q44" s="24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24"/>
      <c r="O45" s="24"/>
      <c r="P45" s="24"/>
      <c r="Q45" s="24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24"/>
      <c r="O46" s="24"/>
      <c r="P46" s="24"/>
      <c r="Q46" s="24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24"/>
      <c r="O47" s="24"/>
      <c r="P47" s="24"/>
      <c r="Q47" s="24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24"/>
      <c r="O48" s="24"/>
      <c r="P48" s="24"/>
      <c r="Q48" s="24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24"/>
      <c r="O49" s="24"/>
      <c r="P49" s="24"/>
      <c r="Q49" s="24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24"/>
      <c r="O50" s="24"/>
      <c r="P50" s="24"/>
      <c r="Q50" s="24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24"/>
      <c r="O51" s="24"/>
      <c r="P51" s="24"/>
      <c r="Q51" s="24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24"/>
      <c r="O52" s="24"/>
      <c r="P52" s="24"/>
      <c r="Q52" s="24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24"/>
      <c r="O53" s="24"/>
      <c r="P53" s="24"/>
      <c r="Q53" s="24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24"/>
      <c r="O54" s="24"/>
      <c r="P54" s="24"/>
      <c r="Q54" s="24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24"/>
      <c r="O55" s="24"/>
      <c r="P55" s="24"/>
      <c r="Q55" s="24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24"/>
      <c r="O56" s="24"/>
      <c r="P56" s="24"/>
      <c r="Q56" s="24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24"/>
      <c r="O57" s="24"/>
      <c r="P57" s="24"/>
      <c r="Q57" s="24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24"/>
      <c r="O58" s="24"/>
      <c r="P58" s="24"/>
      <c r="Q58" s="24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24"/>
      <c r="O59" s="24"/>
      <c r="P59" s="24"/>
      <c r="Q59" s="24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24"/>
      <c r="O60" s="24"/>
      <c r="P60" s="24"/>
      <c r="Q60" s="24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24"/>
      <c r="O61" s="24"/>
      <c r="P61" s="24"/>
      <c r="Q61" s="24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24"/>
      <c r="O62" s="24"/>
      <c r="P62" s="24"/>
      <c r="Q62" s="24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24"/>
      <c r="O63" s="24"/>
      <c r="P63" s="24"/>
      <c r="Q63" s="24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24"/>
      <c r="O64" s="24"/>
      <c r="P64" s="24"/>
      <c r="Q64" s="24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24"/>
      <c r="O65" s="24"/>
      <c r="P65" s="24"/>
      <c r="Q65" s="24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24"/>
      <c r="O66" s="24"/>
      <c r="P66" s="24"/>
      <c r="Q66" s="24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24"/>
      <c r="O67" s="24"/>
      <c r="P67" s="24"/>
      <c r="Q67" s="24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24"/>
      <c r="O68" s="24"/>
      <c r="P68" s="24"/>
      <c r="Q68" s="24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24"/>
      <c r="O69" s="24"/>
      <c r="P69" s="24"/>
      <c r="Q69" s="24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24"/>
      <c r="O70" s="24"/>
      <c r="P70" s="24"/>
      <c r="Q70" s="24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24"/>
      <c r="O71" s="24"/>
      <c r="P71" s="24"/>
      <c r="Q71" s="24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24"/>
      <c r="O72" s="24"/>
      <c r="P72" s="24"/>
      <c r="Q72" s="24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24"/>
      <c r="O73" s="24"/>
      <c r="P73" s="24"/>
      <c r="Q73" s="24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24"/>
      <c r="O74" s="24"/>
      <c r="P74" s="24"/>
      <c r="Q74" s="24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24"/>
      <c r="O75" s="24"/>
      <c r="P75" s="24"/>
      <c r="Q75" s="24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24"/>
      <c r="O76" s="24"/>
      <c r="P76" s="24"/>
      <c r="Q76" s="24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24"/>
      <c r="O77" s="24"/>
      <c r="P77" s="24"/>
      <c r="Q77" s="24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24"/>
      <c r="O78" s="24"/>
      <c r="P78" s="24"/>
      <c r="Q78" s="24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24"/>
      <c r="O79" s="24"/>
      <c r="P79" s="24"/>
      <c r="Q79" s="24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24"/>
      <c r="O80" s="24"/>
      <c r="P80" s="24"/>
      <c r="Q80" s="24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24"/>
      <c r="O81" s="24"/>
      <c r="P81" s="24"/>
      <c r="Q81" s="24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24"/>
      <c r="O82" s="24"/>
      <c r="P82" s="24"/>
      <c r="Q82" s="24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24"/>
      <c r="O83" s="24"/>
      <c r="P83" s="24"/>
      <c r="Q83" s="24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24"/>
      <c r="O84" s="24"/>
      <c r="P84" s="24"/>
      <c r="Q84" s="24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24"/>
      <c r="O85" s="24"/>
      <c r="P85" s="24"/>
      <c r="Q85" s="24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24"/>
      <c r="O86" s="24"/>
      <c r="P86" s="24"/>
      <c r="Q86" s="24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24"/>
      <c r="O87" s="24"/>
      <c r="P87" s="24"/>
      <c r="Q87" s="24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24"/>
      <c r="O88" s="24"/>
      <c r="P88" s="24"/>
      <c r="Q88" s="24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24"/>
      <c r="O89" s="24"/>
      <c r="P89" s="24"/>
      <c r="Q89" s="24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24"/>
      <c r="O90" s="24"/>
      <c r="P90" s="24"/>
      <c r="Q90" s="24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24"/>
      <c r="O91" s="24"/>
      <c r="P91" s="24"/>
      <c r="Q91" s="24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24"/>
      <c r="O92" s="24"/>
      <c r="P92" s="24"/>
      <c r="Q92" s="24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24"/>
      <c r="O93" s="24"/>
      <c r="P93" s="24"/>
      <c r="Q93" s="24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24"/>
      <c r="O94" s="24"/>
      <c r="P94" s="24"/>
      <c r="Q94" s="24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24"/>
      <c r="O95" s="24"/>
      <c r="P95" s="24"/>
      <c r="Q95" s="24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24"/>
      <c r="O96" s="24"/>
      <c r="P96" s="24"/>
      <c r="Q96" s="24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24"/>
      <c r="O97" s="24"/>
      <c r="P97" s="24"/>
      <c r="Q97" s="24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24"/>
      <c r="O98" s="24"/>
      <c r="P98" s="24"/>
      <c r="Q98" s="24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24"/>
      <c r="O99" s="24"/>
      <c r="P99" s="24"/>
      <c r="Q99" s="24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24"/>
      <c r="O100" s="24"/>
      <c r="P100" s="24"/>
      <c r="Q100" s="24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24"/>
      <c r="O101" s="24"/>
      <c r="P101" s="24"/>
      <c r="Q101" s="24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24"/>
      <c r="O102" s="24"/>
      <c r="P102" s="24"/>
      <c r="Q102" s="24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24"/>
      <c r="O103" s="24"/>
      <c r="P103" s="24"/>
      <c r="Q103" s="24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24"/>
      <c r="O104" s="24"/>
      <c r="P104" s="24"/>
      <c r="Q104" s="24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24"/>
      <c r="O105" s="24"/>
      <c r="P105" s="24"/>
      <c r="Q105" s="24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24"/>
      <c r="O106" s="24"/>
      <c r="P106" s="24"/>
      <c r="Q106" s="24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24"/>
      <c r="O107" s="24"/>
      <c r="P107" s="24"/>
      <c r="Q107" s="24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24"/>
      <c r="O108" s="24"/>
      <c r="P108" s="24"/>
      <c r="Q108" s="24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24"/>
      <c r="O109" s="24"/>
      <c r="P109" s="24"/>
      <c r="Q109" s="24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24"/>
      <c r="O110" s="24"/>
      <c r="P110" s="24"/>
      <c r="Q110" s="24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24"/>
      <c r="O111" s="24"/>
      <c r="P111" s="24"/>
      <c r="Q111" s="24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24"/>
      <c r="O112" s="24"/>
      <c r="P112" s="24"/>
      <c r="Q112" s="24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24"/>
      <c r="O113" s="24"/>
      <c r="P113" s="24"/>
      <c r="Q113" s="24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24"/>
      <c r="O114" s="24"/>
      <c r="P114" s="24"/>
      <c r="Q114" s="24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24"/>
      <c r="O115" s="24"/>
      <c r="P115" s="24"/>
      <c r="Q115" s="24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24"/>
      <c r="O116" s="24"/>
      <c r="P116" s="24"/>
      <c r="Q116" s="24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24"/>
      <c r="O117" s="24"/>
      <c r="P117" s="24"/>
      <c r="Q117" s="24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24"/>
      <c r="O118" s="24"/>
      <c r="P118" s="24"/>
      <c r="Q118" s="24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24"/>
      <c r="O119" s="24"/>
      <c r="P119" s="24"/>
      <c r="Q119" s="24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24"/>
      <c r="O120" s="24"/>
      <c r="P120" s="24"/>
      <c r="Q120" s="24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24"/>
      <c r="O121" s="24"/>
      <c r="P121" s="24"/>
      <c r="Q121" s="24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24"/>
      <c r="O122" s="24"/>
      <c r="P122" s="24"/>
      <c r="Q122" s="24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24"/>
      <c r="O123" s="24"/>
      <c r="P123" s="24"/>
      <c r="Q123" s="24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24"/>
      <c r="O124" s="24"/>
      <c r="P124" s="24"/>
      <c r="Q124" s="24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24"/>
      <c r="O125" s="24"/>
      <c r="P125" s="24"/>
      <c r="Q125" s="24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24"/>
      <c r="O126" s="24"/>
      <c r="P126" s="24"/>
      <c r="Q126" s="24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24"/>
      <c r="O127" s="24"/>
      <c r="P127" s="24"/>
      <c r="Q127" s="24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24"/>
      <c r="O128" s="24"/>
      <c r="P128" s="24"/>
      <c r="Q128" s="24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24"/>
      <c r="O129" s="24"/>
      <c r="P129" s="24"/>
      <c r="Q129" s="24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24"/>
      <c r="O130" s="24"/>
      <c r="P130" s="24"/>
      <c r="Q130" s="24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24"/>
      <c r="O131" s="24"/>
      <c r="P131" s="24"/>
      <c r="Q131" s="24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24"/>
      <c r="O132" s="24"/>
      <c r="P132" s="24"/>
      <c r="Q132" s="24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24"/>
      <c r="O133" s="24"/>
      <c r="P133" s="24"/>
      <c r="Q133" s="24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24"/>
      <c r="O134" s="24"/>
      <c r="P134" s="24"/>
      <c r="Q134" s="24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24"/>
      <c r="O135" s="24"/>
      <c r="P135" s="24"/>
      <c r="Q135" s="24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24"/>
      <c r="O136" s="24"/>
      <c r="P136" s="24"/>
      <c r="Q136" s="24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24"/>
      <c r="O137" s="24"/>
      <c r="P137" s="24"/>
      <c r="Q137" s="24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24"/>
      <c r="O138" s="24"/>
      <c r="P138" s="24"/>
      <c r="Q138" s="24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24"/>
      <c r="O139" s="24"/>
      <c r="P139" s="24"/>
      <c r="Q139" s="24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24"/>
      <c r="O140" s="24"/>
      <c r="P140" s="24"/>
      <c r="Q140" s="24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24"/>
      <c r="O141" s="24"/>
      <c r="P141" s="24"/>
      <c r="Q141" s="24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24"/>
      <c r="O142" s="24"/>
      <c r="P142" s="24"/>
      <c r="Q142" s="24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24"/>
      <c r="O143" s="24"/>
      <c r="P143" s="24"/>
      <c r="Q143" s="24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24"/>
      <c r="O144" s="24"/>
      <c r="P144" s="24"/>
      <c r="Q144" s="24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24"/>
      <c r="O145" s="24"/>
      <c r="P145" s="24"/>
      <c r="Q145" s="24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24"/>
      <c r="O146" s="24"/>
      <c r="P146" s="24"/>
      <c r="Q146" s="24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24"/>
      <c r="O147" s="24"/>
      <c r="P147" s="24"/>
      <c r="Q147" s="24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24"/>
      <c r="O148" s="24"/>
      <c r="P148" s="24"/>
      <c r="Q148" s="24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24"/>
      <c r="O149" s="24"/>
      <c r="P149" s="24"/>
      <c r="Q149" s="24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24"/>
      <c r="O150" s="24"/>
      <c r="P150" s="24"/>
      <c r="Q150" s="24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24"/>
      <c r="O151" s="24"/>
      <c r="P151" s="24"/>
      <c r="Q151" s="24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24"/>
      <c r="O152" s="24"/>
      <c r="P152" s="24"/>
      <c r="Q152" s="24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24"/>
      <c r="O153" s="24"/>
      <c r="P153" s="24"/>
      <c r="Q153" s="24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24"/>
      <c r="O154" s="24"/>
      <c r="P154" s="24"/>
      <c r="Q154" s="24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24"/>
      <c r="O155" s="24"/>
      <c r="P155" s="24"/>
      <c r="Q155" s="24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24"/>
      <c r="O156" s="24"/>
      <c r="P156" s="24"/>
      <c r="Q156" s="24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24"/>
      <c r="O157" s="24"/>
      <c r="P157" s="24"/>
      <c r="Q157" s="24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24"/>
      <c r="O158" s="24"/>
      <c r="P158" s="24"/>
      <c r="Q158" s="24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24"/>
      <c r="O159" s="24"/>
      <c r="P159" s="24"/>
      <c r="Q159" s="24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24"/>
      <c r="O160" s="24"/>
      <c r="P160" s="24"/>
      <c r="Q160" s="24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24"/>
      <c r="O161" s="24"/>
      <c r="P161" s="24"/>
      <c r="Q161" s="24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24"/>
      <c r="O162" s="24"/>
      <c r="P162" s="24"/>
      <c r="Q162" s="24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24"/>
      <c r="O163" s="24"/>
      <c r="P163" s="24"/>
      <c r="Q163" s="24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24"/>
      <c r="O164" s="24"/>
      <c r="P164" s="24"/>
      <c r="Q164" s="24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24"/>
      <c r="O165" s="24"/>
      <c r="P165" s="24"/>
      <c r="Q165" s="24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24"/>
      <c r="O166" s="24"/>
      <c r="P166" s="24"/>
      <c r="Q166" s="24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24"/>
      <c r="O167" s="24"/>
      <c r="P167" s="24"/>
      <c r="Q167" s="24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24"/>
      <c r="O168" s="24"/>
      <c r="P168" s="24"/>
      <c r="Q168" s="24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24"/>
      <c r="O169" s="24"/>
      <c r="P169" s="24"/>
      <c r="Q169" s="24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24"/>
      <c r="O170" s="24"/>
      <c r="P170" s="24"/>
      <c r="Q170" s="24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24"/>
      <c r="O171" s="24"/>
      <c r="P171" s="24"/>
      <c r="Q171" s="24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24"/>
      <c r="O172" s="24"/>
      <c r="P172" s="24"/>
      <c r="Q172" s="24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24"/>
      <c r="O173" s="24"/>
      <c r="P173" s="24"/>
      <c r="Q173" s="24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24"/>
      <c r="O174" s="24"/>
      <c r="P174" s="24"/>
      <c r="Q174" s="24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24"/>
      <c r="O175" s="24"/>
      <c r="P175" s="24"/>
      <c r="Q175" s="24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24"/>
      <c r="O176" s="24"/>
      <c r="P176" s="24"/>
      <c r="Q176" s="24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24"/>
      <c r="O177" s="24"/>
      <c r="P177" s="24"/>
      <c r="Q177" s="24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24"/>
      <c r="O178" s="24"/>
      <c r="P178" s="24"/>
      <c r="Q178" s="24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24"/>
      <c r="O179" s="24"/>
      <c r="P179" s="24"/>
      <c r="Q179" s="24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24"/>
      <c r="O180" s="24"/>
      <c r="P180" s="24"/>
      <c r="Q180" s="24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24"/>
      <c r="O181" s="24"/>
      <c r="P181" s="24"/>
      <c r="Q181" s="24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24"/>
      <c r="O182" s="24"/>
      <c r="P182" s="24"/>
      <c r="Q182" s="24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24"/>
      <c r="O183" s="24"/>
      <c r="P183" s="24"/>
      <c r="Q183" s="24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24"/>
      <c r="O184" s="24"/>
      <c r="P184" s="24"/>
      <c r="Q184" s="24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24"/>
      <c r="O185" s="24"/>
      <c r="P185" s="24"/>
      <c r="Q185" s="24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24"/>
      <c r="O186" s="24"/>
      <c r="P186" s="24"/>
      <c r="Q186" s="24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24"/>
      <c r="O187" s="24"/>
      <c r="P187" s="24"/>
      <c r="Q187" s="24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24"/>
      <c r="O188" s="24"/>
      <c r="P188" s="24"/>
      <c r="Q188" s="24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24"/>
      <c r="O189" s="24"/>
      <c r="P189" s="24"/>
      <c r="Q189" s="24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24"/>
      <c r="O190" s="24"/>
      <c r="P190" s="24"/>
      <c r="Q190" s="24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24"/>
      <c r="O191" s="24"/>
      <c r="P191" s="24"/>
      <c r="Q191" s="24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24"/>
      <c r="O192" s="24"/>
      <c r="P192" s="24"/>
      <c r="Q192" s="24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24"/>
      <c r="O193" s="24"/>
      <c r="P193" s="24"/>
      <c r="Q193" s="24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24"/>
      <c r="O194" s="24"/>
      <c r="P194" s="24"/>
      <c r="Q194" s="24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24"/>
      <c r="O195" s="24"/>
      <c r="P195" s="24"/>
      <c r="Q195" s="24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24"/>
      <c r="O196" s="24"/>
      <c r="P196" s="24"/>
      <c r="Q196" s="24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24"/>
      <c r="O197" s="24"/>
      <c r="P197" s="24"/>
      <c r="Q197" s="24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24"/>
      <c r="O198" s="24"/>
      <c r="P198" s="24"/>
      <c r="Q198" s="24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24"/>
      <c r="O199" s="24"/>
      <c r="P199" s="24"/>
      <c r="Q199" s="24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24"/>
      <c r="O200" s="24"/>
      <c r="P200" s="24"/>
      <c r="Q200" s="24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24"/>
      <c r="O201" s="24"/>
      <c r="P201" s="24"/>
      <c r="Q201" s="24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24"/>
      <c r="O202" s="24"/>
      <c r="P202" s="24"/>
      <c r="Q202" s="24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24"/>
      <c r="O203" s="24"/>
      <c r="P203" s="24"/>
      <c r="Q203" s="24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24"/>
      <c r="O204" s="24"/>
      <c r="P204" s="24"/>
      <c r="Q204" s="24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24"/>
      <c r="O205" s="24"/>
      <c r="P205" s="24"/>
      <c r="Q205" s="24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24"/>
      <c r="O206" s="24"/>
      <c r="P206" s="24"/>
      <c r="Q206" s="24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24"/>
      <c r="O207" s="24"/>
      <c r="P207" s="24"/>
      <c r="Q207" s="24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24"/>
      <c r="O208" s="24"/>
      <c r="P208" s="24"/>
      <c r="Q208" s="24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24"/>
      <c r="O209" s="24"/>
      <c r="P209" s="24"/>
      <c r="Q209" s="24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24"/>
      <c r="O210" s="24"/>
      <c r="P210" s="24"/>
      <c r="Q210" s="24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24"/>
      <c r="O211" s="24"/>
      <c r="P211" s="24"/>
      <c r="Q211" s="24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24"/>
      <c r="O212" s="24"/>
      <c r="P212" s="24"/>
      <c r="Q212" s="24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24"/>
      <c r="O213" s="24"/>
      <c r="P213" s="24"/>
      <c r="Q213" s="24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24"/>
      <c r="O214" s="24"/>
      <c r="P214" s="24"/>
      <c r="Q214" s="24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24"/>
      <c r="O215" s="24"/>
      <c r="P215" s="24"/>
      <c r="Q215" s="24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24"/>
      <c r="O216" s="24"/>
      <c r="P216" s="24"/>
      <c r="Q216" s="24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24"/>
      <c r="O217" s="24"/>
      <c r="P217" s="24"/>
      <c r="Q217" s="24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24"/>
      <c r="O218" s="24"/>
      <c r="P218" s="24"/>
      <c r="Q218" s="24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24"/>
      <c r="O219" s="24"/>
      <c r="P219" s="24"/>
      <c r="Q219" s="24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24"/>
      <c r="O220" s="24"/>
      <c r="P220" s="24"/>
      <c r="Q220" s="24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</sheetData>
  <mergeCells count="2">
    <mergeCell ref="A1:Q1"/>
    <mergeCell ref="A2:Q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U300"/>
  <sheetViews>
    <sheetView showGridLines="0" workbookViewId="0"/>
  </sheetViews>
  <sheetFormatPr defaultRowHeight="13.8"/>
  <cols>
    <col min="1" max="1" width="43" customWidth="1"/>
    <col min="2" max="2" width="12" customWidth="1"/>
    <col min="3" max="5" width="16" customWidth="1"/>
    <col min="6" max="6" width="12" customWidth="1"/>
  </cols>
  <sheetData>
    <row r="1" spans="1:47" ht="25.95" customHeight="1">
      <c r="A1" s="44" t="s">
        <v>3449</v>
      </c>
      <c r="B1" s="44"/>
      <c r="C1" s="44"/>
      <c r="D1" s="44"/>
      <c r="E1" s="44"/>
      <c r="F1" s="44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18" customHeight="1">
      <c r="A2" s="45" t="s">
        <v>3450</v>
      </c>
      <c r="B2" s="45"/>
      <c r="C2" s="45"/>
      <c r="D2" s="45"/>
      <c r="E2" s="45"/>
      <c r="F2" s="45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</row>
    <row r="3" spans="1:47" ht="14.4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</row>
    <row r="4" spans="1:47" ht="14.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47" ht="19.95" customHeight="1">
      <c r="A5" s="4" t="s">
        <v>3451</v>
      </c>
      <c r="B5" s="4" t="s">
        <v>78</v>
      </c>
      <c r="C5" s="4" t="s">
        <v>129</v>
      </c>
      <c r="D5" s="4" t="s">
        <v>3452</v>
      </c>
      <c r="E5" s="4" t="s">
        <v>3453</v>
      </c>
      <c r="F5" s="4" t="s">
        <v>3454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</row>
    <row r="6" spans="1:47" ht="14.4">
      <c r="A6" s="9" t="s">
        <v>3455</v>
      </c>
      <c r="B6" s="42" t="str">
        <f>IF(COUNTIF(B7:B115,"FAIL")=0,"OK","REVIEW")</f>
        <v>OK</v>
      </c>
      <c r="C6" s="9"/>
      <c r="D6" s="9"/>
      <c r="E6" s="9"/>
      <c r="F6" s="9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</row>
    <row r="7" spans="1:47" ht="14.4">
      <c r="A7" s="1" t="s">
        <v>3456</v>
      </c>
      <c r="B7" s="1" t="str">
        <f t="shared" ref="B7:B38" si="0">IF(ABS(E7)&lt;=F7,"OK","FAIL")</f>
        <v>OK</v>
      </c>
      <c r="C7" s="17">
        <f>'Annual Balance Sheet'!C58</f>
        <v>72492.100000000006</v>
      </c>
      <c r="D7" s="17">
        <f>'Annual Balance Sheet'!C29</f>
        <v>72492.100000000006</v>
      </c>
      <c r="E7" s="17">
        <f t="shared" ref="E7:E38" si="1">C7-D7</f>
        <v>0</v>
      </c>
      <c r="F7" s="1">
        <v>0.5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</row>
    <row r="8" spans="1:47" ht="14.4">
      <c r="A8" s="1" t="s">
        <v>3457</v>
      </c>
      <c r="B8" s="1" t="str">
        <f t="shared" si="0"/>
        <v>OK</v>
      </c>
      <c r="C8" s="17">
        <f>'Annual Cash Flow'!C56</f>
        <v>9904.9</v>
      </c>
      <c r="D8" s="17">
        <f>'Annual Cash Flow'!C57</f>
        <v>9904.9</v>
      </c>
      <c r="E8" s="17">
        <f t="shared" si="1"/>
        <v>0</v>
      </c>
      <c r="F8" s="1">
        <v>0.5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</row>
    <row r="9" spans="1:47" ht="14.4">
      <c r="A9" s="1" t="s">
        <v>3458</v>
      </c>
      <c r="B9" s="1" t="str">
        <f t="shared" si="0"/>
        <v>OK</v>
      </c>
      <c r="C9" s="17">
        <f>'Annual Balance Sheet'!D58</f>
        <v>79351.600000000006</v>
      </c>
      <c r="D9" s="17">
        <f>'Annual Balance Sheet'!D29</f>
        <v>79351.600000000006</v>
      </c>
      <c r="E9" s="17">
        <f t="shared" si="1"/>
        <v>0</v>
      </c>
      <c r="F9" s="1">
        <v>0.5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</row>
    <row r="10" spans="1:47" ht="14.4">
      <c r="A10" s="1" t="s">
        <v>3459</v>
      </c>
      <c r="B10" s="1" t="str">
        <f t="shared" si="0"/>
        <v>OK</v>
      </c>
      <c r="C10" s="17">
        <f>'Annual Cash Flow'!D56</f>
        <v>5271</v>
      </c>
      <c r="D10" s="17">
        <f>'Annual Cash Flow'!D57</f>
        <v>5271</v>
      </c>
      <c r="E10" s="17">
        <f t="shared" si="1"/>
        <v>0</v>
      </c>
      <c r="F10" s="1">
        <v>0.5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4.4">
      <c r="A11" s="1" t="s">
        <v>3460</v>
      </c>
      <c r="B11" s="1" t="str">
        <f t="shared" si="0"/>
        <v>OK</v>
      </c>
      <c r="C11" s="17">
        <f>'Annual Balance Sheet'!E58</f>
        <v>76064</v>
      </c>
      <c r="D11" s="17">
        <f>'Annual Balance Sheet'!E29</f>
        <v>76064</v>
      </c>
      <c r="E11" s="17">
        <f t="shared" si="1"/>
        <v>0</v>
      </c>
      <c r="F11" s="1">
        <v>0.5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</row>
    <row r="12" spans="1:47" ht="14.4">
      <c r="A12" s="1" t="s">
        <v>3461</v>
      </c>
      <c r="B12" s="1" t="str">
        <f t="shared" si="0"/>
        <v>OK</v>
      </c>
      <c r="C12" s="17">
        <f>'Annual Cash Flow'!E56</f>
        <v>4492.5</v>
      </c>
      <c r="D12" s="17">
        <f>'Annual Cash Flow'!E57</f>
        <v>4492.5</v>
      </c>
      <c r="E12" s="17">
        <f t="shared" si="1"/>
        <v>0</v>
      </c>
      <c r="F12" s="1">
        <v>0.5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</row>
    <row r="13" spans="1:47" ht="14.4">
      <c r="A13" s="1" t="s">
        <v>3462</v>
      </c>
      <c r="B13" s="1" t="str">
        <f t="shared" si="0"/>
        <v>OK</v>
      </c>
      <c r="C13" s="17">
        <f>'Annual Balance Sheet'!F58</f>
        <v>83317.100000000006</v>
      </c>
      <c r="D13" s="17">
        <f>'Annual Balance Sheet'!F29</f>
        <v>83317.100000000006</v>
      </c>
      <c r="E13" s="17">
        <f t="shared" si="1"/>
        <v>0</v>
      </c>
      <c r="F13" s="1">
        <v>0.5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</row>
    <row r="14" spans="1:47" ht="14.4">
      <c r="A14" s="1" t="s">
        <v>3463</v>
      </c>
      <c r="B14" s="1" t="str">
        <f t="shared" si="0"/>
        <v>OK</v>
      </c>
      <c r="C14" s="17">
        <f>'Annual Cash Flow'!F56</f>
        <v>15852.9</v>
      </c>
      <c r="D14" s="17">
        <f>'Annual Cash Flow'!F57</f>
        <v>15852.9</v>
      </c>
      <c r="E14" s="17">
        <f t="shared" si="1"/>
        <v>0</v>
      </c>
      <c r="F14" s="1">
        <v>0.5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</row>
    <row r="15" spans="1:47" ht="14.4">
      <c r="A15" s="1" t="s">
        <v>3464</v>
      </c>
      <c r="B15" s="1" t="str">
        <f t="shared" si="0"/>
        <v>OK</v>
      </c>
      <c r="C15" s="17">
        <f>'Annual Balance Sheet'!G58</f>
        <v>81706.200000000012</v>
      </c>
      <c r="D15" s="17">
        <f>'Annual Balance Sheet'!G29</f>
        <v>81706.2</v>
      </c>
      <c r="E15" s="17">
        <f t="shared" si="1"/>
        <v>0</v>
      </c>
      <c r="F15" s="1">
        <v>0.5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</row>
    <row r="16" spans="1:47" ht="14.4">
      <c r="A16" s="1" t="s">
        <v>3465</v>
      </c>
      <c r="B16" s="1" t="str">
        <f t="shared" si="0"/>
        <v>OK</v>
      </c>
      <c r="C16" s="17">
        <f>'Annual Cash Flow'!G56</f>
        <v>14449.9</v>
      </c>
      <c r="D16" s="17">
        <f>'Annual Cash Flow'!G57</f>
        <v>14449.9</v>
      </c>
      <c r="E16" s="17">
        <f t="shared" si="1"/>
        <v>0</v>
      </c>
      <c r="F16" s="1">
        <v>0.5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</row>
    <row r="17" spans="1:47" ht="14.4">
      <c r="A17" s="1" t="s">
        <v>3466</v>
      </c>
      <c r="B17" s="1" t="str">
        <f t="shared" si="0"/>
        <v>OK</v>
      </c>
      <c r="C17" s="17">
        <f>'Annual Balance Sheet'!H58</f>
        <v>83143.399999999994</v>
      </c>
      <c r="D17" s="17">
        <f>'Annual Balance Sheet'!H29</f>
        <v>83143.399999999994</v>
      </c>
      <c r="E17" s="17">
        <f t="shared" si="1"/>
        <v>0</v>
      </c>
      <c r="F17" s="1">
        <v>0.5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</row>
    <row r="18" spans="1:47" ht="14.4">
      <c r="A18" s="1" t="s">
        <v>3467</v>
      </c>
      <c r="B18" s="1" t="str">
        <f t="shared" si="0"/>
        <v>OK</v>
      </c>
      <c r="C18" s="17">
        <f>'Annual Cash Flow'!H56</f>
        <v>16979.3</v>
      </c>
      <c r="D18" s="17">
        <f>'Annual Cash Flow'!H57</f>
        <v>16979.3</v>
      </c>
      <c r="E18" s="17">
        <f t="shared" si="1"/>
        <v>0</v>
      </c>
      <c r="F18" s="1">
        <v>0.5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</row>
    <row r="19" spans="1:47" ht="14.4">
      <c r="A19" s="1" t="s">
        <v>3468</v>
      </c>
      <c r="B19" s="1" t="str">
        <f t="shared" si="0"/>
        <v>OK</v>
      </c>
      <c r="C19" s="17">
        <f>'Annual Balance Sheet'!I58</f>
        <v>107918.20000000001</v>
      </c>
      <c r="D19" s="17">
        <f>'Annual Balance Sheet'!I29</f>
        <v>107918.2</v>
      </c>
      <c r="E19" s="17">
        <f t="shared" si="1"/>
        <v>0</v>
      </c>
      <c r="F19" s="1">
        <v>0.5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</row>
    <row r="20" spans="1:47" ht="14.4">
      <c r="A20" s="1" t="s">
        <v>3469</v>
      </c>
      <c r="B20" s="1" t="str">
        <f t="shared" si="0"/>
        <v>OK</v>
      </c>
      <c r="C20" s="17">
        <f>'Annual Cash Flow'!I56</f>
        <v>10383.6</v>
      </c>
      <c r="D20" s="17">
        <f>'Annual Cash Flow'!I57</f>
        <v>10383.6</v>
      </c>
      <c r="E20" s="17">
        <f t="shared" si="1"/>
        <v>0</v>
      </c>
      <c r="F20" s="1">
        <v>0.5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</row>
    <row r="21" spans="1:47" ht="14.4">
      <c r="A21" s="1" t="s">
        <v>3470</v>
      </c>
      <c r="B21" s="1" t="str">
        <f t="shared" si="0"/>
        <v>OK</v>
      </c>
      <c r="C21" s="17">
        <f>'Annual Balance Sheet'!J58</f>
        <v>117582.20000000001</v>
      </c>
      <c r="D21" s="17">
        <f>'Annual Balance Sheet'!J29</f>
        <v>117582.2</v>
      </c>
      <c r="E21" s="17">
        <f t="shared" si="1"/>
        <v>0</v>
      </c>
      <c r="F21" s="1">
        <v>0.5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</row>
    <row r="22" spans="1:47" ht="14.4">
      <c r="A22" s="1" t="s">
        <v>3471</v>
      </c>
      <c r="B22" s="1" t="str">
        <f t="shared" si="0"/>
        <v>OK</v>
      </c>
      <c r="C22" s="17">
        <f>'Annual Cash Flow'!J56</f>
        <v>9188</v>
      </c>
      <c r="D22" s="17">
        <f>'Annual Cash Flow'!J57</f>
        <v>9188</v>
      </c>
      <c r="E22" s="17">
        <f t="shared" si="1"/>
        <v>0</v>
      </c>
      <c r="F22" s="1">
        <v>0.5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</row>
    <row r="23" spans="1:47" ht="14.4">
      <c r="A23" s="1" t="s">
        <v>3472</v>
      </c>
      <c r="B23" s="1" t="str">
        <f t="shared" si="0"/>
        <v>OK</v>
      </c>
      <c r="C23" s="17">
        <f>'Annual Balance Sheet'!K58</f>
        <v>115245.9</v>
      </c>
      <c r="D23" s="17">
        <f>'Annual Balance Sheet'!K29</f>
        <v>115245.9</v>
      </c>
      <c r="E23" s="17">
        <f t="shared" si="1"/>
        <v>0</v>
      </c>
      <c r="F23" s="1">
        <v>0.5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</row>
    <row r="24" spans="1:47" ht="14.4">
      <c r="A24" s="1" t="s">
        <v>3473</v>
      </c>
      <c r="B24" s="1" t="str">
        <f t="shared" si="0"/>
        <v>OK</v>
      </c>
      <c r="C24" s="17">
        <f>'Annual Cash Flow'!K56</f>
        <v>9695.2999999999993</v>
      </c>
      <c r="D24" s="17">
        <f>'Annual Cash Flow'!K57</f>
        <v>9695.2999999999993</v>
      </c>
      <c r="E24" s="17">
        <f t="shared" si="1"/>
        <v>0</v>
      </c>
      <c r="F24" s="1">
        <v>0.5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</row>
    <row r="25" spans="1:47" ht="14.4">
      <c r="A25" s="1" t="s">
        <v>3474</v>
      </c>
      <c r="B25" s="1" t="str">
        <f t="shared" si="0"/>
        <v>OK</v>
      </c>
      <c r="C25" s="17">
        <f>'Annual Balance Sheet'!L58</f>
        <v>128652</v>
      </c>
      <c r="D25" s="17">
        <f>'Annual Balance Sheet'!L29</f>
        <v>128652</v>
      </c>
      <c r="E25" s="17">
        <f t="shared" si="1"/>
        <v>0</v>
      </c>
      <c r="F25" s="1">
        <v>0.5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</row>
    <row r="26" spans="1:47" ht="14.4">
      <c r="A26" s="1" t="s">
        <v>3475</v>
      </c>
      <c r="B26" s="1" t="str">
        <f t="shared" si="0"/>
        <v>OK</v>
      </c>
      <c r="C26" s="17">
        <f>'Annual Cash Flow'!L56</f>
        <v>12197.4</v>
      </c>
      <c r="D26" s="17">
        <f>'Annual Cash Flow'!L57</f>
        <v>12197.4</v>
      </c>
      <c r="E26" s="17">
        <f t="shared" si="1"/>
        <v>0</v>
      </c>
      <c r="F26" s="1">
        <v>0.5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</row>
    <row r="27" spans="1:47" ht="14.4">
      <c r="A27" s="1" t="s">
        <v>3476</v>
      </c>
      <c r="B27" s="1" t="str">
        <f t="shared" si="0"/>
        <v>OK</v>
      </c>
      <c r="C27" s="17">
        <f>'Annual Balance Sheet'!M58</f>
        <v>141926.20000000001</v>
      </c>
      <c r="D27" s="17">
        <f>'Annual Balance Sheet'!M29</f>
        <v>141926.20000000001</v>
      </c>
      <c r="E27" s="17">
        <f t="shared" si="1"/>
        <v>0</v>
      </c>
      <c r="F27" s="1">
        <v>0.5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</row>
    <row r="28" spans="1:47" ht="14.4">
      <c r="A28" s="1" t="s">
        <v>3477</v>
      </c>
      <c r="B28" s="1" t="str">
        <f t="shared" si="0"/>
        <v>OK</v>
      </c>
      <c r="C28" s="17">
        <f>'Annual Cash Flow'!M56</f>
        <v>10555.5</v>
      </c>
      <c r="D28" s="17">
        <f>'Annual Cash Flow'!M57</f>
        <v>10555.5</v>
      </c>
      <c r="E28" s="17">
        <f t="shared" si="1"/>
        <v>0</v>
      </c>
      <c r="F28" s="1">
        <v>0.5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</row>
    <row r="29" spans="1:47" ht="14.4">
      <c r="A29" s="1" t="s">
        <v>3478</v>
      </c>
      <c r="B29" s="1" t="str">
        <f t="shared" si="0"/>
        <v>OK</v>
      </c>
      <c r="C29" s="17">
        <f>'Annual Balance Sheet'!N58</f>
        <v>137505.52794819238</v>
      </c>
      <c r="D29" s="17">
        <f>'Annual Balance Sheet'!N29</f>
        <v>137505.52794819238</v>
      </c>
      <c r="E29" s="17">
        <f t="shared" si="1"/>
        <v>0</v>
      </c>
      <c r="F29" s="1">
        <v>0.5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</row>
    <row r="30" spans="1:47" ht="14.4">
      <c r="A30" s="1" t="s">
        <v>3479</v>
      </c>
      <c r="B30" s="1" t="str">
        <f t="shared" si="0"/>
        <v>OK</v>
      </c>
      <c r="C30" s="17">
        <f>'Annual Cash Flow'!N56</f>
        <v>5964.9826447254782</v>
      </c>
      <c r="D30" s="17">
        <f>'Annual Cash Flow'!N57</f>
        <v>5964.9826447254745</v>
      </c>
      <c r="E30" s="17">
        <f t="shared" si="1"/>
        <v>0</v>
      </c>
      <c r="F30" s="1">
        <v>0.5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</row>
    <row r="31" spans="1:47" ht="14.4">
      <c r="A31" s="1" t="s">
        <v>3480</v>
      </c>
      <c r="B31" s="1" t="str">
        <f t="shared" si="0"/>
        <v>OK</v>
      </c>
      <c r="C31" s="17">
        <f>'Annual Balance Sheet'!O58</f>
        <v>143539.59114421986</v>
      </c>
      <c r="D31" s="17">
        <f>'Annual Balance Sheet'!O29</f>
        <v>143539.59114421983</v>
      </c>
      <c r="E31" s="17">
        <f t="shared" si="1"/>
        <v>0</v>
      </c>
      <c r="F31" s="1">
        <v>0.5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</row>
    <row r="32" spans="1:47" ht="14.4">
      <c r="A32" s="1" t="s">
        <v>3481</v>
      </c>
      <c r="B32" s="1" t="str">
        <f t="shared" si="0"/>
        <v>OK</v>
      </c>
      <c r="C32" s="17">
        <f>'Annual Cash Flow'!O56</f>
        <v>10405.149431872267</v>
      </c>
      <c r="D32" s="17">
        <f>'Annual Cash Flow'!O57</f>
        <v>10405.149431872267</v>
      </c>
      <c r="E32" s="17">
        <f t="shared" si="1"/>
        <v>0</v>
      </c>
      <c r="F32" s="1">
        <v>0.5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  <row r="33" spans="1:47" ht="14.4">
      <c r="A33" s="1" t="s">
        <v>3482</v>
      </c>
      <c r="B33" s="1" t="str">
        <f t="shared" si="0"/>
        <v>OK</v>
      </c>
      <c r="C33" s="17">
        <f>'Annual Balance Sheet'!P58</f>
        <v>151007.95704228984</v>
      </c>
      <c r="D33" s="17">
        <f>'Annual Balance Sheet'!P29</f>
        <v>151007.95704228984</v>
      </c>
      <c r="E33" s="17">
        <f t="shared" si="1"/>
        <v>0</v>
      </c>
      <c r="F33" s="1">
        <v>0.5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</row>
    <row r="34" spans="1:47" ht="14.4">
      <c r="A34" s="1" t="s">
        <v>3483</v>
      </c>
      <c r="B34" s="1" t="str">
        <f t="shared" si="0"/>
        <v>OK</v>
      </c>
      <c r="C34" s="17">
        <f>'Annual Cash Flow'!P56</f>
        <v>15047.59956757484</v>
      </c>
      <c r="D34" s="17">
        <f>'Annual Cash Flow'!P57</f>
        <v>15047.599567574838</v>
      </c>
      <c r="E34" s="17">
        <f t="shared" si="1"/>
        <v>0</v>
      </c>
      <c r="F34" s="1">
        <v>0.5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</row>
    <row r="35" spans="1:47" ht="14.4">
      <c r="A35" s="1" t="s">
        <v>3484</v>
      </c>
      <c r="B35" s="1" t="str">
        <f t="shared" si="0"/>
        <v>OK</v>
      </c>
      <c r="C35" s="17">
        <f>'Annual Balance Sheet'!Q58</f>
        <v>159392.42703305642</v>
      </c>
      <c r="D35" s="17">
        <f>'Annual Balance Sheet'!Q29</f>
        <v>159392.42703305639</v>
      </c>
      <c r="E35" s="17">
        <f t="shared" si="1"/>
        <v>0</v>
      </c>
      <c r="F35" s="1">
        <v>0.5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</row>
    <row r="36" spans="1:47" ht="14.4">
      <c r="A36" s="1" t="s">
        <v>3485</v>
      </c>
      <c r="B36" s="1" t="str">
        <f t="shared" si="0"/>
        <v>OK</v>
      </c>
      <c r="C36" s="17">
        <f>'Annual Cash Flow'!Q56</f>
        <v>19893.038441714169</v>
      </c>
      <c r="D36" s="17">
        <f>'Annual Cash Flow'!Q57</f>
        <v>19893.038441714161</v>
      </c>
      <c r="E36" s="17">
        <f t="shared" si="1"/>
        <v>0</v>
      </c>
      <c r="F36" s="1">
        <v>0.5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</row>
    <row r="37" spans="1:47" ht="14.4">
      <c r="A37" s="1" t="s">
        <v>3486</v>
      </c>
      <c r="B37" s="1" t="str">
        <f t="shared" si="0"/>
        <v>OK</v>
      </c>
      <c r="C37" s="17">
        <f>SUM('Quarterly P&amp;L'!C6:F6)</f>
        <v>51244</v>
      </c>
      <c r="D37" s="17">
        <f>'Annual P&amp;L'!C7</f>
        <v>51244</v>
      </c>
      <c r="E37" s="17">
        <f t="shared" si="1"/>
        <v>0</v>
      </c>
      <c r="F37" s="1">
        <v>0.2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</row>
    <row r="38" spans="1:47" ht="14.4">
      <c r="A38" s="1" t="s">
        <v>3487</v>
      </c>
      <c r="B38" s="1" t="str">
        <f t="shared" si="0"/>
        <v>OK</v>
      </c>
      <c r="C38" s="17">
        <f>SUM('Quarterly P&amp;L'!C18:F18)</f>
        <v>9686</v>
      </c>
      <c r="D38" s="17">
        <f>'Annual P&amp;L'!C18</f>
        <v>9686</v>
      </c>
      <c r="E38" s="17">
        <f t="shared" si="1"/>
        <v>0</v>
      </c>
      <c r="F38" s="1">
        <v>0.2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</row>
    <row r="39" spans="1:47" ht="14.4">
      <c r="A39" s="1" t="s">
        <v>3488</v>
      </c>
      <c r="B39" s="1" t="str">
        <f t="shared" ref="B39:B70" si="2">IF(ABS(E39)&lt;=F39,"OK","FAIL")</f>
        <v>OK</v>
      </c>
      <c r="C39" s="17">
        <f>SUM('Quarterly P&amp;L'!C29:F29)</f>
        <v>8907.5</v>
      </c>
      <c r="D39" s="17">
        <f>'Annual P&amp;L'!C29</f>
        <v>8907.5</v>
      </c>
      <c r="E39" s="17">
        <f t="shared" ref="E39:E70" si="3">C39-D39</f>
        <v>0</v>
      </c>
      <c r="F39" s="1">
        <v>0.2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  <row r="40" spans="1:47" ht="14.4">
      <c r="A40" s="1" t="s">
        <v>3489</v>
      </c>
      <c r="B40" s="1" t="str">
        <f t="shared" si="2"/>
        <v>OK</v>
      </c>
      <c r="C40" s="17">
        <f>SUM('Quarterly P&amp;L'!G6:J6)</f>
        <v>55040.2</v>
      </c>
      <c r="D40" s="17">
        <f>'Annual P&amp;L'!D7</f>
        <v>55040.2</v>
      </c>
      <c r="E40" s="17">
        <f t="shared" si="3"/>
        <v>0</v>
      </c>
      <c r="F40" s="1">
        <v>0.2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</row>
    <row r="41" spans="1:47" ht="14.4">
      <c r="A41" s="1" t="s">
        <v>3490</v>
      </c>
      <c r="B41" s="1" t="str">
        <f t="shared" si="2"/>
        <v>OK</v>
      </c>
      <c r="C41" s="17">
        <f>SUM('Quarterly P&amp;L'!G18:J18)</f>
        <v>9387.8999999999978</v>
      </c>
      <c r="D41" s="17">
        <f>'Annual P&amp;L'!D18</f>
        <v>9387.9</v>
      </c>
      <c r="E41" s="17">
        <f t="shared" si="3"/>
        <v>0</v>
      </c>
      <c r="F41" s="1">
        <v>0.2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</row>
    <row r="42" spans="1:47" ht="14.4">
      <c r="A42" s="1" t="s">
        <v>3491</v>
      </c>
      <c r="B42" s="1" t="str">
        <f t="shared" si="2"/>
        <v>OK</v>
      </c>
      <c r="C42" s="17">
        <f>SUM('Quarterly P&amp;L'!G29:J29)</f>
        <v>8489.5</v>
      </c>
      <c r="D42" s="17">
        <f>'Annual P&amp;L'!D29</f>
        <v>8489.5</v>
      </c>
      <c r="E42" s="17">
        <f t="shared" si="3"/>
        <v>0</v>
      </c>
      <c r="F42" s="1">
        <v>0.2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</row>
    <row r="43" spans="1:47" ht="14.4">
      <c r="A43" s="1" t="s">
        <v>3492</v>
      </c>
      <c r="B43" s="1" t="str">
        <f t="shared" si="2"/>
        <v>OK</v>
      </c>
      <c r="C43" s="17">
        <f>SUM('Quarterly P&amp;L'!K6:N6)</f>
        <v>54487.1</v>
      </c>
      <c r="D43" s="17">
        <f>'Annual P&amp;L'!E7</f>
        <v>54487.1</v>
      </c>
      <c r="E43" s="17">
        <f t="shared" si="3"/>
        <v>0</v>
      </c>
      <c r="F43" s="1">
        <v>0.2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</row>
    <row r="44" spans="1:47" ht="14.4">
      <c r="A44" s="1" t="s">
        <v>3493</v>
      </c>
      <c r="B44" s="1" t="str">
        <f t="shared" si="2"/>
        <v>OK</v>
      </c>
      <c r="C44" s="17">
        <f>SUM('Quarterly P&amp;L'!K18:N18)</f>
        <v>8429.4</v>
      </c>
      <c r="D44" s="17">
        <f>'Annual P&amp;L'!E18</f>
        <v>8429.4</v>
      </c>
      <c r="E44" s="17">
        <f t="shared" si="3"/>
        <v>0</v>
      </c>
      <c r="F44" s="1">
        <v>0.2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</row>
    <row r="45" spans="1:47" ht="14.4">
      <c r="A45" s="1" t="s">
        <v>3494</v>
      </c>
      <c r="B45" s="1" t="str">
        <f t="shared" si="2"/>
        <v>OK</v>
      </c>
      <c r="C45" s="17">
        <f>SUM('Quarterly P&amp;L'!K29:N29)</f>
        <v>8008.1</v>
      </c>
      <c r="D45" s="17">
        <f>'Annual P&amp;L'!E29</f>
        <v>8008.1</v>
      </c>
      <c r="E45" s="17">
        <f t="shared" si="3"/>
        <v>0</v>
      </c>
      <c r="F45" s="1">
        <v>0.2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</row>
    <row r="46" spans="1:47" ht="14.4">
      <c r="A46" s="1" t="s">
        <v>3495</v>
      </c>
      <c r="B46" s="1" t="str">
        <f t="shared" si="2"/>
        <v>OK</v>
      </c>
      <c r="C46" s="17">
        <f>SUM('Quarterly P&amp;L'!O6:R6)</f>
        <v>58584.5</v>
      </c>
      <c r="D46" s="17">
        <f>'Annual P&amp;L'!F7</f>
        <v>58584.5</v>
      </c>
      <c r="E46" s="17">
        <f t="shared" si="3"/>
        <v>0</v>
      </c>
      <c r="F46" s="1">
        <v>0.2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</row>
    <row r="47" spans="1:47" ht="14.4">
      <c r="A47" s="1" t="s">
        <v>3496</v>
      </c>
      <c r="B47" s="1" t="str">
        <f t="shared" si="2"/>
        <v>OK</v>
      </c>
      <c r="C47" s="17">
        <f>SUM('Quarterly P&amp;L'!O18:R18)</f>
        <v>9991</v>
      </c>
      <c r="D47" s="17">
        <f>'Annual P&amp;L'!F18</f>
        <v>9991</v>
      </c>
      <c r="E47" s="17">
        <f t="shared" si="3"/>
        <v>0</v>
      </c>
      <c r="F47" s="1">
        <v>0.2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</row>
    <row r="48" spans="1:47" ht="14.4">
      <c r="A48" s="1" t="s">
        <v>3497</v>
      </c>
      <c r="B48" s="1" t="str">
        <f t="shared" si="2"/>
        <v>OK</v>
      </c>
      <c r="C48" s="17">
        <f>SUM('Quarterly P&amp;L'!O29:R29)</f>
        <v>9003.1</v>
      </c>
      <c r="D48" s="17">
        <f>'Annual P&amp;L'!F29</f>
        <v>9003.1</v>
      </c>
      <c r="E48" s="17">
        <f t="shared" si="3"/>
        <v>0</v>
      </c>
      <c r="F48" s="1">
        <v>0.2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</row>
    <row r="49" spans="1:47" ht="14.4">
      <c r="A49" s="1" t="s">
        <v>3498</v>
      </c>
      <c r="B49" s="1" t="str">
        <f t="shared" si="2"/>
        <v>OK</v>
      </c>
      <c r="C49" s="17">
        <f>SUM('Quarterly P&amp;L'!S6:V6)</f>
        <v>61023.199999999997</v>
      </c>
      <c r="D49" s="17">
        <f>'Annual P&amp;L'!G7</f>
        <v>61023.199999999997</v>
      </c>
      <c r="E49" s="17">
        <f t="shared" si="3"/>
        <v>0</v>
      </c>
      <c r="F49" s="1">
        <v>0.2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</row>
    <row r="50" spans="1:47" ht="14.4">
      <c r="A50" s="1" t="s">
        <v>3499</v>
      </c>
      <c r="B50" s="1" t="str">
        <f t="shared" si="2"/>
        <v>OK</v>
      </c>
      <c r="C50" s="17">
        <f>SUM('Quarterly P&amp;L'!S18:V18)</f>
        <v>10573</v>
      </c>
      <c r="D50" s="17">
        <f>'Annual P&amp;L'!G18</f>
        <v>10573</v>
      </c>
      <c r="E50" s="17">
        <f t="shared" si="3"/>
        <v>0</v>
      </c>
      <c r="F50" s="1">
        <v>0.2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</row>
    <row r="51" spans="1:47" ht="14.4">
      <c r="A51" s="1" t="s">
        <v>3500</v>
      </c>
      <c r="B51" s="1" t="str">
        <f t="shared" si="2"/>
        <v>OK</v>
      </c>
      <c r="C51" s="17">
        <f>SUM('Quarterly P&amp;L'!S29:V29)</f>
        <v>9721.7999999999993</v>
      </c>
      <c r="D51" s="17">
        <f>'Annual P&amp;L'!G29</f>
        <v>9721.7999999999993</v>
      </c>
      <c r="E51" s="17">
        <f t="shared" si="3"/>
        <v>0</v>
      </c>
      <c r="F51" s="1">
        <v>0.2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</row>
    <row r="52" spans="1:47" ht="14.4">
      <c r="A52" s="1" t="s">
        <v>3501</v>
      </c>
      <c r="B52" s="1" t="str">
        <f t="shared" si="2"/>
        <v>OK</v>
      </c>
      <c r="C52" s="17">
        <f>SUM('Quarterly P&amp;L'!W6:Z6)</f>
        <v>61943</v>
      </c>
      <c r="D52" s="17">
        <f>'Annual P&amp;L'!H7</f>
        <v>61943</v>
      </c>
      <c r="E52" s="17">
        <f t="shared" si="3"/>
        <v>0</v>
      </c>
      <c r="F52" s="1">
        <v>0.2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</row>
    <row r="53" spans="1:47" ht="14.4">
      <c r="A53" s="1" t="s">
        <v>3502</v>
      </c>
      <c r="B53" s="1" t="str">
        <f t="shared" si="2"/>
        <v>OK</v>
      </c>
      <c r="C53" s="17">
        <f>SUM('Quarterly P&amp;L'!W18:Z18)</f>
        <v>12305.3</v>
      </c>
      <c r="D53" s="17">
        <f>'Annual P&amp;L'!H18</f>
        <v>12305.3</v>
      </c>
      <c r="E53" s="17">
        <f t="shared" si="3"/>
        <v>0</v>
      </c>
      <c r="F53" s="1">
        <v>0.2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</row>
    <row r="54" spans="1:47" ht="14.4">
      <c r="A54" s="1" t="s">
        <v>3503</v>
      </c>
      <c r="B54" s="1" t="str">
        <f t="shared" si="2"/>
        <v>OK</v>
      </c>
      <c r="C54" s="17">
        <f>SUM('Quarterly P&amp;L'!W29:Z29)</f>
        <v>10794.599999999999</v>
      </c>
      <c r="D54" s="17">
        <f>'Annual P&amp;L'!H29</f>
        <v>10794.6</v>
      </c>
      <c r="E54" s="17">
        <f t="shared" si="3"/>
        <v>0</v>
      </c>
      <c r="F54" s="1">
        <v>0.2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</row>
    <row r="55" spans="1:47" ht="14.4">
      <c r="A55" s="1" t="s">
        <v>3504</v>
      </c>
      <c r="B55" s="1" t="str">
        <f t="shared" si="2"/>
        <v>OK</v>
      </c>
      <c r="C55" s="17">
        <f>SUM('Quarterly P&amp;L'!AA6:AD6)</f>
        <v>79093.399999999994</v>
      </c>
      <c r="D55" s="17">
        <f>'Annual P&amp;L'!I7</f>
        <v>79093.399999999994</v>
      </c>
      <c r="E55" s="17">
        <f t="shared" si="3"/>
        <v>0</v>
      </c>
      <c r="F55" s="1">
        <v>0.2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</row>
    <row r="56" spans="1:47" ht="14.4">
      <c r="A56" s="1" t="s">
        <v>3505</v>
      </c>
      <c r="B56" s="1" t="str">
        <f t="shared" si="2"/>
        <v>OK</v>
      </c>
      <c r="C56" s="17">
        <f>SUM('Quarterly P&amp;L'!AA18:AD18)</f>
        <v>14028.6</v>
      </c>
      <c r="D56" s="17">
        <f>'Annual P&amp;L'!I18</f>
        <v>14028.6</v>
      </c>
      <c r="E56" s="17">
        <f t="shared" si="3"/>
        <v>0</v>
      </c>
      <c r="F56" s="1">
        <v>0.2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</row>
    <row r="57" spans="1:47" ht="14.4">
      <c r="A57" s="1" t="s">
        <v>3506</v>
      </c>
      <c r="B57" s="1" t="str">
        <f t="shared" si="2"/>
        <v>OK</v>
      </c>
      <c r="C57" s="17">
        <f>SUM('Quarterly P&amp;L'!AA29:AD29)</f>
        <v>12219.1</v>
      </c>
      <c r="D57" s="17">
        <f>'Annual P&amp;L'!I29</f>
        <v>12219.1</v>
      </c>
      <c r="E57" s="17">
        <f t="shared" si="3"/>
        <v>0</v>
      </c>
      <c r="F57" s="1">
        <v>0.2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</row>
    <row r="58" spans="1:47" ht="14.4">
      <c r="A58" s="1" t="s">
        <v>3507</v>
      </c>
      <c r="B58" s="1" t="str">
        <f t="shared" si="2"/>
        <v>OK</v>
      </c>
      <c r="C58" s="17">
        <f>SUM('Quarterly P&amp;L'!AE6:AH6)</f>
        <v>90487.6</v>
      </c>
      <c r="D58" s="17">
        <f>'Annual P&amp;L'!J7</f>
        <v>90487.6</v>
      </c>
      <c r="E58" s="17">
        <f t="shared" si="3"/>
        <v>0</v>
      </c>
      <c r="F58" s="1">
        <v>0.2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</row>
    <row r="59" spans="1:47" ht="14.4">
      <c r="A59" s="1" t="s">
        <v>3508</v>
      </c>
      <c r="B59" s="1" t="str">
        <f t="shared" si="2"/>
        <v>OK</v>
      </c>
      <c r="C59" s="17">
        <f>SUM('Quarterly P&amp;L'!AE18:AH18)</f>
        <v>13960.6</v>
      </c>
      <c r="D59" s="17">
        <f>'Annual P&amp;L'!J18</f>
        <v>13960.6</v>
      </c>
      <c r="E59" s="17">
        <f t="shared" si="3"/>
        <v>0</v>
      </c>
      <c r="F59" s="1">
        <v>0.2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</row>
    <row r="60" spans="1:47" ht="14.4">
      <c r="A60" s="1" t="s">
        <v>3509</v>
      </c>
      <c r="B60" s="1" t="str">
        <f t="shared" si="2"/>
        <v>OK</v>
      </c>
      <c r="C60" s="17">
        <f>SUM('Quarterly P&amp;L'!AE29:AH29)</f>
        <v>11350</v>
      </c>
      <c r="D60" s="17">
        <f>'Annual P&amp;L'!J29</f>
        <v>11350</v>
      </c>
      <c r="E60" s="17">
        <f t="shared" si="3"/>
        <v>0</v>
      </c>
      <c r="F60" s="1">
        <v>0.2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</row>
    <row r="61" spans="1:47" ht="14.4">
      <c r="A61" s="1" t="s">
        <v>3510</v>
      </c>
      <c r="B61" s="1" t="str">
        <f t="shared" si="2"/>
        <v>OK</v>
      </c>
      <c r="C61" s="17">
        <f>SUM('Quarterly P&amp;L'!AI6:AL6)</f>
        <v>89760.3</v>
      </c>
      <c r="D61" s="17">
        <f>'Annual P&amp;L'!K7</f>
        <v>89760.3</v>
      </c>
      <c r="E61" s="17">
        <f t="shared" si="3"/>
        <v>0</v>
      </c>
      <c r="F61" s="1">
        <v>0.2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</row>
    <row r="62" spans="1:47" ht="14.4">
      <c r="A62" s="1" t="s">
        <v>3511</v>
      </c>
      <c r="B62" s="1" t="str">
        <f t="shared" si="2"/>
        <v>OK</v>
      </c>
      <c r="C62" s="17">
        <f>SUM('Quarterly P&amp;L'!AI18:AL18)</f>
        <v>13609.9</v>
      </c>
      <c r="D62" s="17">
        <f>'Annual P&amp;L'!K18</f>
        <v>13609.9</v>
      </c>
      <c r="E62" s="17">
        <f t="shared" si="3"/>
        <v>0</v>
      </c>
      <c r="F62" s="1">
        <v>0.2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</row>
    <row r="63" spans="1:47" ht="14.4">
      <c r="A63" s="1" t="s">
        <v>3512</v>
      </c>
      <c r="B63" s="1" t="str">
        <f t="shared" si="2"/>
        <v>OK</v>
      </c>
      <c r="C63" s="17">
        <f>SUM('Quarterly P&amp;L'!AI29:AL29)</f>
        <v>11045.199999999999</v>
      </c>
      <c r="D63" s="17">
        <f>'Annual P&amp;L'!K29</f>
        <v>11045.2</v>
      </c>
      <c r="E63" s="17">
        <f t="shared" si="3"/>
        <v>0</v>
      </c>
      <c r="F63" s="1">
        <v>0.2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</row>
    <row r="64" spans="1:47" ht="14.4">
      <c r="A64" s="1" t="s">
        <v>3513</v>
      </c>
      <c r="B64" s="1" t="str">
        <f t="shared" si="2"/>
        <v>OK</v>
      </c>
      <c r="C64" s="17">
        <f>SUM('Quarterly P&amp;L'!AM6:AP6)</f>
        <v>89088.4</v>
      </c>
      <c r="D64" s="17">
        <f>'Annual P&amp;L'!L7</f>
        <v>89088.4</v>
      </c>
      <c r="E64" s="17">
        <f t="shared" si="3"/>
        <v>0</v>
      </c>
      <c r="F64" s="1">
        <v>0.2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</row>
    <row r="65" spans="1:47" ht="14.4">
      <c r="A65" s="1" t="s">
        <v>3514</v>
      </c>
      <c r="B65" s="1" t="str">
        <f t="shared" si="2"/>
        <v>OK</v>
      </c>
      <c r="C65" s="17">
        <f>SUM('Quarterly P&amp;L'!AM18:AP18)</f>
        <v>15127.1</v>
      </c>
      <c r="D65" s="17">
        <f>'Annual P&amp;L'!L18</f>
        <v>15127.1</v>
      </c>
      <c r="E65" s="17">
        <f t="shared" si="3"/>
        <v>0</v>
      </c>
      <c r="F65" s="1">
        <v>0.2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</row>
    <row r="66" spans="1:47" ht="14.4">
      <c r="A66" s="1" t="s">
        <v>3515</v>
      </c>
      <c r="B66" s="1" t="str">
        <f t="shared" si="2"/>
        <v>OK</v>
      </c>
      <c r="C66" s="17">
        <f>SUM('Quarterly P&amp;L'!AM29:AP29)</f>
        <v>13135.4</v>
      </c>
      <c r="D66" s="17">
        <f>'Annual P&amp;L'!L29</f>
        <v>13135.4</v>
      </c>
      <c r="E66" s="17">
        <f t="shared" si="3"/>
        <v>0</v>
      </c>
      <c r="F66" s="1">
        <v>0.2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</row>
    <row r="67" spans="1:47" ht="14.4">
      <c r="A67" s="1" t="s">
        <v>3516</v>
      </c>
      <c r="B67" s="1" t="str">
        <f t="shared" si="2"/>
        <v>OK</v>
      </c>
      <c r="C67" s="17">
        <f>SUM('Quarterly P&amp;L'!AQ6:AT6)</f>
        <v>92624</v>
      </c>
      <c r="D67" s="17">
        <f>'Annual P&amp;L'!M7</f>
        <v>92624</v>
      </c>
      <c r="E67" s="17">
        <f t="shared" si="3"/>
        <v>0</v>
      </c>
      <c r="F67" s="1">
        <v>0.2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</row>
    <row r="68" spans="1:47" ht="14.4">
      <c r="A68" s="1" t="s">
        <v>3517</v>
      </c>
      <c r="B68" s="1" t="str">
        <f t="shared" si="2"/>
        <v>OK</v>
      </c>
      <c r="C68" s="17">
        <f>SUM('Quarterly P&amp;L'!AQ18:AT18)</f>
        <v>15125.1</v>
      </c>
      <c r="D68" s="17">
        <f>'Annual P&amp;L'!M18</f>
        <v>15125.1</v>
      </c>
      <c r="E68" s="17">
        <f t="shared" si="3"/>
        <v>0</v>
      </c>
      <c r="F68" s="1">
        <v>0.2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</row>
    <row r="69" spans="1:47" ht="14.4">
      <c r="A69" s="1" t="s">
        <v>3518</v>
      </c>
      <c r="B69" s="1" t="str">
        <f t="shared" si="2"/>
        <v>OK</v>
      </c>
      <c r="C69" s="17">
        <f>SUM('Quarterly P&amp;L'!AQ29:AT29)</f>
        <v>13197.4</v>
      </c>
      <c r="D69" s="17">
        <f>'Annual P&amp;L'!M29</f>
        <v>13197.4</v>
      </c>
      <c r="E69" s="17">
        <f t="shared" si="3"/>
        <v>0</v>
      </c>
      <c r="F69" s="1">
        <v>0.2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</row>
    <row r="70" spans="1:47" ht="14.4">
      <c r="A70" s="1" t="s">
        <v>3519</v>
      </c>
      <c r="B70" s="1" t="str">
        <f t="shared" si="2"/>
        <v>OK</v>
      </c>
      <c r="C70" s="17">
        <f>'Quarterly P&amp;L'!AU6</f>
        <v>24478.6</v>
      </c>
      <c r="D70" s="17">
        <f>24478.6</f>
        <v>24478.6</v>
      </c>
      <c r="E70" s="17">
        <f t="shared" si="3"/>
        <v>0</v>
      </c>
      <c r="F70" s="1">
        <v>0.1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</row>
    <row r="71" spans="1:47" ht="14.4">
      <c r="A71" s="1" t="s">
        <v>3520</v>
      </c>
      <c r="B71" s="1" t="str">
        <f t="shared" ref="B71:B102" si="4">IF(ABS(E71)&lt;=F71,"OK","FAIL")</f>
        <v>OK</v>
      </c>
      <c r="C71" s="17">
        <f>'Quarterly P&amp;L'!AU23</f>
        <v>4334.5</v>
      </c>
      <c r="D71" s="17">
        <f>4334.5</f>
        <v>4334.5</v>
      </c>
      <c r="E71" s="17">
        <f t="shared" ref="E71:E102" si="5">C71-D71</f>
        <v>0</v>
      </c>
      <c r="F71" s="1">
        <v>0.1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</row>
    <row r="72" spans="1:47" ht="14.4">
      <c r="A72" s="1" t="s">
        <v>3521</v>
      </c>
      <c r="B72" s="1" t="str">
        <f t="shared" si="4"/>
        <v>OK</v>
      </c>
      <c r="C72" s="17">
        <f>'Quarterly P&amp;L'!AU29</f>
        <v>3352</v>
      </c>
      <c r="D72" s="17">
        <f>3352</f>
        <v>3352</v>
      </c>
      <c r="E72" s="17">
        <f t="shared" si="5"/>
        <v>0</v>
      </c>
      <c r="F72" s="1">
        <v>0.1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</row>
    <row r="73" spans="1:47" ht="14.4">
      <c r="A73" s="1" t="s">
        <v>3522</v>
      </c>
      <c r="B73" s="1" t="str">
        <f t="shared" si="4"/>
        <v>OK</v>
      </c>
      <c r="C73" s="17">
        <f>'Revenue Drivers'!N31</f>
        <v>95426.74118316597</v>
      </c>
      <c r="D73" s="17">
        <f>'Annual P&amp;L'!N7</f>
        <v>95426.74118316597</v>
      </c>
      <c r="E73" s="17">
        <f t="shared" si="5"/>
        <v>0</v>
      </c>
      <c r="F73" s="1">
        <v>0.2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</row>
    <row r="74" spans="1:47" ht="14.4">
      <c r="A74" s="1" t="s">
        <v>3523</v>
      </c>
      <c r="B74" s="1" t="str">
        <f t="shared" si="4"/>
        <v>OK</v>
      </c>
      <c r="C74" s="17">
        <f>'BS Forecast Schedules'!D16</f>
        <v>0</v>
      </c>
      <c r="D74" s="17">
        <f>0</f>
        <v>0</v>
      </c>
      <c r="E74" s="17">
        <f t="shared" si="5"/>
        <v>0</v>
      </c>
      <c r="F74" s="1">
        <v>0.2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</row>
    <row r="75" spans="1:47" ht="14.4">
      <c r="A75" s="1" t="s">
        <v>3524</v>
      </c>
      <c r="B75" s="1" t="str">
        <f t="shared" si="4"/>
        <v>OK</v>
      </c>
      <c r="C75" s="17">
        <f>'BS Forecast Schedules'!D58</f>
        <v>5964.9826447254745</v>
      </c>
      <c r="D75" s="17">
        <f>'Annual Balance Sheet'!N22</f>
        <v>5964.9826447254745</v>
      </c>
      <c r="E75" s="17">
        <f t="shared" si="5"/>
        <v>0</v>
      </c>
      <c r="F75" s="1">
        <v>0.2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</row>
    <row r="76" spans="1:47" ht="14.4">
      <c r="A76" s="1" t="s">
        <v>3525</v>
      </c>
      <c r="B76" s="1" t="str">
        <f t="shared" si="4"/>
        <v>OK</v>
      </c>
      <c r="C76" s="17">
        <f>MIN(0,'Annual Balance Sheet'!N22)</f>
        <v>0</v>
      </c>
      <c r="D76" s="17">
        <f>0</f>
        <v>0</v>
      </c>
      <c r="E76" s="17">
        <f t="shared" si="5"/>
        <v>0</v>
      </c>
      <c r="F76" s="1">
        <v>0.1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</row>
    <row r="77" spans="1:47" ht="14.4">
      <c r="A77" s="1" t="s">
        <v>3526</v>
      </c>
      <c r="B77" s="1" t="str">
        <f t="shared" si="4"/>
        <v>OK</v>
      </c>
      <c r="C77" s="17">
        <f>'Revenue Drivers'!N14+'Revenue Drivers'!N15</f>
        <v>1</v>
      </c>
      <c r="D77" s="17">
        <f>1</f>
        <v>1</v>
      </c>
      <c r="E77" s="17">
        <f t="shared" si="5"/>
        <v>0</v>
      </c>
      <c r="F77" s="1">
        <v>1E-3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</row>
    <row r="78" spans="1:47" ht="14.4">
      <c r="A78" s="1" t="s">
        <v>3527</v>
      </c>
      <c r="B78" s="1" t="str">
        <f t="shared" si="4"/>
        <v>OK</v>
      </c>
      <c r="C78" s="17">
        <f>'Revenue Drivers'!O31</f>
        <v>101167.43631504844</v>
      </c>
      <c r="D78" s="17">
        <f>'Annual P&amp;L'!O7</f>
        <v>101167.43631504844</v>
      </c>
      <c r="E78" s="17">
        <f t="shared" si="5"/>
        <v>0</v>
      </c>
      <c r="F78" s="1">
        <v>0.2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</row>
    <row r="79" spans="1:47" ht="14.4">
      <c r="A79" s="1" t="s">
        <v>3528</v>
      </c>
      <c r="B79" s="1" t="str">
        <f t="shared" si="4"/>
        <v>OK</v>
      </c>
      <c r="C79" s="17">
        <f>'BS Forecast Schedules'!E16</f>
        <v>0</v>
      </c>
      <c r="D79" s="17">
        <f>0</f>
        <v>0</v>
      </c>
      <c r="E79" s="17">
        <f t="shared" si="5"/>
        <v>0</v>
      </c>
      <c r="F79" s="1">
        <v>0.2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</row>
    <row r="80" spans="1:47" ht="14.4">
      <c r="A80" s="1" t="s">
        <v>3529</v>
      </c>
      <c r="B80" s="1" t="str">
        <f t="shared" si="4"/>
        <v>OK</v>
      </c>
      <c r="C80" s="17">
        <f>'BS Forecast Schedules'!E58</f>
        <v>10405.149431872267</v>
      </c>
      <c r="D80" s="17">
        <f>'Annual Balance Sheet'!O22</f>
        <v>10405.149431872267</v>
      </c>
      <c r="E80" s="17">
        <f t="shared" si="5"/>
        <v>0</v>
      </c>
      <c r="F80" s="1">
        <v>0.2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</row>
    <row r="81" spans="1:47" ht="14.4">
      <c r="A81" s="1" t="s">
        <v>3530</v>
      </c>
      <c r="B81" s="1" t="str">
        <f t="shared" si="4"/>
        <v>OK</v>
      </c>
      <c r="C81" s="17">
        <f>MIN(0,'Annual Balance Sheet'!O22)</f>
        <v>0</v>
      </c>
      <c r="D81" s="17">
        <f>0</f>
        <v>0</v>
      </c>
      <c r="E81" s="17">
        <f t="shared" si="5"/>
        <v>0</v>
      </c>
      <c r="F81" s="1">
        <v>0.1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</row>
    <row r="82" spans="1:47" ht="14.4">
      <c r="A82" s="1" t="s">
        <v>3531</v>
      </c>
      <c r="B82" s="1" t="str">
        <f t="shared" si="4"/>
        <v>OK</v>
      </c>
      <c r="C82" s="17">
        <f>'Revenue Drivers'!O14+'Revenue Drivers'!O15</f>
        <v>1</v>
      </c>
      <c r="D82" s="17">
        <f>1</f>
        <v>1</v>
      </c>
      <c r="E82" s="17">
        <f t="shared" si="5"/>
        <v>0</v>
      </c>
      <c r="F82" s="1">
        <v>1E-3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</row>
    <row r="83" spans="1:47" ht="14.4">
      <c r="A83" s="1" t="s">
        <v>3532</v>
      </c>
      <c r="B83" s="1" t="str">
        <f t="shared" si="4"/>
        <v>OK</v>
      </c>
      <c r="C83" s="17">
        <f>'Revenue Drivers'!P31</f>
        <v>109097.12384098076</v>
      </c>
      <c r="D83" s="17">
        <f>'Annual P&amp;L'!P7</f>
        <v>109097.12384098076</v>
      </c>
      <c r="E83" s="17">
        <f t="shared" si="5"/>
        <v>0</v>
      </c>
      <c r="F83" s="1">
        <v>0.2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</row>
    <row r="84" spans="1:47" ht="14.4">
      <c r="A84" s="1" t="s">
        <v>3533</v>
      </c>
      <c r="B84" s="1" t="str">
        <f t="shared" si="4"/>
        <v>OK</v>
      </c>
      <c r="C84" s="17">
        <f>'BS Forecast Schedules'!F16</f>
        <v>0</v>
      </c>
      <c r="D84" s="17">
        <f>0</f>
        <v>0</v>
      </c>
      <c r="E84" s="17">
        <f t="shared" si="5"/>
        <v>0</v>
      </c>
      <c r="F84" s="1">
        <v>0.2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</row>
    <row r="85" spans="1:47" ht="14.4">
      <c r="A85" s="1" t="s">
        <v>3534</v>
      </c>
      <c r="B85" s="1" t="str">
        <f t="shared" si="4"/>
        <v>OK</v>
      </c>
      <c r="C85" s="17">
        <f>'BS Forecast Schedules'!F58</f>
        <v>15047.599567574838</v>
      </c>
      <c r="D85" s="17">
        <f>'Annual Balance Sheet'!P22</f>
        <v>15047.599567574838</v>
      </c>
      <c r="E85" s="17">
        <f t="shared" si="5"/>
        <v>0</v>
      </c>
      <c r="F85" s="1">
        <v>0.2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</row>
    <row r="86" spans="1:47" ht="14.4">
      <c r="A86" s="1" t="s">
        <v>3535</v>
      </c>
      <c r="B86" s="1" t="str">
        <f t="shared" si="4"/>
        <v>OK</v>
      </c>
      <c r="C86" s="17">
        <f>MIN(0,'Annual Balance Sheet'!P22)</f>
        <v>0</v>
      </c>
      <c r="D86" s="17">
        <f>0</f>
        <v>0</v>
      </c>
      <c r="E86" s="17">
        <f t="shared" si="5"/>
        <v>0</v>
      </c>
      <c r="F86" s="1">
        <v>0.1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</row>
    <row r="87" spans="1:47" ht="14.4">
      <c r="A87" s="1" t="s">
        <v>3536</v>
      </c>
      <c r="B87" s="1" t="str">
        <f t="shared" si="4"/>
        <v>OK</v>
      </c>
      <c r="C87" s="17">
        <f>'Revenue Drivers'!P14+'Revenue Drivers'!P15</f>
        <v>1</v>
      </c>
      <c r="D87" s="17">
        <f>1</f>
        <v>1</v>
      </c>
      <c r="E87" s="17">
        <f t="shared" si="5"/>
        <v>0</v>
      </c>
      <c r="F87" s="1">
        <v>1E-3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</row>
    <row r="88" spans="1:47" ht="14.4">
      <c r="A88" s="1" t="s">
        <v>3537</v>
      </c>
      <c r="B88" s="1" t="str">
        <f t="shared" si="4"/>
        <v>OK</v>
      </c>
      <c r="C88" s="17">
        <f>'Revenue Drivers'!Q31</f>
        <v>118382.91707735034</v>
      </c>
      <c r="D88" s="17">
        <f>'Annual P&amp;L'!Q7</f>
        <v>118382.91707735034</v>
      </c>
      <c r="E88" s="17">
        <f t="shared" si="5"/>
        <v>0</v>
      </c>
      <c r="F88" s="1">
        <v>0.2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</row>
    <row r="89" spans="1:47" ht="14.4">
      <c r="A89" s="1" t="s">
        <v>3538</v>
      </c>
      <c r="B89" s="1" t="str">
        <f t="shared" si="4"/>
        <v>OK</v>
      </c>
      <c r="C89" s="17">
        <f>'BS Forecast Schedules'!G16</f>
        <v>0</v>
      </c>
      <c r="D89" s="17">
        <f>0</f>
        <v>0</v>
      </c>
      <c r="E89" s="17">
        <f t="shared" si="5"/>
        <v>0</v>
      </c>
      <c r="F89" s="1">
        <v>0.2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  <row r="90" spans="1:47" ht="14.4">
      <c r="A90" s="1" t="s">
        <v>3539</v>
      </c>
      <c r="B90" s="1" t="str">
        <f t="shared" si="4"/>
        <v>OK</v>
      </c>
      <c r="C90" s="17">
        <f>'BS Forecast Schedules'!G58</f>
        <v>19893.038441714161</v>
      </c>
      <c r="D90" s="17">
        <f>'Annual Balance Sheet'!Q22</f>
        <v>19893.038441714161</v>
      </c>
      <c r="E90" s="17">
        <f t="shared" si="5"/>
        <v>0</v>
      </c>
      <c r="F90" s="1">
        <v>0.2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</row>
    <row r="91" spans="1:47" ht="14.4">
      <c r="A91" s="1" t="s">
        <v>3540</v>
      </c>
      <c r="B91" s="1" t="str">
        <f t="shared" si="4"/>
        <v>OK</v>
      </c>
      <c r="C91" s="17">
        <f>MIN(0,'Annual Balance Sheet'!Q22)</f>
        <v>0</v>
      </c>
      <c r="D91" s="17">
        <f>0</f>
        <v>0</v>
      </c>
      <c r="E91" s="17">
        <f t="shared" si="5"/>
        <v>0</v>
      </c>
      <c r="F91" s="1">
        <v>0.1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</row>
    <row r="92" spans="1:47" ht="14.4">
      <c r="A92" s="1" t="s">
        <v>3541</v>
      </c>
      <c r="B92" s="1" t="str">
        <f t="shared" si="4"/>
        <v>OK</v>
      </c>
      <c r="C92" s="17">
        <f>'Revenue Drivers'!Q14+'Revenue Drivers'!Q15</f>
        <v>1</v>
      </c>
      <c r="D92" s="17">
        <f>1</f>
        <v>1</v>
      </c>
      <c r="E92" s="17">
        <f t="shared" si="5"/>
        <v>0</v>
      </c>
      <c r="F92" s="1">
        <v>1E-3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</row>
    <row r="93" spans="1:47" ht="14.4">
      <c r="A93" s="1" t="s">
        <v>3542</v>
      </c>
      <c r="B93" s="1" t="str">
        <f t="shared" si="4"/>
        <v>OK</v>
      </c>
      <c r="C93" s="17">
        <f>'Geography &amp; Currency'!C16</f>
        <v>1</v>
      </c>
      <c r="D93" s="17">
        <f>1</f>
        <v>1</v>
      </c>
      <c r="E93" s="17">
        <f t="shared" si="5"/>
        <v>0</v>
      </c>
      <c r="F93" s="1">
        <v>1.4999999999999999E-2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</row>
    <row r="94" spans="1:47" ht="14.4">
      <c r="A94" s="1" t="s">
        <v>3543</v>
      </c>
      <c r="B94" s="1" t="str">
        <f t="shared" si="4"/>
        <v>OK</v>
      </c>
      <c r="C94" s="17">
        <f>'Geography &amp; Currency'!C46</f>
        <v>1</v>
      </c>
      <c r="D94" s="17">
        <f>1</f>
        <v>1</v>
      </c>
      <c r="E94" s="17">
        <f t="shared" si="5"/>
        <v>0</v>
      </c>
      <c r="F94" s="1">
        <v>0.02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</row>
    <row r="95" spans="1:47" ht="14.4">
      <c r="A95" s="1" t="s">
        <v>3544</v>
      </c>
      <c r="B95" s="1" t="str">
        <f t="shared" si="4"/>
        <v>OK</v>
      </c>
      <c r="C95" s="17">
        <f>'Geography &amp; Currency'!D16</f>
        <v>1</v>
      </c>
      <c r="D95" s="17">
        <f>1</f>
        <v>1</v>
      </c>
      <c r="E95" s="17">
        <f t="shared" si="5"/>
        <v>0</v>
      </c>
      <c r="F95" s="1">
        <v>1.4999999999999999E-2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</row>
    <row r="96" spans="1:47" ht="14.4">
      <c r="A96" s="1" t="s">
        <v>3545</v>
      </c>
      <c r="B96" s="1" t="str">
        <f t="shared" si="4"/>
        <v>OK</v>
      </c>
      <c r="C96" s="17">
        <f>'Geography &amp; Currency'!D46</f>
        <v>1</v>
      </c>
      <c r="D96" s="17">
        <f>1</f>
        <v>1</v>
      </c>
      <c r="E96" s="17">
        <f t="shared" si="5"/>
        <v>0</v>
      </c>
      <c r="F96" s="1">
        <v>0.02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</row>
    <row r="97" spans="1:47" ht="14.4">
      <c r="A97" s="1" t="s">
        <v>3546</v>
      </c>
      <c r="B97" s="1" t="str">
        <f t="shared" si="4"/>
        <v>OK</v>
      </c>
      <c r="C97" s="17">
        <f>'Geography &amp; Currency'!E16</f>
        <v>1</v>
      </c>
      <c r="D97" s="17">
        <f>1</f>
        <v>1</v>
      </c>
      <c r="E97" s="17">
        <f t="shared" si="5"/>
        <v>0</v>
      </c>
      <c r="F97" s="1">
        <v>1.4999999999999999E-2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</row>
    <row r="98" spans="1:47" ht="14.4">
      <c r="A98" s="1" t="s">
        <v>3547</v>
      </c>
      <c r="B98" s="1" t="str">
        <f t="shared" si="4"/>
        <v>OK</v>
      </c>
      <c r="C98" s="17">
        <f>'Geography &amp; Currency'!E46</f>
        <v>0.99999999999999989</v>
      </c>
      <c r="D98" s="17">
        <f>1</f>
        <v>1</v>
      </c>
      <c r="E98" s="17">
        <f t="shared" si="5"/>
        <v>0</v>
      </c>
      <c r="F98" s="1">
        <v>0.02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</row>
    <row r="99" spans="1:47" ht="14.4">
      <c r="A99" s="1" t="s">
        <v>3548</v>
      </c>
      <c r="B99" s="1" t="str">
        <f t="shared" si="4"/>
        <v>OK</v>
      </c>
      <c r="C99" s="17">
        <f>'Geography &amp; Currency'!F46</f>
        <v>1</v>
      </c>
      <c r="D99" s="17">
        <f>1</f>
        <v>1</v>
      </c>
      <c r="E99" s="17">
        <f t="shared" si="5"/>
        <v>0</v>
      </c>
      <c r="F99" s="1">
        <v>0.02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</row>
    <row r="100" spans="1:47" ht="14.4">
      <c r="A100" s="1" t="s">
        <v>3549</v>
      </c>
      <c r="B100" s="1" t="str">
        <f t="shared" si="4"/>
        <v>OK</v>
      </c>
      <c r="C100" s="17">
        <f>'Geography &amp; Currency'!G46</f>
        <v>1</v>
      </c>
      <c r="D100" s="17">
        <f>1</f>
        <v>1</v>
      </c>
      <c r="E100" s="17">
        <f t="shared" si="5"/>
        <v>0</v>
      </c>
      <c r="F100" s="1">
        <v>0.02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</row>
    <row r="101" spans="1:47" ht="14.4">
      <c r="A101" s="1" t="s">
        <v>3550</v>
      </c>
      <c r="B101" s="1" t="str">
        <f t="shared" si="4"/>
        <v>OK</v>
      </c>
      <c r="C101" s="17">
        <f>'Geography &amp; Currency'!H28</f>
        <v>1</v>
      </c>
      <c r="D101" s="17">
        <f>1</f>
        <v>1</v>
      </c>
      <c r="E101" s="17">
        <f t="shared" si="5"/>
        <v>0</v>
      </c>
      <c r="F101" s="1">
        <v>1.4999999999999999E-2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</row>
    <row r="102" spans="1:47" ht="14.4">
      <c r="A102" s="1" t="s">
        <v>3551</v>
      </c>
      <c r="B102" s="1" t="str">
        <f t="shared" si="4"/>
        <v>OK</v>
      </c>
      <c r="C102" s="17">
        <f>'Geography &amp; Currency'!H46</f>
        <v>1</v>
      </c>
      <c r="D102" s="17">
        <f>1</f>
        <v>1</v>
      </c>
      <c r="E102" s="17">
        <f t="shared" si="5"/>
        <v>0</v>
      </c>
      <c r="F102" s="1">
        <v>0.02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</row>
    <row r="103" spans="1:47" ht="14.4">
      <c r="A103" s="1" t="s">
        <v>3552</v>
      </c>
      <c r="B103" s="1" t="str">
        <f t="shared" ref="B103:B112" si="6">IF(ABS(E103)&lt;=F103,"OK","FAIL")</f>
        <v>OK</v>
      </c>
      <c r="C103" s="17">
        <f>'Geography &amp; Currency'!I28</f>
        <v>0.99999999999999989</v>
      </c>
      <c r="D103" s="17">
        <f>1</f>
        <v>1</v>
      </c>
      <c r="E103" s="17">
        <f t="shared" ref="E103:E134" si="7">C103-D103</f>
        <v>0</v>
      </c>
      <c r="F103" s="1">
        <v>1.4999999999999999E-2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</row>
    <row r="104" spans="1:47" ht="14.4">
      <c r="A104" s="1" t="s">
        <v>3553</v>
      </c>
      <c r="B104" s="1" t="str">
        <f t="shared" si="6"/>
        <v>OK</v>
      </c>
      <c r="C104" s="17">
        <f>'Geography &amp; Currency'!I46</f>
        <v>1</v>
      </c>
      <c r="D104" s="17">
        <f>1</f>
        <v>1</v>
      </c>
      <c r="E104" s="17">
        <f t="shared" si="7"/>
        <v>0</v>
      </c>
      <c r="F104" s="1">
        <v>0.02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</row>
    <row r="105" spans="1:47" ht="14.4">
      <c r="A105" s="1" t="s">
        <v>3554</v>
      </c>
      <c r="B105" s="1" t="str">
        <f t="shared" si="6"/>
        <v>OK</v>
      </c>
      <c r="C105" s="17">
        <f>'Geography &amp; Currency'!J28</f>
        <v>1</v>
      </c>
      <c r="D105" s="17">
        <f>1</f>
        <v>1</v>
      </c>
      <c r="E105" s="17">
        <f t="shared" si="7"/>
        <v>0</v>
      </c>
      <c r="F105" s="1">
        <v>1.4999999999999999E-2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</row>
    <row r="106" spans="1:47" ht="14.4">
      <c r="A106" s="1" t="s">
        <v>3555</v>
      </c>
      <c r="B106" s="1" t="str">
        <f t="shared" si="6"/>
        <v>OK</v>
      </c>
      <c r="C106" s="17">
        <f>'Geography &amp; Currency'!J46</f>
        <v>1</v>
      </c>
      <c r="D106" s="17">
        <f>1</f>
        <v>1</v>
      </c>
      <c r="E106" s="17">
        <f t="shared" si="7"/>
        <v>0</v>
      </c>
      <c r="F106" s="1">
        <v>0.02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</row>
    <row r="107" spans="1:47" ht="14.4">
      <c r="A107" s="1" t="s">
        <v>3556</v>
      </c>
      <c r="B107" s="1" t="str">
        <f t="shared" si="6"/>
        <v>OK</v>
      </c>
      <c r="C107" s="17">
        <f>'Geography &amp; Currency'!K28</f>
        <v>1</v>
      </c>
      <c r="D107" s="17">
        <f>1</f>
        <v>1</v>
      </c>
      <c r="E107" s="17">
        <f t="shared" si="7"/>
        <v>0</v>
      </c>
      <c r="F107" s="1">
        <v>1.4999999999999999E-2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</row>
    <row r="108" spans="1:47" ht="14.4">
      <c r="A108" s="1" t="s">
        <v>3557</v>
      </c>
      <c r="B108" s="1" t="str">
        <f t="shared" si="6"/>
        <v>OK</v>
      </c>
      <c r="C108" s="17">
        <f>'Geography &amp; Currency'!K46</f>
        <v>1</v>
      </c>
      <c r="D108" s="17">
        <f>1</f>
        <v>1</v>
      </c>
      <c r="E108" s="17">
        <f t="shared" si="7"/>
        <v>0</v>
      </c>
      <c r="F108" s="1">
        <v>0.02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</row>
    <row r="109" spans="1:47" ht="14.4">
      <c r="A109" s="1" t="s">
        <v>3558</v>
      </c>
      <c r="B109" s="1" t="str">
        <f t="shared" si="6"/>
        <v>OK</v>
      </c>
      <c r="C109" s="17">
        <f>'Geography &amp; Currency'!L28</f>
        <v>1</v>
      </c>
      <c r="D109" s="17">
        <f>1</f>
        <v>1</v>
      </c>
      <c r="E109" s="17">
        <f t="shared" si="7"/>
        <v>0</v>
      </c>
      <c r="F109" s="1">
        <v>1.4999999999999999E-2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</row>
    <row r="110" spans="1:47" ht="14.4">
      <c r="A110" s="1" t="s">
        <v>3559</v>
      </c>
      <c r="B110" s="1" t="str">
        <f t="shared" si="6"/>
        <v>OK</v>
      </c>
      <c r="C110" s="17">
        <f>'Geography &amp; Currency'!L46</f>
        <v>1</v>
      </c>
      <c r="D110" s="17">
        <f>1</f>
        <v>1</v>
      </c>
      <c r="E110" s="17">
        <f t="shared" si="7"/>
        <v>0</v>
      </c>
      <c r="F110" s="1">
        <v>0.02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</row>
    <row r="111" spans="1:47" ht="14.4">
      <c r="A111" s="1" t="s">
        <v>3560</v>
      </c>
      <c r="B111" s="1" t="str">
        <f t="shared" si="6"/>
        <v>OK</v>
      </c>
      <c r="C111" s="17">
        <f>'Geography &amp; Currency'!M28</f>
        <v>1</v>
      </c>
      <c r="D111" s="17">
        <f>1</f>
        <v>1</v>
      </c>
      <c r="E111" s="17">
        <f t="shared" si="7"/>
        <v>0</v>
      </c>
      <c r="F111" s="1">
        <v>1.4999999999999999E-2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</row>
    <row r="112" spans="1:47" ht="14.4">
      <c r="A112" s="1" t="s">
        <v>3561</v>
      </c>
      <c r="B112" s="1" t="str">
        <f t="shared" si="6"/>
        <v>OK</v>
      </c>
      <c r="C112" s="17">
        <f>'Geography &amp; Currency'!M46</f>
        <v>1</v>
      </c>
      <c r="D112" s="17">
        <f>1</f>
        <v>1</v>
      </c>
      <c r="E112" s="17">
        <f t="shared" si="7"/>
        <v>0</v>
      </c>
      <c r="F112" s="1">
        <v>0.02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</row>
    <row r="113" spans="1:47" ht="14.4">
      <c r="A113" s="1" t="s">
        <v>3562</v>
      </c>
      <c r="B113" s="1" t="str">
        <f>IF(C113=0,"OK","FAIL")</f>
        <v>OK</v>
      </c>
      <c r="C113" s="13">
        <v>0</v>
      </c>
      <c r="D113" s="13">
        <v>0</v>
      </c>
      <c r="E113" s="22">
        <f t="shared" si="7"/>
        <v>0</v>
      </c>
      <c r="F113" s="13">
        <v>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</row>
    <row r="114" spans="1:47" ht="14.4">
      <c r="A114" s="1" t="s">
        <v>3563</v>
      </c>
      <c r="B114" s="1" t="str">
        <f>IF(C114=0,"OK","FAIL")</f>
        <v>OK</v>
      </c>
      <c r="C114" s="13">
        <v>0</v>
      </c>
      <c r="D114" s="13">
        <v>0</v>
      </c>
      <c r="E114" s="22">
        <f t="shared" si="7"/>
        <v>0</v>
      </c>
      <c r="F114" s="13">
        <v>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</row>
    <row r="115" spans="1:47" ht="14.4">
      <c r="A115" s="1" t="s">
        <v>3564</v>
      </c>
      <c r="B115" s="1" t="str">
        <f>IF(C115=0,"OK","FAIL")</f>
        <v>OK</v>
      </c>
      <c r="C115" s="13">
        <v>0</v>
      </c>
      <c r="D115" s="13">
        <v>0</v>
      </c>
      <c r="E115" s="22">
        <f t="shared" si="7"/>
        <v>0</v>
      </c>
      <c r="F115" s="13">
        <v>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</row>
    <row r="116" spans="1:47" ht="14.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</row>
    <row r="117" spans="1:47" ht="14.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</row>
    <row r="118" spans="1:47" ht="14.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</row>
    <row r="119" spans="1:47" ht="14.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</row>
    <row r="120" spans="1:47" ht="14.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</row>
    <row r="121" spans="1:47" ht="14.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</row>
    <row r="122" spans="1:47" ht="14.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</row>
    <row r="123" spans="1:47" ht="14.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</row>
    <row r="124" spans="1:47" ht="14.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</row>
    <row r="125" spans="1:47" ht="14.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</row>
    <row r="126" spans="1:47" ht="14.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</row>
    <row r="127" spans="1:47" ht="14.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</row>
    <row r="128" spans="1:47" ht="14.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</row>
    <row r="129" spans="1:47" ht="14.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</row>
    <row r="130" spans="1:47" ht="14.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</row>
    <row r="131" spans="1:47" ht="14.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</row>
    <row r="132" spans="1:47" ht="14.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</row>
    <row r="133" spans="1:47" ht="14.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</row>
    <row r="134" spans="1:47" ht="14.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</row>
    <row r="135" spans="1:47" ht="14.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</row>
    <row r="136" spans="1:47" ht="14.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</row>
    <row r="137" spans="1:47" ht="14.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</row>
    <row r="138" spans="1:47" ht="14.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</row>
    <row r="139" spans="1:47" ht="14.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</row>
    <row r="140" spans="1:47" ht="14.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</row>
    <row r="141" spans="1:47" ht="14.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</row>
    <row r="142" spans="1:47" ht="14.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</row>
    <row r="143" spans="1:47" ht="14.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</row>
    <row r="144" spans="1:47" ht="14.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</row>
    <row r="145" spans="1:47" ht="14.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</row>
    <row r="146" spans="1:47" ht="14.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</row>
    <row r="147" spans="1:47" ht="14.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</row>
    <row r="148" spans="1:47" ht="14.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</row>
    <row r="149" spans="1:47" ht="14.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</row>
    <row r="150" spans="1:47" ht="14.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</row>
    <row r="151" spans="1:47" ht="14.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</row>
    <row r="152" spans="1:47" ht="14.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</row>
    <row r="153" spans="1:47" ht="14.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</row>
    <row r="154" spans="1:47" ht="14.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</row>
    <row r="155" spans="1:47" ht="14.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</row>
    <row r="156" spans="1:47" ht="14.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</row>
    <row r="157" spans="1:47" ht="14.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</row>
    <row r="158" spans="1:47" ht="14.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</row>
    <row r="159" spans="1:47" ht="14.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</row>
    <row r="160" spans="1:47" ht="14.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</row>
    <row r="161" spans="1:47" ht="14.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</row>
    <row r="162" spans="1:47" ht="14.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</row>
    <row r="163" spans="1:47" ht="14.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</row>
    <row r="164" spans="1:47" ht="14.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</row>
    <row r="165" spans="1:47" ht="14.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</row>
    <row r="166" spans="1:47" ht="14.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</row>
    <row r="167" spans="1:47" ht="14.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</row>
    <row r="168" spans="1:47" ht="14.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</row>
    <row r="169" spans="1:47" ht="14.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</row>
    <row r="170" spans="1:47" ht="14.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</row>
    <row r="171" spans="1:47" ht="14.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</row>
    <row r="172" spans="1:47" ht="14.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</row>
    <row r="173" spans="1:47" ht="14.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</row>
    <row r="174" spans="1:47" ht="14.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</row>
    <row r="175" spans="1:47" ht="14.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</row>
    <row r="176" spans="1:47" ht="14.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</row>
    <row r="177" spans="1:47" ht="14.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</row>
    <row r="178" spans="1:47" ht="14.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</row>
    <row r="179" spans="1:47" ht="14.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</row>
    <row r="180" spans="1:47" ht="14.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</row>
    <row r="181" spans="1:47" ht="14.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</row>
    <row r="182" spans="1:47" ht="14.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</row>
    <row r="183" spans="1:47" ht="14.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</row>
    <row r="184" spans="1:47" ht="14.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</row>
    <row r="185" spans="1:47" ht="14.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</row>
    <row r="186" spans="1:47" ht="14.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</row>
    <row r="187" spans="1:47" ht="14.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</row>
    <row r="188" spans="1:47" ht="14.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</row>
    <row r="189" spans="1:47" ht="14.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</row>
    <row r="190" spans="1:47" ht="14.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</row>
    <row r="191" spans="1:47" ht="14.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</row>
    <row r="192" spans="1:47" ht="14.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</row>
    <row r="193" spans="1:47" ht="14.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</row>
    <row r="194" spans="1:47" ht="14.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</row>
    <row r="195" spans="1:47" ht="14.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</row>
    <row r="196" spans="1:47" ht="14.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</row>
    <row r="197" spans="1:47" ht="14.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</row>
    <row r="198" spans="1:47" ht="14.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</row>
    <row r="199" spans="1:47" ht="14.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</row>
    <row r="200" spans="1:47" ht="14.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</row>
    <row r="201" spans="1:47" ht="14.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</row>
    <row r="202" spans="1:47" ht="14.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</row>
    <row r="203" spans="1:47" ht="14.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</row>
    <row r="204" spans="1:47" ht="14.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</row>
    <row r="205" spans="1:47" ht="14.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</row>
    <row r="206" spans="1:47" ht="14.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</row>
    <row r="207" spans="1:47" ht="14.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</row>
    <row r="208" spans="1:47" ht="14.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</row>
    <row r="209" spans="1:47" ht="14.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</row>
    <row r="210" spans="1:47" ht="14.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</row>
    <row r="211" spans="1:47" ht="14.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</row>
    <row r="212" spans="1:47" ht="14.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</row>
    <row r="213" spans="1:47" ht="14.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</row>
    <row r="214" spans="1:47" ht="14.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</row>
    <row r="215" spans="1:47" ht="14.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</row>
    <row r="216" spans="1:47" ht="14.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</row>
    <row r="217" spans="1:47" ht="14.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</row>
    <row r="218" spans="1:47" ht="14.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</row>
    <row r="219" spans="1:47" ht="14.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</row>
    <row r="220" spans="1:47" ht="14.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</row>
    <row r="221" spans="1:47" ht="14.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</row>
    <row r="222" spans="1:47" ht="14.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</row>
    <row r="223" spans="1:47" ht="14.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</row>
    <row r="224" spans="1:47" ht="14.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</row>
    <row r="225" spans="1:47" ht="14.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</row>
    <row r="226" spans="1:47" ht="14.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</row>
    <row r="227" spans="1:47" ht="14.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</row>
    <row r="228" spans="1:47" ht="14.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</row>
    <row r="229" spans="1:47" ht="14.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</row>
    <row r="230" spans="1:47" ht="14.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</row>
    <row r="231" spans="1:47" ht="14.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</row>
    <row r="232" spans="1:47" ht="14.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</row>
    <row r="233" spans="1:47" ht="14.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</row>
    <row r="234" spans="1:47" ht="14.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</row>
    <row r="235" spans="1:47" ht="14.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</row>
    <row r="236" spans="1:47" ht="14.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</row>
    <row r="237" spans="1:47" ht="14.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</row>
    <row r="238" spans="1:47" ht="14.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</row>
    <row r="239" spans="1:47" ht="14.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</row>
    <row r="240" spans="1:47" ht="14.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</row>
    <row r="241" spans="1:47" ht="14.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</row>
    <row r="242" spans="1:47" ht="14.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</row>
    <row r="243" spans="1:47" ht="14.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</row>
    <row r="244" spans="1:47" ht="14.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</row>
    <row r="245" spans="1:47" ht="14.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</row>
    <row r="246" spans="1:47" ht="14.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</row>
    <row r="247" spans="1:47" ht="14.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</row>
    <row r="248" spans="1:47" ht="14.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</row>
    <row r="249" spans="1:47" ht="14.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</row>
    <row r="250" spans="1:47" ht="14.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</row>
    <row r="251" spans="1:47" ht="14.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</row>
    <row r="252" spans="1:47" ht="14.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</row>
    <row r="253" spans="1:47" ht="14.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</row>
    <row r="254" spans="1:47" ht="14.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</row>
    <row r="255" spans="1:47" ht="14.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</row>
    <row r="256" spans="1:47" ht="14.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</row>
    <row r="257" spans="1:47" ht="14.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</row>
    <row r="258" spans="1:47" ht="14.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</row>
    <row r="259" spans="1:47" ht="14.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</row>
    <row r="260" spans="1:47" ht="14.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</row>
    <row r="261" spans="1:47" ht="14.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</row>
    <row r="262" spans="1:47" ht="14.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</row>
    <row r="263" spans="1:47" ht="14.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</row>
    <row r="264" spans="1:47" ht="14.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</row>
    <row r="265" spans="1:47" ht="14.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</row>
    <row r="266" spans="1:47" ht="14.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</row>
    <row r="267" spans="1:47" ht="14.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</row>
    <row r="268" spans="1:47" ht="14.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</row>
    <row r="269" spans="1:47" ht="14.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</row>
    <row r="270" spans="1:47" ht="14.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</row>
    <row r="271" spans="1:47" ht="14.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</row>
    <row r="272" spans="1:47" ht="14.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</row>
    <row r="273" spans="1:47" ht="14.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</row>
    <row r="274" spans="1:47" ht="14.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</row>
    <row r="275" spans="1:47" ht="14.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</row>
    <row r="276" spans="1:47" ht="14.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</row>
    <row r="277" spans="1:47" ht="14.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</row>
    <row r="278" spans="1:47" ht="14.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</row>
    <row r="279" spans="1:47" ht="14.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</row>
    <row r="280" spans="1:47" ht="14.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</row>
    <row r="281" spans="1:47" ht="14.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</row>
    <row r="282" spans="1:47" ht="14.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</row>
    <row r="283" spans="1:47" ht="14.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</row>
    <row r="284" spans="1:47" ht="14.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</row>
    <row r="285" spans="1:47" ht="14.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</row>
    <row r="286" spans="1:47" ht="14.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</row>
    <row r="287" spans="1:47" ht="14.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</row>
    <row r="288" spans="1:47" ht="14.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</row>
    <row r="289" spans="1:47" ht="14.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</row>
    <row r="290" spans="1:47" ht="14.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</row>
    <row r="291" spans="1:47" ht="14.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</row>
    <row r="292" spans="1:47" ht="14.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</row>
    <row r="293" spans="1:47" ht="14.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</row>
    <row r="294" spans="1:47" ht="14.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</row>
    <row r="295" spans="1:47" ht="14.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</row>
    <row r="296" spans="1:47" ht="14.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</row>
    <row r="297" spans="1:47" ht="14.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</row>
    <row r="298" spans="1:47" ht="14.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</row>
    <row r="299" spans="1:47" ht="14.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</row>
    <row r="300" spans="1:47" ht="14.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</row>
  </sheetData>
  <mergeCells count="2">
    <mergeCell ref="A1:F1"/>
    <mergeCell ref="A2:F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Cover</vt:lpstr>
      <vt:lpstr>Summary</vt:lpstr>
      <vt:lpstr>Sources</vt:lpstr>
      <vt:lpstr>Assumptions</vt:lpstr>
      <vt:lpstr>Raw Financials</vt:lpstr>
      <vt:lpstr>Raw Operating</vt:lpstr>
      <vt:lpstr>Quarterly P&amp;L</vt:lpstr>
      <vt:lpstr>Annual P&amp;L</vt:lpstr>
      <vt:lpstr>Annual Balance Sheet</vt:lpstr>
      <vt:lpstr>Annual Cash Flow</vt:lpstr>
      <vt:lpstr>BS Forecast Schedules</vt:lpstr>
      <vt:lpstr>Vertical Revenue</vt:lpstr>
      <vt:lpstr>Geography &amp; Currency</vt:lpstr>
      <vt:lpstr>Client Data</vt:lpstr>
      <vt:lpstr>Revenue Drivers</vt:lpstr>
      <vt:lpstr>WIPRO Prices</vt:lpstr>
      <vt:lpstr>Valuation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Anusha Kumar</cp:lastModifiedBy>
  <dcterms:created xsi:type="dcterms:W3CDTF">2026-08-28T06:49:32Z</dcterms:created>
  <dcterms:modified xsi:type="dcterms:W3CDTF">2026-08-28T06:49:33Z</dcterms:modified>
</cp:coreProperties>
</file>