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BE5D08F-7C00-42F7-ABDF-8FF7FE0BE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" sheetId="1" r:id="rId1"/>
    <sheet name="Assumptions" sheetId="2" r:id="rId2"/>
    <sheet name="Forecast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4" i="2" l="1"/>
  <c r="D75" i="2"/>
  <c r="D77" i="2"/>
  <c r="D79" i="2"/>
  <c r="D53" i="2"/>
  <c r="D70" i="2"/>
  <c r="D62" i="2"/>
  <c r="D69" i="2"/>
  <c r="H40" i="3"/>
  <c r="G40" i="3"/>
  <c r="F40" i="3"/>
  <c r="E40" i="3"/>
  <c r="D40" i="3"/>
  <c r="H34" i="3"/>
  <c r="G34" i="3"/>
  <c r="F34" i="3"/>
  <c r="E34" i="3"/>
  <c r="D34" i="3"/>
  <c r="H32" i="3"/>
  <c r="H44" i="3" s="1"/>
  <c r="E32" i="3"/>
  <c r="E44" i="3" s="1"/>
  <c r="D31" i="3"/>
  <c r="H30" i="3"/>
  <c r="G30" i="3"/>
  <c r="F30" i="3"/>
  <c r="E30" i="3"/>
  <c r="D30" i="3"/>
  <c r="E29" i="3"/>
  <c r="F29" i="3" s="1"/>
  <c r="D29" i="3"/>
  <c r="D25" i="3"/>
  <c r="D22" i="3"/>
  <c r="D21" i="3"/>
  <c r="E20" i="3"/>
  <c r="D20" i="3"/>
  <c r="H14" i="3"/>
  <c r="G14" i="3"/>
  <c r="F14" i="3"/>
  <c r="E14" i="3"/>
  <c r="F12" i="3"/>
  <c r="F13" i="3" s="1"/>
  <c r="E12" i="3"/>
  <c r="E21" i="3" s="1"/>
  <c r="D12" i="3"/>
  <c r="H9" i="3"/>
  <c r="G9" i="3"/>
  <c r="F9" i="3"/>
  <c r="E9" i="3"/>
  <c r="D9" i="3"/>
  <c r="H8" i="3"/>
  <c r="G8" i="3"/>
  <c r="E8" i="3"/>
  <c r="E13" i="3" s="1"/>
  <c r="D8" i="3"/>
  <c r="D13" i="3" s="1"/>
  <c r="H7" i="3"/>
  <c r="G7" i="3"/>
  <c r="G32" i="3" s="1"/>
  <c r="G44" i="3" s="1"/>
  <c r="F7" i="3"/>
  <c r="F8" i="3" s="1"/>
  <c r="E7" i="3"/>
  <c r="D7" i="3"/>
  <c r="D32" i="3" s="1"/>
  <c r="D44" i="3" s="1"/>
  <c r="D76" i="2"/>
  <c r="D67" i="2"/>
  <c r="D65" i="2"/>
  <c r="D63" i="2"/>
  <c r="D61" i="2"/>
  <c r="D59" i="2"/>
  <c r="D58" i="2"/>
  <c r="D60" i="2" s="1"/>
  <c r="D57" i="2"/>
  <c r="D56" i="2"/>
  <c r="D55" i="2"/>
  <c r="D52" i="2"/>
  <c r="D51" i="2"/>
  <c r="D26" i="2"/>
  <c r="D25" i="2"/>
  <c r="D23" i="2"/>
  <c r="D14" i="3" s="1"/>
  <c r="D22" i="2"/>
  <c r="D11" i="2"/>
  <c r="D9" i="2"/>
  <c r="D62" i="1" s="1"/>
  <c r="D6" i="2"/>
  <c r="I69" i="1"/>
  <c r="H69" i="1"/>
  <c r="G69" i="1"/>
  <c r="F69" i="1"/>
  <c r="E69" i="1"/>
  <c r="D36" i="1"/>
  <c r="D22" i="1"/>
  <c r="F19" i="3" l="1"/>
  <c r="F15" i="3"/>
  <c r="F18" i="3"/>
  <c r="D21" i="1"/>
  <c r="D64" i="2"/>
  <c r="D66" i="2" s="1"/>
  <c r="D18" i="3"/>
  <c r="D19" i="3"/>
  <c r="D15" i="3"/>
  <c r="F20" i="3"/>
  <c r="E22" i="3"/>
  <c r="E18" i="3"/>
  <c r="E19" i="3"/>
  <c r="E15" i="3"/>
  <c r="G29" i="3"/>
  <c r="F31" i="3"/>
  <c r="D33" i="3"/>
  <c r="D68" i="2"/>
  <c r="G12" i="3"/>
  <c r="E31" i="3"/>
  <c r="F32" i="3"/>
  <c r="F44" i="3" s="1"/>
  <c r="D42" i="3"/>
  <c r="D41" i="3"/>
  <c r="F21" i="3"/>
  <c r="D41" i="1"/>
  <c r="E16" i="3" l="1"/>
  <c r="E17" i="3"/>
  <c r="E23" i="3" s="1"/>
  <c r="D16" i="3"/>
  <c r="D17" i="3" s="1"/>
  <c r="D23" i="3" s="1"/>
  <c r="G20" i="3"/>
  <c r="F22" i="3"/>
  <c r="F33" i="3"/>
  <c r="F41" i="3"/>
  <c r="F42" i="3"/>
  <c r="F43" i="3" s="1"/>
  <c r="F16" i="3"/>
  <c r="F17" i="3"/>
  <c r="F23" i="3" s="1"/>
  <c r="G31" i="3"/>
  <c r="H29" i="3"/>
  <c r="H31" i="3" s="1"/>
  <c r="D72" i="2"/>
  <c r="D73" i="2"/>
  <c r="D38" i="3"/>
  <c r="D39" i="3"/>
  <c r="D35" i="3"/>
  <c r="D36" i="3"/>
  <c r="D43" i="3"/>
  <c r="E33" i="3"/>
  <c r="E41" i="3"/>
  <c r="E42" i="3"/>
  <c r="D12" i="2"/>
  <c r="D55" i="1"/>
  <c r="D56" i="1" s="1"/>
  <c r="D57" i="1" s="1"/>
  <c r="G21" i="3"/>
  <c r="H12" i="3"/>
  <c r="G13" i="3"/>
  <c r="H21" i="3" l="1"/>
  <c r="D13" i="1"/>
  <c r="H13" i="3"/>
  <c r="D37" i="3"/>
  <c r="D45" i="3" s="1"/>
  <c r="H41" i="3"/>
  <c r="H42" i="3"/>
  <c r="D29" i="1"/>
  <c r="H33" i="3"/>
  <c r="F39" i="3"/>
  <c r="F35" i="3"/>
  <c r="F36" i="3"/>
  <c r="F38" i="3"/>
  <c r="E39" i="3"/>
  <c r="E35" i="3"/>
  <c r="E37" i="3" s="1"/>
  <c r="E45" i="3" s="1"/>
  <c r="E36" i="3"/>
  <c r="E38" i="3"/>
  <c r="G15" i="3"/>
  <c r="G18" i="3"/>
  <c r="G19" i="3"/>
  <c r="D71" i="2"/>
  <c r="D78" i="2" s="1"/>
  <c r="G22" i="3"/>
  <c r="H20" i="3"/>
  <c r="E43" i="3"/>
  <c r="G41" i="3"/>
  <c r="G42" i="3"/>
  <c r="G33" i="3"/>
  <c r="D15" i="1" l="1"/>
  <c r="D14" i="1"/>
  <c r="D16" i="1"/>
  <c r="G43" i="3"/>
  <c r="D30" i="1"/>
  <c r="D31" i="1"/>
  <c r="D32" i="1"/>
  <c r="H22" i="3"/>
  <c r="H43" i="3"/>
  <c r="D6" i="1"/>
  <c r="G16" i="3"/>
  <c r="G17" i="3" s="1"/>
  <c r="G23" i="3" s="1"/>
  <c r="G35" i="3"/>
  <c r="G37" i="3" s="1"/>
  <c r="G45" i="3" s="1"/>
  <c r="G36" i="3"/>
  <c r="G38" i="3"/>
  <c r="G39" i="3"/>
  <c r="H35" i="3"/>
  <c r="H36" i="3"/>
  <c r="H38" i="3"/>
  <c r="H39" i="3"/>
  <c r="F37" i="3"/>
  <c r="F45" i="3" s="1"/>
  <c r="H15" i="3"/>
  <c r="H18" i="3"/>
  <c r="H19" i="3"/>
  <c r="H16" i="3" l="1"/>
  <c r="H17" i="3"/>
  <c r="H23" i="3" s="1"/>
  <c r="E24" i="3"/>
  <c r="D74" i="1"/>
  <c r="D73" i="1"/>
  <c r="D61" i="1"/>
  <c r="D37" i="1"/>
  <c r="D24" i="3"/>
  <c r="D46" i="3" s="1"/>
  <c r="D72" i="1"/>
  <c r="H24" i="3"/>
  <c r="D71" i="1"/>
  <c r="G24" i="3"/>
  <c r="G25" i="3" s="1"/>
  <c r="D70" i="1"/>
  <c r="F24" i="3"/>
  <c r="F25" i="3" s="1"/>
  <c r="D42" i="1"/>
  <c r="H37" i="3"/>
  <c r="H45" i="3" s="1"/>
  <c r="D33" i="1"/>
  <c r="D17" i="1"/>
  <c r="D18" i="1" s="1"/>
  <c r="H46" i="3" l="1"/>
  <c r="F46" i="3"/>
  <c r="D34" i="1"/>
  <c r="H25" i="3"/>
  <c r="D19" i="1"/>
  <c r="G46" i="3"/>
  <c r="E25" i="3"/>
  <c r="E46" i="3"/>
  <c r="D64" i="1"/>
  <c r="D28" i="1" l="1"/>
  <c r="D35" i="1" s="1"/>
  <c r="D38" i="1" s="1"/>
  <c r="D39" i="1" s="1"/>
  <c r="D40" i="1" s="1"/>
  <c r="D43" i="1" s="1"/>
  <c r="D44" i="1" s="1"/>
  <c r="D12" i="1"/>
  <c r="D20" i="1" s="1"/>
  <c r="D23" i="1" s="1"/>
  <c r="D24" i="1" l="1"/>
  <c r="K7" i="1" s="1"/>
  <c r="D48" i="1"/>
  <c r="D49" i="1" s="1"/>
  <c r="D51" i="1"/>
  <c r="K8" i="1"/>
  <c r="D63" i="1" l="1"/>
  <c r="D50" i="1"/>
  <c r="K9" i="1" s="1"/>
  <c r="K6" i="1"/>
  <c r="D69" i="1"/>
</calcChain>
</file>

<file path=xl/sharedStrings.xml><?xml version="1.0" encoding="utf-8"?>
<sst xmlns="http://schemas.openxmlformats.org/spreadsheetml/2006/main" count="409" uniqueCount="314">
  <si>
    <t>Persistent Systems DCF including Nagarro</t>
  </si>
  <si>
    <t>FY26–FY30 DCF. INR million except per-share values. Terminal value at 31 March 2030.</t>
  </si>
  <si>
    <t>INR WACC (derived)</t>
  </si>
  <si>
    <t>DCF fair value / share</t>
  </si>
  <si>
    <t>Terminal growth (Gordon method)</t>
  </si>
  <si>
    <t>Standalone / share</t>
  </si>
  <si>
    <t>Reference price (27 Oct 2026)</t>
  </si>
  <si>
    <t>Nagarro impact / share</t>
  </si>
  <si>
    <t>Upside / (downside)</t>
  </si>
  <si>
    <t>Persistent standalone</t>
  </si>
  <si>
    <t>PV of FY27E–FY30E FCFF</t>
  </si>
  <si>
    <t>Terminal revenue (FY31)</t>
  </si>
  <si>
    <t>Terminal NOPAT</t>
  </si>
  <si>
    <t>Terminal D&amp;A less capex</t>
  </si>
  <si>
    <t>Terminal incremental NWC</t>
  </si>
  <si>
    <t>Terminal FCFF (FY31)</t>
  </si>
  <si>
    <t>Terminal enterprise value at FY30</t>
  </si>
  <si>
    <t>PV of terminal enterprise value</t>
  </si>
  <si>
    <t>Persistent enterprise value</t>
  </si>
  <si>
    <t>Cash + investments + QIP gross proceeds</t>
  </si>
  <si>
    <t>Reported borrowings</t>
  </si>
  <si>
    <t>Persistent standalone equity value</t>
  </si>
  <si>
    <t>Persistent value / share at group WACC</t>
  </si>
  <si>
    <t>Nagarro transaction</t>
  </si>
  <si>
    <t>PV of post-closing FCFF (100%)</t>
  </si>
  <si>
    <t>Terminal revenue (100%)</t>
  </si>
  <si>
    <t>Terminal NOPAT (100%)</t>
  </si>
  <si>
    <t>Terminal D&amp;A less capex (100%)</t>
  </si>
  <si>
    <t>Terminal incremental NWC (100%)</t>
  </si>
  <si>
    <t>Terminal FCFF (100%)</t>
  </si>
  <si>
    <t>PV of terminal enterprise value (100%)</t>
  </si>
  <si>
    <t>Nagarro enterprise value (100%)</t>
  </si>
  <si>
    <t>Closing net debt proxy (EUR m)</t>
  </si>
  <si>
    <t>June 2026 balances held constant to assumed closing. Lease debt excluded.</t>
  </si>
  <si>
    <t>PV of closing net debt (INR m)</t>
  </si>
  <si>
    <t>Nagarro equity value (100%)</t>
  </si>
  <si>
    <t>Minority equity value excluded</t>
  </si>
  <si>
    <t>94.04% acquired; remaining minority retained. No squeeze-out cost assumed.</t>
  </si>
  <si>
    <t>Acquired equity value</t>
  </si>
  <si>
    <t>Cash consideration at closing</t>
  </si>
  <si>
    <t>PV of consideration and additional fees</t>
  </si>
  <si>
    <t>Full purchase price deducted once, independent of cash/debt funding mix.</t>
  </si>
  <si>
    <t>Net acquisition value to Persistent</t>
  </si>
  <si>
    <t>Acquisition impact per Persistent share</t>
  </si>
  <si>
    <t>Persistent including Nagarro</t>
  </si>
  <si>
    <t>Equity value including transaction</t>
  </si>
  <si>
    <t>DCF fair value per share</t>
  </si>
  <si>
    <t>Upside / (downside) to reference</t>
  </si>
  <si>
    <t>PV terminal share of operating EV</t>
  </si>
  <si>
    <t>Funding reconciliation at closing</t>
  </si>
  <si>
    <t>Illustrative new acquisition debt</t>
  </si>
  <si>
    <t>Planned new debt from WACC build. Consideration is deducted once; financing is shown for reconciliation.</t>
  </si>
  <si>
    <t>Illustrative cash funding</t>
  </si>
  <si>
    <t>Total funding less consideration</t>
  </si>
  <si>
    <t>Model checks</t>
  </si>
  <si>
    <t>WACC minus terminal growth</t>
  </si>
  <si>
    <t>Must be positive. Invalid WACC/growth makes valuation unavailable.</t>
  </si>
  <si>
    <t>Nagarro stake + minority - 100%</t>
  </si>
  <si>
    <t>Fair value bridge difference</t>
  </si>
  <si>
    <t>Future years with negative FCFF</t>
  </si>
  <si>
    <t>A nonzero count flags negative cash-flow periods for review.</t>
  </si>
  <si>
    <t>Fair value sensitivity (INR per share)</t>
  </si>
  <si>
    <t>Terminal growth across; WACC down</t>
  </si>
  <si>
    <t>Lease treatment: EBIT is after cash rent; D&amp;A and capex exclude leases. Lease debt is excluded.</t>
  </si>
  <si>
    <t>Persistent Sept-26 balances plus gross QIP proceeds; Nagarro June-26 balances are closing proxies.</t>
  </si>
  <si>
    <t>FY26 is Year 0. Only FY27E–FY30E FCFF is discounted, at periods 1–4. Terminal value is discounted at period 4.</t>
  </si>
  <si>
    <t>Discount anchor is a modeling convention. Inputs reflect October 2026 information, not a historical as-of valuation.</t>
  </si>
  <si>
    <t>Derived WACC and QIP/share-count calculations are in Assumptions rows 50–85.</t>
  </si>
  <si>
    <t>Assumptions</t>
  </si>
  <si>
    <t>Blue / yellow cells are editable analyst assumptions. Forecasts are not company guidance.</t>
  </si>
  <si>
    <t>Discounting anchor</t>
  </si>
  <si>
    <t>Derived from FY26 discount period. Uses updated inputs, not a historical valuation</t>
  </si>
  <si>
    <t>Expected Nagarro closing</t>
  </si>
  <si>
    <t>Assumed last day of announced Q1 CY27 closing window</t>
  </si>
  <si>
    <t>Nagarro included (1 / 0)</t>
  </si>
  <si>
    <t>1 includes transaction, cash flows and consideration together</t>
  </si>
  <si>
    <t>Ownership acquired</t>
  </si>
  <si>
    <t>Secured 94.04%; no squeeze-out assumed</t>
  </si>
  <si>
    <t>EUR / INR</t>
  </si>
  <si>
    <t>Analyst FX assumption, held flat. Not a live FX quote</t>
  </si>
  <si>
    <t>Diluted shares (million)</t>
  </si>
  <si>
    <t>Q2 diluted proxy plus issued shares since September, including QIP</t>
  </si>
  <si>
    <t>Acquisition debt funding share</t>
  </si>
  <si>
    <t>Derived planned new debt / consideration; links to financing inputs in the WACC build.</t>
  </si>
  <si>
    <t>Additional transaction fees (INR m)</t>
  </si>
  <si>
    <t>Future incremental cost assumption; reported prior costs are sunk</t>
  </si>
  <si>
    <t>Investment value / book</t>
  </si>
  <si>
    <t>Book value proxy for current and non-current investments</t>
  </si>
  <si>
    <t>Persistent normalized opening NWC</t>
  </si>
  <si>
    <t>20% of FY25 revenue. Analyst proxy, not audited NWC</t>
  </si>
  <si>
    <t>Nagarro normalized opening NWC</t>
  </si>
  <si>
    <t>20% of closing annualized revenue. Acquired NWC is in purchase price</t>
  </si>
  <si>
    <t>FY26 discount period (0 / 1)</t>
  </si>
  <si>
    <t>0 = FY26 base year; FY27–FY30 discounted at periods 1–4. 1 includes FY26 as period 1</t>
  </si>
  <si>
    <t>Forecast assumptions</t>
  </si>
  <si>
    <t>FY26A / norm</t>
  </si>
  <si>
    <t>FY27E</t>
  </si>
  <si>
    <t>FY28E</t>
  </si>
  <si>
    <t>FY29E</t>
  </si>
  <si>
    <t>FY30E</t>
  </si>
  <si>
    <t>Revenue growth / FY27 Q2 uplift</t>
  </si>
  <si>
    <t>Persistent EBIT margin after rent</t>
  </si>
  <si>
    <t>Persistent cash tax rate</t>
  </si>
  <si>
    <t>Persistent non-lease D&amp;A / sales</t>
  </si>
  <si>
    <t>Persistent cash capex / sales</t>
  </si>
  <si>
    <t>Persistent NWC / annual sales</t>
  </si>
  <si>
    <t>Nagarro EUR revenue growth</t>
  </si>
  <si>
    <t>Nagarro EBIT margin after rent</t>
  </si>
  <si>
    <t>Nagarro cash tax rate</t>
  </si>
  <si>
    <t>Nagarro non-lease D&amp;A / sales</t>
  </si>
  <si>
    <t>Nagarro cash capex / sales</t>
  </si>
  <si>
    <t>Nagarro NWC / annual sales</t>
  </si>
  <si>
    <t>Synergy EBIT / Nagarro sales</t>
  </si>
  <si>
    <t>Integration cash costs (INR m)</t>
  </si>
  <si>
    <t>FY26 uses reported revenue, EBIT after cash rent, non-lease D&amp;A and capex; tax and NWC are normalized.</t>
  </si>
  <si>
    <t>Nagarro FY27 run-rate grows H1 CY26 annualized revenue for 9 months to March 2027.</t>
  </si>
  <si>
    <t>Margins are analyst estimates after cash rent. Non-lease D&amp;A is added back; leases stay outside net debt.</t>
  </si>
  <si>
    <t>Synergies default to zero. Integration costs receive no tax shield. Calendar-year Nagarro is mapped to March fiscal years.</t>
  </si>
  <si>
    <t>Nagarro cash, debt and outstanding shares at June 2026 are held constant as closing proxies.</t>
  </si>
  <si>
    <t>FY27 revenue = annualized Q2 FY27 revenue x (1 + 4% uplift). FY28–FY30 use annual revenue growth.</t>
  </si>
  <si>
    <t>INR WACC derivation (October 2026 inputs)</t>
  </si>
  <si>
    <t>India 10Y government yield</t>
  </si>
  <si>
    <t>Less: sovereign default spread</t>
  </si>
  <si>
    <t>Default-free INR risk-free rate</t>
  </si>
  <si>
    <t>Government yield less default spread avoids embedding sovereign default risk twice.</t>
  </si>
  <si>
    <t>India total equity risk premium</t>
  </si>
  <si>
    <t>Total India ERP used as a conservative listing-country proxy; no extra country premium added.</t>
  </si>
  <si>
    <t>Unlevered cash-adjusted industry beta</t>
  </si>
  <si>
    <t>Industry proxy for both IT services businesses, not a Persistent share-price regression.</t>
  </si>
  <si>
    <t>Marginal tax rate for debt shield</t>
  </si>
  <si>
    <t>INR pre-tax cost of debt proxy</t>
  </si>
  <si>
    <t>AA+ market average; maturities and issuers differ. Final Persistent refinancing coupon is not disclosed.</t>
  </si>
  <si>
    <t>QIP new shares (million)</t>
  </si>
  <si>
    <t>QIP issue price (INR)</t>
  </si>
  <si>
    <t>QIP gross cash proceeds (INR m)</t>
  </si>
  <si>
    <t>Gross QIP proceeds added to cash. Issue expenses were not available; gross proceeds are the proxy.</t>
  </si>
  <si>
    <t>Post-QIP common shares (million)</t>
  </si>
  <si>
    <t>Implied QIP INR / USD conversion</t>
  </si>
  <si>
    <t>Planning conversion implied by INR QIP gross proceeds / USD450m; not a spot FX quote.</t>
  </si>
  <si>
    <t>Planned new acquisition debt (USD m)</t>
  </si>
  <si>
    <t>New acquisition debt (INR m)</t>
  </si>
  <si>
    <t>Nagarro existing borrowings (INR m)</t>
  </si>
  <si>
    <t>Pro forma gross debt (excludes leases)</t>
  </si>
  <si>
    <t>Forward debt plan used as target financing proxy. Cash does not offset debt in WACC weights.</t>
  </si>
  <si>
    <t>Parent market equity (INR m)</t>
  </si>
  <si>
    <t>Minority equity proxy (INR m)</t>
  </si>
  <si>
    <t>Minority shares valued at EUR81 offer price. Ke and weights include full consolidated debt and minority equity.</t>
  </si>
  <si>
    <t>Total market equity including minority</t>
  </si>
  <si>
    <t>Total capital at market-value proxies</t>
  </si>
  <si>
    <t>Debt weight</t>
  </si>
  <si>
    <t>Equity weight</t>
  </si>
  <si>
    <t>Debt / equity</t>
  </si>
  <si>
    <t>Relevered equity beta</t>
  </si>
  <si>
    <t>Hamada: asset beta x [1 + (1 - marginal tax) x debt/equity].</t>
  </si>
  <si>
    <t>CAPM cost of equity</t>
  </si>
  <si>
    <t>Default-free INR rate + relevered beta x India total ERP.</t>
  </si>
  <si>
    <t>After-tax cost of debt</t>
  </si>
  <si>
    <t>Equity contribution to WACC</t>
  </si>
  <si>
    <t>Debt contribution to WACC</t>
  </si>
  <si>
    <t>Derived INR WACC</t>
  </si>
  <si>
    <t>Ke x equity weight + Kd x (1 - marginal tax) x debt weight.</t>
  </si>
  <si>
    <t>Constant pro forma capital mix is used across FY27–FY30 and the terminal value; no deleveraging path is assumed.</t>
  </si>
  <si>
    <t>AA+ rating: Crisil, 21 October 2026. Management discussed 5–6% net financing cost without a currency/tax bridge.</t>
  </si>
  <si>
    <t>The 5–6% management range is not treated as an INR pre-tax coupon. All forecast FCFF assumptions remain unchanged.</t>
  </si>
  <si>
    <t>India ERP, US sector beta, tax shield jurisdiction and constant capital mix remain valuation-method choices.</t>
  </si>
  <si>
    <t>Forecast</t>
  </si>
  <si>
    <t>FY26–FY30 only. INR million. FY26 reported operating inputs with normalized tax and NWC.</t>
  </si>
  <si>
    <t>Fiscal year end</t>
  </si>
  <si>
    <t>Fiscal year start</t>
  </si>
  <si>
    <t>Persistent operating years</t>
  </si>
  <si>
    <t>Discount period</t>
  </si>
  <si>
    <t>Annual revenue</t>
  </si>
  <si>
    <t>Revenue used for cash flows</t>
  </si>
  <si>
    <t>EBIT margin after cash rent</t>
  </si>
  <si>
    <t>Operating EBIT</t>
  </si>
  <si>
    <t>Unlevered normalized cash tax</t>
  </si>
  <si>
    <t>NOPAT</t>
  </si>
  <si>
    <t>Non-lease D&amp;A</t>
  </si>
  <si>
    <t>Cash capex</t>
  </si>
  <si>
    <t>Opening normalized NWC</t>
  </si>
  <si>
    <t>Closing normalized NWC</t>
  </si>
  <si>
    <t>Increase / (release) in NWC</t>
  </si>
  <si>
    <t>Persistent FCFF</t>
  </si>
  <si>
    <t>Discount factor</t>
  </si>
  <si>
    <t>Present value of FCFF</t>
  </si>
  <si>
    <t>Nagarro including integration</t>
  </si>
  <si>
    <t>Annual revenue run-rate (EUR m)</t>
  </si>
  <si>
    <t>INR per EUR</t>
  </si>
  <si>
    <t>Annual revenue run-rate (INR m)</t>
  </si>
  <si>
    <t>Post-closing operating years</t>
  </si>
  <si>
    <t>Post-closing revenue</t>
  </si>
  <si>
    <t>Synergy EBIT</t>
  </si>
  <si>
    <t>NOPAT including synergies</t>
  </si>
  <si>
    <t>Prior NWC / sales assumption</t>
  </si>
  <si>
    <t>Prior annualized NWC proxy</t>
  </si>
  <si>
    <t>Current annualized NWC proxy</t>
  </si>
  <si>
    <t>Incremental NWC investment</t>
  </si>
  <si>
    <t>Integration cash cost</t>
  </si>
  <si>
    <t>Nagarro FCFF (100%)</t>
  </si>
  <si>
    <t>Acquired opening NWC is part of the purchase consideration; only incremental post-closing NWC is charged.</t>
  </si>
  <si>
    <t>Cash rent is included in EBIT margins. Lease liabilities and ROU additions are excluded from this operating-lease approach.</t>
  </si>
  <si>
    <t>Sources</t>
  </si>
  <si>
    <t>Reported input</t>
  </si>
  <si>
    <t>Value</t>
  </si>
  <si>
    <t>Units</t>
  </si>
  <si>
    <t>Period</t>
  </si>
  <si>
    <t>Location / basis</t>
  </si>
  <si>
    <t>Source URL</t>
  </si>
  <si>
    <t>Persistent Q2 revenue</t>
  </si>
  <si>
    <t>INR m</t>
  </si>
  <si>
    <t>30-Sep-26</t>
  </si>
  <si>
    <t>Consolidated FS, p6</t>
  </si>
  <si>
    <t>https://www.persistent.com/wp-content/uploads/2026/10/Consolidated-Financial-Statements-Q2FY27.pdf</t>
  </si>
  <si>
    <t>Persistent H1 revenue</t>
  </si>
  <si>
    <t>Persistent cash</t>
  </si>
  <si>
    <t>Consolidated FS, p5</t>
  </si>
  <si>
    <t>Persistent current investments</t>
  </si>
  <si>
    <t>Persistent non-current investments</t>
  </si>
  <si>
    <t>Consolidated FS, p5. Book value proxy</t>
  </si>
  <si>
    <t>Persistent borrowings</t>
  </si>
  <si>
    <t>No borrowings line on reported balance sheet</t>
  </si>
  <si>
    <t>Persistent diluted shares</t>
  </si>
  <si>
    <t>million</t>
  </si>
  <si>
    <t>Q2 FY27</t>
  </si>
  <si>
    <t>Consolidated FS, p51. Weighted diluted proxy</t>
  </si>
  <si>
    <t>Persistent operating EBIT</t>
  </si>
  <si>
    <t>Presentation, p38. Before acquisition exceptional expense</t>
  </si>
  <si>
    <t>https://www.persistent.com/wp-content/uploads/2026/10/analyst-presentation-and-factsheet-q2fy27.pdf</t>
  </si>
  <si>
    <t>Nagarro H1 revenue</t>
  </si>
  <si>
    <t>EUR m</t>
  </si>
  <si>
    <t>30-Jun-26</t>
  </si>
  <si>
    <t>H1 report, p3. Converted from EUR thousands</t>
  </si>
  <si>
    <t>https://www.nagarro.com/hubfs/Investors/InvestorDocuments/H1-Q2-2026/Nagarro%20SE_H1%202026_EN.pdf?hsLang=en</t>
  </si>
  <si>
    <t>Nagarro cash</t>
  </si>
  <si>
    <t>H1 report, p57</t>
  </si>
  <si>
    <t>Nagarro borrowings</t>
  </si>
  <si>
    <t>Nagarro acquisition liabilities</t>
  </si>
  <si>
    <t>H1 report, p21. Current 2.988 + non-current 5.964</t>
  </si>
  <si>
    <t>Nagarro factoring liability</t>
  </si>
  <si>
    <t>H1 report, p32</t>
  </si>
  <si>
    <t>Nagarro shares excluding treasury</t>
  </si>
  <si>
    <t>H1 report, p44. Outstanding share proxy at closing</t>
  </si>
  <si>
    <t>Offer consideration per share</t>
  </si>
  <si>
    <t>EUR</t>
  </si>
  <si>
    <t>26-Jun-26</t>
  </si>
  <si>
    <t>All-cash offer</t>
  </si>
  <si>
    <t>https://www.persistent.com/persistent-and-nagarro-sign-business-combination-agreement/</t>
  </si>
  <si>
    <t>Secured stake</t>
  </si>
  <si>
    <t>fraction</t>
  </si>
  <si>
    <t>09-Oct-26</t>
  </si>
  <si>
    <t>Not yet closed. Excludes treasury</t>
  </si>
  <si>
    <t>https://www.persistent.com/media/press-releases/persistent-secures-strong-majority-stake/</t>
  </si>
  <si>
    <t>Reference share price</t>
  </si>
  <si>
    <t>INR</t>
  </si>
  <si>
    <t>27-Oct-26</t>
  </si>
  <si>
    <t>NSE quote, 15:52 IST. Third-party reference</t>
  </si>
  <si>
    <t>https://upstox.com/stocks/persistent-systems-ltd-share-price/</t>
  </si>
  <si>
    <t>Persistent FY26 revenue</t>
  </si>
  <si>
    <t>FY26</t>
  </si>
  <si>
    <t>Audited P&amp;L</t>
  </si>
  <si>
    <t>https://www.persistent.com/wp-content/uploads/2026/04/Consolidated-Financial-Statements-FY2025-26.pdf</t>
  </si>
  <si>
    <t>Persistent FY25 revenue</t>
  </si>
  <si>
    <t>FY25</t>
  </si>
  <si>
    <t>Audited comparative P&amp;L</t>
  </si>
  <si>
    <t>Persistent FY26 operating EBIT</t>
  </si>
  <si>
    <t>PBT + finance costs - other income, after exceptional labour cost</t>
  </si>
  <si>
    <t>Persistent FY26 total D&amp;A</t>
  </si>
  <si>
    <t>Persistent FY26 ROU depreciation</t>
  </si>
  <si>
    <t>Note 5.3</t>
  </si>
  <si>
    <t>Persistent FY26 lease principal</t>
  </si>
  <si>
    <t>Audited cash flow statement</t>
  </si>
  <si>
    <t>Persistent FY26 lease interest</t>
  </si>
  <si>
    <t>Persistent FY26 cash capex</t>
  </si>
  <si>
    <t>Government yield, not default-free risk-free rate</t>
  </si>
  <si>
    <t>https://tradingeconomics.com/india/government-bond-yield</t>
  </si>
  <si>
    <t>India sovereign default spread</t>
  </si>
  <si>
    <t>05-Jan-26</t>
  </si>
  <si>
    <t>Damodaran, India Baa3. Deduct from government yield</t>
  </si>
  <si>
    <t>https://pages.stern.nyu.edu/~adamodar/New_Home_Page/datafile/ctryprem.html</t>
  </si>
  <si>
    <t>Damodaran India ERP, already includes country equity risk</t>
  </si>
  <si>
    <t>Computer Services asset beta</t>
  </si>
  <si>
    <t>beta</t>
  </si>
  <si>
    <t>Jan-26</t>
  </si>
  <si>
    <t>US industry, 64 firms. Unlevered beta corrected for cash</t>
  </si>
  <si>
    <t>https://pages.stern.nyu.edu/~adamodar/New_Home_Page/datafile/Betas.html</t>
  </si>
  <si>
    <t>AA+ INR debt yield proxy</t>
  </si>
  <si>
    <t>25-Oct-26</t>
  </si>
  <si>
    <t>RightBonds AA+ average. Mixed issuers/tenors; not Persistent coupon</t>
  </si>
  <si>
    <t>https://rightbonds.com/guides/high-yield-bonds-india/</t>
  </si>
  <si>
    <t>Indian concessional corporate tax</t>
  </si>
  <si>
    <t>AY 2026-27</t>
  </si>
  <si>
    <t>115BAA base rate; marginal debt tax-shield proxy</t>
  </si>
  <si>
    <t>https://www.incometax.gov.in/iec/foportal/help/company/return-applicable</t>
  </si>
  <si>
    <t>Corporate tax surcharge</t>
  </si>
  <si>
    <t>115BAA surcharge</t>
  </si>
  <si>
    <t>Corporate tax cess</t>
  </si>
  <si>
    <t>Health and education cess on tax plus surcharge</t>
  </si>
  <si>
    <t>Planned acquisition borrowing</t>
  </si>
  <si>
    <t>USD m</t>
  </si>
  <si>
    <t>21-Oct-26</t>
  </si>
  <si>
    <t>Crisil financing plan. Not a confirmed drawn balance</t>
  </si>
  <si>
    <t>https://www.crisil.com/mnt/winshare/Ratings/RatingList/RatingDocs/PersistentSystemsLimited_October%2021_%202026_RR_407287.html</t>
  </si>
  <si>
    <t>QIP USD funding reference</t>
  </si>
  <si>
    <t>Management financing plan. Implied QIP INR/USD planning conversion</t>
  </si>
  <si>
    <t>https://www.persistent.com/wp-content/uploads/2026/10/Analyst-Call-Transcript-Q2FY27.pdf</t>
  </si>
  <si>
    <t>QIP new shares</t>
  </si>
  <si>
    <t>26-Oct-26</t>
  </si>
  <si>
    <t>NSE allotment filing, pp1–2</t>
  </si>
  <si>
    <t>https://nsearchives.nseindia.com/corporate/PERSISTENTUSER1_26102026232529_PersistentSEOutcomeAllotmentofsharesOct262026IIFLSigned.pdf</t>
  </si>
  <si>
    <t>QIP issue price</t>
  </si>
  <si>
    <t>Post-QIP issued common shares</t>
  </si>
  <si>
    <t>NSE allotment filing, p1</t>
  </si>
  <si>
    <t>September issued common shares</t>
  </si>
  <si>
    <t>Q2 FY27 FS. Share capital INR788.75m / face value INR5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</si>
</sst>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0.0%;\(0.0%\);&quot;-&quot;"/>
    <numFmt numFmtId="166" formatCode="#,##0;\(#,##0\);&quot;-&quot;"/>
    <numFmt numFmtId="167" formatCode="0.000"/>
    <numFmt numFmtId="168" formatCode="0.0000"/>
    <numFmt numFmtId="169" formatCode="&quot;₹&quot;#,##0.00;\(&quot;₹&quot;#,##0.00\);&quot;-&quot;"/>
    <numFmt numFmtId="170" formatCode=";;;"/>
  </numFmts>
  <fonts count="18">
    <font>
      <sz val="11"/>
      <name val="Carlito"/>
    </font>
    <font>
      <sz val="10"/>
      <name val="Arial"/>
      <family val="2"/>
    </font>
    <font>
      <b/>
      <sz val="16"/>
      <color rgb="FF17365D"/>
      <name val="Arial"/>
      <family val="2"/>
    </font>
    <font>
      <b/>
      <sz val="10"/>
      <color rgb="FFFFFFFF"/>
      <name val="Arial"/>
      <family val="2"/>
    </font>
    <font>
      <sz val="10"/>
      <color rgb="FF2458A6"/>
      <name val="Arial"/>
      <family val="2"/>
    </font>
    <font>
      <sz val="10"/>
      <color rgb="FF00804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i/>
      <sz val="10"/>
      <color rgb="FF2458A6"/>
      <name val="Arial"/>
      <family val="2"/>
    </font>
    <font>
      <sz val="10"/>
      <name val="Arial"/>
      <family val="2"/>
    </font>
    <font>
      <sz val="10"/>
      <color rgb="FF2458A6"/>
      <name val="Arial"/>
      <family val="2"/>
    </font>
    <font>
      <i/>
      <sz val="10"/>
      <color rgb="FF00804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008040"/>
      <name val="Arial"/>
      <family val="2"/>
    </font>
    <font>
      <sz val="10"/>
      <color rgb="FF17365D"/>
      <name val="Arial"/>
      <family val="2"/>
    </font>
    <font>
      <b/>
      <sz val="10"/>
      <color rgb="FF17365D"/>
      <name val="Arial"/>
      <family val="2"/>
    </font>
    <font>
      <b/>
      <sz val="14"/>
      <color rgb="FF17365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 style="thin">
        <color rgb="FFA3B1BF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5" fontId="4" fillId="0" borderId="0" xfId="0" applyNumberFormat="1" applyFont="1" applyAlignment="1">
      <alignment vertical="center"/>
    </xf>
    <xf numFmtId="15" fontId="4" fillId="3" borderId="0" xfId="0" applyNumberFormat="1" applyFont="1" applyFill="1" applyAlignment="1">
      <alignment vertical="center"/>
    </xf>
    <xf numFmtId="1" fontId="4" fillId="3" borderId="0" xfId="0" applyNumberFormat="1" applyFont="1" applyFill="1" applyAlignment="1">
      <alignment vertical="center"/>
    </xf>
    <xf numFmtId="2" fontId="4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6" fontId="4" fillId="3" borderId="0" xfId="0" applyNumberFormat="1" applyFont="1" applyFill="1" applyAlignment="1">
      <alignment vertical="center"/>
    </xf>
    <xf numFmtId="165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166" fontId="10" fillId="3" borderId="0" xfId="0" applyNumberFormat="1" applyFont="1" applyFill="1" applyAlignment="1">
      <alignment vertical="center"/>
    </xf>
    <xf numFmtId="165" fontId="11" fillId="3" borderId="0" xfId="0" applyNumberFormat="1" applyFont="1" applyFill="1" applyAlignment="1">
      <alignment vertical="center"/>
    </xf>
    <xf numFmtId="10" fontId="5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65" fontId="5" fillId="4" borderId="0" xfId="0" applyNumberFormat="1" applyFont="1" applyFill="1" applyAlignment="1">
      <alignment vertical="center"/>
    </xf>
    <xf numFmtId="168" fontId="5" fillId="0" borderId="0" xfId="0" applyNumberFormat="1" applyFont="1" applyAlignment="1">
      <alignment vertical="center"/>
    </xf>
    <xf numFmtId="0" fontId="12" fillId="0" borderId="2" xfId="0" applyFont="1" applyBorder="1" applyAlignment="1">
      <alignment vertical="center"/>
    </xf>
    <xf numFmtId="10" fontId="13" fillId="0" borderId="2" xfId="0" applyNumberFormat="1" applyFont="1" applyBorder="1" applyAlignment="1">
      <alignment vertical="center"/>
    </xf>
    <xf numFmtId="166" fontId="13" fillId="0" borderId="2" xfId="0" applyNumberFormat="1" applyFont="1" applyBorder="1" applyAlignment="1">
      <alignment vertical="center"/>
    </xf>
    <xf numFmtId="167" fontId="13" fillId="0" borderId="2" xfId="0" applyNumberFormat="1" applyFont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10" fontId="13" fillId="4" borderId="2" xfId="0" applyNumberFormat="1" applyFont="1" applyFill="1" applyBorder="1" applyAlignment="1">
      <alignment vertical="center"/>
    </xf>
    <xf numFmtId="1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6" fontId="14" fillId="0" borderId="2" xfId="0" applyNumberFormat="1" applyFont="1" applyBorder="1" applyAlignment="1">
      <alignment vertical="center"/>
    </xf>
    <xf numFmtId="169" fontId="1" fillId="0" borderId="0" xfId="0" applyNumberFormat="1" applyFont="1" applyAlignment="1">
      <alignment vertical="center"/>
    </xf>
    <xf numFmtId="169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166" fontId="16" fillId="0" borderId="2" xfId="0" applyNumberFormat="1" applyFont="1" applyBorder="1" applyAlignment="1">
      <alignment vertical="center"/>
    </xf>
    <xf numFmtId="169" fontId="16" fillId="0" borderId="2" xfId="0" applyNumberFormat="1" applyFont="1" applyBorder="1" applyAlignment="1">
      <alignment vertical="center"/>
    </xf>
    <xf numFmtId="169" fontId="17" fillId="4" borderId="2" xfId="0" applyNumberFormat="1" applyFont="1" applyFill="1" applyBorder="1" applyAlignment="1">
      <alignment vertical="center"/>
    </xf>
    <xf numFmtId="165" fontId="16" fillId="5" borderId="0" xfId="0" applyNumberFormat="1" applyFont="1" applyFill="1" applyAlignment="1">
      <alignment vertical="center"/>
    </xf>
    <xf numFmtId="169" fontId="1" fillId="4" borderId="0" xfId="0" applyNumberFormat="1" applyFont="1" applyFill="1" applyAlignment="1">
      <alignment vertical="center"/>
    </xf>
    <xf numFmtId="170" fontId="15" fillId="0" borderId="0" xfId="0" applyNumberFormat="1" applyFont="1" applyAlignment="1">
      <alignment vertical="center"/>
    </xf>
    <xf numFmtId="10" fontId="15" fillId="5" borderId="0" xfId="0" applyNumberFormat="1" applyFont="1" applyFill="1" applyAlignment="1">
      <alignment vertical="center"/>
    </xf>
    <xf numFmtId="0" fontId="12" fillId="4" borderId="0" xfId="0" applyFont="1" applyFill="1" applyAlignment="1">
      <alignment vertical="center"/>
    </xf>
    <xf numFmtId="169" fontId="16" fillId="4" borderId="0" xfId="0" applyNumberFormat="1" applyFont="1" applyFill="1" applyAlignment="1">
      <alignment vertical="center"/>
    </xf>
    <xf numFmtId="10" fontId="15" fillId="4" borderId="0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R90"/>
  <sheetViews>
    <sheetView showGridLines="0" tabSelected="1" workbookViewId="0">
      <selection activeCell="D8" sqref="D8"/>
    </sheetView>
  </sheetViews>
  <sheetFormatPr defaultRowHeight="13.8"/>
  <cols>
    <col min="1" max="2" width="2" customWidth="1"/>
    <col min="3" max="3" width="43" customWidth="1"/>
    <col min="4" max="5" width="14" customWidth="1"/>
    <col min="6" max="6" width="20" customWidth="1"/>
    <col min="7" max="14" width="14" customWidth="1"/>
  </cols>
  <sheetData>
    <row r="1" spans="1:18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95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9.95" customHeight="1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</row>
    <row r="4" spans="1:18" ht="19.95" customHeight="1">
      <c r="A4" s="1"/>
      <c r="B4" s="1"/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5.05" customHeight="1">
      <c r="A6" s="1"/>
      <c r="B6" s="1"/>
      <c r="C6" s="1" t="s">
        <v>2</v>
      </c>
      <c r="D6" s="50">
        <f>Assumptions!D79</f>
        <v>0.1133061407333151</v>
      </c>
      <c r="E6" s="1"/>
      <c r="F6" s="1"/>
      <c r="G6" s="1"/>
      <c r="H6" s="48" t="s">
        <v>3</v>
      </c>
      <c r="I6" s="48"/>
      <c r="J6" s="48"/>
      <c r="K6" s="49">
        <f>D49</f>
        <v>5952.8930175001651</v>
      </c>
      <c r="L6" s="1"/>
      <c r="M6" s="1"/>
      <c r="N6" s="1"/>
      <c r="O6" s="1"/>
      <c r="P6" s="1"/>
      <c r="Q6" s="1"/>
      <c r="R6" s="1"/>
    </row>
    <row r="7" spans="1:18" ht="19.95" customHeight="1">
      <c r="A7" s="1"/>
      <c r="B7" s="1"/>
      <c r="C7" s="1" t="s">
        <v>4</v>
      </c>
      <c r="D7" s="11">
        <v>8.2500000000000004E-2</v>
      </c>
      <c r="E7" s="1"/>
      <c r="F7" s="1"/>
      <c r="G7" s="1"/>
      <c r="H7" s="1" t="s">
        <v>5</v>
      </c>
      <c r="I7" s="1"/>
      <c r="J7" s="1"/>
      <c r="K7" s="38">
        <f>D24</f>
        <v>5416.9909546153176</v>
      </c>
      <c r="L7" s="1"/>
      <c r="M7" s="1"/>
      <c r="N7" s="1"/>
      <c r="O7" s="1"/>
      <c r="P7" s="1"/>
      <c r="Q7" s="1"/>
      <c r="R7" s="1"/>
    </row>
    <row r="8" spans="1:18" ht="19.95" customHeight="1">
      <c r="A8" s="1"/>
      <c r="B8" s="1"/>
      <c r="C8" s="1" t="s">
        <v>6</v>
      </c>
      <c r="D8" s="38">
        <v>4877.2</v>
      </c>
      <c r="E8" s="1"/>
      <c r="F8" s="1"/>
      <c r="G8" s="1"/>
      <c r="H8" s="1" t="s">
        <v>7</v>
      </c>
      <c r="I8" s="1"/>
      <c r="J8" s="1"/>
      <c r="K8" s="38">
        <f>D44</f>
        <v>535.90206288484785</v>
      </c>
      <c r="L8" s="1"/>
      <c r="M8" s="1"/>
      <c r="N8" s="1"/>
      <c r="O8" s="1"/>
      <c r="P8" s="1"/>
      <c r="Q8" s="1"/>
      <c r="R8" s="1"/>
    </row>
    <row r="9" spans="1:18" ht="19.95" customHeight="1">
      <c r="A9" s="1"/>
      <c r="B9" s="1"/>
      <c r="C9" s="1"/>
      <c r="D9" s="1"/>
      <c r="E9" s="1"/>
      <c r="F9" s="1"/>
      <c r="G9" s="1"/>
      <c r="H9" s="1" t="s">
        <v>8</v>
      </c>
      <c r="I9" s="1"/>
      <c r="J9" s="1"/>
      <c r="K9" s="40">
        <f>D50</f>
        <v>0.2205554452350047</v>
      </c>
      <c r="L9" s="1"/>
      <c r="M9" s="1"/>
      <c r="N9" s="1"/>
      <c r="O9" s="1"/>
      <c r="P9" s="1"/>
      <c r="Q9" s="1"/>
      <c r="R9" s="1"/>
    </row>
    <row r="10" spans="1:18" ht="19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2.05" customHeight="1">
      <c r="A11" s="1"/>
      <c r="B11" s="1"/>
      <c r="C11" s="4" t="s">
        <v>9</v>
      </c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9.95" customHeight="1">
      <c r="A12" s="1"/>
      <c r="B12" s="1"/>
      <c r="C12" s="1" t="s">
        <v>10</v>
      </c>
      <c r="D12" s="39">
        <f>SUM(Forecast!D25:H25)</f>
        <v>65655.715366727047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9.95" customHeight="1">
      <c r="A13" s="1"/>
      <c r="B13" s="1"/>
      <c r="C13" s="1" t="s">
        <v>11</v>
      </c>
      <c r="D13" s="39">
        <f>Forecast!H12*(1+$D$7)</f>
        <v>319325.04623440508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9.95" customHeight="1">
      <c r="A14" s="1"/>
      <c r="B14" s="1"/>
      <c r="C14" s="1" t="s">
        <v>12</v>
      </c>
      <c r="D14" s="39">
        <f>D13*Assumptions!H23*(1-Assumptions!H24)</f>
        <v>41911.412318265662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9.95" customHeight="1">
      <c r="A15" s="1"/>
      <c r="B15" s="1"/>
      <c r="C15" s="1" t="s">
        <v>13</v>
      </c>
      <c r="D15" s="39">
        <f>D13*(Assumptions!H25-Assumptions!H26)</f>
        <v>-957.97513870321495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9.95" customHeight="1">
      <c r="A16" s="1"/>
      <c r="B16" s="1"/>
      <c r="C16" s="1" t="s">
        <v>14</v>
      </c>
      <c r="D16" s="39">
        <f>(D13-Forecast!H12)*Assumptions!H27</f>
        <v>4867.3101735498294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9.95" customHeight="1">
      <c r="A17" s="1"/>
      <c r="B17" s="1"/>
      <c r="C17" s="1" t="s">
        <v>15</v>
      </c>
      <c r="D17" s="39">
        <f>D14+D15-D16</f>
        <v>36086.127006012619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9.95" customHeight="1">
      <c r="A18" s="1"/>
      <c r="B18" s="1"/>
      <c r="C18" s="1" t="s">
        <v>16</v>
      </c>
      <c r="D18" s="39">
        <f>IF(D6&gt;D7,D17/(D6-D7),NA())</f>
        <v>1171393.954160169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9.95" customHeight="1">
      <c r="A19" s="1"/>
      <c r="B19" s="1"/>
      <c r="C19" s="1" t="s">
        <v>17</v>
      </c>
      <c r="D19" s="39">
        <f>D18*Forecast!H24</f>
        <v>762508.27303827391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2.05" customHeight="1">
      <c r="A20" s="1"/>
      <c r="B20" s="1"/>
      <c r="C20" s="28" t="s">
        <v>18</v>
      </c>
      <c r="D20" s="41">
        <f>D12+D19</f>
        <v>828163.988405001</v>
      </c>
      <c r="E20" s="28"/>
      <c r="F20" s="2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9.95" customHeight="1">
      <c r="A21" s="1"/>
      <c r="B21" s="1"/>
      <c r="C21" s="1" t="s">
        <v>19</v>
      </c>
      <c r="D21" s="39">
        <f>Sources!D8+SUM(Sources!D9:D10)*Assumptions!D14+Assumptions!D60</f>
        <v>72495.674549999996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9.95" customHeight="1">
      <c r="A22" s="1"/>
      <c r="B22" s="1"/>
      <c r="C22" s="1" t="s">
        <v>20</v>
      </c>
      <c r="D22" s="39">
        <f>Sources!D11</f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2.05" customHeight="1">
      <c r="A23" s="1"/>
      <c r="B23" s="1"/>
      <c r="C23" s="28" t="s">
        <v>21</v>
      </c>
      <c r="D23" s="41">
        <f>D20+D21-D22</f>
        <v>900659.662955001</v>
      </c>
      <c r="E23" s="28"/>
      <c r="F23" s="2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2.05" customHeight="1">
      <c r="A24" s="1"/>
      <c r="B24" s="1"/>
      <c r="C24" s="28" t="s">
        <v>22</v>
      </c>
      <c r="D24" s="42">
        <f>D23/Assumptions!D11</f>
        <v>5416.9909546153176</v>
      </c>
      <c r="E24" s="28"/>
      <c r="F24" s="2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9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2.05" customHeight="1">
      <c r="A27" s="1"/>
      <c r="B27" s="1"/>
      <c r="C27" s="4" t="s">
        <v>23</v>
      </c>
      <c r="D27" s="4"/>
      <c r="E27" s="4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9.95" customHeight="1">
      <c r="A28" s="1"/>
      <c r="B28" s="1"/>
      <c r="C28" s="1" t="s">
        <v>24</v>
      </c>
      <c r="D28" s="39">
        <f>SUM(Forecast!D46:H46)</f>
        <v>14961.365668920629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9.95" customHeight="1">
      <c r="A29" s="1"/>
      <c r="B29" s="1"/>
      <c r="C29" s="1" t="s">
        <v>25</v>
      </c>
      <c r="D29" s="39">
        <f>Forecast!H31*(1+$D$7)*Assumptions!D8</f>
        <v>139776.03430806726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9.95" customHeight="1">
      <c r="A30" s="1"/>
      <c r="B30" s="1"/>
      <c r="C30" s="1" t="s">
        <v>26</v>
      </c>
      <c r="D30" s="39">
        <f>D29*(Assumptions!H31+Assumptions!H38)*(1-Assumptions!H32)</f>
        <v>11573.455640707969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9.95" customHeight="1">
      <c r="A31" s="1"/>
      <c r="B31" s="1"/>
      <c r="C31" s="1" t="s">
        <v>27</v>
      </c>
      <c r="D31" s="39">
        <f>D29*(Assumptions!H33-Assumptions!H34)</f>
        <v>-419.32810292420169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9.95" customHeight="1">
      <c r="A32" s="1"/>
      <c r="B32" s="1"/>
      <c r="C32" s="1" t="s">
        <v>28</v>
      </c>
      <c r="D32" s="39">
        <f>(D29-Forecast!H31*Assumptions!D8)*Assumptions!H35</f>
        <v>2130.5353959197323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9.95" customHeight="1">
      <c r="A33" s="1"/>
      <c r="B33" s="1"/>
      <c r="C33" s="1" t="s">
        <v>29</v>
      </c>
      <c r="D33" s="39">
        <f>D30+D31-D32</f>
        <v>9023.5921418640337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9.95" customHeight="1">
      <c r="A34" s="1"/>
      <c r="B34" s="1"/>
      <c r="C34" s="1" t="s">
        <v>30</v>
      </c>
      <c r="D34" s="39">
        <f>IF(D6&gt;D7,D33/(D6-D7)*Forecast!H24,NA())</f>
        <v>190670.60478804095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2.05" customHeight="1">
      <c r="A35" s="1"/>
      <c r="B35" s="1"/>
      <c r="C35" s="28" t="s">
        <v>31</v>
      </c>
      <c r="D35" s="41">
        <f>D28+D34</f>
        <v>205631.97045696157</v>
      </c>
      <c r="E35" s="28"/>
      <c r="F35" s="2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9.95" customHeight="1">
      <c r="A36" s="1"/>
      <c r="B36" s="1"/>
      <c r="C36" s="1" t="s">
        <v>32</v>
      </c>
      <c r="D36" s="39">
        <f>SUM(Sources!D16:D18)-Sources!D15</f>
        <v>190.87899999999996</v>
      </c>
      <c r="E36" s="1"/>
      <c r="F36" s="1" t="s">
        <v>33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9.95" customHeight="1">
      <c r="A37" s="1"/>
      <c r="B37" s="1"/>
      <c r="C37" s="1" t="s">
        <v>34</v>
      </c>
      <c r="D37" s="39">
        <f>D36*Assumptions!D10*Assumptions!D8/(1+$D$6)^((Assumptions!D7-Assumptions!D6)/365)</f>
        <v>17659.596296711297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9.95" customHeight="1">
      <c r="A38" s="1"/>
      <c r="B38" s="1"/>
      <c r="C38" s="1" t="s">
        <v>35</v>
      </c>
      <c r="D38" s="39">
        <f>D35-D37</f>
        <v>187972.37416025027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9.95" customHeight="1">
      <c r="A39" s="1"/>
      <c r="B39" s="1"/>
      <c r="C39" s="1" t="s">
        <v>36</v>
      </c>
      <c r="D39" s="39">
        <f>D38*(1-Assumptions!D9)</f>
        <v>11203.153499950913</v>
      </c>
      <c r="E39" s="1"/>
      <c r="F39" s="1" t="s">
        <v>37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2.05" customHeight="1">
      <c r="A40" s="1"/>
      <c r="B40" s="1"/>
      <c r="C40" s="28" t="s">
        <v>38</v>
      </c>
      <c r="D40" s="41">
        <f>D38-D39</f>
        <v>176769.22066029935</v>
      </c>
      <c r="E40" s="28"/>
      <c r="F40" s="2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9.95" customHeight="1">
      <c r="A41" s="1"/>
      <c r="B41" s="1"/>
      <c r="C41" s="1" t="s">
        <v>39</v>
      </c>
      <c r="D41" s="39">
        <f>Sources!D19*Sources!D20*Assumptions!D9*Assumptions!D10*Assumptions!D8</f>
        <v>97100.322891080403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9.95" customHeight="1">
      <c r="A42" s="1"/>
      <c r="B42" s="1"/>
      <c r="C42" s="1" t="s">
        <v>40</v>
      </c>
      <c r="D42" s="39">
        <f>(D41+Assumptions!D13*Assumptions!D8)/(1+$D$6)^((Assumptions!D7-Assumptions!D6)/365)</f>
        <v>87667.10190495562</v>
      </c>
      <c r="E42" s="1"/>
      <c r="F42" s="1" t="s">
        <v>41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2.05" customHeight="1">
      <c r="A43" s="1"/>
      <c r="B43" s="1"/>
      <c r="C43" s="28" t="s">
        <v>42</v>
      </c>
      <c r="D43" s="41">
        <f>D40-D42</f>
        <v>89102.118755343734</v>
      </c>
      <c r="E43" s="28"/>
      <c r="F43" s="2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2.05" customHeight="1">
      <c r="A44" s="1"/>
      <c r="B44" s="1"/>
      <c r="C44" s="28" t="s">
        <v>43</v>
      </c>
      <c r="D44" s="42">
        <f>D43/Assumptions!D11</f>
        <v>535.90206288484785</v>
      </c>
      <c r="E44" s="28"/>
      <c r="F44" s="2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9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9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2.05" customHeight="1">
      <c r="A47" s="1"/>
      <c r="B47" s="1"/>
      <c r="C47" s="4" t="s">
        <v>44</v>
      </c>
      <c r="D47" s="4"/>
      <c r="E47" s="4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2.05" customHeight="1">
      <c r="A48" s="1"/>
      <c r="B48" s="1"/>
      <c r="C48" s="28" t="s">
        <v>45</v>
      </c>
      <c r="D48" s="41">
        <f>D23+D43</f>
        <v>989761.78171034472</v>
      </c>
      <c r="E48" s="28"/>
      <c r="F48" s="2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2.05" customHeight="1">
      <c r="A49" s="1"/>
      <c r="B49" s="1"/>
      <c r="C49" s="32" t="s">
        <v>46</v>
      </c>
      <c r="D49" s="43">
        <f>D48/Assumptions!D11</f>
        <v>5952.8930175001651</v>
      </c>
      <c r="E49" s="32"/>
      <c r="F49" s="3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9.95" customHeight="1">
      <c r="A50" s="1"/>
      <c r="B50" s="1"/>
      <c r="C50" s="1" t="s">
        <v>47</v>
      </c>
      <c r="D50" s="40">
        <f>D49/D8-1</f>
        <v>0.2205554452350047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9.95" customHeight="1">
      <c r="A51" s="1"/>
      <c r="B51" s="1"/>
      <c r="C51" s="1" t="s">
        <v>48</v>
      </c>
      <c r="D51" s="40">
        <f>(D19+D34)/(D20+D35)</f>
        <v>0.92201838250132684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9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9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2.05" customHeight="1">
      <c r="A54" s="1"/>
      <c r="B54" s="1"/>
      <c r="C54" s="4" t="s">
        <v>49</v>
      </c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9.95" customHeight="1">
      <c r="A55" s="1"/>
      <c r="B55" s="1"/>
      <c r="C55" s="1" t="s">
        <v>50</v>
      </c>
      <c r="D55" s="39">
        <f>D41*Assumptions!D12</f>
        <v>75815.279200000004</v>
      </c>
      <c r="E55" s="1"/>
      <c r="F55" s="1" t="s">
        <v>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9.95" customHeight="1">
      <c r="A56" s="1"/>
      <c r="B56" s="1"/>
      <c r="C56" s="1" t="s">
        <v>52</v>
      </c>
      <c r="D56" s="39">
        <f>D41-D55</f>
        <v>21285.043691080398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9.95" customHeight="1">
      <c r="A57" s="1"/>
      <c r="B57" s="1"/>
      <c r="C57" s="1" t="s">
        <v>53</v>
      </c>
      <c r="D57" s="39">
        <f>SUM(D55:D56)-D41</f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9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9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2.05" customHeight="1">
      <c r="A60" s="1"/>
      <c r="B60" s="1"/>
      <c r="C60" s="4" t="s">
        <v>54</v>
      </c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9.95" customHeight="1">
      <c r="A61" s="1"/>
      <c r="B61" s="1"/>
      <c r="C61" s="1" t="s">
        <v>55</v>
      </c>
      <c r="D61" s="40">
        <f>D6-D7</f>
        <v>3.0806140733315099E-2</v>
      </c>
      <c r="E61" s="1"/>
      <c r="F61" s="1" t="s">
        <v>56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9.95" customHeight="1">
      <c r="A62" s="1"/>
      <c r="B62" s="1"/>
      <c r="C62" s="1" t="s">
        <v>57</v>
      </c>
      <c r="D62" s="39">
        <f>Assumptions!D9+(1-Assumptions!D9)-1</f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9.95" customHeight="1">
      <c r="A63" s="1"/>
      <c r="B63" s="1"/>
      <c r="C63" s="1" t="s">
        <v>58</v>
      </c>
      <c r="D63" s="39">
        <f>D24+D44-D49</f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9.95" customHeight="1">
      <c r="A64" s="1"/>
      <c r="B64" s="1"/>
      <c r="C64" s="1" t="s">
        <v>59</v>
      </c>
      <c r="D64" s="39">
        <f>COUNTIF(Forecast!D23:H23,"&lt;0")+COUNTIF(Forecast!D45:H45,"&lt;0")</f>
        <v>0</v>
      </c>
      <c r="E64" s="1"/>
      <c r="F64" s="1" t="s">
        <v>60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9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9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2.05" customHeight="1">
      <c r="A67" s="1"/>
      <c r="B67" s="1"/>
      <c r="C67" s="4" t="s">
        <v>61</v>
      </c>
      <c r="D67" s="4"/>
      <c r="E67" s="4"/>
      <c r="F67" s="4"/>
      <c r="G67" s="4"/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</row>
    <row r="68" spans="1:18" ht="19.95" customHeight="1">
      <c r="A68" s="1"/>
      <c r="B68" s="1"/>
      <c r="C68" s="1" t="s">
        <v>62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9.95" customHeight="1">
      <c r="A69" s="1"/>
      <c r="B69" s="1"/>
      <c r="C69" s="1"/>
      <c r="D69" s="46">
        <f>D49</f>
        <v>5952.8930175001651</v>
      </c>
      <c r="E69" s="44">
        <f>$D$7+-0.01</f>
        <v>7.2500000000000009E-2</v>
      </c>
      <c r="F69" s="44">
        <f>$D$7+-0.005</f>
        <v>7.7499999999999999E-2</v>
      </c>
      <c r="G69" s="44">
        <f>$D$7+0</f>
        <v>8.2500000000000004E-2</v>
      </c>
      <c r="H69" s="44">
        <f>$D$7+0.005</f>
        <v>8.7500000000000008E-2</v>
      </c>
      <c r="I69" s="44">
        <f>$D$7+0.01</f>
        <v>9.2499999999999999E-2</v>
      </c>
      <c r="J69" s="1"/>
      <c r="K69" s="1"/>
      <c r="L69" s="1"/>
      <c r="M69" s="1"/>
      <c r="N69" s="1"/>
      <c r="O69" s="1"/>
      <c r="P69" s="1"/>
      <c r="Q69" s="1"/>
      <c r="R69" s="1"/>
    </row>
    <row r="70" spans="1:18" ht="19.95" customHeight="1">
      <c r="A70" s="1"/>
      <c r="B70" s="1"/>
      <c r="C70" s="1"/>
      <c r="D70" s="47">
        <f>$D$6+-0.02</f>
        <v>9.3306140733315099E-2</v>
      </c>
      <c r="E70" s="37">
        <f t="dataTable" ref="E70:I74" dt2D="1" dtr="0" r1="D7" r2="D6" ca="1"/>
        <v>9392.0516817754105</v>
      </c>
      <c r="F70" s="37">
        <v>7659.9827112223111</v>
      </c>
      <c r="G70" s="37">
        <v>7659.9827112223111</v>
      </c>
      <c r="H70" s="37">
        <v>9392.0516817754105</v>
      </c>
      <c r="I70" s="37">
        <v>17664.758232060929</v>
      </c>
      <c r="J70" s="1"/>
      <c r="K70" s="1"/>
      <c r="L70" s="1"/>
      <c r="M70" s="1"/>
      <c r="N70" s="1"/>
      <c r="O70" s="1"/>
      <c r="P70" s="1"/>
      <c r="Q70" s="1"/>
      <c r="R70" s="1"/>
    </row>
    <row r="71" spans="1:18" ht="19.95" customHeight="1">
      <c r="A71" s="1"/>
      <c r="B71" s="1"/>
      <c r="C71" s="1"/>
      <c r="D71" s="47">
        <f>$D$6+-0.01</f>
        <v>0.10330614073331511</v>
      </c>
      <c r="E71" s="37">
        <v>18466.662203303906</v>
      </c>
      <c r="F71" s="37">
        <v>12772.282701685583</v>
      </c>
      <c r="G71" s="37">
        <v>12772.282701685583</v>
      </c>
      <c r="H71" s="37">
        <v>18466.662203303906</v>
      </c>
      <c r="I71" s="37">
        <v>241768.02900398796</v>
      </c>
      <c r="J71" s="1"/>
      <c r="K71" s="1"/>
      <c r="L71" s="1"/>
      <c r="M71" s="1"/>
      <c r="N71" s="1"/>
      <c r="O71" s="1"/>
      <c r="P71" s="1"/>
      <c r="Q71" s="1"/>
      <c r="R71" s="1"/>
    </row>
    <row r="72" spans="1:18" ht="19.95" customHeight="1">
      <c r="A72" s="1"/>
      <c r="B72" s="1"/>
      <c r="C72" s="1"/>
      <c r="D72" s="47">
        <f>$D$6+0</f>
        <v>0.1133061407333151</v>
      </c>
      <c r="E72" s="37">
        <v>18466.662203303906</v>
      </c>
      <c r="F72" s="37">
        <v>12772.282701685583</v>
      </c>
      <c r="G72" s="45">
        <v>12772.282701685583</v>
      </c>
      <c r="H72" s="37">
        <v>18466.662203303906</v>
      </c>
      <c r="I72" s="37">
        <v>241768.02900398796</v>
      </c>
      <c r="J72" s="1"/>
      <c r="K72" s="1"/>
      <c r="L72" s="1"/>
      <c r="M72" s="1"/>
      <c r="N72" s="1"/>
      <c r="O72" s="1"/>
      <c r="P72" s="1"/>
      <c r="Q72" s="1"/>
      <c r="R72" s="1"/>
    </row>
    <row r="73" spans="1:18" ht="19.95" customHeight="1">
      <c r="A73" s="1"/>
      <c r="B73" s="1"/>
      <c r="C73" s="1"/>
      <c r="D73" s="47">
        <f>$D$6+0.01</f>
        <v>0.1233061407333151</v>
      </c>
      <c r="E73" s="37">
        <v>9392.0516817754105</v>
      </c>
      <c r="F73" s="37">
        <v>7659.9827112223111</v>
      </c>
      <c r="G73" s="37">
        <v>7659.9827112223111</v>
      </c>
      <c r="H73" s="37">
        <v>9392.0516817754105</v>
      </c>
      <c r="I73" s="37">
        <v>17664.758232060929</v>
      </c>
      <c r="J73" s="1"/>
      <c r="K73" s="1"/>
      <c r="L73" s="1"/>
      <c r="M73" s="1"/>
      <c r="N73" s="1"/>
      <c r="O73" s="1"/>
      <c r="P73" s="1"/>
      <c r="Q73" s="1"/>
      <c r="R73" s="1"/>
    </row>
    <row r="74" spans="1:18" ht="19.95" customHeight="1">
      <c r="A74" s="1"/>
      <c r="B74" s="1"/>
      <c r="C74" s="1"/>
      <c r="D74" s="47">
        <f>$D$6+0.02</f>
        <v>0.13330614073331509</v>
      </c>
      <c r="E74" s="37">
        <v>4599.0499087668431</v>
      </c>
      <c r="F74" s="37">
        <v>4143.7978326174334</v>
      </c>
      <c r="G74" s="37">
        <v>4143.7978326174334</v>
      </c>
      <c r="H74" s="37">
        <v>4599.0499087668431</v>
      </c>
      <c r="I74" s="37">
        <v>5952.8930175001651</v>
      </c>
      <c r="J74" s="1"/>
      <c r="K74" s="1"/>
      <c r="L74" s="1"/>
      <c r="M74" s="1"/>
      <c r="N74" s="1"/>
      <c r="O74" s="1"/>
      <c r="P74" s="1"/>
      <c r="Q74" s="1"/>
      <c r="R74" s="1"/>
    </row>
    <row r="75" spans="1:18" ht="19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9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9.95" customHeight="1">
      <c r="A77" s="1"/>
      <c r="B77" s="1"/>
      <c r="C77" s="1" t="s">
        <v>63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9.95" customHeight="1">
      <c r="A78" s="1"/>
      <c r="B78" s="1"/>
      <c r="C78" s="1" t="s">
        <v>64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9.95" customHeight="1">
      <c r="A79" s="1"/>
      <c r="B79" s="1"/>
      <c r="C79" s="1" t="s">
        <v>65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9.95" customHeight="1">
      <c r="A80" s="1"/>
      <c r="B80" s="1"/>
      <c r="C80" s="1" t="s">
        <v>66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9.95" customHeight="1">
      <c r="A81" s="1"/>
      <c r="B81" s="1"/>
      <c r="C81" s="1" t="s">
        <v>67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9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9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9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9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9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9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9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9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9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</sheetData>
  <conditionalFormatting sqref="D57">
    <cfRule type="cellIs" dxfId="2" priority="1" operator="notBetween">
      <formula>-0.01</formula>
      <formula>0.01</formula>
    </cfRule>
  </conditionalFormatting>
  <conditionalFormatting sqref="D61">
    <cfRule type="cellIs" dxfId="1" priority="4" operator="lessThanOrEqual">
      <formula>0</formula>
    </cfRule>
  </conditionalFormatting>
  <conditionalFormatting sqref="D62:D63">
    <cfRule type="cellIs" dxfId="0" priority="2" operator="notBetween">
      <formula>-0.01</formula>
      <formula>0.01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R90"/>
  <sheetViews>
    <sheetView showGridLines="0" topLeftCell="A71" workbookViewId="0">
      <selection activeCell="D62" sqref="D62"/>
    </sheetView>
  </sheetViews>
  <sheetFormatPr defaultRowHeight="13.8"/>
  <cols>
    <col min="1" max="2" width="2" customWidth="1"/>
    <col min="3" max="3" width="43" customWidth="1"/>
    <col min="4" max="14" width="14" customWidth="1"/>
  </cols>
  <sheetData>
    <row r="1" spans="1:18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95" customHeight="1">
      <c r="A2" s="1"/>
      <c r="B2" s="1"/>
      <c r="C2" s="2" t="s">
        <v>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9.95" customHeight="1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</row>
    <row r="4" spans="1:18" ht="19.95" customHeight="1">
      <c r="A4" s="1"/>
      <c r="B4" s="1"/>
      <c r="C4" s="1" t="s">
        <v>69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9.95" customHeight="1">
      <c r="A6" s="1"/>
      <c r="B6" s="1"/>
      <c r="C6" s="1" t="s">
        <v>70</v>
      </c>
      <c r="D6" s="15">
        <f>DATE(2026-D17,3,31)</f>
        <v>46112</v>
      </c>
      <c r="E6" s="1"/>
      <c r="F6" s="1" t="s">
        <v>71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9.95" customHeight="1">
      <c r="A7" s="1"/>
      <c r="B7" s="1"/>
      <c r="C7" s="1" t="s">
        <v>72</v>
      </c>
      <c r="D7" s="8">
        <v>46477</v>
      </c>
      <c r="E7" s="1"/>
      <c r="F7" s="1" t="s">
        <v>73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9.95" customHeight="1">
      <c r="A8" s="1"/>
      <c r="B8" s="1"/>
      <c r="C8" s="1" t="s">
        <v>74</v>
      </c>
      <c r="D8" s="9">
        <v>1</v>
      </c>
      <c r="E8" s="1"/>
      <c r="F8" s="1" t="s">
        <v>75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9.95" customHeight="1">
      <c r="A9" s="1"/>
      <c r="B9" s="1"/>
      <c r="C9" s="1" t="s">
        <v>76</v>
      </c>
      <c r="D9" s="13">
        <f>Sources!D21</f>
        <v>0.94040000000000001</v>
      </c>
      <c r="E9" s="1"/>
      <c r="F9" s="1" t="s">
        <v>77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9.95" customHeight="1">
      <c r="A10" s="1"/>
      <c r="B10" s="1"/>
      <c r="C10" s="1" t="s">
        <v>78</v>
      </c>
      <c r="D10" s="10">
        <v>103</v>
      </c>
      <c r="E10" s="1"/>
      <c r="F10" s="1" t="s">
        <v>79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9.95" customHeight="1">
      <c r="A11" s="1"/>
      <c r="B11" s="1"/>
      <c r="C11" s="1" t="s">
        <v>80</v>
      </c>
      <c r="D11" s="14">
        <f>Sources!D12+Sources!D43-Sources!D44</f>
        <v>166.26567599999998</v>
      </c>
      <c r="E11" s="1"/>
      <c r="F11" s="1" t="s">
        <v>81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9.95" customHeight="1">
      <c r="A12" s="1"/>
      <c r="B12" s="1"/>
      <c r="C12" s="1" t="s">
        <v>82</v>
      </c>
      <c r="D12" s="26">
        <f>IF(DCF!D41=0,0,D64/DCF!D41)</f>
        <v>0.78079327588893488</v>
      </c>
      <c r="E12" s="1"/>
      <c r="F12" s="1" t="s">
        <v>83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9.95" customHeight="1">
      <c r="A13" s="1"/>
      <c r="B13" s="1"/>
      <c r="C13" s="1" t="s">
        <v>84</v>
      </c>
      <c r="D13" s="12">
        <v>500</v>
      </c>
      <c r="E13" s="1"/>
      <c r="F13" s="1" t="s">
        <v>85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9.95" customHeight="1">
      <c r="A14" s="1"/>
      <c r="B14" s="1"/>
      <c r="C14" s="1" t="s">
        <v>86</v>
      </c>
      <c r="D14" s="11">
        <v>1</v>
      </c>
      <c r="E14" s="1"/>
      <c r="F14" s="1" t="s">
        <v>87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9.95" customHeight="1">
      <c r="A15" s="1"/>
      <c r="B15" s="1"/>
      <c r="C15" s="1" t="s">
        <v>88</v>
      </c>
      <c r="D15" s="11">
        <v>0.2</v>
      </c>
      <c r="E15" s="1"/>
      <c r="F15" s="1" t="s">
        <v>89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9.95" customHeight="1">
      <c r="A16" s="1"/>
      <c r="B16" s="1"/>
      <c r="C16" s="1" t="s">
        <v>90</v>
      </c>
      <c r="D16" s="11">
        <v>0.2</v>
      </c>
      <c r="E16" s="1"/>
      <c r="F16" s="1" t="s">
        <v>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9.95" customHeight="1">
      <c r="A17" s="1"/>
      <c r="B17" s="1"/>
      <c r="C17" s="1" t="s">
        <v>92</v>
      </c>
      <c r="D17" s="9">
        <v>0</v>
      </c>
      <c r="E17" s="1"/>
      <c r="F17" s="1" t="s">
        <v>93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9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2.05" customHeight="1">
      <c r="A19" s="1"/>
      <c r="B19" s="1"/>
      <c r="C19" s="4" t="s">
        <v>94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"/>
      <c r="P19" s="1"/>
      <c r="Q19" s="1"/>
      <c r="R19" s="1"/>
    </row>
    <row r="20" spans="1:18" ht="19.95" customHeight="1">
      <c r="A20" s="1"/>
      <c r="B20" s="1"/>
      <c r="C20" s="1"/>
      <c r="D20" s="1" t="s">
        <v>95</v>
      </c>
      <c r="E20" s="1" t="s">
        <v>96</v>
      </c>
      <c r="F20" s="1" t="s">
        <v>97</v>
      </c>
      <c r="G20" s="1" t="s">
        <v>98</v>
      </c>
      <c r="H20" s="1" t="s">
        <v>99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9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9.95" customHeight="1">
      <c r="A22" s="1"/>
      <c r="B22" s="1"/>
      <c r="C22" s="16" t="s">
        <v>100</v>
      </c>
      <c r="D22" s="20">
        <f>Sources!D23/Sources!D24-1</f>
        <v>0.23534622690193596</v>
      </c>
      <c r="E22" s="17">
        <v>0.04</v>
      </c>
      <c r="F22" s="17">
        <v>0.17</v>
      </c>
      <c r="G22" s="17">
        <v>0.15</v>
      </c>
      <c r="H22" s="17">
        <v>0.13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9.95" customHeight="1">
      <c r="A23" s="1"/>
      <c r="B23" s="1"/>
      <c r="C23" s="16" t="s">
        <v>101</v>
      </c>
      <c r="D23" s="20">
        <f>(Sources!D25+Sources!D27-Sources!D28-Sources!D29)/Sources!D23</f>
        <v>0.1543877596891714</v>
      </c>
      <c r="E23" s="17">
        <v>0.15</v>
      </c>
      <c r="F23" s="17">
        <v>0.16</v>
      </c>
      <c r="G23" s="17">
        <v>0.17</v>
      </c>
      <c r="H23" s="17">
        <v>0.17499999999999999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9.95" customHeight="1">
      <c r="A24" s="1"/>
      <c r="B24" s="1"/>
      <c r="C24" s="16" t="s">
        <v>102</v>
      </c>
      <c r="D24" s="17">
        <v>0.25</v>
      </c>
      <c r="E24" s="17">
        <v>0.25</v>
      </c>
      <c r="F24" s="17">
        <v>0.25</v>
      </c>
      <c r="G24" s="17">
        <v>0.25</v>
      </c>
      <c r="H24" s="17">
        <v>0.25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9.95" customHeight="1">
      <c r="A25" s="1"/>
      <c r="B25" s="1"/>
      <c r="C25" s="16" t="s">
        <v>103</v>
      </c>
      <c r="D25" s="20">
        <f>(Sources!D26-Sources!D27)/Sources!D23</f>
        <v>1.6928559742112544E-2</v>
      </c>
      <c r="E25" s="17">
        <v>1.6E-2</v>
      </c>
      <c r="F25" s="17">
        <v>1.6E-2</v>
      </c>
      <c r="G25" s="17">
        <v>1.6E-2</v>
      </c>
      <c r="H25" s="17">
        <v>1.6E-2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9.95" customHeight="1">
      <c r="A26" s="1"/>
      <c r="B26" s="1"/>
      <c r="C26" s="16" t="s">
        <v>104</v>
      </c>
      <c r="D26" s="20">
        <f>Sources!D30/Sources!D23</f>
        <v>1.4142571873150865E-2</v>
      </c>
      <c r="E26" s="17">
        <v>1.9E-2</v>
      </c>
      <c r="F26" s="17">
        <v>1.9E-2</v>
      </c>
      <c r="G26" s="17">
        <v>1.9E-2</v>
      </c>
      <c r="H26" s="17">
        <v>1.9E-2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9.95" customHeight="1">
      <c r="A27" s="1"/>
      <c r="B27" s="1"/>
      <c r="C27" s="16" t="s">
        <v>105</v>
      </c>
      <c r="D27" s="17">
        <v>0.2</v>
      </c>
      <c r="E27" s="17">
        <v>0.2</v>
      </c>
      <c r="F27" s="17">
        <v>0.2</v>
      </c>
      <c r="G27" s="17">
        <v>0.2</v>
      </c>
      <c r="H27" s="17">
        <v>0.2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9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9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9.95" customHeight="1">
      <c r="A30" s="1"/>
      <c r="B30" s="1"/>
      <c r="C30" s="16" t="s">
        <v>106</v>
      </c>
      <c r="D30" s="17">
        <v>0</v>
      </c>
      <c r="E30" s="17">
        <v>0.03</v>
      </c>
      <c r="F30" s="17">
        <v>0.06</v>
      </c>
      <c r="G30" s="17">
        <v>7.0000000000000007E-2</v>
      </c>
      <c r="H30" s="17">
        <v>0.08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9.95" customHeight="1">
      <c r="A31" s="1"/>
      <c r="B31" s="1"/>
      <c r="C31" s="16" t="s">
        <v>107</v>
      </c>
      <c r="D31" s="17">
        <v>0</v>
      </c>
      <c r="E31" s="17">
        <v>0.09</v>
      </c>
      <c r="F31" s="17">
        <v>0.1</v>
      </c>
      <c r="G31" s="17">
        <v>0.11</v>
      </c>
      <c r="H31" s="17">
        <v>0.115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9.95" customHeight="1">
      <c r="A32" s="1"/>
      <c r="B32" s="1"/>
      <c r="C32" s="16" t="s">
        <v>108</v>
      </c>
      <c r="D32" s="17">
        <v>0.28000000000000003</v>
      </c>
      <c r="E32" s="17">
        <v>0.28000000000000003</v>
      </c>
      <c r="F32" s="17">
        <v>0.28000000000000003</v>
      </c>
      <c r="G32" s="17">
        <v>0.28000000000000003</v>
      </c>
      <c r="H32" s="17">
        <v>0.28000000000000003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9.95" customHeight="1">
      <c r="A33" s="1"/>
      <c r="B33" s="1"/>
      <c r="C33" s="16" t="s">
        <v>109</v>
      </c>
      <c r="D33" s="17">
        <v>1.4999999999999999E-2</v>
      </c>
      <c r="E33" s="17">
        <v>1.4999999999999999E-2</v>
      </c>
      <c r="F33" s="17">
        <v>1.4999999999999999E-2</v>
      </c>
      <c r="G33" s="17">
        <v>1.4999999999999999E-2</v>
      </c>
      <c r="H33" s="17">
        <v>1.4999999999999999E-2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9.95" customHeight="1">
      <c r="A34" s="1"/>
      <c r="B34" s="1"/>
      <c r="C34" s="16" t="s">
        <v>110</v>
      </c>
      <c r="D34" s="17">
        <v>1.7999999999999999E-2</v>
      </c>
      <c r="E34" s="17">
        <v>1.7999999999999999E-2</v>
      </c>
      <c r="F34" s="17">
        <v>1.7999999999999999E-2</v>
      </c>
      <c r="G34" s="17">
        <v>1.7999999999999999E-2</v>
      </c>
      <c r="H34" s="17">
        <v>1.7999999999999999E-2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9.95" customHeight="1">
      <c r="A35" s="1"/>
      <c r="B35" s="1"/>
      <c r="C35" s="16" t="s">
        <v>111</v>
      </c>
      <c r="D35" s="17">
        <v>0.2</v>
      </c>
      <c r="E35" s="17">
        <v>0.2</v>
      </c>
      <c r="F35" s="17">
        <v>0.2</v>
      </c>
      <c r="G35" s="17">
        <v>0.2</v>
      </c>
      <c r="H35" s="17">
        <v>0.2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9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9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9.95" customHeight="1">
      <c r="A38" s="1"/>
      <c r="B38" s="1"/>
      <c r="C38" s="16" t="s">
        <v>112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9.95" customHeight="1">
      <c r="A39" s="1"/>
      <c r="B39" s="1"/>
      <c r="C39" s="18" t="s">
        <v>113</v>
      </c>
      <c r="D39" s="19">
        <v>0</v>
      </c>
      <c r="E39" s="19">
        <v>0</v>
      </c>
      <c r="F39" s="19">
        <v>1000</v>
      </c>
      <c r="G39" s="19">
        <v>500</v>
      </c>
      <c r="H39" s="19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9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9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9.95" customHeight="1">
      <c r="A42" s="1"/>
      <c r="B42" s="1"/>
      <c r="C42" s="1" t="s">
        <v>114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9.95" customHeight="1">
      <c r="A43" s="1"/>
      <c r="B43" s="1"/>
      <c r="C43" s="1" t="s">
        <v>115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9.95" customHeight="1">
      <c r="A44" s="1"/>
      <c r="B44" s="1"/>
      <c r="C44" s="1" t="s">
        <v>116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9.95" customHeight="1">
      <c r="A45" s="1"/>
      <c r="B45" s="1"/>
      <c r="C45" s="1" t="s">
        <v>117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9.95" customHeight="1">
      <c r="A46" s="1"/>
      <c r="B46" s="1"/>
      <c r="C46" s="1" t="s">
        <v>118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9.95" customHeight="1">
      <c r="A47" s="1"/>
      <c r="B47" s="1"/>
      <c r="C47" s="1" t="s">
        <v>119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9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9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2.05" customHeight="1">
      <c r="A50" s="1"/>
      <c r="B50" s="1"/>
      <c r="C50" s="4" t="s">
        <v>120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1"/>
      <c r="O50" s="1"/>
      <c r="P50" s="1"/>
      <c r="Q50" s="1"/>
      <c r="R50" s="1"/>
    </row>
    <row r="51" spans="1:18" ht="19.95" customHeight="1">
      <c r="A51" s="1"/>
      <c r="B51" s="1"/>
      <c r="C51" s="1" t="s">
        <v>121</v>
      </c>
      <c r="D51" s="21">
        <f>Sources!D31</f>
        <v>7.4899999999999994E-2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9.95" customHeight="1">
      <c r="A52" s="1"/>
      <c r="B52" s="1"/>
      <c r="C52" s="1" t="s">
        <v>122</v>
      </c>
      <c r="D52" s="21">
        <f>Sources!D32</f>
        <v>1.8700000000000001E-2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2.05" customHeight="1">
      <c r="A53" s="1"/>
      <c r="B53" s="1"/>
      <c r="C53" s="28" t="s">
        <v>123</v>
      </c>
      <c r="D53" s="29">
        <f>D51</f>
        <v>7.4899999999999994E-2</v>
      </c>
      <c r="E53" s="28"/>
      <c r="F53" s="28" t="s">
        <v>124</v>
      </c>
      <c r="G53" s="28"/>
      <c r="H53" s="28"/>
      <c r="I53" s="28"/>
      <c r="J53" s="28"/>
      <c r="K53" s="28"/>
      <c r="L53" s="28"/>
      <c r="M53" s="28"/>
      <c r="N53" s="1"/>
      <c r="O53" s="1"/>
      <c r="P53" s="1"/>
      <c r="Q53" s="1"/>
      <c r="R53" s="1"/>
    </row>
    <row r="54" spans="1:18" ht="19.95" customHeight="1">
      <c r="A54" s="1"/>
      <c r="B54" s="1"/>
      <c r="C54" s="1" t="s">
        <v>125</v>
      </c>
      <c r="D54" s="21">
        <v>4.2000000000000003E-2</v>
      </c>
      <c r="E54" s="1"/>
      <c r="F54" s="1" t="s">
        <v>126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9.95" customHeight="1">
      <c r="A55" s="1"/>
      <c r="B55" s="1"/>
      <c r="C55" s="1" t="s">
        <v>127</v>
      </c>
      <c r="D55" s="14">
        <f>Sources!D34</f>
        <v>0.96</v>
      </c>
      <c r="E55" s="1"/>
      <c r="F55" s="1" t="s">
        <v>128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9.95" customHeight="1">
      <c r="A56" s="1"/>
      <c r="B56" s="1"/>
      <c r="C56" s="1" t="s">
        <v>129</v>
      </c>
      <c r="D56" s="21">
        <f>Sources!D36*(1+Sources!D37)*(1+Sources!D38)</f>
        <v>0.25168000000000001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9.95" customHeight="1">
      <c r="A57" s="1"/>
      <c r="B57" s="1"/>
      <c r="C57" s="1" t="s">
        <v>130</v>
      </c>
      <c r="D57" s="21">
        <f>Sources!D35</f>
        <v>8.7999999999999995E-2</v>
      </c>
      <c r="E57" s="1"/>
      <c r="F57" s="1" t="s">
        <v>131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9.95" customHeight="1">
      <c r="A58" s="1"/>
      <c r="B58" s="1"/>
      <c r="C58" s="1" t="s">
        <v>132</v>
      </c>
      <c r="D58" s="14">
        <f>Sources!D41</f>
        <v>7.6839810000000002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9.95" customHeight="1">
      <c r="A59" s="1"/>
      <c r="B59" s="1"/>
      <c r="C59" s="1" t="s">
        <v>133</v>
      </c>
      <c r="D59" s="23">
        <f>Sources!D42</f>
        <v>5550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9.95" customHeight="1">
      <c r="A60" s="1"/>
      <c r="B60" s="1"/>
      <c r="C60" s="1" t="s">
        <v>134</v>
      </c>
      <c r="D60" s="24">
        <f>D58*D59</f>
        <v>42646.094550000002</v>
      </c>
      <c r="E60" s="1"/>
      <c r="F60" s="1" t="s">
        <v>135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9.95" customHeight="1">
      <c r="A61" s="1"/>
      <c r="B61" s="1"/>
      <c r="C61" s="1" t="s">
        <v>136</v>
      </c>
      <c r="D61" s="14">
        <f>Sources!D43</f>
        <v>165.83398099999999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9.95" customHeight="1">
      <c r="A62" s="1"/>
      <c r="B62" s="1"/>
      <c r="C62" s="1" t="s">
        <v>137</v>
      </c>
      <c r="D62" s="27">
        <f>D60/Sources!D40</f>
        <v>94.769098999999997</v>
      </c>
      <c r="E62" s="1"/>
      <c r="F62" s="1" t="s">
        <v>138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9.95" customHeight="1">
      <c r="A63" s="1"/>
      <c r="B63" s="1"/>
      <c r="C63" s="1" t="s">
        <v>139</v>
      </c>
      <c r="D63" s="23">
        <f>Sources!D39</f>
        <v>800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9.95" customHeight="1">
      <c r="A64" s="1"/>
      <c r="B64" s="1"/>
      <c r="C64" s="1" t="s">
        <v>140</v>
      </c>
      <c r="D64" s="24">
        <f>D63*D62*D8</f>
        <v>75815.279200000004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9.95" customHeight="1">
      <c r="A65" s="1"/>
      <c r="B65" s="1"/>
      <c r="C65" s="1" t="s">
        <v>141</v>
      </c>
      <c r="D65" s="23">
        <f>Sources!D16*D10*D8</f>
        <v>31981.5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2.05" customHeight="1">
      <c r="A66" s="1"/>
      <c r="B66" s="1"/>
      <c r="C66" s="28" t="s">
        <v>142</v>
      </c>
      <c r="D66" s="30">
        <f>SUM(D64:D65)</f>
        <v>107796.7792</v>
      </c>
      <c r="E66" s="28"/>
      <c r="F66" s="28" t="s">
        <v>143</v>
      </c>
      <c r="G66" s="28"/>
      <c r="H66" s="28"/>
      <c r="I66" s="28"/>
      <c r="J66" s="28"/>
      <c r="K66" s="28"/>
      <c r="L66" s="28"/>
      <c r="M66" s="28"/>
      <c r="N66" s="1"/>
      <c r="O66" s="1"/>
      <c r="P66" s="1"/>
      <c r="Q66" s="1"/>
      <c r="R66" s="1"/>
    </row>
    <row r="67" spans="1:18" ht="19.95" customHeight="1">
      <c r="A67" s="1"/>
      <c r="B67" s="1"/>
      <c r="C67" s="1" t="s">
        <v>144</v>
      </c>
      <c r="D67" s="23">
        <f>D61*Sources!D22</f>
        <v>967226.69418250001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9.95" customHeight="1">
      <c r="A68" s="1"/>
      <c r="B68" s="1"/>
      <c r="C68" s="1" t="s">
        <v>145</v>
      </c>
      <c r="D68" s="23">
        <f>(1-D9)*Sources!D19*Sources!D20*D10*D8</f>
        <v>6153.9549599195989</v>
      </c>
      <c r="E68" s="1"/>
      <c r="F68" s="1" t="s">
        <v>146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2.05" customHeight="1">
      <c r="A69" s="1"/>
      <c r="B69" s="1"/>
      <c r="C69" s="28" t="s">
        <v>147</v>
      </c>
      <c r="D69" s="30">
        <f>SUM(D67:D68)</f>
        <v>973380.64914241957</v>
      </c>
      <c r="E69" s="28"/>
      <c r="F69" s="28"/>
      <c r="G69" s="28"/>
      <c r="H69" s="28"/>
      <c r="I69" s="28"/>
      <c r="J69" s="28"/>
      <c r="K69" s="28"/>
      <c r="L69" s="28"/>
      <c r="M69" s="28"/>
      <c r="N69" s="1"/>
      <c r="O69" s="1"/>
      <c r="P69" s="1"/>
      <c r="Q69" s="1"/>
      <c r="R69" s="1"/>
    </row>
    <row r="70" spans="1:18" ht="22.05" customHeight="1">
      <c r="A70" s="1"/>
      <c r="B70" s="1"/>
      <c r="C70" s="28" t="s">
        <v>148</v>
      </c>
      <c r="D70" s="30">
        <f>D66+D69</f>
        <v>1081177.4283424197</v>
      </c>
      <c r="E70" s="28"/>
      <c r="F70" s="28"/>
      <c r="G70" s="28"/>
      <c r="H70" s="28"/>
      <c r="I70" s="28"/>
      <c r="J70" s="28"/>
      <c r="K70" s="28"/>
      <c r="L70" s="28"/>
      <c r="M70" s="28"/>
      <c r="N70" s="1"/>
      <c r="O70" s="1"/>
      <c r="P70" s="1"/>
      <c r="Q70" s="1"/>
      <c r="R70" s="1"/>
    </row>
    <row r="71" spans="1:18" ht="19.95" customHeight="1">
      <c r="A71" s="1"/>
      <c r="B71" s="1"/>
      <c r="C71" s="1" t="s">
        <v>149</v>
      </c>
      <c r="D71" s="22">
        <f>D66/D70</f>
        <v>9.9703135095287693E-2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9.95" customHeight="1">
      <c r="A72" s="1"/>
      <c r="B72" s="1"/>
      <c r="C72" s="1" t="s">
        <v>150</v>
      </c>
      <c r="D72" s="22">
        <f>D69/D70</f>
        <v>0.90029686490471217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9.95" customHeight="1">
      <c r="A73" s="1"/>
      <c r="B73" s="1"/>
      <c r="C73" s="1" t="s">
        <v>151</v>
      </c>
      <c r="D73" s="25">
        <f>D66/D69</f>
        <v>0.11074473207883526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2.05" customHeight="1">
      <c r="A74" s="1"/>
      <c r="B74" s="1"/>
      <c r="C74" s="28" t="s">
        <v>152</v>
      </c>
      <c r="D74" s="31">
        <f>D55*(1+(1-D56)*D73)</f>
        <v>1.0395575979928644</v>
      </c>
      <c r="E74" s="28"/>
      <c r="F74" s="28" t="s">
        <v>153</v>
      </c>
      <c r="G74" s="28"/>
      <c r="H74" s="28"/>
      <c r="I74" s="28"/>
      <c r="J74" s="28"/>
      <c r="K74" s="28"/>
      <c r="L74" s="28"/>
      <c r="M74" s="28"/>
      <c r="N74" s="1"/>
      <c r="O74" s="1"/>
      <c r="P74" s="1"/>
      <c r="Q74" s="1"/>
      <c r="R74" s="1"/>
    </row>
    <row r="75" spans="1:18" ht="22.05" customHeight="1">
      <c r="A75" s="1"/>
      <c r="B75" s="1"/>
      <c r="C75" s="28" t="s">
        <v>154</v>
      </c>
      <c r="D75" s="29">
        <f>D53+D74*D54</f>
        <v>0.11856141911570031</v>
      </c>
      <c r="E75" s="28"/>
      <c r="F75" s="28" t="s">
        <v>155</v>
      </c>
      <c r="G75" s="28"/>
      <c r="H75" s="28"/>
      <c r="I75" s="28"/>
      <c r="J75" s="28"/>
      <c r="K75" s="28"/>
      <c r="L75" s="28"/>
      <c r="M75" s="28"/>
      <c r="N75" s="1"/>
      <c r="O75" s="1"/>
      <c r="P75" s="1"/>
      <c r="Q75" s="1"/>
      <c r="R75" s="1"/>
    </row>
    <row r="76" spans="1:18" ht="22.05" customHeight="1">
      <c r="A76" s="1"/>
      <c r="B76" s="1"/>
      <c r="C76" s="28" t="s">
        <v>156</v>
      </c>
      <c r="D76" s="29">
        <f>D57*(1-D56)</f>
        <v>6.5852159999999993E-2</v>
      </c>
      <c r="E76" s="28"/>
      <c r="F76" s="28"/>
      <c r="G76" s="28"/>
      <c r="H76" s="28"/>
      <c r="I76" s="28"/>
      <c r="J76" s="28"/>
      <c r="K76" s="28"/>
      <c r="L76" s="28"/>
      <c r="M76" s="28"/>
      <c r="N76" s="1"/>
      <c r="O76" s="1"/>
      <c r="P76" s="1"/>
      <c r="Q76" s="1"/>
      <c r="R76" s="1"/>
    </row>
    <row r="77" spans="1:18" ht="19.95" customHeight="1">
      <c r="A77" s="1"/>
      <c r="B77" s="1"/>
      <c r="C77" s="1" t="s">
        <v>157</v>
      </c>
      <c r="D77" s="22">
        <f>D75*D72</f>
        <v>0.1067404739285186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9.95" customHeight="1">
      <c r="A78" s="1"/>
      <c r="B78" s="1"/>
      <c r="C78" s="1" t="s">
        <v>158</v>
      </c>
      <c r="D78" s="22">
        <f>D76*D71</f>
        <v>6.5656668047964998E-3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2.05" customHeight="1">
      <c r="A79" s="1"/>
      <c r="B79" s="1"/>
      <c r="C79" s="32" t="s">
        <v>159</v>
      </c>
      <c r="D79" s="33">
        <f>SUM(D77:D78)</f>
        <v>0.1133061407333151</v>
      </c>
      <c r="E79" s="28"/>
      <c r="F79" s="28" t="s">
        <v>160</v>
      </c>
      <c r="G79" s="28"/>
      <c r="H79" s="28"/>
      <c r="I79" s="28"/>
      <c r="J79" s="28"/>
      <c r="K79" s="28"/>
      <c r="L79" s="28"/>
      <c r="M79" s="28"/>
      <c r="N79" s="1"/>
      <c r="O79" s="1"/>
      <c r="P79" s="1"/>
      <c r="Q79" s="1"/>
      <c r="R79" s="1"/>
    </row>
    <row r="80" spans="1:18" ht="19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9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9.95" customHeight="1">
      <c r="A82" s="1"/>
      <c r="B82" s="1"/>
      <c r="C82" s="1" t="s">
        <v>161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9.95" customHeight="1">
      <c r="A83" s="1"/>
      <c r="B83" s="1"/>
      <c r="C83" s="1" t="s">
        <v>162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9.95" customHeight="1">
      <c r="A84" s="1"/>
      <c r="B84" s="1"/>
      <c r="C84" s="1" t="s">
        <v>163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9.95" customHeight="1">
      <c r="A85" s="1"/>
      <c r="B85" s="1"/>
      <c r="C85" s="1" t="s">
        <v>164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9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9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9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9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9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</sheetData>
  <dataValidations count="2">
    <dataValidation type="list" sqref="D17" xr:uid="{00000000-0002-0000-0100-000000000000}">
      <formula1>"1,0"</formula1>
    </dataValidation>
    <dataValidation type="list" sqref="D8" xr:uid="{00000000-0002-0000-0100-000001000000}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"/>
  <sheetViews>
    <sheetView showGridLines="0" workbookViewId="0">
      <pane xSplit="3" ySplit="9" topLeftCell="D15" activePane="bottomRight" state="frozen"/>
      <selection pane="topRight"/>
      <selection pane="bottomLeft"/>
      <selection pane="bottomRight" activeCell="H12" sqref="H12"/>
    </sheetView>
  </sheetViews>
  <sheetFormatPr defaultRowHeight="13.8"/>
  <cols>
    <col min="1" max="2" width="2" customWidth="1"/>
    <col min="3" max="3" width="43" customWidth="1"/>
    <col min="4" max="14" width="14" customWidth="1"/>
  </cols>
  <sheetData>
    <row r="1" spans="1:18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95" customHeight="1">
      <c r="A2" s="1"/>
      <c r="B2" s="1"/>
      <c r="C2" s="2" t="s">
        <v>165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9.95" customHeight="1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</row>
    <row r="4" spans="1:18" ht="19.95" customHeight="1">
      <c r="A4" s="1"/>
      <c r="B4" s="1"/>
      <c r="C4" s="1" t="s">
        <v>166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9.95" customHeight="1">
      <c r="A6" s="1"/>
      <c r="B6" s="1"/>
      <c r="C6" s="1" t="s">
        <v>167</v>
      </c>
      <c r="D6" s="7">
        <v>46112</v>
      </c>
      <c r="E6" s="7">
        <v>46477</v>
      </c>
      <c r="F6" s="7">
        <v>46843</v>
      </c>
      <c r="G6" s="7">
        <v>47208</v>
      </c>
      <c r="H6" s="7">
        <v>47573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9.95" customHeight="1">
      <c r="A7" s="1"/>
      <c r="B7" s="1"/>
      <c r="C7" s="1" t="s">
        <v>168</v>
      </c>
      <c r="D7" s="15">
        <f>DATE(2025,3,31)</f>
        <v>45747</v>
      </c>
      <c r="E7" s="15">
        <f>D6</f>
        <v>46112</v>
      </c>
      <c r="F7" s="15">
        <f>E6</f>
        <v>46477</v>
      </c>
      <c r="G7" s="15">
        <f>F6</f>
        <v>46843</v>
      </c>
      <c r="H7" s="15">
        <f>G6</f>
        <v>47208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9.95" customHeight="1">
      <c r="A8" s="1"/>
      <c r="B8" s="1"/>
      <c r="C8" s="1" t="s">
        <v>169</v>
      </c>
      <c r="D8" s="25">
        <f>MAX(0,D6-D7)/(D6-DATE(YEAR(D6)-1,3,31))</f>
        <v>1</v>
      </c>
      <c r="E8" s="25">
        <f>MAX(0,E6-E7)/(E6-DATE(YEAR(E6)-1,3,31))</f>
        <v>1</v>
      </c>
      <c r="F8" s="25">
        <f>MAX(0,F6-F7)/(F6-DATE(YEAR(F6)-1,3,31))</f>
        <v>1</v>
      </c>
      <c r="G8" s="25">
        <f>MAX(0,G6-G7)/(G6-DATE(YEAR(G6)-1,3,31))</f>
        <v>1</v>
      </c>
      <c r="H8" s="25">
        <f>MAX(0,H6-H7)/(H6-DATE(YEAR(H6)-1,3,31))</f>
        <v>1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9.95" customHeight="1">
      <c r="A9" s="1"/>
      <c r="B9" s="1"/>
      <c r="C9" s="1" t="s">
        <v>170</v>
      </c>
      <c r="D9" s="34">
        <f>0+Assumptions!$D$17</f>
        <v>0</v>
      </c>
      <c r="E9" s="34">
        <f>1+Assumptions!$D$17</f>
        <v>1</v>
      </c>
      <c r="F9" s="34">
        <f>2+Assumptions!$D$17</f>
        <v>2</v>
      </c>
      <c r="G9" s="34">
        <f>3+Assumptions!$D$17</f>
        <v>3</v>
      </c>
      <c r="H9" s="34">
        <f>4+Assumptions!$D$17</f>
        <v>4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9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2.05" customHeight="1">
      <c r="A11" s="1"/>
      <c r="B11" s="1"/>
      <c r="C11" s="4" t="s">
        <v>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1"/>
      <c r="O11" s="1"/>
      <c r="P11" s="1"/>
      <c r="Q11" s="1"/>
      <c r="R11" s="1"/>
    </row>
    <row r="12" spans="1:18" ht="19.95" customHeight="1">
      <c r="A12" s="1"/>
      <c r="B12" s="1"/>
      <c r="C12" s="1" t="s">
        <v>171</v>
      </c>
      <c r="D12" s="23">
        <f>Sources!D23</f>
        <v>147484.49</v>
      </c>
      <c r="E12" s="23">
        <f>Sources!D6*4*(1+Assumptions!E22)</f>
        <v>194018.40640000001</v>
      </c>
      <c r="F12" s="23">
        <f>E12*(1+Assumptions!F22)</f>
        <v>227001.53548799999</v>
      </c>
      <c r="G12" s="23">
        <f>F12*(1+Assumptions!G22)</f>
        <v>261051.76581119996</v>
      </c>
      <c r="H12" s="23">
        <f>G12*(1+Assumptions!H22)</f>
        <v>294988.49536665593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9.95" customHeight="1">
      <c r="A13" s="1"/>
      <c r="B13" s="1"/>
      <c r="C13" s="1" t="s">
        <v>172</v>
      </c>
      <c r="D13" s="24">
        <f>D12*D8</f>
        <v>147484.49</v>
      </c>
      <c r="E13" s="24">
        <f>E12*E8</f>
        <v>194018.40640000001</v>
      </c>
      <c r="F13" s="24">
        <f>F12*F8</f>
        <v>227001.53548799999</v>
      </c>
      <c r="G13" s="24">
        <f>G12*G8</f>
        <v>261051.76581119996</v>
      </c>
      <c r="H13" s="24">
        <f>H12*H8</f>
        <v>294988.49536665593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9.95" customHeight="1">
      <c r="A14" s="1"/>
      <c r="B14" s="1"/>
      <c r="C14" s="1" t="s">
        <v>173</v>
      </c>
      <c r="D14" s="13">
        <f>Assumptions!D23</f>
        <v>0.1543877596891714</v>
      </c>
      <c r="E14" s="13">
        <f>Assumptions!E23</f>
        <v>0.15</v>
      </c>
      <c r="F14" s="13">
        <f>Assumptions!F23</f>
        <v>0.16</v>
      </c>
      <c r="G14" s="13">
        <f>Assumptions!G23</f>
        <v>0.17</v>
      </c>
      <c r="H14" s="13">
        <f>Assumptions!H23</f>
        <v>0.17499999999999999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9.95" customHeight="1">
      <c r="A15" s="1"/>
      <c r="B15" s="1"/>
      <c r="C15" s="1" t="s">
        <v>174</v>
      </c>
      <c r="D15" s="24">
        <f>D13*D14</f>
        <v>22769.8</v>
      </c>
      <c r="E15" s="24">
        <f>E13*E14</f>
        <v>29102.76096</v>
      </c>
      <c r="F15" s="24">
        <f>F13*F14</f>
        <v>36320.245678079998</v>
      </c>
      <c r="G15" s="24">
        <f>G13*G14</f>
        <v>44378.800187903995</v>
      </c>
      <c r="H15" s="24">
        <f>H13*H14</f>
        <v>51622.986689164783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9.95" customHeight="1">
      <c r="A16" s="1"/>
      <c r="B16" s="1"/>
      <c r="C16" s="1" t="s">
        <v>175</v>
      </c>
      <c r="D16" s="23">
        <f>D15*Assumptions!D24</f>
        <v>5692.45</v>
      </c>
      <c r="E16" s="23">
        <f>E15*Assumptions!E24</f>
        <v>7275.6902399999999</v>
      </c>
      <c r="F16" s="23">
        <f>F15*Assumptions!F24</f>
        <v>9080.0614195199996</v>
      </c>
      <c r="G16" s="23">
        <f>G15*Assumptions!G24</f>
        <v>11094.700046975999</v>
      </c>
      <c r="H16" s="23">
        <f>H15*Assumptions!H24</f>
        <v>12905.746672291196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2.05" customHeight="1">
      <c r="A17" s="1"/>
      <c r="B17" s="1"/>
      <c r="C17" s="28" t="s">
        <v>176</v>
      </c>
      <c r="D17" s="30">
        <f>D15-D16</f>
        <v>17077.349999999999</v>
      </c>
      <c r="E17" s="30">
        <f>E15-E16</f>
        <v>21827.07072</v>
      </c>
      <c r="F17" s="30">
        <f>F15-F16</f>
        <v>27240.184258559999</v>
      </c>
      <c r="G17" s="30">
        <f>G15-G16</f>
        <v>33284.100140928</v>
      </c>
      <c r="H17" s="30">
        <f>H15-H16</f>
        <v>38717.240016873591</v>
      </c>
      <c r="I17" s="28"/>
      <c r="J17" s="28"/>
      <c r="K17" s="28"/>
      <c r="L17" s="28"/>
      <c r="M17" s="28"/>
      <c r="N17" s="1"/>
      <c r="O17" s="1"/>
      <c r="P17" s="1"/>
      <c r="Q17" s="1"/>
      <c r="R17" s="1"/>
    </row>
    <row r="18" spans="1:18" ht="19.95" customHeight="1">
      <c r="A18" s="1"/>
      <c r="B18" s="1"/>
      <c r="C18" s="1" t="s">
        <v>177</v>
      </c>
      <c r="D18" s="23">
        <f>D13*Assumptions!D25</f>
        <v>2496.6999999999998</v>
      </c>
      <c r="E18" s="23">
        <f>E13*Assumptions!E25</f>
        <v>3104.2945024000001</v>
      </c>
      <c r="F18" s="23">
        <f>F13*Assumptions!F25</f>
        <v>3632.024567808</v>
      </c>
      <c r="G18" s="23">
        <f>G13*Assumptions!G25</f>
        <v>4176.8282529791995</v>
      </c>
      <c r="H18" s="23">
        <f>H13*Assumptions!H25</f>
        <v>4719.8159258664946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9.95" customHeight="1">
      <c r="A19" s="1"/>
      <c r="B19" s="1"/>
      <c r="C19" s="1" t="s">
        <v>178</v>
      </c>
      <c r="D19" s="23">
        <f>D13*Assumptions!D26</f>
        <v>2085.81</v>
      </c>
      <c r="E19" s="23">
        <f>E13*Assumptions!E26</f>
        <v>3686.3497216000001</v>
      </c>
      <c r="F19" s="23">
        <f>F13*Assumptions!F26</f>
        <v>4313.0291742720001</v>
      </c>
      <c r="G19" s="23">
        <f>G13*Assumptions!G26</f>
        <v>4959.9835504127996</v>
      </c>
      <c r="H19" s="23">
        <f>H13*Assumptions!H26</f>
        <v>5604.7814119664627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9.95" customHeight="1">
      <c r="A20" s="1"/>
      <c r="B20" s="1"/>
      <c r="C20" s="1" t="s">
        <v>179</v>
      </c>
      <c r="D20" s="23">
        <f>Sources!D24*Assumptions!D15</f>
        <v>23877.434000000001</v>
      </c>
      <c r="E20" s="24">
        <f>D21</f>
        <v>29496.898000000001</v>
      </c>
      <c r="F20" s="24">
        <f>E21</f>
        <v>38803.681280000004</v>
      </c>
      <c r="G20" s="24">
        <f>F21</f>
        <v>45400.307097600002</v>
      </c>
      <c r="H20" s="24">
        <f>G21</f>
        <v>52210.353162239997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9.95" customHeight="1">
      <c r="A21" s="1"/>
      <c r="B21" s="1"/>
      <c r="C21" s="1" t="s">
        <v>180</v>
      </c>
      <c r="D21" s="23">
        <f>D12*Assumptions!D27</f>
        <v>29496.898000000001</v>
      </c>
      <c r="E21" s="23">
        <f>E12*Assumptions!E27</f>
        <v>38803.681280000004</v>
      </c>
      <c r="F21" s="23">
        <f>F12*Assumptions!F27</f>
        <v>45400.307097600002</v>
      </c>
      <c r="G21" s="23">
        <f>G12*Assumptions!G27</f>
        <v>52210.353162239997</v>
      </c>
      <c r="H21" s="23">
        <f>H12*Assumptions!H27</f>
        <v>58997.69907333119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9.95" customHeight="1">
      <c r="A22" s="1"/>
      <c r="B22" s="1"/>
      <c r="C22" s="1" t="s">
        <v>181</v>
      </c>
      <c r="D22" s="24">
        <f>D21-D20</f>
        <v>5619.4639999999999</v>
      </c>
      <c r="E22" s="24">
        <f>E21-E20</f>
        <v>9306.7832800000033</v>
      </c>
      <c r="F22" s="24">
        <f>F21-F20</f>
        <v>6596.6258175999974</v>
      </c>
      <c r="G22" s="24">
        <f>G21-G20</f>
        <v>6810.0460646399952</v>
      </c>
      <c r="H22" s="24">
        <f>H21-H20</f>
        <v>6787.3459110911936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2.05" customHeight="1">
      <c r="A23" s="1"/>
      <c r="B23" s="1"/>
      <c r="C23" s="28" t="s">
        <v>182</v>
      </c>
      <c r="D23" s="30">
        <f>D17+D18-D19-D22</f>
        <v>11868.775999999998</v>
      </c>
      <c r="E23" s="30">
        <f>E17+E18-E19-E22</f>
        <v>11938.232220799997</v>
      </c>
      <c r="F23" s="30">
        <f>F17+F18-F19-F22</f>
        <v>19962.553834496</v>
      </c>
      <c r="G23" s="30">
        <f>G17+G18-G19-G22</f>
        <v>25690.898778854404</v>
      </c>
      <c r="H23" s="30">
        <f>H17+H18-H19-H22</f>
        <v>31044.928619682432</v>
      </c>
      <c r="I23" s="28"/>
      <c r="J23" s="28"/>
      <c r="K23" s="28"/>
      <c r="L23" s="28"/>
      <c r="M23" s="28"/>
      <c r="N23" s="1"/>
      <c r="O23" s="1"/>
      <c r="P23" s="1"/>
      <c r="Q23" s="1"/>
      <c r="R23" s="1"/>
    </row>
    <row r="24" spans="1:18" ht="19.95" customHeight="1">
      <c r="A24" s="1"/>
      <c r="B24" s="1"/>
      <c r="C24" s="1" t="s">
        <v>183</v>
      </c>
      <c r="D24" s="14">
        <f>1/(1+DCF!$D$6)^D9</f>
        <v>1</v>
      </c>
      <c r="E24" s="14">
        <f>1/(1+DCF!$D$6)^E9</f>
        <v>0.89822553151581253</v>
      </c>
      <c r="F24" s="14">
        <f>1/(1+DCF!$D$6)^F9</f>
        <v>0.80680910546686402</v>
      </c>
      <c r="G24" s="14">
        <f>1/(1+DCF!$D$6)^G9</f>
        <v>0.72469653758977115</v>
      </c>
      <c r="H24" s="14">
        <f>1/(1+DCF!$D$6)^H9</f>
        <v>0.65094093266424125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2.05" customHeight="1">
      <c r="A25" s="1"/>
      <c r="B25" s="1"/>
      <c r="C25" s="28" t="s">
        <v>184</v>
      </c>
      <c r="D25" s="30">
        <f>IF(D9=0,0,D23*D24)</f>
        <v>0</v>
      </c>
      <c r="E25" s="30">
        <f>IF(E9=0,0,E23*E24)</f>
        <v>10723.224981887277</v>
      </c>
      <c r="F25" s="30">
        <f>IF(F9=0,0,F23*F24)</f>
        <v>16105.970202043834</v>
      </c>
      <c r="G25" s="30">
        <f>IF(G9=0,0,G23*G24)</f>
        <v>18618.105392605066</v>
      </c>
      <c r="H25" s="30">
        <f>IF(H9=0,0,H23*H24)</f>
        <v>20208.414790190876</v>
      </c>
      <c r="I25" s="28"/>
      <c r="J25" s="28"/>
      <c r="K25" s="28"/>
      <c r="L25" s="28"/>
      <c r="M25" s="28"/>
      <c r="N25" s="1"/>
      <c r="O25" s="1"/>
      <c r="P25" s="1"/>
      <c r="Q25" s="1"/>
      <c r="R25" s="1"/>
    </row>
    <row r="26" spans="1:18" ht="1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9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2.05" customHeight="1">
      <c r="A28" s="1"/>
      <c r="B28" s="1"/>
      <c r="C28" s="4" t="s">
        <v>185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1"/>
      <c r="O28" s="1"/>
      <c r="P28" s="1"/>
      <c r="Q28" s="1"/>
      <c r="R28" s="1"/>
    </row>
    <row r="29" spans="1:18" ht="19.95" customHeight="1">
      <c r="A29" s="1"/>
      <c r="B29" s="1"/>
      <c r="C29" s="1" t="s">
        <v>186</v>
      </c>
      <c r="D29" s="24">
        <f>0</f>
        <v>0</v>
      </c>
      <c r="E29" s="23">
        <f>Sources!D14*2*(1+Assumptions!E30)^0.75</f>
        <v>1023.420675391803</v>
      </c>
      <c r="F29" s="23">
        <f>E29*(1+Assumptions!F30)</f>
        <v>1084.8259159153113</v>
      </c>
      <c r="G29" s="23">
        <f>F29*(1+Assumptions!G30)</f>
        <v>1160.7637300293832</v>
      </c>
      <c r="H29" s="23">
        <f>G29*(1+Assumptions!H30)</f>
        <v>1253.6248284317339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9.95" customHeight="1">
      <c r="A30" s="1"/>
      <c r="B30" s="1"/>
      <c r="C30" s="1" t="s">
        <v>187</v>
      </c>
      <c r="D30" s="35">
        <f>Assumptions!$D$10</f>
        <v>103</v>
      </c>
      <c r="E30" s="35">
        <f>Assumptions!$D$10</f>
        <v>103</v>
      </c>
      <c r="F30" s="35">
        <f>Assumptions!$D$10</f>
        <v>103</v>
      </c>
      <c r="G30" s="35">
        <f>Assumptions!$D$10</f>
        <v>103</v>
      </c>
      <c r="H30" s="35">
        <f>Assumptions!$D$10</f>
        <v>103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9.95" customHeight="1">
      <c r="A31" s="1"/>
      <c r="B31" s="1"/>
      <c r="C31" s="1" t="s">
        <v>188</v>
      </c>
      <c r="D31" s="24">
        <f>D29*D30</f>
        <v>0</v>
      </c>
      <c r="E31" s="24">
        <f>E29*E30</f>
        <v>105412.32956535571</v>
      </c>
      <c r="F31" s="24">
        <f>F29*F30</f>
        <v>111737.06933927706</v>
      </c>
      <c r="G31" s="24">
        <f>G29*G30</f>
        <v>119558.66419302646</v>
      </c>
      <c r="H31" s="24">
        <f>H29*H30</f>
        <v>129123.3573284686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9.95" customHeight="1">
      <c r="A32" s="1"/>
      <c r="B32" s="1"/>
      <c r="C32" s="1" t="s">
        <v>189</v>
      </c>
      <c r="D32" s="14">
        <f>Assumptions!$D$8*MAX(0,D6-MAX(D7,Assumptions!$D$7))/(D6-DATE(YEAR(D6)-1,3,31))</f>
        <v>0</v>
      </c>
      <c r="E32" s="14">
        <f>Assumptions!$D$8*MAX(0,E6-MAX(E7,Assumptions!$D$7))/(E6-DATE(YEAR(E6)-1,3,31))</f>
        <v>0</v>
      </c>
      <c r="F32" s="14">
        <f>Assumptions!$D$8*MAX(0,F6-MAX(F7,Assumptions!$D$7))/(F6-DATE(YEAR(F6)-1,3,31))</f>
        <v>1</v>
      </c>
      <c r="G32" s="14">
        <f>Assumptions!$D$8*MAX(0,G6-MAX(G7,Assumptions!$D$7))/(G6-DATE(YEAR(G6)-1,3,31))</f>
        <v>1</v>
      </c>
      <c r="H32" s="14">
        <f>Assumptions!$D$8*MAX(0,H6-MAX(H7,Assumptions!$D$7))/(H6-DATE(YEAR(H6)-1,3,31))</f>
        <v>1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9.95" customHeight="1">
      <c r="A33" s="1"/>
      <c r="B33" s="1"/>
      <c r="C33" s="1" t="s">
        <v>190</v>
      </c>
      <c r="D33" s="24">
        <f>D31*D32</f>
        <v>0</v>
      </c>
      <c r="E33" s="24">
        <f>E31*E32</f>
        <v>0</v>
      </c>
      <c r="F33" s="24">
        <f>F31*F32</f>
        <v>111737.06933927706</v>
      </c>
      <c r="G33" s="24">
        <f>G31*G32</f>
        <v>119558.66419302646</v>
      </c>
      <c r="H33" s="24">
        <f>H31*H32</f>
        <v>129123.3573284686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9.95" customHeight="1">
      <c r="A34" s="1"/>
      <c r="B34" s="1"/>
      <c r="C34" s="1" t="s">
        <v>173</v>
      </c>
      <c r="D34" s="13">
        <f>Assumptions!D31</f>
        <v>0</v>
      </c>
      <c r="E34" s="13">
        <f>Assumptions!E31</f>
        <v>0.09</v>
      </c>
      <c r="F34" s="13">
        <f>Assumptions!F31</f>
        <v>0.1</v>
      </c>
      <c r="G34" s="13">
        <f>Assumptions!G31</f>
        <v>0.11</v>
      </c>
      <c r="H34" s="13">
        <f>Assumptions!H31</f>
        <v>0.115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9.95" customHeight="1">
      <c r="A35" s="1"/>
      <c r="B35" s="1"/>
      <c r="C35" s="1" t="s">
        <v>174</v>
      </c>
      <c r="D35" s="24">
        <f>D33*D34</f>
        <v>0</v>
      </c>
      <c r="E35" s="24">
        <f>E33*E34</f>
        <v>0</v>
      </c>
      <c r="F35" s="24">
        <f>F33*F34</f>
        <v>11173.706933927708</v>
      </c>
      <c r="G35" s="24">
        <f>G33*G34</f>
        <v>13151.453061232911</v>
      </c>
      <c r="H35" s="24">
        <f>H33*H34</f>
        <v>14849.186092773889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9.95" customHeight="1">
      <c r="A36" s="1"/>
      <c r="B36" s="1"/>
      <c r="C36" s="1" t="s">
        <v>191</v>
      </c>
      <c r="D36" s="23">
        <f>D33*Assumptions!D38</f>
        <v>0</v>
      </c>
      <c r="E36" s="23">
        <f>E33*Assumptions!E38</f>
        <v>0</v>
      </c>
      <c r="F36" s="23">
        <f>F33*Assumptions!F38</f>
        <v>0</v>
      </c>
      <c r="G36" s="23">
        <f>G33*Assumptions!G38</f>
        <v>0</v>
      </c>
      <c r="H36" s="23">
        <f>H33*Assumptions!H38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2.05" customHeight="1">
      <c r="A37" s="1"/>
      <c r="B37" s="1"/>
      <c r="C37" s="28" t="s">
        <v>192</v>
      </c>
      <c r="D37" s="36">
        <f>(D35+D36)*(1-Assumptions!D32)</f>
        <v>0</v>
      </c>
      <c r="E37" s="36">
        <f>(E35+E36)*(1-Assumptions!E32)</f>
        <v>0</v>
      </c>
      <c r="F37" s="36">
        <f>(F35+F36)*(1-Assumptions!F32)</f>
        <v>8045.0689924279495</v>
      </c>
      <c r="G37" s="36">
        <f>(G35+G36)*(1-Assumptions!G32)</f>
        <v>9469.0462040876955</v>
      </c>
      <c r="H37" s="36">
        <f>(H35+H36)*(1-Assumptions!H32)</f>
        <v>10691.413986797199</v>
      </c>
      <c r="I37" s="28"/>
      <c r="J37" s="28"/>
      <c r="K37" s="28"/>
      <c r="L37" s="28"/>
      <c r="M37" s="28"/>
      <c r="N37" s="1"/>
      <c r="O37" s="1"/>
      <c r="P37" s="1"/>
      <c r="Q37" s="1"/>
      <c r="R37" s="1"/>
    </row>
    <row r="38" spans="1:18" ht="19.95" customHeight="1">
      <c r="A38" s="1"/>
      <c r="B38" s="1"/>
      <c r="C38" s="1" t="s">
        <v>177</v>
      </c>
      <c r="D38" s="23">
        <f>D33*Assumptions!D33</f>
        <v>0</v>
      </c>
      <c r="E38" s="23">
        <f>E33*Assumptions!E33</f>
        <v>0</v>
      </c>
      <c r="F38" s="23">
        <f>F33*Assumptions!F33</f>
        <v>1676.0560400891559</v>
      </c>
      <c r="G38" s="23">
        <f>G33*Assumptions!G33</f>
        <v>1793.3799628953968</v>
      </c>
      <c r="H38" s="23">
        <f>H33*Assumptions!H33</f>
        <v>1936.8503599270289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9.95" customHeight="1">
      <c r="A39" s="1"/>
      <c r="B39" s="1"/>
      <c r="C39" s="1" t="s">
        <v>178</v>
      </c>
      <c r="D39" s="23">
        <f>D33*Assumptions!D34</f>
        <v>0</v>
      </c>
      <c r="E39" s="23">
        <f>E33*Assumptions!E34</f>
        <v>0</v>
      </c>
      <c r="F39" s="23">
        <f>F33*Assumptions!F34</f>
        <v>2011.2672481069869</v>
      </c>
      <c r="G39" s="23">
        <f>G33*Assumptions!G34</f>
        <v>2152.0559554744759</v>
      </c>
      <c r="H39" s="23">
        <f>H33*Assumptions!H34</f>
        <v>2324.2204319124348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9.95" customHeight="1">
      <c r="A40" s="1"/>
      <c r="B40" s="1"/>
      <c r="C40" s="1" t="s">
        <v>193</v>
      </c>
      <c r="D40" s="13">
        <f>Assumptions!D16</f>
        <v>0.2</v>
      </c>
      <c r="E40" s="13">
        <f>Assumptions!D35</f>
        <v>0.2</v>
      </c>
      <c r="F40" s="13">
        <f>Assumptions!E35</f>
        <v>0.2</v>
      </c>
      <c r="G40" s="13">
        <f>Assumptions!F35</f>
        <v>0.2</v>
      </c>
      <c r="H40" s="13">
        <f>Assumptions!G35</f>
        <v>0.2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9.95" customHeight="1">
      <c r="A41" s="1"/>
      <c r="B41" s="1"/>
      <c r="C41" s="1" t="s">
        <v>194</v>
      </c>
      <c r="D41" s="23">
        <f>D31/(1+Assumptions!D30)*D40</f>
        <v>0</v>
      </c>
      <c r="E41" s="23">
        <f>E31/(1+Assumptions!E30)*E40</f>
        <v>20468.413507836063</v>
      </c>
      <c r="F41" s="23">
        <f>F31/(1+Assumptions!F30)*F40</f>
        <v>21082.465913071144</v>
      </c>
      <c r="G41" s="23">
        <f>G31/(1+Assumptions!G30)*G40</f>
        <v>22347.413867855415</v>
      </c>
      <c r="H41" s="23">
        <f>H31/(1+Assumptions!H30)*H40</f>
        <v>23911.732838605298</v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9.95" customHeight="1">
      <c r="A42" s="1"/>
      <c r="B42" s="1"/>
      <c r="C42" s="1" t="s">
        <v>195</v>
      </c>
      <c r="D42" s="23">
        <f>D31*Assumptions!D35</f>
        <v>0</v>
      </c>
      <c r="E42" s="23">
        <f>E31*Assumptions!E35</f>
        <v>21082.465913071144</v>
      </c>
      <c r="F42" s="23">
        <f>F31*Assumptions!F35</f>
        <v>22347.413867855415</v>
      </c>
      <c r="G42" s="23">
        <f>G31*Assumptions!G35</f>
        <v>23911.732838605294</v>
      </c>
      <c r="H42" s="23">
        <f>H31*Assumptions!H35</f>
        <v>25824.671465693722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9.95" customHeight="1">
      <c r="A43" s="1"/>
      <c r="B43" s="1"/>
      <c r="C43" s="1" t="s">
        <v>196</v>
      </c>
      <c r="D43" s="24">
        <f>(D42-D41)*D32</f>
        <v>0</v>
      </c>
      <c r="E43" s="24">
        <f>(E42-E41)*E32</f>
        <v>0</v>
      </c>
      <c r="F43" s="24">
        <f>(F42-F41)*F32</f>
        <v>1264.9479547842711</v>
      </c>
      <c r="G43" s="24">
        <f>(G42-G41)*G32</f>
        <v>1564.3189707498786</v>
      </c>
      <c r="H43" s="24">
        <f>(H42-H41)*H32</f>
        <v>1912.9386270884243</v>
      </c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9.95" customHeight="1">
      <c r="A44" s="1"/>
      <c r="B44" s="1"/>
      <c r="C44" s="1" t="s">
        <v>197</v>
      </c>
      <c r="D44" s="23">
        <f>Assumptions!D39*IF(D32&gt;0,1,0)</f>
        <v>0</v>
      </c>
      <c r="E44" s="23">
        <f>Assumptions!E39*IF(E32&gt;0,1,0)</f>
        <v>0</v>
      </c>
      <c r="F44" s="23">
        <f>Assumptions!F39*IF(F32&gt;0,1,0)</f>
        <v>1000</v>
      </c>
      <c r="G44" s="23">
        <f>Assumptions!G39*IF(G32&gt;0,1,0)</f>
        <v>500</v>
      </c>
      <c r="H44" s="23">
        <f>Assumptions!H39*IF(H32&gt;0,1,0)</f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2.05" customHeight="1">
      <c r="A45" s="1"/>
      <c r="B45" s="1"/>
      <c r="C45" s="28" t="s">
        <v>198</v>
      </c>
      <c r="D45" s="30">
        <f>D37+D38-D39-D43-D44</f>
        <v>0</v>
      </c>
      <c r="E45" s="30">
        <f>E37+E38-E39-E43-E44</f>
        <v>0</v>
      </c>
      <c r="F45" s="30">
        <f>F37+F38-F39-F43-F44</f>
        <v>5444.909829625848</v>
      </c>
      <c r="G45" s="30">
        <f>G37+G38-G39-G43-G44</f>
        <v>7046.0512407587375</v>
      </c>
      <c r="H45" s="30">
        <f>H37+H38-H39-H43-H44</f>
        <v>8391.1052877233669</v>
      </c>
      <c r="I45" s="28"/>
      <c r="J45" s="28"/>
      <c r="K45" s="28"/>
      <c r="L45" s="28"/>
      <c r="M45" s="28"/>
      <c r="N45" s="1"/>
      <c r="O45" s="1"/>
      <c r="P45" s="1"/>
      <c r="Q45" s="1"/>
      <c r="R45" s="1"/>
    </row>
    <row r="46" spans="1:18" ht="22.05" customHeight="1">
      <c r="A46" s="1"/>
      <c r="B46" s="1"/>
      <c r="C46" s="28" t="s">
        <v>184</v>
      </c>
      <c r="D46" s="30">
        <f>D45*D24</f>
        <v>0</v>
      </c>
      <c r="E46" s="30">
        <f>E45*E24</f>
        <v>0</v>
      </c>
      <c r="F46" s="30">
        <f>F45*F24</f>
        <v>4393.0028289881657</v>
      </c>
      <c r="G46" s="30">
        <f>G45*G24</f>
        <v>5106.2489378579685</v>
      </c>
      <c r="H46" s="30">
        <f>H45*H24</f>
        <v>5462.1139020744949</v>
      </c>
      <c r="I46" s="28"/>
      <c r="J46" s="28"/>
      <c r="K46" s="28"/>
      <c r="L46" s="28"/>
      <c r="M46" s="28"/>
      <c r="N46" s="1"/>
      <c r="O46" s="1"/>
      <c r="P46" s="1"/>
      <c r="Q46" s="1"/>
      <c r="R46" s="1"/>
    </row>
    <row r="47" spans="1:18" ht="19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9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9.95" customHeight="1">
      <c r="A49" s="1"/>
      <c r="B49" s="1"/>
      <c r="C49" s="1" t="s">
        <v>199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9.95" customHeight="1">
      <c r="A50" s="1"/>
      <c r="B50" s="1"/>
      <c r="C50" s="1" t="s">
        <v>200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9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9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9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9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9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9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9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9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9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9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9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9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9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9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9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9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9.9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9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9.9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9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9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9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9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9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9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9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9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9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9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9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9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9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9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9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9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9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9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9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9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9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D8BB"/>
  </sheetPr>
  <dimension ref="A1:R90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2" width="2" customWidth="1"/>
    <col min="3" max="3" width="43" customWidth="1"/>
    <col min="4" max="5" width="14" customWidth="1"/>
    <col min="6" max="6" width="15" customWidth="1"/>
    <col min="7" max="7" width="75" customWidth="1"/>
    <col min="8" max="8" width="120" customWidth="1"/>
    <col min="9" max="14" width="14" customWidth="1"/>
  </cols>
  <sheetData>
    <row r="1" spans="1:18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95" customHeight="1">
      <c r="A2" s="1"/>
      <c r="B2" s="1"/>
      <c r="C2" s="2" t="s">
        <v>201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9.95" customHeight="1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</row>
    <row r="4" spans="1:18" ht="19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95" customHeight="1">
      <c r="A5" s="1"/>
      <c r="B5" s="1"/>
      <c r="C5" s="4" t="s">
        <v>202</v>
      </c>
      <c r="D5" s="4" t="s">
        <v>203</v>
      </c>
      <c r="E5" s="4" t="s">
        <v>204</v>
      </c>
      <c r="F5" s="4" t="s">
        <v>205</v>
      </c>
      <c r="G5" s="4" t="s">
        <v>206</v>
      </c>
      <c r="H5" s="4" t="s">
        <v>207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9.95" customHeight="1">
      <c r="A6" s="1"/>
      <c r="B6" s="1"/>
      <c r="C6" s="1" t="s">
        <v>208</v>
      </c>
      <c r="D6" s="5">
        <v>46639.040000000001</v>
      </c>
      <c r="E6" s="1" t="s">
        <v>209</v>
      </c>
      <c r="F6" s="1" t="s">
        <v>210</v>
      </c>
      <c r="G6" s="1" t="s">
        <v>211</v>
      </c>
      <c r="H6" s="1" t="s">
        <v>212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9.95" customHeight="1">
      <c r="A7" s="1"/>
      <c r="B7" s="1"/>
      <c r="C7" s="1" t="s">
        <v>213</v>
      </c>
      <c r="D7" s="5">
        <v>89671.31</v>
      </c>
      <c r="E7" s="1" t="s">
        <v>209</v>
      </c>
      <c r="F7" s="1" t="s">
        <v>210</v>
      </c>
      <c r="G7" s="1" t="s">
        <v>211</v>
      </c>
      <c r="H7" s="1" t="s">
        <v>212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9.95" customHeight="1">
      <c r="A8" s="1"/>
      <c r="B8" s="1"/>
      <c r="C8" s="1" t="s">
        <v>214</v>
      </c>
      <c r="D8" s="5">
        <v>16311.85</v>
      </c>
      <c r="E8" s="1" t="s">
        <v>209</v>
      </c>
      <c r="F8" s="1" t="s">
        <v>210</v>
      </c>
      <c r="G8" s="1" t="s">
        <v>215</v>
      </c>
      <c r="H8" s="1" t="s">
        <v>212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9.95" customHeight="1">
      <c r="A9" s="1"/>
      <c r="B9" s="1"/>
      <c r="C9" s="1" t="s">
        <v>216</v>
      </c>
      <c r="D9" s="5">
        <v>6226.39</v>
      </c>
      <c r="E9" s="1" t="s">
        <v>209</v>
      </c>
      <c r="F9" s="1" t="s">
        <v>210</v>
      </c>
      <c r="G9" s="1" t="s">
        <v>215</v>
      </c>
      <c r="H9" s="1" t="s">
        <v>212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9.95" customHeight="1">
      <c r="A10" s="1"/>
      <c r="B10" s="1"/>
      <c r="C10" s="1" t="s">
        <v>217</v>
      </c>
      <c r="D10" s="5">
        <v>7311.34</v>
      </c>
      <c r="E10" s="1" t="s">
        <v>209</v>
      </c>
      <c r="F10" s="1" t="s">
        <v>210</v>
      </c>
      <c r="G10" s="1" t="s">
        <v>218</v>
      </c>
      <c r="H10" s="1" t="s">
        <v>212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9.95" customHeight="1">
      <c r="A11" s="1"/>
      <c r="B11" s="1"/>
      <c r="C11" s="1" t="s">
        <v>219</v>
      </c>
      <c r="D11" s="5">
        <v>0</v>
      </c>
      <c r="E11" s="1" t="s">
        <v>209</v>
      </c>
      <c r="F11" s="1" t="s">
        <v>210</v>
      </c>
      <c r="G11" s="1" t="s">
        <v>220</v>
      </c>
      <c r="H11" s="1" t="s">
        <v>212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9.95" customHeight="1">
      <c r="A12" s="1"/>
      <c r="B12" s="1"/>
      <c r="C12" s="1" t="s">
        <v>221</v>
      </c>
      <c r="D12" s="5">
        <v>158.18169499999999</v>
      </c>
      <c r="E12" s="1" t="s">
        <v>222</v>
      </c>
      <c r="F12" s="1" t="s">
        <v>223</v>
      </c>
      <c r="G12" s="1" t="s">
        <v>224</v>
      </c>
      <c r="H12" s="1" t="s">
        <v>212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9.95" customHeight="1">
      <c r="A13" s="1"/>
      <c r="B13" s="1"/>
      <c r="C13" s="1" t="s">
        <v>225</v>
      </c>
      <c r="D13" s="5">
        <v>6977.2</v>
      </c>
      <c r="E13" s="1" t="s">
        <v>209</v>
      </c>
      <c r="F13" s="1" t="s">
        <v>223</v>
      </c>
      <c r="G13" s="1" t="s">
        <v>226</v>
      </c>
      <c r="H13" s="1" t="s">
        <v>227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9.95" customHeight="1">
      <c r="A14" s="1"/>
      <c r="B14" s="1"/>
      <c r="C14" s="1" t="s">
        <v>228</v>
      </c>
      <c r="D14" s="5">
        <v>500.49099999999999</v>
      </c>
      <c r="E14" s="1" t="s">
        <v>229</v>
      </c>
      <c r="F14" s="1" t="s">
        <v>230</v>
      </c>
      <c r="G14" s="1" t="s">
        <v>231</v>
      </c>
      <c r="H14" s="1" t="s">
        <v>232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9.95" customHeight="1">
      <c r="A15" s="1"/>
      <c r="B15" s="1"/>
      <c r="C15" s="1" t="s">
        <v>233</v>
      </c>
      <c r="D15" s="5">
        <v>131.26400000000001</v>
      </c>
      <c r="E15" s="1" t="s">
        <v>229</v>
      </c>
      <c r="F15" s="1" t="s">
        <v>230</v>
      </c>
      <c r="G15" s="1" t="s">
        <v>234</v>
      </c>
      <c r="H15" s="1" t="s">
        <v>232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9.95" customHeight="1">
      <c r="A16" s="1"/>
      <c r="B16" s="1"/>
      <c r="C16" s="1" t="s">
        <v>235</v>
      </c>
      <c r="D16" s="5">
        <v>310.5</v>
      </c>
      <c r="E16" s="1" t="s">
        <v>229</v>
      </c>
      <c r="F16" s="1" t="s">
        <v>230</v>
      </c>
      <c r="G16" s="1" t="s">
        <v>234</v>
      </c>
      <c r="H16" s="1" t="s">
        <v>232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9.95" customHeight="1">
      <c r="A17" s="1"/>
      <c r="B17" s="1"/>
      <c r="C17" s="1" t="s">
        <v>236</v>
      </c>
      <c r="D17" s="5">
        <v>8.952</v>
      </c>
      <c r="E17" s="1" t="s">
        <v>229</v>
      </c>
      <c r="F17" s="1" t="s">
        <v>230</v>
      </c>
      <c r="G17" s="1" t="s">
        <v>237</v>
      </c>
      <c r="H17" s="1" t="s">
        <v>232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9.95" customHeight="1">
      <c r="A18" s="1"/>
      <c r="B18" s="1"/>
      <c r="C18" s="1" t="s">
        <v>238</v>
      </c>
      <c r="D18" s="5">
        <v>2.6909999999999998</v>
      </c>
      <c r="E18" s="1" t="s">
        <v>229</v>
      </c>
      <c r="F18" s="1" t="s">
        <v>230</v>
      </c>
      <c r="G18" s="1" t="s">
        <v>239</v>
      </c>
      <c r="H18" s="1" t="s">
        <v>232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9.95" customHeight="1">
      <c r="A19" s="1"/>
      <c r="B19" s="1"/>
      <c r="C19" s="1" t="s">
        <v>240</v>
      </c>
      <c r="D19" s="5">
        <v>12.376156999999999</v>
      </c>
      <c r="E19" s="1" t="s">
        <v>222</v>
      </c>
      <c r="F19" s="1" t="s">
        <v>230</v>
      </c>
      <c r="G19" s="1" t="s">
        <v>241</v>
      </c>
      <c r="H19" s="1" t="s">
        <v>232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9.95" customHeight="1">
      <c r="A20" s="1"/>
      <c r="B20" s="1"/>
      <c r="C20" s="1" t="s">
        <v>242</v>
      </c>
      <c r="D20" s="5">
        <v>81</v>
      </c>
      <c r="E20" s="1" t="s">
        <v>243</v>
      </c>
      <c r="F20" s="1" t="s">
        <v>244</v>
      </c>
      <c r="G20" s="1" t="s">
        <v>245</v>
      </c>
      <c r="H20" s="1" t="s">
        <v>246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9.95" customHeight="1">
      <c r="A21" s="1"/>
      <c r="B21" s="1"/>
      <c r="C21" s="1" t="s">
        <v>247</v>
      </c>
      <c r="D21" s="6">
        <v>0.94040000000000001</v>
      </c>
      <c r="E21" s="1" t="s">
        <v>248</v>
      </c>
      <c r="F21" s="1" t="s">
        <v>249</v>
      </c>
      <c r="G21" s="1" t="s">
        <v>250</v>
      </c>
      <c r="H21" s="1" t="s">
        <v>251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9.95" customHeight="1">
      <c r="A22" s="1"/>
      <c r="B22" s="1"/>
      <c r="C22" s="1" t="s">
        <v>252</v>
      </c>
      <c r="D22" s="5">
        <v>5832.5</v>
      </c>
      <c r="E22" s="1" t="s">
        <v>253</v>
      </c>
      <c r="F22" s="1" t="s">
        <v>254</v>
      </c>
      <c r="G22" s="1" t="s">
        <v>255</v>
      </c>
      <c r="H22" s="1" t="s">
        <v>256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9.95" customHeight="1">
      <c r="A23" s="1"/>
      <c r="B23" s="1"/>
      <c r="C23" s="1" t="s">
        <v>257</v>
      </c>
      <c r="D23" s="5">
        <v>147484.49</v>
      </c>
      <c r="E23" s="1" t="s">
        <v>209</v>
      </c>
      <c r="F23" s="1" t="s">
        <v>258</v>
      </c>
      <c r="G23" s="1" t="s">
        <v>259</v>
      </c>
      <c r="H23" s="1" t="s">
        <v>260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9.95" customHeight="1">
      <c r="A24" s="1"/>
      <c r="B24" s="1"/>
      <c r="C24" s="1" t="s">
        <v>261</v>
      </c>
      <c r="D24" s="5">
        <v>119387.17</v>
      </c>
      <c r="E24" s="1" t="s">
        <v>209</v>
      </c>
      <c r="F24" s="1" t="s">
        <v>262</v>
      </c>
      <c r="G24" s="1" t="s">
        <v>263</v>
      </c>
      <c r="H24" s="1" t="s">
        <v>260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9.95" customHeight="1">
      <c r="A25" s="1"/>
      <c r="B25" s="1"/>
      <c r="C25" s="1" t="s">
        <v>264</v>
      </c>
      <c r="D25" s="5">
        <v>23034.68</v>
      </c>
      <c r="E25" s="1" t="s">
        <v>209</v>
      </c>
      <c r="F25" s="1" t="s">
        <v>258</v>
      </c>
      <c r="G25" s="1" t="s">
        <v>265</v>
      </c>
      <c r="H25" s="1" t="s">
        <v>260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9.95" customHeight="1">
      <c r="A26" s="1"/>
      <c r="B26" s="1"/>
      <c r="C26" s="1" t="s">
        <v>266</v>
      </c>
      <c r="D26" s="5">
        <v>4029.5</v>
      </c>
      <c r="E26" s="1" t="s">
        <v>209</v>
      </c>
      <c r="F26" s="1" t="s">
        <v>258</v>
      </c>
      <c r="G26" s="1" t="s">
        <v>259</v>
      </c>
      <c r="H26" s="1" t="s">
        <v>260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9.95" customHeight="1">
      <c r="A27" s="1"/>
      <c r="B27" s="1"/>
      <c r="C27" s="1" t="s">
        <v>267</v>
      </c>
      <c r="D27" s="5">
        <v>1532.8</v>
      </c>
      <c r="E27" s="1" t="s">
        <v>209</v>
      </c>
      <c r="F27" s="1" t="s">
        <v>258</v>
      </c>
      <c r="G27" s="1" t="s">
        <v>268</v>
      </c>
      <c r="H27" s="1" t="s">
        <v>260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9.95" customHeight="1">
      <c r="A28" s="1"/>
      <c r="B28" s="1"/>
      <c r="C28" s="1" t="s">
        <v>269</v>
      </c>
      <c r="D28" s="5">
        <v>1467.34</v>
      </c>
      <c r="E28" s="1" t="s">
        <v>209</v>
      </c>
      <c r="F28" s="1" t="s">
        <v>258</v>
      </c>
      <c r="G28" s="1" t="s">
        <v>270</v>
      </c>
      <c r="H28" s="1" t="s">
        <v>260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9.95" customHeight="1">
      <c r="A29" s="1"/>
      <c r="B29" s="1"/>
      <c r="C29" s="1" t="s">
        <v>271</v>
      </c>
      <c r="D29" s="5">
        <v>330.34</v>
      </c>
      <c r="E29" s="1" t="s">
        <v>209</v>
      </c>
      <c r="F29" s="1" t="s">
        <v>258</v>
      </c>
      <c r="G29" s="1" t="s">
        <v>270</v>
      </c>
      <c r="H29" s="1" t="s">
        <v>260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9.95" customHeight="1">
      <c r="A30" s="1"/>
      <c r="B30" s="1"/>
      <c r="C30" s="1" t="s">
        <v>272</v>
      </c>
      <c r="D30" s="5">
        <v>2085.81</v>
      </c>
      <c r="E30" s="1" t="s">
        <v>209</v>
      </c>
      <c r="F30" s="1" t="s">
        <v>258</v>
      </c>
      <c r="G30" s="1" t="s">
        <v>270</v>
      </c>
      <c r="H30" s="1" t="s">
        <v>260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9.95" customHeight="1">
      <c r="A31" s="1"/>
      <c r="B31" s="1"/>
      <c r="C31" s="1" t="s">
        <v>121</v>
      </c>
      <c r="D31" s="6">
        <v>7.4899999999999994E-2</v>
      </c>
      <c r="E31" s="1" t="s">
        <v>248</v>
      </c>
      <c r="F31" s="1" t="s">
        <v>254</v>
      </c>
      <c r="G31" s="1" t="s">
        <v>273</v>
      </c>
      <c r="H31" s="1" t="s">
        <v>274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9.95" customHeight="1">
      <c r="A32" s="1"/>
      <c r="B32" s="1"/>
      <c r="C32" s="1" t="s">
        <v>275</v>
      </c>
      <c r="D32" s="6">
        <v>1.8700000000000001E-2</v>
      </c>
      <c r="E32" s="1" t="s">
        <v>248</v>
      </c>
      <c r="F32" s="1" t="s">
        <v>276</v>
      </c>
      <c r="G32" s="1" t="s">
        <v>277</v>
      </c>
      <c r="H32" s="1" t="s">
        <v>278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9.95" customHeight="1">
      <c r="A33" s="1"/>
      <c r="B33" s="1"/>
      <c r="C33" s="1" t="s">
        <v>125</v>
      </c>
      <c r="D33" s="6">
        <v>7.0800000000000002E-2</v>
      </c>
      <c r="E33" s="1" t="s">
        <v>248</v>
      </c>
      <c r="F33" s="1" t="s">
        <v>276</v>
      </c>
      <c r="G33" s="1" t="s">
        <v>279</v>
      </c>
      <c r="H33" s="1" t="s">
        <v>278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9.95" customHeight="1">
      <c r="A34" s="1"/>
      <c r="B34" s="1"/>
      <c r="C34" s="1" t="s">
        <v>280</v>
      </c>
      <c r="D34" s="5">
        <v>0.96</v>
      </c>
      <c r="E34" s="1" t="s">
        <v>281</v>
      </c>
      <c r="F34" s="1" t="s">
        <v>282</v>
      </c>
      <c r="G34" s="1" t="s">
        <v>283</v>
      </c>
      <c r="H34" s="1" t="s">
        <v>284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9.95" customHeight="1">
      <c r="A35" s="1"/>
      <c r="B35" s="1"/>
      <c r="C35" s="1" t="s">
        <v>285</v>
      </c>
      <c r="D35" s="6">
        <v>8.7999999999999995E-2</v>
      </c>
      <c r="E35" s="1" t="s">
        <v>248</v>
      </c>
      <c r="F35" s="1" t="s">
        <v>286</v>
      </c>
      <c r="G35" s="1" t="s">
        <v>287</v>
      </c>
      <c r="H35" s="1" t="s">
        <v>288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9.95" customHeight="1">
      <c r="A36" s="1"/>
      <c r="B36" s="1"/>
      <c r="C36" s="1" t="s">
        <v>289</v>
      </c>
      <c r="D36" s="6">
        <v>0.22</v>
      </c>
      <c r="E36" s="1" t="s">
        <v>248</v>
      </c>
      <c r="F36" s="1" t="s">
        <v>290</v>
      </c>
      <c r="G36" s="1" t="s">
        <v>291</v>
      </c>
      <c r="H36" s="1" t="s">
        <v>292</v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9.95" customHeight="1">
      <c r="A37" s="1"/>
      <c r="B37" s="1"/>
      <c r="C37" s="1" t="s">
        <v>293</v>
      </c>
      <c r="D37" s="6">
        <v>0.1</v>
      </c>
      <c r="E37" s="1" t="s">
        <v>248</v>
      </c>
      <c r="F37" s="1" t="s">
        <v>290</v>
      </c>
      <c r="G37" s="1" t="s">
        <v>294</v>
      </c>
      <c r="H37" s="1" t="s">
        <v>292</v>
      </c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9.95" customHeight="1">
      <c r="A38" s="1"/>
      <c r="B38" s="1"/>
      <c r="C38" s="1" t="s">
        <v>295</v>
      </c>
      <c r="D38" s="6">
        <v>0.04</v>
      </c>
      <c r="E38" s="1" t="s">
        <v>248</v>
      </c>
      <c r="F38" s="1" t="s">
        <v>290</v>
      </c>
      <c r="G38" s="1" t="s">
        <v>296</v>
      </c>
      <c r="H38" s="1" t="s">
        <v>292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9.95" customHeight="1">
      <c r="A39" s="1"/>
      <c r="B39" s="1"/>
      <c r="C39" s="1" t="s">
        <v>297</v>
      </c>
      <c r="D39" s="5">
        <v>800</v>
      </c>
      <c r="E39" s="1" t="s">
        <v>298</v>
      </c>
      <c r="F39" s="1" t="s">
        <v>299</v>
      </c>
      <c r="G39" s="1" t="s">
        <v>300</v>
      </c>
      <c r="H39" s="1" t="s">
        <v>301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9.95" customHeight="1">
      <c r="A40" s="1"/>
      <c r="B40" s="1"/>
      <c r="C40" s="1" t="s">
        <v>302</v>
      </c>
      <c r="D40" s="5">
        <v>450</v>
      </c>
      <c r="E40" s="1" t="s">
        <v>298</v>
      </c>
      <c r="F40" s="1" t="s">
        <v>223</v>
      </c>
      <c r="G40" s="1" t="s">
        <v>303</v>
      </c>
      <c r="H40" s="1" t="s">
        <v>304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9.95" customHeight="1">
      <c r="A41" s="1"/>
      <c r="B41" s="1"/>
      <c r="C41" s="1" t="s">
        <v>305</v>
      </c>
      <c r="D41" s="5">
        <v>7.6839810000000002</v>
      </c>
      <c r="E41" s="1" t="s">
        <v>222</v>
      </c>
      <c r="F41" s="1" t="s">
        <v>306</v>
      </c>
      <c r="G41" s="1" t="s">
        <v>307</v>
      </c>
      <c r="H41" s="1" t="s">
        <v>308</v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9.95" customHeight="1">
      <c r="A42" s="1"/>
      <c r="B42" s="1"/>
      <c r="C42" s="1" t="s">
        <v>309</v>
      </c>
      <c r="D42" s="5">
        <v>5550</v>
      </c>
      <c r="E42" s="1" t="s">
        <v>253</v>
      </c>
      <c r="F42" s="1" t="s">
        <v>306</v>
      </c>
      <c r="G42" s="1" t="s">
        <v>307</v>
      </c>
      <c r="H42" s="1" t="s">
        <v>308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9.95" customHeight="1">
      <c r="A43" s="1"/>
      <c r="B43" s="1"/>
      <c r="C43" s="1" t="s">
        <v>310</v>
      </c>
      <c r="D43" s="5">
        <v>165.83398099999999</v>
      </c>
      <c r="E43" s="1" t="s">
        <v>222</v>
      </c>
      <c r="F43" s="1" t="s">
        <v>306</v>
      </c>
      <c r="G43" s="1" t="s">
        <v>311</v>
      </c>
      <c r="H43" s="1" t="s">
        <v>308</v>
      </c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9.95" customHeight="1">
      <c r="A44" s="1"/>
      <c r="B44" s="1"/>
      <c r="C44" s="1" t="s">
        <v>312</v>
      </c>
      <c r="D44" s="5">
        <v>157.75</v>
      </c>
      <c r="E44" s="1" t="s">
        <v>222</v>
      </c>
      <c r="F44" s="1" t="s">
        <v>210</v>
      </c>
      <c r="G44" s="1" t="s">
        <v>313</v>
      </c>
      <c r="H44" s="1" t="s">
        <v>212</v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9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9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9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9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9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9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9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9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9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9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9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9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9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9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9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9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9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9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9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9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9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9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9.9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9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9.9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9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9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9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9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9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9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9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9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9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9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9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9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9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9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9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9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9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9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9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9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9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</vt:lpstr>
      <vt:lpstr>Assumptions</vt:lpstr>
      <vt:lpstr>Forecast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2026-10-28T04:41:59Z</dcterms:created>
  <dcterms:modified xsi:type="dcterms:W3CDTF">2026-10-28T04:41:59Z</dcterms:modified>
</cp:coreProperties>
</file>