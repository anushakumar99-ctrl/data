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E0CD36C-1E0E-44B9-882E-2234934F71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  <sheet name="PERSISTENT Prices" sheetId="18" r:id="rId2"/>
    <sheet name="Sources" sheetId="3" state="hidden" r:id="rId3"/>
    <sheet name="Assumptions" sheetId="4" r:id="rId4"/>
    <sheet name="Raw Financials" sheetId="5" r:id="rId5"/>
    <sheet name="Raw Operating" sheetId="6" r:id="rId6"/>
    <sheet name="Quarterly P&amp;L" sheetId="7" r:id="rId7"/>
    <sheet name="Annual P&amp;L" sheetId="8" r:id="rId8"/>
    <sheet name="Bookings &amp; Revenue" sheetId="11" r:id="rId9"/>
    <sheet name="Industry Mix" sheetId="12" r:id="rId10"/>
    <sheet name="Geography" sheetId="13" r:id="rId11"/>
    <sheet name="Client Metrics" sheetId="14" r:id="rId12"/>
    <sheet name="People &amp; AI" sheetId="15" r:id="rId13"/>
    <sheet name="Nagarro Scenario" sheetId="16" r:id="rId14"/>
    <sheet name="Valuation" sheetId="17" r:id="rId15"/>
    <sheet name="Checks" sheetId="19" r:id="rId16"/>
  </sheets>
  <externalReferences>
    <externalReference r:id="rId17"/>
  </externalReferences>
  <definedNames>
    <definedName name="_xlnm._FilterDatabase" localSheetId="1" hidden="1">'PERSISTENT Prices'!$A$5:$F$202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11" l="1"/>
  <c r="P7" i="15"/>
  <c r="AL5" i="2"/>
  <c r="AM5" i="2" s="1"/>
  <c r="AL6" i="2"/>
  <c r="AK6" i="2"/>
  <c r="AJ6" i="2"/>
  <c r="AK5" i="2"/>
  <c r="AE37" i="2"/>
  <c r="AE44" i="2" s="1"/>
  <c r="AF37" i="2"/>
  <c r="AF44" i="2" s="1"/>
  <c r="AD37" i="2"/>
  <c r="AC33" i="2"/>
  <c r="AB33" i="2"/>
  <c r="AA33" i="2"/>
  <c r="Z33" i="2"/>
  <c r="Y33" i="2"/>
  <c r="X33" i="2"/>
  <c r="W33" i="2"/>
  <c r="V33" i="2"/>
  <c r="U33" i="2"/>
  <c r="T33" i="2"/>
  <c r="AD28" i="2"/>
  <c r="AJ5" i="2"/>
  <c r="S35" i="2"/>
  <c r="S33" i="2"/>
  <c r="K63" i="2"/>
  <c r="G62" i="2"/>
  <c r="K60" i="2"/>
  <c r="AB26" i="2" s="1"/>
  <c r="E60" i="2"/>
  <c r="E61" i="2" s="1"/>
  <c r="L59" i="2"/>
  <c r="K59" i="2"/>
  <c r="J59" i="2"/>
  <c r="I59" i="2"/>
  <c r="H59" i="2"/>
  <c r="G59" i="2"/>
  <c r="F59" i="2"/>
  <c r="E59" i="2"/>
  <c r="D59" i="2"/>
  <c r="C59" i="2"/>
  <c r="P58" i="2"/>
  <c r="O58" i="2"/>
  <c r="N58" i="2"/>
  <c r="M58" i="2"/>
  <c r="L58" i="2"/>
  <c r="L60" i="2" s="1"/>
  <c r="K58" i="2"/>
  <c r="J58" i="2"/>
  <c r="J60" i="2" s="1"/>
  <c r="I58" i="2"/>
  <c r="I60" i="2" s="1"/>
  <c r="H58" i="2"/>
  <c r="H60" i="2" s="1"/>
  <c r="G58" i="2"/>
  <c r="G60" i="2" s="1"/>
  <c r="F58" i="2"/>
  <c r="F60" i="2" s="1"/>
  <c r="E58" i="2"/>
  <c r="D58" i="2"/>
  <c r="D60" i="2" s="1"/>
  <c r="C58" i="2"/>
  <c r="C60" i="2" s="1"/>
  <c r="L57" i="2"/>
  <c r="K57" i="2"/>
  <c r="J57" i="2"/>
  <c r="I57" i="2"/>
  <c r="H57" i="2"/>
  <c r="G57" i="2"/>
  <c r="F57" i="2"/>
  <c r="E57" i="2"/>
  <c r="D57" i="2"/>
  <c r="C57" i="2"/>
  <c r="L56" i="2"/>
  <c r="K56" i="2"/>
  <c r="J56" i="2"/>
  <c r="I56" i="2"/>
  <c r="H56" i="2"/>
  <c r="G56" i="2"/>
  <c r="F56" i="2"/>
  <c r="E56" i="2"/>
  <c r="D56" i="2"/>
  <c r="C56" i="2"/>
  <c r="L55" i="2"/>
  <c r="K55" i="2"/>
  <c r="J55" i="2"/>
  <c r="I55" i="2"/>
  <c r="Z26" i="2" s="1"/>
  <c r="H55" i="2"/>
  <c r="G55" i="2"/>
  <c r="F55" i="2"/>
  <c r="E55" i="2"/>
  <c r="D55" i="2"/>
  <c r="C55" i="2"/>
  <c r="T26" i="2" s="1"/>
  <c r="L54" i="2"/>
  <c r="K54" i="2"/>
  <c r="J54" i="2"/>
  <c r="I54" i="2"/>
  <c r="H54" i="2"/>
  <c r="G54" i="2"/>
  <c r="F54" i="2"/>
  <c r="E54" i="2"/>
  <c r="D54" i="2"/>
  <c r="C54" i="2"/>
  <c r="L53" i="2"/>
  <c r="K53" i="2"/>
  <c r="J53" i="2"/>
  <c r="I53" i="2"/>
  <c r="H53" i="2"/>
  <c r="G53" i="2"/>
  <c r="X21" i="2" s="1"/>
  <c r="F53" i="2"/>
  <c r="E53" i="2"/>
  <c r="D53" i="2"/>
  <c r="C53" i="2"/>
  <c r="L52" i="2"/>
  <c r="K52" i="2"/>
  <c r="J52" i="2"/>
  <c r="I52" i="2"/>
  <c r="H52" i="2"/>
  <c r="G52" i="2"/>
  <c r="F52" i="2"/>
  <c r="E52" i="2"/>
  <c r="D52" i="2"/>
  <c r="C52" i="2"/>
  <c r="L51" i="2"/>
  <c r="K51" i="2"/>
  <c r="J51" i="2"/>
  <c r="I51" i="2"/>
  <c r="H51" i="2"/>
  <c r="G51" i="2"/>
  <c r="F51" i="2"/>
  <c r="E51" i="2"/>
  <c r="D51" i="2"/>
  <c r="C51" i="2"/>
  <c r="L50" i="2"/>
  <c r="K50" i="2"/>
  <c r="J50" i="2"/>
  <c r="I50" i="2"/>
  <c r="H50" i="2"/>
  <c r="G50" i="2"/>
  <c r="F50" i="2"/>
  <c r="E50" i="2"/>
  <c r="D50" i="2"/>
  <c r="C50" i="2"/>
  <c r="L49" i="2"/>
  <c r="K49" i="2"/>
  <c r="J49" i="2"/>
  <c r="I49" i="2"/>
  <c r="H49" i="2"/>
  <c r="G49" i="2"/>
  <c r="F49" i="2"/>
  <c r="E49" i="2"/>
  <c r="D49" i="2"/>
  <c r="C49" i="2"/>
  <c r="L48" i="2"/>
  <c r="K48" i="2"/>
  <c r="J48" i="2"/>
  <c r="I48" i="2"/>
  <c r="H48" i="2"/>
  <c r="G48" i="2"/>
  <c r="F48" i="2"/>
  <c r="E48" i="2"/>
  <c r="D48" i="2"/>
  <c r="C48" i="2"/>
  <c r="L47" i="2"/>
  <c r="K47" i="2"/>
  <c r="J47" i="2"/>
  <c r="I47" i="2"/>
  <c r="H47" i="2"/>
  <c r="G47" i="2"/>
  <c r="F47" i="2"/>
  <c r="E47" i="2"/>
  <c r="D47" i="2"/>
  <c r="C47" i="2"/>
  <c r="L46" i="2"/>
  <c r="L62" i="2" s="1"/>
  <c r="K46" i="2"/>
  <c r="K62" i="2" s="1"/>
  <c r="J46" i="2"/>
  <c r="J62" i="2" s="1"/>
  <c r="I46" i="2"/>
  <c r="I62" i="2" s="1"/>
  <c r="H46" i="2"/>
  <c r="H62" i="2" s="1"/>
  <c r="G46" i="2"/>
  <c r="F46" i="2"/>
  <c r="F62" i="2" s="1"/>
  <c r="E46" i="2"/>
  <c r="E62" i="2" s="1"/>
  <c r="D46" i="2"/>
  <c r="D62" i="2" s="1"/>
  <c r="C46" i="2"/>
  <c r="C62" i="2" s="1"/>
  <c r="B60" i="2"/>
  <c r="B61" i="2" s="1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K41" i="2"/>
  <c r="K42" i="2" s="1"/>
  <c r="AB22" i="2" s="1"/>
  <c r="E41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M39" i="2"/>
  <c r="L39" i="2"/>
  <c r="K39" i="2"/>
  <c r="J39" i="2"/>
  <c r="I39" i="2"/>
  <c r="H39" i="2"/>
  <c r="G39" i="2"/>
  <c r="F39" i="2"/>
  <c r="E39" i="2"/>
  <c r="D39" i="2"/>
  <c r="C39" i="2"/>
  <c r="L38" i="2"/>
  <c r="K38" i="2"/>
  <c r="J38" i="2"/>
  <c r="I38" i="2"/>
  <c r="H38" i="2"/>
  <c r="G38" i="2"/>
  <c r="F38" i="2"/>
  <c r="E38" i="2"/>
  <c r="D38" i="2"/>
  <c r="C38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L36" i="2"/>
  <c r="K36" i="2"/>
  <c r="J36" i="2"/>
  <c r="I36" i="2"/>
  <c r="I35" i="2" s="1"/>
  <c r="H36" i="2"/>
  <c r="G36" i="2"/>
  <c r="F36" i="2"/>
  <c r="E36" i="2"/>
  <c r="D36" i="2"/>
  <c r="C36" i="2"/>
  <c r="C35" i="2" s="1"/>
  <c r="K35" i="2"/>
  <c r="E35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L33" i="2"/>
  <c r="L35" i="2" s="1"/>
  <c r="K33" i="2"/>
  <c r="J33" i="2"/>
  <c r="J35" i="2" s="1"/>
  <c r="I33" i="2"/>
  <c r="H33" i="2"/>
  <c r="H35" i="2" s="1"/>
  <c r="G33" i="2"/>
  <c r="G35" i="2" s="1"/>
  <c r="F33" i="2"/>
  <c r="F35" i="2" s="1"/>
  <c r="E33" i="2"/>
  <c r="D33" i="2"/>
  <c r="D35" i="2" s="1"/>
  <c r="C33" i="2"/>
  <c r="L32" i="2"/>
  <c r="K32" i="2"/>
  <c r="K31" i="2" s="1"/>
  <c r="J32" i="2"/>
  <c r="I32" i="2"/>
  <c r="H32" i="2"/>
  <c r="G32" i="2"/>
  <c r="F32" i="2"/>
  <c r="E32" i="2"/>
  <c r="E31" i="2" s="1"/>
  <c r="D32" i="2"/>
  <c r="C32" i="2"/>
  <c r="G31" i="2"/>
  <c r="L30" i="2"/>
  <c r="L31" i="2" s="1"/>
  <c r="K30" i="2"/>
  <c r="J30" i="2"/>
  <c r="J31" i="2" s="1"/>
  <c r="I30" i="2"/>
  <c r="I31" i="2" s="1"/>
  <c r="H30" i="2"/>
  <c r="H31" i="2" s="1"/>
  <c r="G30" i="2"/>
  <c r="F30" i="2"/>
  <c r="F31" i="2" s="1"/>
  <c r="E30" i="2"/>
  <c r="D30" i="2"/>
  <c r="D31" i="2" s="1"/>
  <c r="C30" i="2"/>
  <c r="C31" i="2" s="1"/>
  <c r="K29" i="2"/>
  <c r="E29" i="2"/>
  <c r="L28" i="2"/>
  <c r="L41" i="2" s="1"/>
  <c r="L42" i="2" s="1"/>
  <c r="AC22" i="2" s="1"/>
  <c r="K28" i="2"/>
  <c r="J28" i="2"/>
  <c r="J41" i="2" s="1"/>
  <c r="J42" i="2" s="1"/>
  <c r="AA22" i="2" s="1"/>
  <c r="I28" i="2"/>
  <c r="I41" i="2" s="1"/>
  <c r="I42" i="2" s="1"/>
  <c r="Z22" i="2" s="1"/>
  <c r="H28" i="2"/>
  <c r="H41" i="2" s="1"/>
  <c r="G28" i="2"/>
  <c r="G27" i="2" s="1"/>
  <c r="F28" i="2"/>
  <c r="F41" i="2" s="1"/>
  <c r="F42" i="2" s="1"/>
  <c r="W22" i="2" s="1"/>
  <c r="E28" i="2"/>
  <c r="D28" i="2"/>
  <c r="D41" i="2" s="1"/>
  <c r="D42" i="2" s="1"/>
  <c r="U22" i="2" s="1"/>
  <c r="C28" i="2"/>
  <c r="C41" i="2" s="1"/>
  <c r="C42" i="2" s="1"/>
  <c r="T22" i="2" s="1"/>
  <c r="I27" i="2"/>
  <c r="C27" i="2"/>
  <c r="L26" i="2"/>
  <c r="K26" i="2"/>
  <c r="J26" i="2"/>
  <c r="I26" i="2"/>
  <c r="H26" i="2"/>
  <c r="G26" i="2"/>
  <c r="F26" i="2"/>
  <c r="E26" i="2"/>
  <c r="D26" i="2"/>
  <c r="C26" i="2"/>
  <c r="L25" i="2"/>
  <c r="L27" i="2" s="1"/>
  <c r="K25" i="2"/>
  <c r="K27" i="2" s="1"/>
  <c r="J25" i="2"/>
  <c r="J27" i="2" s="1"/>
  <c r="I25" i="2"/>
  <c r="H25" i="2"/>
  <c r="H27" i="2" s="1"/>
  <c r="G25" i="2"/>
  <c r="F25" i="2"/>
  <c r="F27" i="2" s="1"/>
  <c r="E25" i="2"/>
  <c r="E27" i="2" s="1"/>
  <c r="D25" i="2"/>
  <c r="D27" i="2" s="1"/>
  <c r="C25" i="2"/>
  <c r="B40" i="2"/>
  <c r="E42" i="2"/>
  <c r="V22" i="2" s="1"/>
  <c r="B39" i="2"/>
  <c r="B38" i="2"/>
  <c r="B37" i="2"/>
  <c r="B35" i="2"/>
  <c r="B34" i="2"/>
  <c r="B36" i="2"/>
  <c r="B33" i="2"/>
  <c r="B31" i="2"/>
  <c r="B32" i="2"/>
  <c r="B30" i="2"/>
  <c r="B29" i="2"/>
  <c r="B27" i="2"/>
  <c r="B28" i="2"/>
  <c r="B26" i="2"/>
  <c r="B25" i="2"/>
  <c r="P21" i="2"/>
  <c r="O21" i="2"/>
  <c r="N21" i="2"/>
  <c r="M21" i="2"/>
  <c r="L21" i="2"/>
  <c r="AC38" i="2" s="1"/>
  <c r="K21" i="2"/>
  <c r="AB38" i="2" s="1"/>
  <c r="J21" i="2"/>
  <c r="I21" i="2"/>
  <c r="H21" i="2"/>
  <c r="G21" i="2"/>
  <c r="F21" i="2"/>
  <c r="W38" i="2" s="1"/>
  <c r="W39" i="2" s="1"/>
  <c r="E21" i="2"/>
  <c r="V38" i="2" s="1"/>
  <c r="V39" i="2" s="1"/>
  <c r="D21" i="2"/>
  <c r="C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L19" i="2"/>
  <c r="K19" i="2"/>
  <c r="J19" i="2"/>
  <c r="I19" i="2"/>
  <c r="H19" i="2"/>
  <c r="G19" i="2"/>
  <c r="F19" i="2"/>
  <c r="E19" i="2"/>
  <c r="D19" i="2"/>
  <c r="C19" i="2"/>
  <c r="L18" i="2"/>
  <c r="K18" i="2"/>
  <c r="J18" i="2"/>
  <c r="I18" i="2"/>
  <c r="H18" i="2"/>
  <c r="G18" i="2"/>
  <c r="F18" i="2"/>
  <c r="X10" i="2" s="1"/>
  <c r="E18" i="2"/>
  <c r="V10" i="2" s="1"/>
  <c r="D18" i="2"/>
  <c r="C18" i="2"/>
  <c r="L16" i="2"/>
  <c r="L17" i="2" s="1"/>
  <c r="AC17" i="2" s="1"/>
  <c r="K16" i="2"/>
  <c r="K17" i="2" s="1"/>
  <c r="AB17" i="2" s="1"/>
  <c r="J16" i="2"/>
  <c r="AA21" i="2" s="1"/>
  <c r="I16" i="2"/>
  <c r="Z21" i="2" s="1"/>
  <c r="H16" i="2"/>
  <c r="G16" i="2"/>
  <c r="F16" i="2"/>
  <c r="E16" i="2"/>
  <c r="E17" i="2" s="1"/>
  <c r="V17" i="2" s="1"/>
  <c r="D16" i="2"/>
  <c r="U9" i="2" s="1"/>
  <c r="C16" i="2"/>
  <c r="T9" i="2" s="1"/>
  <c r="L15" i="2"/>
  <c r="K15" i="2"/>
  <c r="J15" i="2"/>
  <c r="I15" i="2"/>
  <c r="H15" i="2"/>
  <c r="G15" i="2"/>
  <c r="F15" i="2"/>
  <c r="E15" i="2"/>
  <c r="D15" i="2"/>
  <c r="C15" i="2"/>
  <c r="L13" i="2"/>
  <c r="K13" i="2"/>
  <c r="K14" i="2" s="1"/>
  <c r="AB16" i="2" s="1"/>
  <c r="J13" i="2"/>
  <c r="J14" i="2" s="1"/>
  <c r="AA16" i="2" s="1"/>
  <c r="I13" i="2"/>
  <c r="I14" i="2" s="1"/>
  <c r="Z16" i="2" s="1"/>
  <c r="H13" i="2"/>
  <c r="G13" i="2"/>
  <c r="F13" i="2"/>
  <c r="E13" i="2"/>
  <c r="E14" i="2" s="1"/>
  <c r="V16" i="2" s="1"/>
  <c r="D13" i="2"/>
  <c r="D14" i="2" s="1"/>
  <c r="U16" i="2" s="1"/>
  <c r="C13" i="2"/>
  <c r="C14" i="2" s="1"/>
  <c r="T16" i="2" s="1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L5" i="2"/>
  <c r="L14" i="2" s="1"/>
  <c r="AC16" i="2" s="1"/>
  <c r="K5" i="2"/>
  <c r="J5" i="2"/>
  <c r="I5" i="2"/>
  <c r="H5" i="2"/>
  <c r="G5" i="2"/>
  <c r="G17" i="2" s="1"/>
  <c r="X17" i="2" s="1"/>
  <c r="F5" i="2"/>
  <c r="F17" i="2" s="1"/>
  <c r="W17" i="2" s="1"/>
  <c r="E5" i="2"/>
  <c r="D5" i="2"/>
  <c r="C5" i="2"/>
  <c r="B21" i="2"/>
  <c r="B20" i="2"/>
  <c r="B19" i="2"/>
  <c r="B18" i="2"/>
  <c r="B17" i="2"/>
  <c r="B16" i="2"/>
  <c r="B15" i="2"/>
  <c r="B14" i="2"/>
  <c r="S16" i="2" s="1"/>
  <c r="B13" i="2"/>
  <c r="B5" i="2"/>
  <c r="S26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AG48" i="2"/>
  <c r="AG50" i="2" s="1"/>
  <c r="AF48" i="2"/>
  <c r="AF50" i="2" s="1"/>
  <c r="AE48" i="2"/>
  <c r="AE50" i="2" s="1"/>
  <c r="AD48" i="2"/>
  <c r="AD50" i="2" s="1"/>
  <c r="AC48" i="2"/>
  <c r="AC50" i="2" s="1"/>
  <c r="AB48" i="2"/>
  <c r="AB50" i="2" s="1"/>
  <c r="AA48" i="2"/>
  <c r="AA50" i="2" s="1"/>
  <c r="Z48" i="2"/>
  <c r="Z50" i="2" s="1"/>
  <c r="Y48" i="2"/>
  <c r="Y50" i="2" s="1"/>
  <c r="X48" i="2"/>
  <c r="X50" i="2" s="1"/>
  <c r="W48" i="2"/>
  <c r="W50" i="2" s="1"/>
  <c r="V48" i="2"/>
  <c r="V50" i="2" s="1"/>
  <c r="U48" i="2"/>
  <c r="U50" i="2" s="1"/>
  <c r="T48" i="2"/>
  <c r="T50" i="2" s="1"/>
  <c r="S48" i="2"/>
  <c r="S50" i="2" s="1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AB44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W40" i="2"/>
  <c r="V40" i="2"/>
  <c r="AC44" i="2"/>
  <c r="AB40" i="2"/>
  <c r="AA44" i="2"/>
  <c r="Z44" i="2"/>
  <c r="Y44" i="2"/>
  <c r="X44" i="2"/>
  <c r="W44" i="2"/>
  <c r="V44" i="2"/>
  <c r="U44" i="2"/>
  <c r="T44" i="2"/>
  <c r="S44" i="2"/>
  <c r="B41" i="2"/>
  <c r="B42" i="2" s="1"/>
  <c r="S22" i="2" s="1"/>
  <c r="U21" i="2"/>
  <c r="T21" i="2"/>
  <c r="S21" i="2"/>
  <c r="AB10" i="2"/>
  <c r="S17" i="2"/>
  <c r="B63" i="2"/>
  <c r="S20" i="2" s="1"/>
  <c r="AA10" i="2"/>
  <c r="Z10" i="2"/>
  <c r="Y10" i="2"/>
  <c r="U10" i="2"/>
  <c r="T10" i="2"/>
  <c r="S10" i="2"/>
  <c r="Y9" i="2"/>
  <c r="S9" i="2"/>
  <c r="S8" i="2"/>
  <c r="S7" i="2"/>
  <c r="S6" i="2"/>
  <c r="B6" i="2"/>
  <c r="AC6" i="2"/>
  <c r="AB6" i="2"/>
  <c r="AA6" i="2"/>
  <c r="W6" i="2"/>
  <c r="V6" i="2"/>
  <c r="U6" i="2"/>
  <c r="T6" i="2"/>
  <c r="AM6" i="2" l="1"/>
  <c r="AG37" i="2"/>
  <c r="AG44" i="2" s="1"/>
  <c r="AC26" i="2"/>
  <c r="L61" i="2"/>
  <c r="AC27" i="2"/>
  <c r="L63" i="2"/>
  <c r="H61" i="2"/>
  <c r="H63" i="2"/>
  <c r="Y20" i="2" s="1"/>
  <c r="Y26" i="2"/>
  <c r="G61" i="2"/>
  <c r="X26" i="2"/>
  <c r="G63" i="2"/>
  <c r="X27" i="2"/>
  <c r="C63" i="2"/>
  <c r="C61" i="2"/>
  <c r="T27" i="2"/>
  <c r="I63" i="2"/>
  <c r="Z20" i="2" s="1"/>
  <c r="I61" i="2"/>
  <c r="F61" i="2"/>
  <c r="W27" i="2"/>
  <c r="W26" i="2"/>
  <c r="F63" i="2"/>
  <c r="D63" i="2"/>
  <c r="U26" i="2"/>
  <c r="D61" i="2"/>
  <c r="U27" i="2"/>
  <c r="J63" i="2"/>
  <c r="AA20" i="2" s="1"/>
  <c r="AA26" i="2"/>
  <c r="AA27" i="2"/>
  <c r="J61" i="2"/>
  <c r="V26" i="2"/>
  <c r="E63" i="2"/>
  <c r="V20" i="2" s="1"/>
  <c r="Y21" i="2"/>
  <c r="AB27" i="2"/>
  <c r="Z27" i="2"/>
  <c r="K61" i="2"/>
  <c r="AB42" i="2"/>
  <c r="AC42" i="2"/>
  <c r="F29" i="2"/>
  <c r="L29" i="2"/>
  <c r="G29" i="2"/>
  <c r="G41" i="2"/>
  <c r="H29" i="2"/>
  <c r="C29" i="2"/>
  <c r="I29" i="2"/>
  <c r="D29" i="2"/>
  <c r="J29" i="2"/>
  <c r="H42" i="2"/>
  <c r="Y22" i="2" s="1"/>
  <c r="X6" i="2"/>
  <c r="Z9" i="2"/>
  <c r="H14" i="2"/>
  <c r="Y16" i="2" s="1"/>
  <c r="H17" i="2"/>
  <c r="Y17" i="2" s="1"/>
  <c r="AA9" i="2"/>
  <c r="U20" i="2"/>
  <c r="C17" i="2"/>
  <c r="T17" i="2" s="1"/>
  <c r="I17" i="2"/>
  <c r="Z17" i="2" s="1"/>
  <c r="G14" i="2"/>
  <c r="X16" i="2" s="1"/>
  <c r="Y6" i="2"/>
  <c r="D17" i="2"/>
  <c r="U17" i="2" s="1"/>
  <c r="J17" i="2"/>
  <c r="AA17" i="2" s="1"/>
  <c r="Z6" i="2"/>
  <c r="G42" i="2"/>
  <c r="X22" i="2" s="1"/>
  <c r="F14" i="2"/>
  <c r="W16" i="2" s="1"/>
  <c r="AB39" i="2"/>
  <c r="V27" i="2"/>
  <c r="AC39" i="2"/>
  <c r="V42" i="2"/>
  <c r="S27" i="2"/>
  <c r="Y27" i="2"/>
  <c r="B62" i="2"/>
  <c r="T20" i="2"/>
  <c r="V21" i="2"/>
  <c r="V9" i="2"/>
  <c r="AB21" i="2"/>
  <c r="AB9" i="2"/>
  <c r="W21" i="2"/>
  <c r="W9" i="2"/>
  <c r="W20" i="2"/>
  <c r="AC21" i="2"/>
  <c r="AC9" i="2"/>
  <c r="AC20" i="2"/>
  <c r="W10" i="2"/>
  <c r="AC10" i="2"/>
  <c r="AC40" i="2"/>
  <c r="W42" i="2"/>
  <c r="AB20" i="2"/>
  <c r="S38" i="2"/>
  <c r="S39" i="2" s="1"/>
  <c r="Y38" i="2"/>
  <c r="Y39" i="2" s="1"/>
  <c r="AE38" i="2"/>
  <c r="S40" i="2"/>
  <c r="Y40" i="2"/>
  <c r="AD38" i="2"/>
  <c r="X40" i="2"/>
  <c r="AD44" i="2"/>
  <c r="X20" i="2"/>
  <c r="T38" i="2"/>
  <c r="Z38" i="2"/>
  <c r="Z39" i="2" s="1"/>
  <c r="AF38" i="2"/>
  <c r="T39" i="2"/>
  <c r="T40" i="2"/>
  <c r="Z40" i="2"/>
  <c r="T42" i="2"/>
  <c r="X38" i="2"/>
  <c r="X42" i="2" s="1"/>
  <c r="X9" i="2"/>
  <c r="U38" i="2"/>
  <c r="U39" i="2" s="1"/>
  <c r="AA38" i="2"/>
  <c r="AA39" i="2" s="1"/>
  <c r="AG38" i="2"/>
  <c r="U40" i="2"/>
  <c r="AA40" i="2"/>
  <c r="Z42" i="2" l="1"/>
  <c r="X39" i="2"/>
  <c r="AA42" i="2"/>
  <c r="U42" i="2"/>
  <c r="S42" i="2"/>
  <c r="Y42" i="2"/>
  <c r="G94" i="8" l="1"/>
  <c r="D95" i="8"/>
  <c r="J95" i="8"/>
  <c r="B97" i="8"/>
  <c r="C97" i="8"/>
  <c r="H97" i="8"/>
  <c r="I97" i="8"/>
  <c r="M98" i="8"/>
  <c r="N98" i="8"/>
  <c r="O98" i="8"/>
  <c r="P98" i="8"/>
  <c r="M107" i="8"/>
  <c r="N107" i="8"/>
  <c r="O107" i="8"/>
  <c r="P107" i="8"/>
  <c r="B108" i="8"/>
  <c r="C108" i="8"/>
  <c r="D108" i="8"/>
  <c r="E108" i="8"/>
  <c r="F108" i="8"/>
  <c r="G108" i="8"/>
  <c r="H108" i="8"/>
  <c r="I108" i="8"/>
  <c r="J108" i="8"/>
  <c r="K108" i="8"/>
  <c r="L108" i="8"/>
  <c r="B111" i="8"/>
  <c r="B116" i="8" s="1"/>
  <c r="C111" i="8"/>
  <c r="C116" i="8" s="1"/>
  <c r="D111" i="8"/>
  <c r="E111" i="8"/>
  <c r="E133" i="8" s="1"/>
  <c r="E134" i="8" s="1"/>
  <c r="F111" i="8"/>
  <c r="G111" i="8"/>
  <c r="G116" i="8" s="1"/>
  <c r="H111" i="8"/>
  <c r="H116" i="8" s="1"/>
  <c r="I111" i="8"/>
  <c r="I116" i="8" s="1"/>
  <c r="J111" i="8"/>
  <c r="K111" i="8"/>
  <c r="K133" i="8" s="1"/>
  <c r="L111" i="8"/>
  <c r="B112" i="8"/>
  <c r="C112" i="8"/>
  <c r="D112" i="8"/>
  <c r="D115" i="8" s="1"/>
  <c r="D116" i="8" s="1"/>
  <c r="E112" i="8"/>
  <c r="E115" i="8" s="1"/>
  <c r="E116" i="8" s="1"/>
  <c r="F112" i="8"/>
  <c r="F133" i="8" s="1"/>
  <c r="G112" i="8"/>
  <c r="H112" i="8"/>
  <c r="I112" i="8"/>
  <c r="J112" i="8"/>
  <c r="J115" i="8" s="1"/>
  <c r="J116" i="8" s="1"/>
  <c r="K112" i="8"/>
  <c r="K115" i="8" s="1"/>
  <c r="K116" i="8" s="1"/>
  <c r="L112" i="8"/>
  <c r="L133" i="8" s="1"/>
  <c r="B113" i="8"/>
  <c r="C113" i="8"/>
  <c r="D113" i="8"/>
  <c r="E113" i="8"/>
  <c r="F113" i="8"/>
  <c r="G113" i="8"/>
  <c r="H113" i="8"/>
  <c r="I113" i="8"/>
  <c r="J113" i="8"/>
  <c r="K113" i="8"/>
  <c r="L113" i="8"/>
  <c r="B114" i="8"/>
  <c r="C114" i="8"/>
  <c r="D114" i="8"/>
  <c r="E114" i="8"/>
  <c r="F114" i="8"/>
  <c r="G114" i="8"/>
  <c r="H114" i="8"/>
  <c r="I114" i="8"/>
  <c r="J114" i="8"/>
  <c r="K114" i="8"/>
  <c r="L114" i="8"/>
  <c r="B115" i="8"/>
  <c r="C115" i="8"/>
  <c r="G115" i="8"/>
  <c r="H115" i="8"/>
  <c r="I115" i="8"/>
  <c r="M115" i="8"/>
  <c r="N115" i="8"/>
  <c r="O115" i="8"/>
  <c r="P115" i="8"/>
  <c r="B122" i="8"/>
  <c r="B125" i="8" s="1"/>
  <c r="C122" i="8"/>
  <c r="D122" i="8"/>
  <c r="D125" i="8" s="1"/>
  <c r="E122" i="8"/>
  <c r="E124" i="8" s="1"/>
  <c r="F122" i="8"/>
  <c r="G122" i="8"/>
  <c r="G124" i="8" s="1"/>
  <c r="G125" i="8" s="1"/>
  <c r="H122" i="8"/>
  <c r="H125" i="8" s="1"/>
  <c r="I122" i="8"/>
  <c r="J122" i="8"/>
  <c r="J125" i="8" s="1"/>
  <c r="K122" i="8"/>
  <c r="K124" i="8" s="1"/>
  <c r="L122" i="8"/>
  <c r="M123" i="8"/>
  <c r="N123" i="8"/>
  <c r="O123" i="8"/>
  <c r="P123" i="8"/>
  <c r="B124" i="8"/>
  <c r="C124" i="8"/>
  <c r="C125" i="8" s="1"/>
  <c r="D124" i="8"/>
  <c r="F124" i="8"/>
  <c r="H124" i="8"/>
  <c r="I124" i="8"/>
  <c r="I125" i="8" s="1"/>
  <c r="J124" i="8"/>
  <c r="L124" i="8"/>
  <c r="M124" i="8"/>
  <c r="N124" i="8"/>
  <c r="O124" i="8"/>
  <c r="P124" i="8"/>
  <c r="F125" i="8"/>
  <c r="L125" i="8"/>
  <c r="B127" i="8"/>
  <c r="C127" i="8"/>
  <c r="D127" i="8"/>
  <c r="E127" i="8"/>
  <c r="F127" i="8"/>
  <c r="G127" i="8"/>
  <c r="H127" i="8"/>
  <c r="I127" i="8"/>
  <c r="J127" i="8"/>
  <c r="K127" i="8"/>
  <c r="L127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B129" i="8"/>
  <c r="C129" i="8"/>
  <c r="D129" i="8"/>
  <c r="E129" i="8"/>
  <c r="F129" i="8"/>
  <c r="G129" i="8"/>
  <c r="H129" i="8"/>
  <c r="I129" i="8"/>
  <c r="J129" i="8"/>
  <c r="K129" i="8"/>
  <c r="L129" i="8"/>
  <c r="C130" i="8"/>
  <c r="E130" i="8"/>
  <c r="F130" i="8"/>
  <c r="G130" i="8"/>
  <c r="I130" i="8"/>
  <c r="K130" i="8"/>
  <c r="L130" i="8"/>
  <c r="C131" i="8"/>
  <c r="C132" i="8" s="1"/>
  <c r="D131" i="8"/>
  <c r="F131" i="8"/>
  <c r="I131" i="8"/>
  <c r="I132" i="8" s="1"/>
  <c r="J131" i="8"/>
  <c r="L131" i="8"/>
  <c r="F132" i="8"/>
  <c r="L132" i="8"/>
  <c r="D133" i="8"/>
  <c r="J133" i="8"/>
  <c r="B39" i="8"/>
  <c r="C39" i="8"/>
  <c r="D39" i="8"/>
  <c r="E39" i="8"/>
  <c r="F39" i="8"/>
  <c r="G39" i="8"/>
  <c r="H39" i="8"/>
  <c r="I39" i="8"/>
  <c r="J39" i="8"/>
  <c r="K39" i="8"/>
  <c r="L39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 s="1"/>
  <c r="O40" i="8" s="1"/>
  <c r="P40" i="8" s="1"/>
  <c r="B41" i="8"/>
  <c r="C41" i="8"/>
  <c r="D41" i="8"/>
  <c r="E41" i="8"/>
  <c r="F41" i="8"/>
  <c r="G41" i="8"/>
  <c r="H41" i="8"/>
  <c r="I41" i="8"/>
  <c r="J41" i="8"/>
  <c r="K41" i="8"/>
  <c r="L41" i="8"/>
  <c r="B42" i="8"/>
  <c r="C42" i="8"/>
  <c r="D42" i="8"/>
  <c r="E42" i="8"/>
  <c r="F42" i="8"/>
  <c r="G42" i="8"/>
  <c r="H42" i="8"/>
  <c r="I42" i="8"/>
  <c r="J42" i="8"/>
  <c r="K42" i="8"/>
  <c r="L42" i="8"/>
  <c r="B43" i="8"/>
  <c r="C43" i="8"/>
  <c r="D43" i="8"/>
  <c r="E43" i="8"/>
  <c r="F43" i="8"/>
  <c r="G43" i="8"/>
  <c r="H43" i="8"/>
  <c r="I43" i="8"/>
  <c r="J43" i="8"/>
  <c r="K43" i="8"/>
  <c r="L43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 s="1"/>
  <c r="O44" i="8" s="1"/>
  <c r="P44" i="8" s="1"/>
  <c r="B45" i="8"/>
  <c r="C45" i="8"/>
  <c r="D45" i="8"/>
  <c r="E45" i="8"/>
  <c r="F45" i="8"/>
  <c r="G45" i="8"/>
  <c r="H45" i="8"/>
  <c r="I45" i="8"/>
  <c r="J45" i="8"/>
  <c r="K45" i="8"/>
  <c r="L45" i="8"/>
  <c r="M45" i="8"/>
  <c r="N45" i="8" s="1"/>
  <c r="O45" i="8" s="1"/>
  <c r="P45" i="8" s="1"/>
  <c r="B46" i="8"/>
  <c r="C46" i="8"/>
  <c r="D46" i="8"/>
  <c r="E46" i="8"/>
  <c r="F46" i="8"/>
  <c r="G46" i="8"/>
  <c r="H46" i="8"/>
  <c r="I46" i="8"/>
  <c r="J46" i="8"/>
  <c r="K46" i="8"/>
  <c r="L46" i="8"/>
  <c r="M46" i="8"/>
  <c r="N46" i="8" s="1"/>
  <c r="O46" i="8" s="1"/>
  <c r="P46" i="8" s="1"/>
  <c r="B47" i="8"/>
  <c r="C47" i="8"/>
  <c r="D47" i="8"/>
  <c r="E47" i="8"/>
  <c r="F47" i="8"/>
  <c r="G47" i="8"/>
  <c r="H47" i="8"/>
  <c r="I47" i="8"/>
  <c r="J47" i="8"/>
  <c r="K47" i="8"/>
  <c r="L47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 s="1"/>
  <c r="O48" i="8" s="1"/>
  <c r="P48" i="8" s="1"/>
  <c r="B49" i="8"/>
  <c r="C49" i="8"/>
  <c r="D49" i="8"/>
  <c r="E49" i="8"/>
  <c r="F49" i="8"/>
  <c r="G49" i="8"/>
  <c r="H49" i="8"/>
  <c r="I49" i="8"/>
  <c r="J49" i="8"/>
  <c r="K49" i="8"/>
  <c r="L49" i="8"/>
  <c r="C50" i="8"/>
  <c r="E50" i="8"/>
  <c r="B51" i="8"/>
  <c r="C51" i="8"/>
  <c r="D51" i="8"/>
  <c r="E51" i="8"/>
  <c r="F51" i="8"/>
  <c r="G51" i="8"/>
  <c r="H51" i="8"/>
  <c r="I51" i="8"/>
  <c r="I50" i="8" s="1"/>
  <c r="J51" i="8"/>
  <c r="K51" i="8"/>
  <c r="K50" i="8" s="1"/>
  <c r="L51" i="8"/>
  <c r="B53" i="8"/>
  <c r="C53" i="8"/>
  <c r="D53" i="8"/>
  <c r="E53" i="8"/>
  <c r="F53" i="8"/>
  <c r="G53" i="8"/>
  <c r="H53" i="8"/>
  <c r="I53" i="8"/>
  <c r="J53" i="8"/>
  <c r="K53" i="8"/>
  <c r="L53" i="8"/>
  <c r="B54" i="8"/>
  <c r="C54" i="8"/>
  <c r="D54" i="8"/>
  <c r="E54" i="8"/>
  <c r="F54" i="8"/>
  <c r="G54" i="8"/>
  <c r="H54" i="8"/>
  <c r="I54" i="8"/>
  <c r="J54" i="8"/>
  <c r="K54" i="8"/>
  <c r="L54" i="8"/>
  <c r="B55" i="8"/>
  <c r="B130" i="8" s="1"/>
  <c r="C55" i="8"/>
  <c r="D55" i="8"/>
  <c r="D130" i="8" s="1"/>
  <c r="E55" i="8"/>
  <c r="E131" i="8" s="1"/>
  <c r="E132" i="8" s="1"/>
  <c r="F55" i="8"/>
  <c r="G55" i="8"/>
  <c r="G131" i="8" s="1"/>
  <c r="G132" i="8" s="1"/>
  <c r="H55" i="8"/>
  <c r="H130" i="8" s="1"/>
  <c r="I55" i="8"/>
  <c r="J55" i="8"/>
  <c r="J130" i="8" s="1"/>
  <c r="J132" i="8" s="1"/>
  <c r="K55" i="8"/>
  <c r="K131" i="8" s="1"/>
  <c r="K132" i="8" s="1"/>
  <c r="L55" i="8"/>
  <c r="M129" i="8" s="1"/>
  <c r="B56" i="8"/>
  <c r="C56" i="8"/>
  <c r="D56" i="8"/>
  <c r="E56" i="8"/>
  <c r="F56" i="8"/>
  <c r="G56" i="8"/>
  <c r="H56" i="8"/>
  <c r="I56" i="8"/>
  <c r="J56" i="8"/>
  <c r="K56" i="8"/>
  <c r="L56" i="8"/>
  <c r="B57" i="8"/>
  <c r="C57" i="8"/>
  <c r="D57" i="8"/>
  <c r="E57" i="8"/>
  <c r="F57" i="8"/>
  <c r="G57" i="8"/>
  <c r="H57" i="8"/>
  <c r="I57" i="8"/>
  <c r="J57" i="8"/>
  <c r="K57" i="8"/>
  <c r="L57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B59" i="8"/>
  <c r="C59" i="8"/>
  <c r="D59" i="8"/>
  <c r="E59" i="8"/>
  <c r="F59" i="8"/>
  <c r="G59" i="8"/>
  <c r="H59" i="8"/>
  <c r="I59" i="8"/>
  <c r="J59" i="8"/>
  <c r="K59" i="8"/>
  <c r="L59" i="8"/>
  <c r="M60" i="8"/>
  <c r="N60" i="8"/>
  <c r="O60" i="8"/>
  <c r="P60" i="8"/>
  <c r="B61" i="8"/>
  <c r="C61" i="8"/>
  <c r="D61" i="8"/>
  <c r="E61" i="8"/>
  <c r="F61" i="8"/>
  <c r="F60" i="8" s="1"/>
  <c r="G61" i="8"/>
  <c r="G60" i="8" s="1"/>
  <c r="H61" i="8"/>
  <c r="H60" i="8" s="1"/>
  <c r="I61" i="8"/>
  <c r="J61" i="8"/>
  <c r="K61" i="8"/>
  <c r="L61" i="8"/>
  <c r="L60" i="8" s="1"/>
  <c r="B62" i="8"/>
  <c r="C62" i="8"/>
  <c r="C88" i="8" s="1"/>
  <c r="D62" i="8"/>
  <c r="E62" i="8"/>
  <c r="F62" i="8"/>
  <c r="G62" i="8"/>
  <c r="G88" i="8" s="1"/>
  <c r="H62" i="8"/>
  <c r="I62" i="8"/>
  <c r="I88" i="8" s="1"/>
  <c r="J62" i="8"/>
  <c r="K62" i="8"/>
  <c r="L62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 s="1"/>
  <c r="B65" i="8"/>
  <c r="C65" i="8"/>
  <c r="D65" i="8"/>
  <c r="E65" i="8"/>
  <c r="F65" i="8"/>
  <c r="G65" i="8"/>
  <c r="H65" i="8"/>
  <c r="I65" i="8"/>
  <c r="J65" i="8"/>
  <c r="K65" i="8"/>
  <c r="L65" i="8"/>
  <c r="B66" i="8"/>
  <c r="C66" i="8"/>
  <c r="D66" i="8"/>
  <c r="E66" i="8"/>
  <c r="F66" i="8"/>
  <c r="G66" i="8"/>
  <c r="H66" i="8"/>
  <c r="I66" i="8"/>
  <c r="J66" i="8"/>
  <c r="K66" i="8"/>
  <c r="L66" i="8"/>
  <c r="B68" i="8"/>
  <c r="C68" i="8"/>
  <c r="D68" i="8"/>
  <c r="E68" i="8"/>
  <c r="F68" i="8"/>
  <c r="G68" i="8"/>
  <c r="H68" i="8"/>
  <c r="I68" i="8"/>
  <c r="J68" i="8"/>
  <c r="K68" i="8"/>
  <c r="L68" i="8"/>
  <c r="B69" i="8"/>
  <c r="C69" i="8"/>
  <c r="D69" i="8"/>
  <c r="E69" i="8"/>
  <c r="F69" i="8"/>
  <c r="G69" i="8"/>
  <c r="H69" i="8"/>
  <c r="I69" i="8"/>
  <c r="J69" i="8"/>
  <c r="K69" i="8"/>
  <c r="L69" i="8"/>
  <c r="M119" i="8" s="1"/>
  <c r="B70" i="8"/>
  <c r="C70" i="8"/>
  <c r="D70" i="8"/>
  <c r="E70" i="8"/>
  <c r="F70" i="8"/>
  <c r="G70" i="8"/>
  <c r="H70" i="8"/>
  <c r="I70" i="8"/>
  <c r="J70" i="8"/>
  <c r="K70" i="8"/>
  <c r="L70" i="8"/>
  <c r="M70" i="8"/>
  <c r="N70" i="8" s="1"/>
  <c r="O70" i="8" s="1"/>
  <c r="P70" i="8" s="1"/>
  <c r="B71" i="8"/>
  <c r="C71" i="8"/>
  <c r="D71" i="8"/>
  <c r="E71" i="8"/>
  <c r="F71" i="8"/>
  <c r="G71" i="8"/>
  <c r="H71" i="8"/>
  <c r="I71" i="8"/>
  <c r="J71" i="8"/>
  <c r="K71" i="8"/>
  <c r="L71" i="8"/>
  <c r="M71" i="8"/>
  <c r="N71" i="8" s="1"/>
  <c r="O71" i="8" s="1"/>
  <c r="P71" i="8" s="1"/>
  <c r="B72" i="8"/>
  <c r="C72" i="8"/>
  <c r="D72" i="8"/>
  <c r="E72" i="8"/>
  <c r="F72" i="8"/>
  <c r="G72" i="8"/>
  <c r="H72" i="8"/>
  <c r="I72" i="8"/>
  <c r="J72" i="8"/>
  <c r="K72" i="8"/>
  <c r="L72" i="8"/>
  <c r="B73" i="8"/>
  <c r="C73" i="8"/>
  <c r="D73" i="8"/>
  <c r="E73" i="8"/>
  <c r="F73" i="8"/>
  <c r="G73" i="8"/>
  <c r="H73" i="8"/>
  <c r="I73" i="8"/>
  <c r="J73" i="8"/>
  <c r="K73" i="8"/>
  <c r="L73" i="8"/>
  <c r="L74" i="8" s="1"/>
  <c r="M74" i="8"/>
  <c r="N74" i="8"/>
  <c r="O74" i="8"/>
  <c r="P74" i="8"/>
  <c r="B75" i="8"/>
  <c r="B74" i="8" s="1"/>
  <c r="C75" i="8"/>
  <c r="C74" i="8" s="1"/>
  <c r="D75" i="8"/>
  <c r="D74" i="8" s="1"/>
  <c r="E75" i="8"/>
  <c r="F75" i="8"/>
  <c r="F74" i="8" s="1"/>
  <c r="G75" i="8"/>
  <c r="G74" i="8" s="1"/>
  <c r="H75" i="8"/>
  <c r="H74" i="8" s="1"/>
  <c r="I75" i="8"/>
  <c r="I74" i="8" s="1"/>
  <c r="J75" i="8"/>
  <c r="J74" i="8" s="1"/>
  <c r="K75" i="8"/>
  <c r="L75" i="8"/>
  <c r="B77" i="8"/>
  <c r="C77" i="8"/>
  <c r="D77" i="8"/>
  <c r="E77" i="8"/>
  <c r="E84" i="8" s="1"/>
  <c r="F77" i="8"/>
  <c r="G77" i="8"/>
  <c r="H77" i="8"/>
  <c r="I77" i="8"/>
  <c r="J77" i="8"/>
  <c r="K77" i="8"/>
  <c r="K84" i="8" s="1"/>
  <c r="L77" i="8"/>
  <c r="M77" i="8"/>
  <c r="N77" i="8"/>
  <c r="O77" i="8"/>
  <c r="P77" i="8"/>
  <c r="B78" i="8"/>
  <c r="C78" i="8"/>
  <c r="D78" i="8"/>
  <c r="E78" i="8"/>
  <c r="F78" i="8"/>
  <c r="G78" i="8"/>
  <c r="H78" i="8"/>
  <c r="I78" i="8"/>
  <c r="J78" i="8"/>
  <c r="K78" i="8"/>
  <c r="L78" i="8"/>
  <c r="B79" i="8"/>
  <c r="C79" i="8"/>
  <c r="D79" i="8"/>
  <c r="E79" i="8"/>
  <c r="F79" i="8"/>
  <c r="G79" i="8"/>
  <c r="H79" i="8"/>
  <c r="I79" i="8"/>
  <c r="J79" i="8"/>
  <c r="K79" i="8"/>
  <c r="L79" i="8"/>
  <c r="B80" i="8"/>
  <c r="C80" i="8"/>
  <c r="D80" i="8"/>
  <c r="E80" i="8"/>
  <c r="F80" i="8"/>
  <c r="G80" i="8"/>
  <c r="H80" i="8"/>
  <c r="I80" i="8"/>
  <c r="J80" i="8"/>
  <c r="K80" i="8"/>
  <c r="L80" i="8"/>
  <c r="B81" i="8"/>
  <c r="C81" i="8"/>
  <c r="D81" i="8"/>
  <c r="E81" i="8"/>
  <c r="F81" i="8"/>
  <c r="G81" i="8"/>
  <c r="H81" i="8"/>
  <c r="I81" i="8"/>
  <c r="J81" i="8"/>
  <c r="K81" i="8"/>
  <c r="L81" i="8"/>
  <c r="B82" i="8"/>
  <c r="C82" i="8"/>
  <c r="D82" i="8"/>
  <c r="E82" i="8"/>
  <c r="F82" i="8"/>
  <c r="G82" i="8"/>
  <c r="H82" i="8"/>
  <c r="I82" i="8"/>
  <c r="J82" i="8"/>
  <c r="K82" i="8"/>
  <c r="L82" i="8"/>
  <c r="B83" i="8"/>
  <c r="C83" i="8"/>
  <c r="D83" i="8"/>
  <c r="E83" i="8"/>
  <c r="F83" i="8"/>
  <c r="G83" i="8"/>
  <c r="H83" i="8"/>
  <c r="I83" i="8"/>
  <c r="J83" i="8"/>
  <c r="K83" i="8"/>
  <c r="L83" i="8"/>
  <c r="C84" i="8"/>
  <c r="M84" i="8"/>
  <c r="N84" i="8"/>
  <c r="O84" i="8"/>
  <c r="P84" i="8"/>
  <c r="B85" i="8"/>
  <c r="C85" i="8"/>
  <c r="D85" i="8"/>
  <c r="D84" i="8" s="1"/>
  <c r="E85" i="8"/>
  <c r="F85" i="8"/>
  <c r="G85" i="8"/>
  <c r="H85" i="8"/>
  <c r="I85" i="8"/>
  <c r="I84" i="8" s="1"/>
  <c r="J85" i="8"/>
  <c r="J84" i="8" s="1"/>
  <c r="K85" i="8"/>
  <c r="L85" i="8"/>
  <c r="B86" i="8"/>
  <c r="C86" i="8"/>
  <c r="D86" i="8"/>
  <c r="E86" i="8"/>
  <c r="F86" i="8"/>
  <c r="G86" i="8"/>
  <c r="H86" i="8"/>
  <c r="I86" i="8"/>
  <c r="J86" i="8"/>
  <c r="K86" i="8"/>
  <c r="L86" i="8"/>
  <c r="B87" i="8"/>
  <c r="B88" i="8" s="1"/>
  <c r="C87" i="8"/>
  <c r="D87" i="8"/>
  <c r="E87" i="8"/>
  <c r="E88" i="8" s="1"/>
  <c r="F87" i="8"/>
  <c r="F88" i="8" s="1"/>
  <c r="G87" i="8"/>
  <c r="D17" i="19" s="1"/>
  <c r="H87" i="8"/>
  <c r="H88" i="8" s="1"/>
  <c r="I87" i="8"/>
  <c r="J87" i="8"/>
  <c r="K87" i="8"/>
  <c r="D25" i="19" s="1"/>
  <c r="L87" i="8"/>
  <c r="L88" i="8" s="1"/>
  <c r="D88" i="8"/>
  <c r="J88" i="8"/>
  <c r="K88" i="8"/>
  <c r="E88" i="19"/>
  <c r="B88" i="19"/>
  <c r="E87" i="19"/>
  <c r="B87" i="19"/>
  <c r="E86" i="19"/>
  <c r="B86" i="19"/>
  <c r="D85" i="19"/>
  <c r="D84" i="19"/>
  <c r="D83" i="19"/>
  <c r="D82" i="19"/>
  <c r="D81" i="19"/>
  <c r="D79" i="19"/>
  <c r="D78" i="19"/>
  <c r="D77" i="19"/>
  <c r="D76" i="19"/>
  <c r="D75" i="19"/>
  <c r="D73" i="19"/>
  <c r="D72" i="19"/>
  <c r="D71" i="19"/>
  <c r="D70" i="19"/>
  <c r="D69" i="19"/>
  <c r="D67" i="19"/>
  <c r="D66" i="19"/>
  <c r="D65" i="19"/>
  <c r="D64" i="19"/>
  <c r="D63" i="19"/>
  <c r="D61" i="19"/>
  <c r="C61" i="19"/>
  <c r="E61" i="19" s="1"/>
  <c r="B61" i="19" s="1"/>
  <c r="D60" i="19"/>
  <c r="C60" i="19"/>
  <c r="E60" i="19" s="1"/>
  <c r="B60" i="19" s="1"/>
  <c r="E59" i="19"/>
  <c r="B59" i="19" s="1"/>
  <c r="D59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Q30" i="17"/>
  <c r="C84" i="19" s="1"/>
  <c r="E84" i="19" s="1"/>
  <c r="B84" i="19" s="1"/>
  <c r="P30" i="17"/>
  <c r="O30" i="17"/>
  <c r="N30" i="17"/>
  <c r="Q29" i="17"/>
  <c r="P29" i="17"/>
  <c r="O29" i="17"/>
  <c r="C72" i="19" s="1"/>
  <c r="E72" i="19" s="1"/>
  <c r="B72" i="19" s="1"/>
  <c r="N29" i="17"/>
  <c r="Q28" i="17"/>
  <c r="P28" i="17"/>
  <c r="O28" i="17"/>
  <c r="N28" i="17"/>
  <c r="Q25" i="17"/>
  <c r="P25" i="17"/>
  <c r="O25" i="17"/>
  <c r="N25" i="17"/>
  <c r="Q24" i="17"/>
  <c r="P24" i="17"/>
  <c r="O24" i="17"/>
  <c r="N24" i="17"/>
  <c r="Q21" i="17"/>
  <c r="P21" i="17"/>
  <c r="O21" i="17"/>
  <c r="N21" i="17"/>
  <c r="Q19" i="17"/>
  <c r="P19" i="17"/>
  <c r="O19" i="17"/>
  <c r="N19" i="17"/>
  <c r="E18" i="16"/>
  <c r="E17" i="16"/>
  <c r="C79" i="19" s="1"/>
  <c r="E79" i="19" s="1"/>
  <c r="B79" i="19" s="1"/>
  <c r="F15" i="16"/>
  <c r="E15" i="16"/>
  <c r="D15" i="16"/>
  <c r="C15" i="16"/>
  <c r="F14" i="16"/>
  <c r="E14" i="16"/>
  <c r="D14" i="16"/>
  <c r="C14" i="16"/>
  <c r="F13" i="16"/>
  <c r="E13" i="16"/>
  <c r="D13" i="16"/>
  <c r="C13" i="16"/>
  <c r="F12" i="16"/>
  <c r="P113" i="8" s="1"/>
  <c r="E12" i="16"/>
  <c r="E16" i="16" s="1"/>
  <c r="D12" i="16"/>
  <c r="N113" i="8" s="1"/>
  <c r="C12" i="16"/>
  <c r="M113" i="8" s="1"/>
  <c r="F10" i="16"/>
  <c r="E10" i="16"/>
  <c r="D10" i="16"/>
  <c r="C10" i="16"/>
  <c r="F9" i="16"/>
  <c r="E9" i="16"/>
  <c r="D9" i="16"/>
  <c r="C9" i="16"/>
  <c r="F8" i="16"/>
  <c r="E8" i="16"/>
  <c r="D8" i="16"/>
  <c r="C8" i="16"/>
  <c r="F7" i="16"/>
  <c r="F18" i="16" s="1"/>
  <c r="E7" i="16"/>
  <c r="D7" i="16"/>
  <c r="C7" i="16"/>
  <c r="C18" i="16" s="1"/>
  <c r="L17" i="15"/>
  <c r="K17" i="15"/>
  <c r="J17" i="15"/>
  <c r="I17" i="15"/>
  <c r="H17" i="15"/>
  <c r="G17" i="15"/>
  <c r="F17" i="15"/>
  <c r="E17" i="15"/>
  <c r="D17" i="15"/>
  <c r="C17" i="15"/>
  <c r="B17" i="15"/>
  <c r="L16" i="15"/>
  <c r="L18" i="15" s="1"/>
  <c r="K16" i="15"/>
  <c r="J16" i="15"/>
  <c r="I16" i="15"/>
  <c r="H16" i="15"/>
  <c r="G16" i="15"/>
  <c r="G18" i="15" s="1"/>
  <c r="F16" i="15"/>
  <c r="E16" i="15"/>
  <c r="D16" i="15"/>
  <c r="C16" i="15"/>
  <c r="B16" i="15"/>
  <c r="L15" i="15"/>
  <c r="K15" i="15"/>
  <c r="J15" i="15"/>
  <c r="I15" i="15"/>
  <c r="H15" i="15"/>
  <c r="G15" i="15"/>
  <c r="F15" i="15"/>
  <c r="E15" i="15"/>
  <c r="D15" i="15"/>
  <c r="C15" i="15"/>
  <c r="B15" i="15"/>
  <c r="L9" i="15"/>
  <c r="AC32" i="2" s="1"/>
  <c r="K9" i="15"/>
  <c r="AB32" i="2" s="1"/>
  <c r="J9" i="15"/>
  <c r="AA32" i="2" s="1"/>
  <c r="I9" i="15"/>
  <c r="Z32" i="2" s="1"/>
  <c r="H9" i="15"/>
  <c r="Y32" i="2" s="1"/>
  <c r="G9" i="15"/>
  <c r="X32" i="2" s="1"/>
  <c r="F9" i="15"/>
  <c r="W32" i="2" s="1"/>
  <c r="E9" i="15"/>
  <c r="V32" i="2" s="1"/>
  <c r="D9" i="15"/>
  <c r="U32" i="2" s="1"/>
  <c r="C9" i="15"/>
  <c r="T32" i="2" s="1"/>
  <c r="B9" i="15"/>
  <c r="S32" i="2" s="1"/>
  <c r="L8" i="15"/>
  <c r="M8" i="15" s="1"/>
  <c r="N8" i="15" s="1"/>
  <c r="O8" i="15" s="1"/>
  <c r="P8" i="15" s="1"/>
  <c r="K8" i="15"/>
  <c r="J8" i="15"/>
  <c r="I8" i="15"/>
  <c r="H8" i="15"/>
  <c r="G8" i="15"/>
  <c r="F8" i="15"/>
  <c r="E8" i="15"/>
  <c r="D8" i="15"/>
  <c r="C8" i="15"/>
  <c r="B8" i="15"/>
  <c r="L6" i="15"/>
  <c r="K6" i="15"/>
  <c r="J6" i="15"/>
  <c r="I6" i="15"/>
  <c r="Z31" i="2" s="1"/>
  <c r="Z34" i="2" s="1"/>
  <c r="H6" i="15"/>
  <c r="Y31" i="2" s="1"/>
  <c r="Y34" i="2" s="1"/>
  <c r="G6" i="15"/>
  <c r="X31" i="2" s="1"/>
  <c r="X34" i="2" s="1"/>
  <c r="F6" i="15"/>
  <c r="E6" i="15"/>
  <c r="D6" i="15"/>
  <c r="C6" i="15"/>
  <c r="T31" i="2" s="1"/>
  <c r="T34" i="2" s="1"/>
  <c r="B6" i="15"/>
  <c r="S31" i="2" s="1"/>
  <c r="S34" i="2" s="1"/>
  <c r="L5" i="15"/>
  <c r="K5" i="15"/>
  <c r="J5" i="15"/>
  <c r="I5" i="15"/>
  <c r="Z30" i="2" s="1"/>
  <c r="H5" i="15"/>
  <c r="G5" i="15"/>
  <c r="F5" i="15"/>
  <c r="W30" i="2" s="1"/>
  <c r="E5" i="15"/>
  <c r="V30" i="2" s="1"/>
  <c r="D5" i="15"/>
  <c r="U30" i="2" s="1"/>
  <c r="C5" i="15"/>
  <c r="T30" i="2" s="1"/>
  <c r="B5" i="15"/>
  <c r="H17" i="14"/>
  <c r="G17" i="14"/>
  <c r="F17" i="14"/>
  <c r="E17" i="14"/>
  <c r="D17" i="14"/>
  <c r="C17" i="14"/>
  <c r="M13" i="14"/>
  <c r="N13" i="14" s="1"/>
  <c r="O13" i="14" s="1"/>
  <c r="P13" i="14" s="1"/>
  <c r="Q13" i="14" s="1"/>
  <c r="L13" i="14"/>
  <c r="K13" i="14"/>
  <c r="J13" i="14"/>
  <c r="I13" i="14"/>
  <c r="H13" i="14"/>
  <c r="G13" i="14"/>
  <c r="F13" i="14"/>
  <c r="E13" i="14"/>
  <c r="D13" i="14"/>
  <c r="C13" i="14"/>
  <c r="M12" i="14"/>
  <c r="L12" i="14"/>
  <c r="K12" i="14"/>
  <c r="J12" i="14"/>
  <c r="I12" i="14"/>
  <c r="H12" i="14"/>
  <c r="G12" i="14"/>
  <c r="F12" i="14"/>
  <c r="E12" i="14"/>
  <c r="D12" i="14"/>
  <c r="C12" i="14"/>
  <c r="M11" i="14"/>
  <c r="L11" i="14"/>
  <c r="K11" i="14"/>
  <c r="J11" i="14"/>
  <c r="I11" i="14"/>
  <c r="H11" i="14"/>
  <c r="G11" i="14"/>
  <c r="F11" i="14"/>
  <c r="E11" i="14"/>
  <c r="D11" i="14"/>
  <c r="C11" i="14"/>
  <c r="M10" i="14"/>
  <c r="L10" i="14"/>
  <c r="K10" i="14"/>
  <c r="J10" i="14"/>
  <c r="I10" i="14"/>
  <c r="H10" i="14"/>
  <c r="G10" i="14"/>
  <c r="F10" i="14"/>
  <c r="E10" i="14"/>
  <c r="D10" i="14"/>
  <c r="C10" i="14"/>
  <c r="M9" i="14"/>
  <c r="L9" i="14"/>
  <c r="K9" i="14"/>
  <c r="J9" i="14"/>
  <c r="I9" i="14"/>
  <c r="H9" i="14"/>
  <c r="G9" i="14"/>
  <c r="F9" i="14"/>
  <c r="E9" i="14"/>
  <c r="D9" i="14"/>
  <c r="C9" i="14"/>
  <c r="M8" i="14"/>
  <c r="L8" i="14"/>
  <c r="K8" i="14"/>
  <c r="J8" i="14"/>
  <c r="I8" i="14"/>
  <c r="H8" i="14"/>
  <c r="G8" i="14"/>
  <c r="F8" i="14"/>
  <c r="E8" i="14"/>
  <c r="D8" i="14"/>
  <c r="C8" i="14"/>
  <c r="M7" i="14"/>
  <c r="L7" i="14"/>
  <c r="K7" i="14"/>
  <c r="J7" i="14"/>
  <c r="I7" i="14"/>
  <c r="H7" i="14"/>
  <c r="G7" i="14"/>
  <c r="F7" i="14"/>
  <c r="E7" i="14"/>
  <c r="D7" i="14"/>
  <c r="C7" i="14"/>
  <c r="M13" i="13"/>
  <c r="L13" i="13"/>
  <c r="K13" i="13"/>
  <c r="J13" i="13"/>
  <c r="I13" i="13"/>
  <c r="H13" i="13"/>
  <c r="G13" i="13"/>
  <c r="F13" i="13"/>
  <c r="E13" i="13"/>
  <c r="D13" i="13"/>
  <c r="C13" i="13"/>
  <c r="I12" i="13"/>
  <c r="M11" i="13"/>
  <c r="N11" i="13" s="1"/>
  <c r="L11" i="13"/>
  <c r="K11" i="13"/>
  <c r="K12" i="13" s="1"/>
  <c r="J11" i="13"/>
  <c r="J12" i="13" s="1"/>
  <c r="I11" i="13"/>
  <c r="H11" i="13"/>
  <c r="H12" i="13" s="1"/>
  <c r="G11" i="13"/>
  <c r="G12" i="13" s="1"/>
  <c r="F11" i="13"/>
  <c r="F12" i="13" s="1"/>
  <c r="E11" i="13"/>
  <c r="E12" i="13" s="1"/>
  <c r="D11" i="13"/>
  <c r="D12" i="13" s="1"/>
  <c r="C11" i="13"/>
  <c r="C12" i="13" s="1"/>
  <c r="M9" i="13"/>
  <c r="N9" i="13" s="1"/>
  <c r="L9" i="13"/>
  <c r="K9" i="13"/>
  <c r="J9" i="13"/>
  <c r="I9" i="13"/>
  <c r="H9" i="13"/>
  <c r="G9" i="13"/>
  <c r="F9" i="13"/>
  <c r="E9" i="13"/>
  <c r="D9" i="13"/>
  <c r="C9" i="13"/>
  <c r="O7" i="13"/>
  <c r="M7" i="13"/>
  <c r="N7" i="13" s="1"/>
  <c r="L7" i="13"/>
  <c r="K7" i="13"/>
  <c r="J7" i="13"/>
  <c r="I7" i="13"/>
  <c r="H7" i="13"/>
  <c r="G7" i="13"/>
  <c r="F7" i="13"/>
  <c r="E7" i="13"/>
  <c r="D7" i="13"/>
  <c r="C7" i="13"/>
  <c r="M11" i="12"/>
  <c r="L11" i="12"/>
  <c r="K11" i="12"/>
  <c r="J11" i="12"/>
  <c r="I11" i="12"/>
  <c r="H11" i="12"/>
  <c r="G11" i="12"/>
  <c r="G12" i="12" s="1"/>
  <c r="F11" i="12"/>
  <c r="F12" i="12" s="1"/>
  <c r="E11" i="12"/>
  <c r="E12" i="12" s="1"/>
  <c r="D11" i="12"/>
  <c r="D12" i="12" s="1"/>
  <c r="C11" i="12"/>
  <c r="C12" i="12" s="1"/>
  <c r="M9" i="12"/>
  <c r="L9" i="12"/>
  <c r="K9" i="12"/>
  <c r="J9" i="12"/>
  <c r="I9" i="12"/>
  <c r="H9" i="12"/>
  <c r="G9" i="12"/>
  <c r="F9" i="12"/>
  <c r="F10" i="12" s="1"/>
  <c r="E9" i="12"/>
  <c r="E10" i="12" s="1"/>
  <c r="D9" i="12"/>
  <c r="D10" i="12" s="1"/>
  <c r="C9" i="12"/>
  <c r="C10" i="12" s="1"/>
  <c r="F8" i="12"/>
  <c r="D8" i="12"/>
  <c r="M7" i="12"/>
  <c r="L7" i="12"/>
  <c r="K7" i="12"/>
  <c r="J7" i="12"/>
  <c r="I7" i="12"/>
  <c r="H7" i="12"/>
  <c r="H13" i="12" s="1"/>
  <c r="G7" i="12"/>
  <c r="G8" i="12" s="1"/>
  <c r="F7" i="12"/>
  <c r="E7" i="12"/>
  <c r="E8" i="12" s="1"/>
  <c r="D7" i="12"/>
  <c r="C7" i="12"/>
  <c r="P26" i="11"/>
  <c r="P8" i="8" s="1"/>
  <c r="O26" i="11"/>
  <c r="O8" i="8" s="1"/>
  <c r="N26" i="11"/>
  <c r="N8" i="8" s="1"/>
  <c r="M8" i="8"/>
  <c r="P17" i="11"/>
  <c r="O17" i="11"/>
  <c r="N17" i="11"/>
  <c r="M17" i="11"/>
  <c r="P16" i="11"/>
  <c r="O16" i="11"/>
  <c r="N16" i="11"/>
  <c r="M16" i="11"/>
  <c r="M18" i="11" s="1"/>
  <c r="P14" i="11"/>
  <c r="O14" i="11"/>
  <c r="N14" i="11"/>
  <c r="M14" i="11"/>
  <c r="P13" i="11"/>
  <c r="O13" i="11"/>
  <c r="N13" i="11"/>
  <c r="M13" i="11"/>
  <c r="P12" i="11"/>
  <c r="O12" i="11"/>
  <c r="N12" i="11"/>
  <c r="M12" i="11"/>
  <c r="L11" i="11"/>
  <c r="K11" i="11"/>
  <c r="K12" i="11" s="1"/>
  <c r="J11" i="11"/>
  <c r="I11" i="11"/>
  <c r="H11" i="11"/>
  <c r="G11" i="11"/>
  <c r="F11" i="11"/>
  <c r="E11" i="11"/>
  <c r="E12" i="11" s="1"/>
  <c r="D11" i="11"/>
  <c r="C11" i="11"/>
  <c r="B11" i="11"/>
  <c r="P9" i="11"/>
  <c r="O9" i="11"/>
  <c r="N9" i="11"/>
  <c r="M9" i="11"/>
  <c r="L7" i="11"/>
  <c r="K7" i="11"/>
  <c r="J7" i="11"/>
  <c r="I7" i="11"/>
  <c r="J14" i="14" s="1"/>
  <c r="H7" i="11"/>
  <c r="G7" i="11"/>
  <c r="F7" i="11"/>
  <c r="E7" i="11"/>
  <c r="E8" i="11" s="1"/>
  <c r="D7" i="11"/>
  <c r="C7" i="11"/>
  <c r="B7" i="11"/>
  <c r="D27" i="19"/>
  <c r="D23" i="19"/>
  <c r="D21" i="19"/>
  <c r="D19" i="19"/>
  <c r="D13" i="19"/>
  <c r="D11" i="19"/>
  <c r="D9" i="19"/>
  <c r="D7" i="19"/>
  <c r="C23" i="19"/>
  <c r="C21" i="19"/>
  <c r="C19" i="19"/>
  <c r="C11" i="19"/>
  <c r="C9" i="19"/>
  <c r="C7" i="19"/>
  <c r="C18" i="19"/>
  <c r="L31" i="8"/>
  <c r="K31" i="8"/>
  <c r="J31" i="8"/>
  <c r="I31" i="8"/>
  <c r="H31" i="8"/>
  <c r="G31" i="8"/>
  <c r="F31" i="8"/>
  <c r="E31" i="8"/>
  <c r="D31" i="8"/>
  <c r="C31" i="8"/>
  <c r="B31" i="8"/>
  <c r="L30" i="8"/>
  <c r="M13" i="17" s="1"/>
  <c r="M14" i="17" s="1"/>
  <c r="K30" i="8"/>
  <c r="L13" i="17" s="1"/>
  <c r="L14" i="17" s="1"/>
  <c r="J30" i="8"/>
  <c r="K13" i="17" s="1"/>
  <c r="K14" i="17" s="1"/>
  <c r="I30" i="8"/>
  <c r="J13" i="17" s="1"/>
  <c r="J14" i="17" s="1"/>
  <c r="H30" i="8"/>
  <c r="I13" i="17" s="1"/>
  <c r="I14" i="17" s="1"/>
  <c r="G30" i="8"/>
  <c r="H13" i="17" s="1"/>
  <c r="H14" i="17" s="1"/>
  <c r="F30" i="8"/>
  <c r="G13" i="17" s="1"/>
  <c r="G14" i="17" s="1"/>
  <c r="E30" i="8"/>
  <c r="F13" i="17" s="1"/>
  <c r="F14" i="17" s="1"/>
  <c r="D30" i="8"/>
  <c r="E13" i="17" s="1"/>
  <c r="E14" i="17" s="1"/>
  <c r="C30" i="8"/>
  <c r="D13" i="17" s="1"/>
  <c r="D14" i="17" s="1"/>
  <c r="B30" i="8"/>
  <c r="C13" i="17" s="1"/>
  <c r="C14" i="17" s="1"/>
  <c r="L29" i="8"/>
  <c r="K29" i="8"/>
  <c r="J29" i="8"/>
  <c r="I29" i="8"/>
  <c r="H29" i="8"/>
  <c r="G29" i="8"/>
  <c r="F29" i="8"/>
  <c r="E29" i="8"/>
  <c r="D29" i="8"/>
  <c r="C29" i="8"/>
  <c r="B29" i="8"/>
  <c r="L25" i="8"/>
  <c r="K25" i="8"/>
  <c r="K27" i="8" s="1"/>
  <c r="J25" i="8"/>
  <c r="J94" i="8" s="1"/>
  <c r="I25" i="8"/>
  <c r="I94" i="8" s="1"/>
  <c r="H25" i="8"/>
  <c r="D50" i="19" s="1"/>
  <c r="G25" i="8"/>
  <c r="D48" i="19" s="1"/>
  <c r="E48" i="19" s="1"/>
  <c r="B48" i="19" s="1"/>
  <c r="F25" i="8"/>
  <c r="F27" i="8" s="1"/>
  <c r="E25" i="8"/>
  <c r="E94" i="8" s="1"/>
  <c r="D25" i="8"/>
  <c r="C25" i="8"/>
  <c r="B25" i="8"/>
  <c r="B27" i="8" s="1"/>
  <c r="L23" i="8"/>
  <c r="K23" i="8"/>
  <c r="J23" i="8"/>
  <c r="I23" i="8"/>
  <c r="H23" i="8"/>
  <c r="G23" i="8"/>
  <c r="F23" i="8"/>
  <c r="E23" i="8"/>
  <c r="D23" i="8"/>
  <c r="C23" i="8"/>
  <c r="B23" i="8"/>
  <c r="L21" i="8"/>
  <c r="K21" i="8"/>
  <c r="J21" i="8"/>
  <c r="I21" i="8"/>
  <c r="H21" i="8"/>
  <c r="G21" i="8"/>
  <c r="F21" i="8"/>
  <c r="E21" i="8"/>
  <c r="D21" i="8"/>
  <c r="C21" i="8"/>
  <c r="B21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L19" i="8"/>
  <c r="L97" i="8" s="1"/>
  <c r="K19" i="8"/>
  <c r="K97" i="8" s="1"/>
  <c r="J19" i="8"/>
  <c r="J97" i="8" s="1"/>
  <c r="I19" i="8"/>
  <c r="H19" i="8"/>
  <c r="G19" i="8"/>
  <c r="G97" i="8" s="1"/>
  <c r="F19" i="8"/>
  <c r="F97" i="8" s="1"/>
  <c r="E19" i="8"/>
  <c r="E97" i="8" s="1"/>
  <c r="D19" i="8"/>
  <c r="D97" i="8" s="1"/>
  <c r="C19" i="8"/>
  <c r="B19" i="8"/>
  <c r="L18" i="8"/>
  <c r="K18" i="8"/>
  <c r="J18" i="8"/>
  <c r="I18" i="8"/>
  <c r="H18" i="8"/>
  <c r="G18" i="8"/>
  <c r="F18" i="8"/>
  <c r="E18" i="8"/>
  <c r="D18" i="8"/>
  <c r="C18" i="8"/>
  <c r="B18" i="8"/>
  <c r="L15" i="8"/>
  <c r="L95" i="8" s="1"/>
  <c r="K15" i="8"/>
  <c r="K95" i="8" s="1"/>
  <c r="J15" i="8"/>
  <c r="I15" i="8"/>
  <c r="I95" i="8" s="1"/>
  <c r="H15" i="8"/>
  <c r="H95" i="8" s="1"/>
  <c r="G15" i="8"/>
  <c r="G95" i="8" s="1"/>
  <c r="F15" i="8"/>
  <c r="F95" i="8" s="1"/>
  <c r="E15" i="8"/>
  <c r="E95" i="8" s="1"/>
  <c r="D15" i="8"/>
  <c r="C15" i="8"/>
  <c r="C95" i="8" s="1"/>
  <c r="B15" i="8"/>
  <c r="B95" i="8" s="1"/>
  <c r="L13" i="8"/>
  <c r="K13" i="8"/>
  <c r="J13" i="8"/>
  <c r="J9" i="2" s="1"/>
  <c r="I13" i="8"/>
  <c r="H13" i="8"/>
  <c r="H9" i="2" s="1"/>
  <c r="G13" i="8"/>
  <c r="F13" i="8"/>
  <c r="F9" i="2" s="1"/>
  <c r="E13" i="8"/>
  <c r="D13" i="8"/>
  <c r="D9" i="2" s="1"/>
  <c r="C13" i="8"/>
  <c r="B13" i="8"/>
  <c r="B9" i="2" s="1"/>
  <c r="L10" i="8"/>
  <c r="L7" i="2" s="1"/>
  <c r="L8" i="2" s="1"/>
  <c r="AC13" i="2" s="1"/>
  <c r="K10" i="8"/>
  <c r="K7" i="2" s="1"/>
  <c r="K8" i="2" s="1"/>
  <c r="AB13" i="2" s="1"/>
  <c r="J10" i="8"/>
  <c r="J7" i="2" s="1"/>
  <c r="J8" i="2" s="1"/>
  <c r="AA13" i="2" s="1"/>
  <c r="I10" i="8"/>
  <c r="I7" i="2" s="1"/>
  <c r="I8" i="2" s="1"/>
  <c r="Z13" i="2" s="1"/>
  <c r="H10" i="8"/>
  <c r="H7" i="2" s="1"/>
  <c r="H8" i="2" s="1"/>
  <c r="Y13" i="2" s="1"/>
  <c r="G10" i="8"/>
  <c r="G7" i="2" s="1"/>
  <c r="G8" i="2" s="1"/>
  <c r="X13" i="2" s="1"/>
  <c r="F10" i="8"/>
  <c r="F7" i="2" s="1"/>
  <c r="F8" i="2" s="1"/>
  <c r="W13" i="2" s="1"/>
  <c r="E10" i="8"/>
  <c r="E7" i="2" s="1"/>
  <c r="E8" i="2" s="1"/>
  <c r="V13" i="2" s="1"/>
  <c r="D10" i="8"/>
  <c r="D7" i="2" s="1"/>
  <c r="D8" i="2" s="1"/>
  <c r="U13" i="2" s="1"/>
  <c r="C10" i="8"/>
  <c r="C7" i="2" s="1"/>
  <c r="C8" i="2" s="1"/>
  <c r="T13" i="2" s="1"/>
  <c r="B10" i="8"/>
  <c r="B7" i="2" s="1"/>
  <c r="B8" i="2" s="1"/>
  <c r="S13" i="2" s="1"/>
  <c r="L7" i="8"/>
  <c r="K7" i="8"/>
  <c r="J7" i="8"/>
  <c r="I7" i="8"/>
  <c r="H7" i="8"/>
  <c r="G7" i="8"/>
  <c r="F7" i="8"/>
  <c r="E7" i="8"/>
  <c r="D7" i="8"/>
  <c r="C7" i="8"/>
  <c r="B7" i="8"/>
  <c r="L5" i="8"/>
  <c r="K5" i="8"/>
  <c r="J5" i="8"/>
  <c r="I5" i="8"/>
  <c r="H5" i="8"/>
  <c r="G5" i="8"/>
  <c r="F5" i="8"/>
  <c r="E5" i="8"/>
  <c r="D5" i="8"/>
  <c r="C5" i="8"/>
  <c r="B5" i="8"/>
  <c r="E53" i="4"/>
  <c r="Q7" i="17" s="1"/>
  <c r="D53" i="4"/>
  <c r="P7" i="17" s="1"/>
  <c r="C53" i="4"/>
  <c r="O7" i="17" s="1"/>
  <c r="B53" i="4"/>
  <c r="N7" i="17" s="1"/>
  <c r="C10" i="15" l="1"/>
  <c r="L12" i="15"/>
  <c r="I7" i="15"/>
  <c r="J3" i="15"/>
  <c r="AA30" i="2"/>
  <c r="L11" i="15"/>
  <c r="L10" i="11" s="1"/>
  <c r="AC31" i="2"/>
  <c r="AC34" i="2" s="1"/>
  <c r="L7" i="15"/>
  <c r="F7" i="15"/>
  <c r="W31" i="2"/>
  <c r="W34" i="2" s="1"/>
  <c r="M9" i="15"/>
  <c r="G12" i="15"/>
  <c r="X30" i="2"/>
  <c r="I18" i="15"/>
  <c r="F11" i="15"/>
  <c r="B7" i="15"/>
  <c r="S30" i="2"/>
  <c r="H12" i="15"/>
  <c r="Y30" i="2"/>
  <c r="E12" i="15"/>
  <c r="K3" i="15"/>
  <c r="AB30" i="2"/>
  <c r="L3" i="15"/>
  <c r="M5" i="15" s="1"/>
  <c r="AC30" i="2"/>
  <c r="G7" i="15"/>
  <c r="D7" i="15"/>
  <c r="U31" i="2"/>
  <c r="U34" i="2" s="1"/>
  <c r="J7" i="15"/>
  <c r="AA31" i="2"/>
  <c r="AA34" i="2" s="1"/>
  <c r="F12" i="15"/>
  <c r="E7" i="15"/>
  <c r="V31" i="2"/>
  <c r="V34" i="2" s="1"/>
  <c r="K7" i="15"/>
  <c r="AB31" i="2"/>
  <c r="AB34" i="2" s="1"/>
  <c r="K11" i="15"/>
  <c r="K12" i="15"/>
  <c r="F10" i="2"/>
  <c r="W14" i="2" s="1"/>
  <c r="W25" i="2"/>
  <c r="W41" i="2"/>
  <c r="W7" i="2"/>
  <c r="M15" i="17"/>
  <c r="L9" i="2"/>
  <c r="H15" i="17"/>
  <c r="G9" i="2"/>
  <c r="L15" i="17"/>
  <c r="K9" i="2"/>
  <c r="B10" i="2"/>
  <c r="S14" i="2" s="1"/>
  <c r="S25" i="2"/>
  <c r="S41" i="2"/>
  <c r="Y7" i="2"/>
  <c r="Y25" i="2"/>
  <c r="H10" i="2"/>
  <c r="Y14" i="2" s="1"/>
  <c r="Y41" i="2"/>
  <c r="F15" i="17"/>
  <c r="E9" i="2"/>
  <c r="D15" i="17"/>
  <c r="C9" i="2"/>
  <c r="J15" i="17"/>
  <c r="I9" i="2"/>
  <c r="U7" i="2"/>
  <c r="D10" i="2"/>
  <c r="U14" i="2" s="1"/>
  <c r="U25" i="2"/>
  <c r="U41" i="2"/>
  <c r="J10" i="2"/>
  <c r="AA14" i="2" s="1"/>
  <c r="AA7" i="2"/>
  <c r="AA25" i="2"/>
  <c r="AA41" i="2"/>
  <c r="F17" i="16"/>
  <c r="C85" i="19" s="1"/>
  <c r="E85" i="19" s="1"/>
  <c r="B85" i="19" s="1"/>
  <c r="C17" i="16"/>
  <c r="C67" i="19" s="1"/>
  <c r="E67" i="19" s="1"/>
  <c r="B67" i="19" s="1"/>
  <c r="P18" i="11"/>
  <c r="F11" i="16"/>
  <c r="C16" i="16"/>
  <c r="C78" i="19"/>
  <c r="E78" i="19" s="1"/>
  <c r="B78" i="19" s="1"/>
  <c r="C11" i="16"/>
  <c r="E11" i="16"/>
  <c r="C66" i="19"/>
  <c r="E66" i="19" s="1"/>
  <c r="B66" i="19" s="1"/>
  <c r="O113" i="8"/>
  <c r="M68" i="8"/>
  <c r="M42" i="8"/>
  <c r="N42" i="8"/>
  <c r="M51" i="2"/>
  <c r="K18" i="15"/>
  <c r="M11" i="11"/>
  <c r="M19" i="11"/>
  <c r="F18" i="15"/>
  <c r="E18" i="15"/>
  <c r="C8" i="11"/>
  <c r="C16" i="14"/>
  <c r="I16" i="14"/>
  <c r="N18" i="11"/>
  <c r="C18" i="15"/>
  <c r="J107" i="8"/>
  <c r="J109" i="8"/>
  <c r="E107" i="8"/>
  <c r="E109" i="8"/>
  <c r="B132" i="8"/>
  <c r="J134" i="8"/>
  <c r="C107" i="8"/>
  <c r="G107" i="8"/>
  <c r="D132" i="8"/>
  <c r="F134" i="8"/>
  <c r="L134" i="8"/>
  <c r="N68" i="8"/>
  <c r="N118" i="8" s="1"/>
  <c r="M118" i="8"/>
  <c r="E60" i="8"/>
  <c r="C133" i="8"/>
  <c r="C134" i="8" s="1"/>
  <c r="F94" i="8"/>
  <c r="H84" i="8"/>
  <c r="B84" i="8"/>
  <c r="J60" i="8"/>
  <c r="D60" i="8"/>
  <c r="H133" i="8"/>
  <c r="B133" i="8"/>
  <c r="H131" i="8"/>
  <c r="D20" i="19" s="1"/>
  <c r="B131" i="8"/>
  <c r="K125" i="8"/>
  <c r="E125" i="8"/>
  <c r="K94" i="8"/>
  <c r="K60" i="8"/>
  <c r="I133" i="8"/>
  <c r="I134" i="8" s="1"/>
  <c r="L94" i="8"/>
  <c r="G84" i="8"/>
  <c r="I60" i="8"/>
  <c r="C60" i="8"/>
  <c r="H50" i="8"/>
  <c r="B50" i="8"/>
  <c r="G133" i="8"/>
  <c r="G134" i="8" s="1"/>
  <c r="L115" i="8"/>
  <c r="L116" i="8" s="1"/>
  <c r="F115" i="8"/>
  <c r="F116" i="8" s="1"/>
  <c r="I109" i="8"/>
  <c r="C109" i="8"/>
  <c r="I107" i="8"/>
  <c r="D94" i="8"/>
  <c r="D15" i="19"/>
  <c r="J50" i="8"/>
  <c r="L84" i="8"/>
  <c r="F84" i="8"/>
  <c r="G50" i="8"/>
  <c r="C94" i="8"/>
  <c r="B60" i="8"/>
  <c r="D50" i="8"/>
  <c r="K74" i="8"/>
  <c r="E74" i="8"/>
  <c r="L50" i="8"/>
  <c r="M50" i="8" s="1"/>
  <c r="N50" i="8" s="1"/>
  <c r="O50" i="8" s="1"/>
  <c r="P50" i="8" s="1"/>
  <c r="F50" i="8"/>
  <c r="G109" i="8"/>
  <c r="H94" i="8"/>
  <c r="H107" i="8" s="1"/>
  <c r="B94" i="8"/>
  <c r="B109" i="8" s="1"/>
  <c r="O64" i="8"/>
  <c r="E24" i="8"/>
  <c r="F28" i="8"/>
  <c r="C17" i="19"/>
  <c r="K12" i="8"/>
  <c r="F12" i="8"/>
  <c r="L12" i="8"/>
  <c r="D24" i="8"/>
  <c r="E33" i="8"/>
  <c r="D6" i="8"/>
  <c r="D13" i="15" s="1"/>
  <c r="J8" i="8"/>
  <c r="J26" i="11" s="1"/>
  <c r="D12" i="8"/>
  <c r="J12" i="8"/>
  <c r="K16" i="8"/>
  <c r="G28" i="8"/>
  <c r="G32" i="8" s="1"/>
  <c r="H17" i="17" s="1"/>
  <c r="H18" i="17" s="1"/>
  <c r="H24" i="8"/>
  <c r="K28" i="8"/>
  <c r="L8" i="17" s="1"/>
  <c r="L9" i="17" s="1"/>
  <c r="G9" i="8"/>
  <c r="C24" i="8"/>
  <c r="E21" i="19"/>
  <c r="B21" i="19" s="1"/>
  <c r="E19" i="19"/>
  <c r="B19" i="19" s="1"/>
  <c r="E9" i="19"/>
  <c r="B9" i="19" s="1"/>
  <c r="E11" i="19"/>
  <c r="B11" i="19" s="1"/>
  <c r="E23" i="19"/>
  <c r="B23" i="19" s="1"/>
  <c r="E7" i="19"/>
  <c r="B7" i="19" s="1"/>
  <c r="H11" i="17"/>
  <c r="E10" i="17"/>
  <c r="K10" i="17"/>
  <c r="F10" i="17"/>
  <c r="L10" i="17"/>
  <c r="E17" i="19"/>
  <c r="B17" i="19" s="1"/>
  <c r="L11" i="17"/>
  <c r="B11" i="8"/>
  <c r="I24" i="8"/>
  <c r="J24" i="8"/>
  <c r="F9" i="8"/>
  <c r="C33" i="8"/>
  <c r="J6" i="8"/>
  <c r="J13" i="15" s="1"/>
  <c r="K33" i="8"/>
  <c r="J10" i="12"/>
  <c r="I6" i="8"/>
  <c r="I13" i="15" s="1"/>
  <c r="F14" i="8"/>
  <c r="L22" i="8"/>
  <c r="G24" i="8"/>
  <c r="H9" i="8"/>
  <c r="B22" i="8"/>
  <c r="H22" i="8"/>
  <c r="F13" i="12"/>
  <c r="E15" i="13"/>
  <c r="K15" i="13"/>
  <c r="D33" i="8"/>
  <c r="C16" i="8"/>
  <c r="C22" i="8"/>
  <c r="D13" i="12"/>
  <c r="J13" i="12"/>
  <c r="C8" i="8"/>
  <c r="C26" i="11" s="1"/>
  <c r="D8" i="8"/>
  <c r="D26" i="11" s="1"/>
  <c r="I14" i="13"/>
  <c r="C11" i="8"/>
  <c r="I11" i="8"/>
  <c r="E16" i="8"/>
  <c r="E11" i="2" s="1"/>
  <c r="K24" i="8"/>
  <c r="G15" i="13"/>
  <c r="L24" i="8"/>
  <c r="G33" i="8"/>
  <c r="K32" i="8"/>
  <c r="L17" i="17" s="1"/>
  <c r="L18" i="17" s="1"/>
  <c r="H15" i="13"/>
  <c r="G14" i="8"/>
  <c r="F11" i="8"/>
  <c r="I16" i="8"/>
  <c r="E50" i="19"/>
  <c r="B50" i="19" s="1"/>
  <c r="G12" i="8"/>
  <c r="B12" i="8"/>
  <c r="H12" i="8"/>
  <c r="H11" i="8"/>
  <c r="G16" i="8"/>
  <c r="B9" i="8"/>
  <c r="K27" i="11"/>
  <c r="D55" i="19"/>
  <c r="E55" i="19" s="1"/>
  <c r="B55" i="19" s="1"/>
  <c r="K9" i="8"/>
  <c r="D22" i="19"/>
  <c r="D47" i="19"/>
  <c r="E47" i="19" s="1"/>
  <c r="B47" i="19" s="1"/>
  <c r="H10" i="13"/>
  <c r="H8" i="13"/>
  <c r="H8" i="12"/>
  <c r="G27" i="11"/>
  <c r="G8" i="8"/>
  <c r="G26" i="11" s="1"/>
  <c r="G6" i="8"/>
  <c r="D11" i="8"/>
  <c r="D9" i="8"/>
  <c r="J11" i="8"/>
  <c r="J9" i="8"/>
  <c r="C12" i="8"/>
  <c r="G15" i="17"/>
  <c r="F16" i="8"/>
  <c r="L14" i="8"/>
  <c r="K22" i="8"/>
  <c r="G22" i="8"/>
  <c r="D42" i="19"/>
  <c r="E42" i="19" s="1"/>
  <c r="B42" i="19" s="1"/>
  <c r="D28" i="8"/>
  <c r="E8" i="17" s="1"/>
  <c r="E9" i="17" s="1"/>
  <c r="D26" i="8"/>
  <c r="D27" i="8"/>
  <c r="D54" i="19"/>
  <c r="E54" i="19" s="1"/>
  <c r="B54" i="19" s="1"/>
  <c r="J28" i="8"/>
  <c r="K8" i="17" s="1"/>
  <c r="K9" i="17" s="1"/>
  <c r="J26" i="8"/>
  <c r="J27" i="8"/>
  <c r="G26" i="8"/>
  <c r="C12" i="19"/>
  <c r="D24" i="19"/>
  <c r="C13" i="19"/>
  <c r="E13" i="19" s="1"/>
  <c r="B13" i="19" s="1"/>
  <c r="C25" i="19"/>
  <c r="E25" i="19" s="1"/>
  <c r="B25" i="19" s="1"/>
  <c r="L12" i="13"/>
  <c r="D43" i="19"/>
  <c r="E43" i="19" s="1"/>
  <c r="B43" i="19" s="1"/>
  <c r="E27" i="11"/>
  <c r="E9" i="8"/>
  <c r="E26" i="8"/>
  <c r="E6" i="8"/>
  <c r="K8" i="8"/>
  <c r="K26" i="11" s="1"/>
  <c r="E22" i="8"/>
  <c r="D38" i="19"/>
  <c r="E38" i="19" s="1"/>
  <c r="B38" i="19" s="1"/>
  <c r="B28" i="8"/>
  <c r="C8" i="17" s="1"/>
  <c r="C9" i="17" s="1"/>
  <c r="F11" i="17"/>
  <c r="D45" i="19"/>
  <c r="E45" i="19" s="1"/>
  <c r="B45" i="19" s="1"/>
  <c r="G14" i="13"/>
  <c r="G8" i="13"/>
  <c r="F27" i="11"/>
  <c r="G10" i="13"/>
  <c r="F8" i="8"/>
  <c r="F26" i="11" s="1"/>
  <c r="F6" i="8"/>
  <c r="B26" i="8"/>
  <c r="G11" i="17"/>
  <c r="K6" i="8"/>
  <c r="E8" i="8"/>
  <c r="E26" i="11" s="1"/>
  <c r="L9" i="8"/>
  <c r="E11" i="8"/>
  <c r="K11" i="8"/>
  <c r="G11" i="8"/>
  <c r="H26" i="8"/>
  <c r="H27" i="8"/>
  <c r="G8" i="17"/>
  <c r="G9" i="17" s="1"/>
  <c r="F32" i="8"/>
  <c r="G17" i="17" s="1"/>
  <c r="G18" i="17" s="1"/>
  <c r="B33" i="8"/>
  <c r="H33" i="8"/>
  <c r="D14" i="19"/>
  <c r="C26" i="19"/>
  <c r="C15" i="19"/>
  <c r="C27" i="19"/>
  <c r="E27" i="19" s="1"/>
  <c r="B27" i="19" s="1"/>
  <c r="C8" i="12"/>
  <c r="C13" i="12"/>
  <c r="I13" i="12"/>
  <c r="I8" i="12"/>
  <c r="G10" i="12"/>
  <c r="G13" i="12"/>
  <c r="N9" i="12"/>
  <c r="M10" i="12"/>
  <c r="F10" i="13"/>
  <c r="L10" i="13"/>
  <c r="D52" i="19"/>
  <c r="E52" i="19" s="1"/>
  <c r="B52" i="19" s="1"/>
  <c r="I28" i="8"/>
  <c r="J8" i="17" s="1"/>
  <c r="J9" i="17" s="1"/>
  <c r="D39" i="19"/>
  <c r="E39" i="19" s="1"/>
  <c r="B39" i="19" s="1"/>
  <c r="C27" i="11"/>
  <c r="C9" i="8"/>
  <c r="D51" i="19"/>
  <c r="E51" i="19" s="1"/>
  <c r="B51" i="19" s="1"/>
  <c r="J8" i="12"/>
  <c r="J12" i="12"/>
  <c r="I27" i="11"/>
  <c r="I22" i="8"/>
  <c r="I14" i="8"/>
  <c r="I9" i="8"/>
  <c r="C6" i="8"/>
  <c r="I8" i="8"/>
  <c r="I26" i="11" s="1"/>
  <c r="E12" i="8"/>
  <c r="C15" i="17"/>
  <c r="B14" i="8"/>
  <c r="I15" i="17"/>
  <c r="H16" i="8"/>
  <c r="H14" i="8"/>
  <c r="B16" i="8"/>
  <c r="L16" i="8"/>
  <c r="F24" i="8"/>
  <c r="I26" i="8"/>
  <c r="I27" i="8"/>
  <c r="H8" i="17"/>
  <c r="H9" i="17" s="1"/>
  <c r="I33" i="8"/>
  <c r="D10" i="17"/>
  <c r="J10" i="17"/>
  <c r="D12" i="19"/>
  <c r="C15" i="13"/>
  <c r="C8" i="13"/>
  <c r="I15" i="13"/>
  <c r="I8" i="13"/>
  <c r="P7" i="13"/>
  <c r="O9" i="13"/>
  <c r="D57" i="19"/>
  <c r="E57" i="19" s="1"/>
  <c r="B57" i="19" s="1"/>
  <c r="M14" i="13"/>
  <c r="M12" i="13"/>
  <c r="M10" i="13"/>
  <c r="L27" i="11"/>
  <c r="M8" i="13"/>
  <c r="L8" i="8"/>
  <c r="L26" i="11" s="1"/>
  <c r="L6" i="8"/>
  <c r="F22" i="8"/>
  <c r="D40" i="19"/>
  <c r="E40" i="19" s="1"/>
  <c r="B40" i="19" s="1"/>
  <c r="C28" i="8"/>
  <c r="D8" i="17" s="1"/>
  <c r="D9" i="17" s="1"/>
  <c r="C27" i="8"/>
  <c r="C26" i="8"/>
  <c r="D10" i="19"/>
  <c r="M11" i="17"/>
  <c r="L10" i="12"/>
  <c r="L11" i="8"/>
  <c r="I12" i="8"/>
  <c r="E14" i="8"/>
  <c r="B24" i="8"/>
  <c r="H28" i="8"/>
  <c r="I8" i="17" s="1"/>
  <c r="I9" i="17" s="1"/>
  <c r="J33" i="8"/>
  <c r="H32" i="8"/>
  <c r="I17" i="17" s="1"/>
  <c r="I18" i="17" s="1"/>
  <c r="D26" i="19"/>
  <c r="H16" i="14"/>
  <c r="H12" i="11"/>
  <c r="G12" i="11"/>
  <c r="N11" i="11"/>
  <c r="M15" i="11"/>
  <c r="L8" i="13"/>
  <c r="B27" i="11"/>
  <c r="D37" i="19"/>
  <c r="E37" i="19" s="1"/>
  <c r="B37" i="19" s="1"/>
  <c r="C14" i="13"/>
  <c r="D49" i="19"/>
  <c r="E49" i="19" s="1"/>
  <c r="B49" i="19" s="1"/>
  <c r="H27" i="11"/>
  <c r="D44" i="19"/>
  <c r="E44" i="19" s="1"/>
  <c r="B44" i="19" s="1"/>
  <c r="D56" i="19"/>
  <c r="E56" i="19" s="1"/>
  <c r="B56" i="19" s="1"/>
  <c r="K26" i="8"/>
  <c r="D11" i="15"/>
  <c r="E14" i="14"/>
  <c r="E15" i="14"/>
  <c r="D10" i="15"/>
  <c r="D8" i="11"/>
  <c r="J11" i="15"/>
  <c r="K14" i="14"/>
  <c r="J10" i="15"/>
  <c r="K17" i="14"/>
  <c r="J8" i="11"/>
  <c r="K15" i="14"/>
  <c r="L8" i="12"/>
  <c r="H10" i="12"/>
  <c r="I12" i="12"/>
  <c r="E15" i="17"/>
  <c r="D16" i="8"/>
  <c r="D14" i="8"/>
  <c r="K15" i="17"/>
  <c r="J16" i="8"/>
  <c r="J14" i="8"/>
  <c r="D22" i="8"/>
  <c r="J22" i="8"/>
  <c r="D46" i="19"/>
  <c r="E46" i="19" s="1"/>
  <c r="B46" i="19" s="1"/>
  <c r="D58" i="19"/>
  <c r="E58" i="19" s="1"/>
  <c r="B58" i="19" s="1"/>
  <c r="L26" i="8"/>
  <c r="F33" i="8"/>
  <c r="L33" i="8"/>
  <c r="E11" i="15"/>
  <c r="F14" i="14"/>
  <c r="F15" i="14"/>
  <c r="E10" i="15"/>
  <c r="F8" i="11"/>
  <c r="L14" i="14"/>
  <c r="L17" i="14"/>
  <c r="L15" i="14"/>
  <c r="K10" i="15"/>
  <c r="L8" i="11"/>
  <c r="K8" i="11"/>
  <c r="I10" i="12"/>
  <c r="K12" i="12"/>
  <c r="F15" i="13"/>
  <c r="C10" i="13"/>
  <c r="I10" i="13"/>
  <c r="F14" i="13"/>
  <c r="L14" i="13"/>
  <c r="D41" i="19"/>
  <c r="E41" i="19" s="1"/>
  <c r="B41" i="19" s="1"/>
  <c r="D27" i="11"/>
  <c r="D53" i="19"/>
  <c r="E53" i="19" s="1"/>
  <c r="B53" i="19" s="1"/>
  <c r="J27" i="11"/>
  <c r="H6" i="8"/>
  <c r="B8" i="8"/>
  <c r="B26" i="11" s="1"/>
  <c r="H8" i="8"/>
  <c r="H26" i="11" s="1"/>
  <c r="C14" i="8"/>
  <c r="K14" i="8"/>
  <c r="F26" i="8"/>
  <c r="E27" i="8"/>
  <c r="L27" i="8"/>
  <c r="M27" i="8" s="1"/>
  <c r="N27" i="8" s="1"/>
  <c r="O27" i="8" s="1"/>
  <c r="P27" i="8" s="1"/>
  <c r="E28" i="8"/>
  <c r="F8" i="17" s="1"/>
  <c r="F9" i="17" s="1"/>
  <c r="L28" i="8"/>
  <c r="C10" i="17"/>
  <c r="I10" i="17"/>
  <c r="C8" i="19"/>
  <c r="D8" i="19"/>
  <c r="L12" i="12"/>
  <c r="C12" i="11"/>
  <c r="D16" i="14"/>
  <c r="J16" i="14"/>
  <c r="I12" i="11"/>
  <c r="D12" i="11"/>
  <c r="K8" i="12"/>
  <c r="M12" i="12"/>
  <c r="D8" i="13"/>
  <c r="J8" i="13"/>
  <c r="D14" i="13"/>
  <c r="J14" i="13"/>
  <c r="C11" i="17"/>
  <c r="I11" i="17"/>
  <c r="D18" i="19"/>
  <c r="E18" i="19" s="1"/>
  <c r="B18" i="19" s="1"/>
  <c r="G10" i="15"/>
  <c r="H15" i="14"/>
  <c r="G11" i="15"/>
  <c r="G8" i="11"/>
  <c r="H14" i="14"/>
  <c r="H8" i="11"/>
  <c r="H12" i="12"/>
  <c r="F8" i="13"/>
  <c r="E14" i="13"/>
  <c r="K14" i="13"/>
  <c r="G10" i="17"/>
  <c r="M10" i="17"/>
  <c r="D16" i="19"/>
  <c r="D28" i="19"/>
  <c r="D11" i="17"/>
  <c r="J11" i="17"/>
  <c r="B10" i="15"/>
  <c r="C15" i="14"/>
  <c r="C14" i="14"/>
  <c r="B11" i="15"/>
  <c r="H10" i="15"/>
  <c r="I17" i="14"/>
  <c r="I15" i="14"/>
  <c r="I14" i="14"/>
  <c r="I8" i="11"/>
  <c r="H11" i="15"/>
  <c r="N7" i="12"/>
  <c r="M8" i="12"/>
  <c r="K10" i="12"/>
  <c r="L13" i="12"/>
  <c r="L15" i="13"/>
  <c r="D10" i="13"/>
  <c r="J10" i="13"/>
  <c r="O11" i="13"/>
  <c r="D15" i="13"/>
  <c r="G27" i="8"/>
  <c r="H10" i="17"/>
  <c r="E11" i="17"/>
  <c r="K11" i="17"/>
  <c r="F12" i="11"/>
  <c r="G16" i="14"/>
  <c r="L12" i="11"/>
  <c r="M16" i="14"/>
  <c r="J12" i="11"/>
  <c r="O18" i="11"/>
  <c r="M13" i="12"/>
  <c r="N13" i="13"/>
  <c r="N15" i="13" s="1"/>
  <c r="C64" i="19" s="1"/>
  <c r="E64" i="19" s="1"/>
  <c r="B64" i="19" s="1"/>
  <c r="E10" i="13"/>
  <c r="K10" i="13"/>
  <c r="H14" i="13"/>
  <c r="J15" i="13"/>
  <c r="G14" i="14"/>
  <c r="J15" i="14"/>
  <c r="M17" i="14"/>
  <c r="E16" i="14"/>
  <c r="K16" i="14"/>
  <c r="M15" i="13"/>
  <c r="H7" i="15"/>
  <c r="L10" i="15"/>
  <c r="I11" i="15"/>
  <c r="F16" i="14"/>
  <c r="L16" i="14"/>
  <c r="E13" i="12"/>
  <c r="K13" i="12"/>
  <c r="E8" i="13"/>
  <c r="K8" i="13"/>
  <c r="D15" i="14"/>
  <c r="D17" i="16"/>
  <c r="C73" i="19" s="1"/>
  <c r="E73" i="19" s="1"/>
  <c r="B73" i="19" s="1"/>
  <c r="D11" i="16"/>
  <c r="D18" i="16"/>
  <c r="D16" i="16"/>
  <c r="M15" i="14"/>
  <c r="D12" i="15"/>
  <c r="C12" i="15"/>
  <c r="J12" i="15"/>
  <c r="I12" i="15"/>
  <c r="M14" i="14"/>
  <c r="F10" i="15"/>
  <c r="C11" i="15"/>
  <c r="D18" i="15"/>
  <c r="J18" i="15"/>
  <c r="I10" i="15"/>
  <c r="J17" i="14"/>
  <c r="D14" i="14"/>
  <c r="G15" i="14"/>
  <c r="C7" i="15"/>
  <c r="B18" i="15"/>
  <c r="H18" i="15"/>
  <c r="F16" i="16"/>
  <c r="N5" i="15" l="1"/>
  <c r="M6" i="15"/>
  <c r="AD32" i="2"/>
  <c r="N9" i="15"/>
  <c r="J14" i="15"/>
  <c r="F17" i="8"/>
  <c r="F11" i="2"/>
  <c r="E12" i="2"/>
  <c r="V15" i="2" s="1"/>
  <c r="L10" i="2"/>
  <c r="AC14" i="2" s="1"/>
  <c r="AC7" i="2"/>
  <c r="AC25" i="2"/>
  <c r="AC41" i="2"/>
  <c r="J17" i="8"/>
  <c r="J11" i="2"/>
  <c r="B17" i="8"/>
  <c r="B11" i="2"/>
  <c r="B12" i="2" s="1"/>
  <c r="S15" i="2" s="1"/>
  <c r="K10" i="2"/>
  <c r="AB14" i="2" s="1"/>
  <c r="AB25" i="2"/>
  <c r="AB7" i="2"/>
  <c r="AB41" i="2"/>
  <c r="I10" i="2"/>
  <c r="Z14" i="2" s="1"/>
  <c r="Z7" i="2"/>
  <c r="Z25" i="2"/>
  <c r="Z41" i="2"/>
  <c r="G17" i="8"/>
  <c r="G11" i="2"/>
  <c r="I17" i="8"/>
  <c r="I11" i="2"/>
  <c r="C17" i="8"/>
  <c r="C11" i="2"/>
  <c r="C10" i="2"/>
  <c r="T14" i="2" s="1"/>
  <c r="T7" i="2"/>
  <c r="T25" i="2"/>
  <c r="T41" i="2"/>
  <c r="L17" i="8"/>
  <c r="L11" i="2"/>
  <c r="H17" i="8"/>
  <c r="H11" i="2"/>
  <c r="H12" i="2" s="1"/>
  <c r="Y15" i="2" s="1"/>
  <c r="E17" i="8"/>
  <c r="G10" i="2"/>
  <c r="X14" i="2" s="1"/>
  <c r="X25" i="2"/>
  <c r="X7" i="2"/>
  <c r="X41" i="2"/>
  <c r="D17" i="8"/>
  <c r="D11" i="2"/>
  <c r="K17" i="8"/>
  <c r="K11" i="2"/>
  <c r="V7" i="2"/>
  <c r="E10" i="2"/>
  <c r="V14" i="2" s="1"/>
  <c r="V41" i="2"/>
  <c r="V25" i="2"/>
  <c r="O42" i="8"/>
  <c r="N51" i="2"/>
  <c r="K107" i="8"/>
  <c r="K109" i="8"/>
  <c r="H109" i="8"/>
  <c r="B107" i="8"/>
  <c r="F109" i="8"/>
  <c r="F107" i="8"/>
  <c r="H132" i="8"/>
  <c r="H134" i="8"/>
  <c r="E15" i="19"/>
  <c r="B15" i="19" s="1"/>
  <c r="D107" i="8"/>
  <c r="D109" i="8"/>
  <c r="L107" i="8"/>
  <c r="L109" i="8"/>
  <c r="O68" i="8"/>
  <c r="O118" i="8" s="1"/>
  <c r="B134" i="8"/>
  <c r="I14" i="15"/>
  <c r="K134" i="8"/>
  <c r="D134" i="8"/>
  <c r="D14" i="15"/>
  <c r="P64" i="8"/>
  <c r="I32" i="8"/>
  <c r="J17" i="17" s="1"/>
  <c r="J18" i="17" s="1"/>
  <c r="L12" i="17"/>
  <c r="L16" i="17" s="1"/>
  <c r="E26" i="19"/>
  <c r="B26" i="19" s="1"/>
  <c r="C32" i="8"/>
  <c r="D17" i="17" s="1"/>
  <c r="D18" i="17" s="1"/>
  <c r="J32" i="8"/>
  <c r="K17" i="17" s="1"/>
  <c r="K18" i="17" s="1"/>
  <c r="O13" i="13"/>
  <c r="O15" i="13" s="1"/>
  <c r="C70" i="19" s="1"/>
  <c r="E70" i="19" s="1"/>
  <c r="B70" i="19" s="1"/>
  <c r="B32" i="8"/>
  <c r="C17" i="17" s="1"/>
  <c r="C18" i="17" s="1"/>
  <c r="I12" i="17"/>
  <c r="I16" i="17" s="1"/>
  <c r="C13" i="15"/>
  <c r="C14" i="15" s="1"/>
  <c r="C12" i="17"/>
  <c r="C16" i="17" s="1"/>
  <c r="E12" i="17"/>
  <c r="E16" i="17" s="1"/>
  <c r="C28" i="19"/>
  <c r="E28" i="19" s="1"/>
  <c r="B28" i="19" s="1"/>
  <c r="E8" i="19"/>
  <c r="B8" i="19" s="1"/>
  <c r="F12" i="17"/>
  <c r="F16" i="17" s="1"/>
  <c r="P11" i="13"/>
  <c r="C10" i="19"/>
  <c r="E10" i="19" s="1"/>
  <c r="B10" i="19" s="1"/>
  <c r="C24" i="19"/>
  <c r="E24" i="19" s="1"/>
  <c r="B24" i="19" s="1"/>
  <c r="K12" i="17"/>
  <c r="K16" i="17" s="1"/>
  <c r="G13" i="15"/>
  <c r="G14" i="15" s="1"/>
  <c r="N11" i="12"/>
  <c r="O7" i="12"/>
  <c r="C16" i="19"/>
  <c r="E16" i="19" s="1"/>
  <c r="B16" i="19" s="1"/>
  <c r="H13" i="15"/>
  <c r="H14" i="15" s="1"/>
  <c r="J12" i="17"/>
  <c r="J16" i="17" s="1"/>
  <c r="C14" i="19"/>
  <c r="E14" i="19" s="1"/>
  <c r="B14" i="19" s="1"/>
  <c r="N15" i="11"/>
  <c r="O11" i="11"/>
  <c r="L13" i="15"/>
  <c r="L14" i="15" s="1"/>
  <c r="P9" i="13"/>
  <c r="G12" i="17"/>
  <c r="G16" i="17" s="1"/>
  <c r="F13" i="15"/>
  <c r="F14" i="15" s="1"/>
  <c r="E12" i="19"/>
  <c r="B12" i="19" s="1"/>
  <c r="M8" i="17"/>
  <c r="M9" i="17" s="1"/>
  <c r="M12" i="17" s="1"/>
  <c r="M16" i="17" s="1"/>
  <c r="L32" i="8"/>
  <c r="M17" i="17" s="1"/>
  <c r="M18" i="17" s="1"/>
  <c r="M28" i="8"/>
  <c r="C20" i="19"/>
  <c r="E20" i="19" s="1"/>
  <c r="B20" i="19" s="1"/>
  <c r="D32" i="8"/>
  <c r="E17" i="17" s="1"/>
  <c r="E18" i="17" s="1"/>
  <c r="D12" i="17"/>
  <c r="D16" i="17" s="1"/>
  <c r="Q7" i="13"/>
  <c r="H12" i="17"/>
  <c r="H16" i="17" s="1"/>
  <c r="O9" i="12"/>
  <c r="K13" i="15"/>
  <c r="K14" i="15" s="1"/>
  <c r="E32" i="8"/>
  <c r="F17" i="17" s="1"/>
  <c r="F18" i="17" s="1"/>
  <c r="E13" i="15"/>
  <c r="E14" i="15" s="1"/>
  <c r="C22" i="19"/>
  <c r="E22" i="19" s="1"/>
  <c r="B22" i="19" s="1"/>
  <c r="O9" i="15" l="1"/>
  <c r="AE32" i="2"/>
  <c r="O5" i="15"/>
  <c r="N6" i="15"/>
  <c r="U8" i="2"/>
  <c r="D12" i="2"/>
  <c r="U15" i="2" s="1"/>
  <c r="Y8" i="2"/>
  <c r="X8" i="2"/>
  <c r="G12" i="2"/>
  <c r="X15" i="2" s="1"/>
  <c r="AA8" i="2"/>
  <c r="J12" i="2"/>
  <c r="AA15" i="2" s="1"/>
  <c r="V8" i="2"/>
  <c r="I12" i="2"/>
  <c r="Z15" i="2" s="1"/>
  <c r="Z8" i="2"/>
  <c r="L12" i="2"/>
  <c r="AC15" i="2" s="1"/>
  <c r="AC8" i="2"/>
  <c r="C12" i="2"/>
  <c r="T15" i="2" s="1"/>
  <c r="T8" i="2"/>
  <c r="F12" i="2"/>
  <c r="W15" i="2" s="1"/>
  <c r="W8" i="2"/>
  <c r="K12" i="2"/>
  <c r="AB15" i="2" s="1"/>
  <c r="AB8" i="2"/>
  <c r="P68" i="8"/>
  <c r="P118" i="8" s="1"/>
  <c r="P42" i="8"/>
  <c r="P51" i="2" s="1"/>
  <c r="O51" i="2"/>
  <c r="Q9" i="13"/>
  <c r="P9" i="12"/>
  <c r="N13" i="12"/>
  <c r="C63" i="19" s="1"/>
  <c r="E63" i="19" s="1"/>
  <c r="B63" i="19" s="1"/>
  <c r="O15" i="11"/>
  <c r="P11" i="11"/>
  <c r="Q11" i="13"/>
  <c r="P13" i="13"/>
  <c r="P15" i="13" s="1"/>
  <c r="C76" i="19" s="1"/>
  <c r="E76" i="19" s="1"/>
  <c r="B76" i="19" s="1"/>
  <c r="P7" i="12"/>
  <c r="O11" i="12"/>
  <c r="O13" i="12" s="1"/>
  <c r="C69" i="19" s="1"/>
  <c r="E69" i="19" s="1"/>
  <c r="B69" i="19" s="1"/>
  <c r="N8" i="17"/>
  <c r="N9" i="17" s="1"/>
  <c r="N28" i="8"/>
  <c r="O6" i="15" l="1"/>
  <c r="P5" i="15"/>
  <c r="P6" i="15" s="1"/>
  <c r="P9" i="15"/>
  <c r="AG32" i="2" s="1"/>
  <c r="AF32" i="2"/>
  <c r="Q13" i="13"/>
  <c r="Q15" i="13" s="1"/>
  <c r="C82" i="19" s="1"/>
  <c r="E82" i="19" s="1"/>
  <c r="B82" i="19" s="1"/>
  <c r="Q9" i="12"/>
  <c r="P15" i="11"/>
  <c r="O8" i="17"/>
  <c r="O9" i="17" s="1"/>
  <c r="O28" i="8"/>
  <c r="Q7" i="12"/>
  <c r="P11" i="12"/>
  <c r="P13" i="12" s="1"/>
  <c r="C75" i="19" s="1"/>
  <c r="E75" i="19" s="1"/>
  <c r="B75" i="19" s="1"/>
  <c r="Q11" i="12" l="1"/>
  <c r="Q13" i="12" s="1"/>
  <c r="C81" i="19" s="1"/>
  <c r="E81" i="19" s="1"/>
  <c r="B81" i="19" s="1"/>
  <c r="P8" i="17"/>
  <c r="P9" i="17" s="1"/>
  <c r="P28" i="8"/>
  <c r="Q8" i="17" s="1"/>
  <c r="Q9" i="17" s="1"/>
  <c r="M12" i="15" l="1"/>
  <c r="AD30" i="2"/>
  <c r="AD31" i="2" l="1"/>
  <c r="M10" i="11"/>
  <c r="M23" i="11" l="1"/>
  <c r="M22" i="11" s="1"/>
  <c r="M20" i="11"/>
  <c r="M21" i="11" l="1"/>
  <c r="M16" i="15" s="1"/>
  <c r="M15" i="15"/>
  <c r="M24" i="11"/>
  <c r="M7" i="11" s="1"/>
  <c r="M27" i="11" s="1"/>
  <c r="M17" i="15"/>
  <c r="M25" i="11" l="1"/>
  <c r="N19" i="11"/>
  <c r="N16" i="14"/>
  <c r="M8" i="11"/>
  <c r="M6" i="8" s="1"/>
  <c r="N17" i="14"/>
  <c r="M7" i="8"/>
  <c r="M10" i="15"/>
  <c r="M30" i="11"/>
  <c r="M18" i="15"/>
  <c r="N10" i="14" l="1"/>
  <c r="N11" i="14"/>
  <c r="N8" i="14"/>
  <c r="N12" i="14"/>
  <c r="N14" i="14" s="1"/>
  <c r="M13" i="15"/>
  <c r="M14" i="15" s="1"/>
  <c r="N7" i="14"/>
  <c r="N9" i="14"/>
  <c r="M5" i="8"/>
  <c r="C62" i="19"/>
  <c r="AD33" i="2"/>
  <c r="N15" i="14" l="1"/>
  <c r="M28" i="11"/>
  <c r="M15" i="8"/>
  <c r="M95" i="8" s="1"/>
  <c r="M26" i="2" s="1"/>
  <c r="M53" i="8"/>
  <c r="M18" i="8"/>
  <c r="M73" i="8"/>
  <c r="M59" i="8"/>
  <c r="D62" i="19"/>
  <c r="E62" i="19" s="1"/>
  <c r="B62" i="19" s="1"/>
  <c r="M12" i="8"/>
  <c r="M10" i="8"/>
  <c r="M96" i="8"/>
  <c r="M80" i="8"/>
  <c r="N8" i="12"/>
  <c r="N14" i="13"/>
  <c r="N10" i="12"/>
  <c r="M5" i="2"/>
  <c r="AD6" i="2" s="1"/>
  <c r="M19" i="8"/>
  <c r="N10" i="13"/>
  <c r="M57" i="8"/>
  <c r="M100" i="8" s="1"/>
  <c r="M47" i="8"/>
  <c r="M54" i="8"/>
  <c r="M49" i="8"/>
  <c r="M52" i="2" s="1"/>
  <c r="N12" i="12"/>
  <c r="M79" i="8"/>
  <c r="M103" i="8" s="1"/>
  <c r="M72" i="8"/>
  <c r="M120" i="8"/>
  <c r="M82" i="8"/>
  <c r="M111" i="8"/>
  <c r="M112" i="8"/>
  <c r="M43" i="8" s="1"/>
  <c r="M83" i="8"/>
  <c r="N8" i="13"/>
  <c r="M56" i="8"/>
  <c r="N12" i="13"/>
  <c r="M81" i="8"/>
  <c r="AD34" i="2"/>
  <c r="M9" i="8"/>
  <c r="M106" i="8" l="1"/>
  <c r="M104" i="8"/>
  <c r="M102" i="8"/>
  <c r="M48" i="2"/>
  <c r="M101" i="8"/>
  <c r="M30" i="2"/>
  <c r="M39" i="8"/>
  <c r="M11" i="8"/>
  <c r="M13" i="8"/>
  <c r="M7" i="2"/>
  <c r="M8" i="2" s="1"/>
  <c r="AD13" i="2" s="1"/>
  <c r="M114" i="8"/>
  <c r="M116" i="8" s="1"/>
  <c r="M32" i="2" s="1"/>
  <c r="M121" i="8"/>
  <c r="M97" i="8"/>
  <c r="M105" i="8"/>
  <c r="M47" i="2"/>
  <c r="M99" i="8"/>
  <c r="M78" i="8"/>
  <c r="M85" i="8" s="1"/>
  <c r="M54" i="2" s="1"/>
  <c r="M41" i="8"/>
  <c r="M69" i="8"/>
  <c r="M14" i="8" l="1"/>
  <c r="N15" i="17"/>
  <c r="M9" i="2"/>
  <c r="M16" i="8"/>
  <c r="M55" i="2"/>
  <c r="N119" i="8"/>
  <c r="N11" i="17"/>
  <c r="M75" i="8"/>
  <c r="M31" i="2"/>
  <c r="M51" i="8"/>
  <c r="M50" i="2"/>
  <c r="M17" i="8" l="1"/>
  <c r="M11" i="2"/>
  <c r="M21" i="8"/>
  <c r="M10" i="2"/>
  <c r="AD14" i="2" s="1"/>
  <c r="AD7" i="2"/>
  <c r="M56" i="2"/>
  <c r="M86" i="8"/>
  <c r="M57" i="2" s="1"/>
  <c r="M13" i="2" l="1"/>
  <c r="M14" i="2" s="1"/>
  <c r="AD16" i="2" s="1"/>
  <c r="M23" i="8"/>
  <c r="M22" i="8"/>
  <c r="M12" i="2"/>
  <c r="AD15" i="2" s="1"/>
  <c r="AD8" i="2"/>
  <c r="M25" i="8" l="1"/>
  <c r="M24" i="8"/>
  <c r="M15" i="2"/>
  <c r="M29" i="8" l="1"/>
  <c r="M18" i="2" s="1"/>
  <c r="AD10" i="2" s="1"/>
  <c r="M16" i="2"/>
  <c r="M30" i="8"/>
  <c r="M31" i="8"/>
  <c r="M94" i="8"/>
  <c r="M108" i="8" s="1"/>
  <c r="M26" i="8"/>
  <c r="M109" i="8" l="1"/>
  <c r="M28" i="2"/>
  <c r="M133" i="8"/>
  <c r="N13" i="17"/>
  <c r="M19" i="2"/>
  <c r="AD40" i="2" s="1"/>
  <c r="M65" i="8"/>
  <c r="M122" i="8"/>
  <c r="M32" i="8"/>
  <c r="N17" i="17" s="1"/>
  <c r="N18" i="17" s="1"/>
  <c r="M33" i="8"/>
  <c r="M25" i="2"/>
  <c r="M17" i="2"/>
  <c r="AD17" i="2" s="1"/>
  <c r="AD9" i="2"/>
  <c r="N14" i="17" l="1"/>
  <c r="N20" i="17"/>
  <c r="M134" i="8"/>
  <c r="N23" i="17"/>
  <c r="M33" i="2"/>
  <c r="M125" i="8"/>
  <c r="M27" i="2"/>
  <c r="M41" i="2"/>
  <c r="M42" i="2" s="1"/>
  <c r="AD22" i="2" s="1"/>
  <c r="M29" i="2"/>
  <c r="M59" i="2"/>
  <c r="M60" i="2" s="1"/>
  <c r="M66" i="8"/>
  <c r="M87" i="8" s="1"/>
  <c r="D29" i="19" s="1"/>
  <c r="M36" i="2" l="1"/>
  <c r="M35" i="2" s="1"/>
  <c r="M127" i="8"/>
  <c r="M63" i="2"/>
  <c r="AD20" i="2" s="1"/>
  <c r="AD26" i="2"/>
  <c r="M61" i="2"/>
  <c r="AD42" i="2"/>
  <c r="N10" i="11"/>
  <c r="M130" i="8" l="1"/>
  <c r="M38" i="2"/>
  <c r="N23" i="11"/>
  <c r="N22" i="11" s="1"/>
  <c r="N20" i="11"/>
  <c r="AE31" i="2"/>
  <c r="O12" i="15"/>
  <c r="AF30" i="2"/>
  <c r="AE30" i="2"/>
  <c r="N12" i="15"/>
  <c r="N15" i="15" l="1"/>
  <c r="N21" i="11"/>
  <c r="N16" i="15" s="1"/>
  <c r="N17" i="15"/>
  <c r="C30" i="19"/>
  <c r="C65" i="19"/>
  <c r="E65" i="19" s="1"/>
  <c r="B65" i="19" s="1"/>
  <c r="M55" i="8"/>
  <c r="O10" i="11"/>
  <c r="AF31" i="2"/>
  <c r="P12" i="15"/>
  <c r="AG30" i="2"/>
  <c r="N24" i="11" l="1"/>
  <c r="O20" i="11"/>
  <c r="O23" i="11"/>
  <c r="O22" i="11" s="1"/>
  <c r="M46" i="2"/>
  <c r="M131" i="8"/>
  <c r="N129" i="8"/>
  <c r="N39" i="2" s="1"/>
  <c r="N10" i="17"/>
  <c r="M61" i="8"/>
  <c r="N18" i="15"/>
  <c r="N7" i="11"/>
  <c r="P10" i="11"/>
  <c r="AG31" i="2"/>
  <c r="O17" i="14" l="1"/>
  <c r="N7" i="8"/>
  <c r="O16" i="14"/>
  <c r="N27" i="11"/>
  <c r="O19" i="11"/>
  <c r="N8" i="11"/>
  <c r="N6" i="8" s="1"/>
  <c r="N10" i="15"/>
  <c r="M49" i="2"/>
  <c r="M62" i="8"/>
  <c r="O21" i="11"/>
  <c r="O16" i="15" s="1"/>
  <c r="O15" i="15"/>
  <c r="D30" i="19"/>
  <c r="E30" i="19" s="1"/>
  <c r="B30" i="19" s="1"/>
  <c r="M132" i="8"/>
  <c r="AD25" i="2"/>
  <c r="M62" i="2"/>
  <c r="AD39" i="2"/>
  <c r="AD41" i="2" s="1"/>
  <c r="AD27" i="2"/>
  <c r="O17" i="15"/>
  <c r="N12" i="17"/>
  <c r="N16" i="17" s="1"/>
  <c r="N22" i="17"/>
  <c r="P23" i="11"/>
  <c r="P22" i="11" s="1"/>
  <c r="P17" i="15" s="1"/>
  <c r="P20" i="11"/>
  <c r="N25" i="11"/>
  <c r="O24" i="11" l="1"/>
  <c r="O7" i="11" s="1"/>
  <c r="O25" i="11" s="1"/>
  <c r="P21" i="11"/>
  <c r="P16" i="15" s="1"/>
  <c r="P18" i="15" s="1"/>
  <c r="P15" i="15"/>
  <c r="O8" i="14"/>
  <c r="N13" i="15"/>
  <c r="N14" i="15" s="1"/>
  <c r="O10" i="14"/>
  <c r="O7" i="14"/>
  <c r="O9" i="14"/>
  <c r="O11" i="14"/>
  <c r="O12" i="14"/>
  <c r="AE33" i="2"/>
  <c r="C68" i="19"/>
  <c r="N5" i="8"/>
  <c r="N28" i="11"/>
  <c r="C29" i="19"/>
  <c r="E29" i="19" s="1"/>
  <c r="B29" i="19" s="1"/>
  <c r="M53" i="2"/>
  <c r="AD21" i="2" s="1"/>
  <c r="M88" i="8"/>
  <c r="O18" i="15"/>
  <c r="N82" i="8" l="1"/>
  <c r="N49" i="8"/>
  <c r="N52" i="2" s="1"/>
  <c r="O8" i="13"/>
  <c r="N81" i="8"/>
  <c r="N10" i="8"/>
  <c r="N9" i="8" s="1"/>
  <c r="N120" i="8"/>
  <c r="N112" i="8"/>
  <c r="N18" i="8"/>
  <c r="N83" i="8"/>
  <c r="N96" i="8"/>
  <c r="O14" i="13"/>
  <c r="N54" i="8"/>
  <c r="N73" i="8"/>
  <c r="D68" i="19"/>
  <c r="E68" i="19" s="1"/>
  <c r="B68" i="19" s="1"/>
  <c r="N15" i="8"/>
  <c r="N95" i="8" s="1"/>
  <c r="N26" i="2" s="1"/>
  <c r="N111" i="8"/>
  <c r="N57" i="8"/>
  <c r="N100" i="8" s="1"/>
  <c r="O8" i="12"/>
  <c r="N53" i="8"/>
  <c r="O10" i="12"/>
  <c r="N80" i="8"/>
  <c r="N79" i="8"/>
  <c r="N103" i="8" s="1"/>
  <c r="N72" i="8"/>
  <c r="N5" i="2"/>
  <c r="AE6" i="2" s="1"/>
  <c r="N19" i="8"/>
  <c r="N56" i="8"/>
  <c r="O12" i="13"/>
  <c r="O10" i="13"/>
  <c r="N59" i="8"/>
  <c r="AE34" i="2"/>
  <c r="N12" i="8"/>
  <c r="N47" i="8"/>
  <c r="N102" i="8" s="1"/>
  <c r="O12" i="12"/>
  <c r="O15" i="14"/>
  <c r="P24" i="11"/>
  <c r="O14" i="14"/>
  <c r="P19" i="11"/>
  <c r="O7" i="8"/>
  <c r="O27" i="11"/>
  <c r="P16" i="14"/>
  <c r="O8" i="11"/>
  <c r="O6" i="8" s="1"/>
  <c r="O13" i="15" s="1"/>
  <c r="O14" i="15" s="1"/>
  <c r="P17" i="14"/>
  <c r="O10" i="15"/>
  <c r="N106" i="8" l="1"/>
  <c r="N114" i="8"/>
  <c r="N116" i="8" s="1"/>
  <c r="N32" i="2" s="1"/>
  <c r="P7" i="11"/>
  <c r="P25" i="11" s="1"/>
  <c r="N121" i="8"/>
  <c r="N97" i="8"/>
  <c r="N43" i="8"/>
  <c r="N105" i="8"/>
  <c r="P10" i="14"/>
  <c r="N47" i="2"/>
  <c r="N99" i="8"/>
  <c r="N78" i="8"/>
  <c r="N85" i="8" s="1"/>
  <c r="N54" i="2" s="1"/>
  <c r="N41" i="8"/>
  <c r="N69" i="8"/>
  <c r="P11" i="14"/>
  <c r="N30" i="2"/>
  <c r="N39" i="8"/>
  <c r="P12" i="14"/>
  <c r="N104" i="8"/>
  <c r="C74" i="19"/>
  <c r="O5" i="8"/>
  <c r="O28" i="11" s="1"/>
  <c r="AF33" i="2"/>
  <c r="P9" i="14"/>
  <c r="P7" i="14"/>
  <c r="N101" i="8"/>
  <c r="N48" i="2"/>
  <c r="N11" i="8"/>
  <c r="N13" i="8"/>
  <c r="N7" i="2"/>
  <c r="N8" i="2" s="1"/>
  <c r="AE13" i="2" s="1"/>
  <c r="P8" i="14"/>
  <c r="N31" i="2" l="1"/>
  <c r="P15" i="14"/>
  <c r="N16" i="8"/>
  <c r="N9" i="2"/>
  <c r="N14" i="8"/>
  <c r="O15" i="17"/>
  <c r="N51" i="8"/>
  <c r="N50" i="2"/>
  <c r="P14" i="14"/>
  <c r="O56" i="8"/>
  <c r="O83" i="8"/>
  <c r="O15" i="8"/>
  <c r="O95" i="8" s="1"/>
  <c r="O26" i="2" s="1"/>
  <c r="O18" i="8"/>
  <c r="O54" i="8"/>
  <c r="O57" i="8"/>
  <c r="O100" i="8" s="1"/>
  <c r="O10" i="8"/>
  <c r="O79" i="8"/>
  <c r="O103" i="8" s="1"/>
  <c r="O59" i="8"/>
  <c r="O19" i="8"/>
  <c r="O80" i="8"/>
  <c r="O73" i="8"/>
  <c r="O96" i="8"/>
  <c r="O111" i="8"/>
  <c r="O30" i="2" s="1"/>
  <c r="P12" i="13"/>
  <c r="O53" i="8"/>
  <c r="P10" i="13"/>
  <c r="D74" i="19"/>
  <c r="E74" i="19" s="1"/>
  <c r="B74" i="19" s="1"/>
  <c r="O120" i="8"/>
  <c r="P8" i="12"/>
  <c r="O81" i="8"/>
  <c r="O104" i="8" s="1"/>
  <c r="O12" i="8"/>
  <c r="P8" i="13"/>
  <c r="O82" i="8"/>
  <c r="P12" i="12"/>
  <c r="O47" i="8"/>
  <c r="O49" i="8"/>
  <c r="O52" i="2" s="1"/>
  <c r="P10" i="12"/>
  <c r="P14" i="13"/>
  <c r="O5" i="2"/>
  <c r="AF6" i="2" s="1"/>
  <c r="O112" i="8"/>
  <c r="O72" i="8"/>
  <c r="O106" i="8" s="1"/>
  <c r="AF34" i="2"/>
  <c r="N75" i="8"/>
  <c r="N55" i="2"/>
  <c r="O11" i="17"/>
  <c r="O119" i="8"/>
  <c r="P8" i="11"/>
  <c r="P6" i="8" s="1"/>
  <c r="P13" i="15" s="1"/>
  <c r="P14" i="15" s="1"/>
  <c r="Q16" i="14"/>
  <c r="P27" i="11"/>
  <c r="P7" i="8"/>
  <c r="Q17" i="14"/>
  <c r="P10" i="15"/>
  <c r="O102" i="8" l="1"/>
  <c r="O43" i="8"/>
  <c r="O69" i="8"/>
  <c r="O75" i="8" s="1"/>
  <c r="Q8" i="14"/>
  <c r="O48" i="2"/>
  <c r="O101" i="8"/>
  <c r="N10" i="2"/>
  <c r="AE14" i="2" s="1"/>
  <c r="AE7" i="2"/>
  <c r="N21" i="8"/>
  <c r="N17" i="8"/>
  <c r="N11" i="2"/>
  <c r="O105" i="8"/>
  <c r="O11" i="8"/>
  <c r="O7" i="2"/>
  <c r="O8" i="2" s="1"/>
  <c r="AF13" i="2" s="1"/>
  <c r="Q10" i="14"/>
  <c r="N56" i="2"/>
  <c r="N86" i="8"/>
  <c r="N57" i="2" s="1"/>
  <c r="O9" i="8"/>
  <c r="O41" i="8"/>
  <c r="AG33" i="2"/>
  <c r="C80" i="19"/>
  <c r="P5" i="8"/>
  <c r="P28" i="11" s="1"/>
  <c r="O78" i="8"/>
  <c r="O85" i="8" s="1"/>
  <c r="O54" i="2" s="1"/>
  <c r="Q11" i="14"/>
  <c r="O13" i="8"/>
  <c r="O47" i="2"/>
  <c r="O99" i="8"/>
  <c r="Q12" i="14"/>
  <c r="Q14" i="14" s="1"/>
  <c r="O39" i="8"/>
  <c r="O114" i="8"/>
  <c r="O116" i="8" s="1"/>
  <c r="O32" i="2" s="1"/>
  <c r="O31" i="2" s="1"/>
  <c r="O121" i="8"/>
  <c r="O97" i="8"/>
  <c r="Q9" i="14"/>
  <c r="Q7" i="14"/>
  <c r="O55" i="2" l="1"/>
  <c r="P119" i="8"/>
  <c r="N22" i="8"/>
  <c r="N23" i="8"/>
  <c r="N13" i="2"/>
  <c r="N14" i="2" s="1"/>
  <c r="AE16" i="2" s="1"/>
  <c r="O51" i="8"/>
  <c r="O50" i="2"/>
  <c r="Q15" i="14"/>
  <c r="AE8" i="2"/>
  <c r="N12" i="2"/>
  <c r="AE15" i="2" s="1"/>
  <c r="O86" i="8"/>
  <c r="O57" i="2" s="1"/>
  <c r="O56" i="2"/>
  <c r="P15" i="17"/>
  <c r="O9" i="2"/>
  <c r="O14" i="8"/>
  <c r="O16" i="8"/>
  <c r="P19" i="8"/>
  <c r="P111" i="8"/>
  <c r="P30" i="2" s="1"/>
  <c r="P18" i="8"/>
  <c r="P79" i="8"/>
  <c r="P103" i="8" s="1"/>
  <c r="P12" i="8"/>
  <c r="P80" i="8"/>
  <c r="P112" i="8"/>
  <c r="P83" i="8"/>
  <c r="Q14" i="13"/>
  <c r="P5" i="2"/>
  <c r="AG6" i="2" s="1"/>
  <c r="Q12" i="12"/>
  <c r="P57" i="8"/>
  <c r="P100" i="8" s="1"/>
  <c r="Q12" i="13"/>
  <c r="P53" i="8"/>
  <c r="P73" i="8"/>
  <c r="P96" i="8"/>
  <c r="P47" i="8"/>
  <c r="P82" i="8"/>
  <c r="Q8" i="12"/>
  <c r="P81" i="8"/>
  <c r="P49" i="8"/>
  <c r="P52" i="2" s="1"/>
  <c r="P54" i="8"/>
  <c r="P15" i="8"/>
  <c r="P95" i="8" s="1"/>
  <c r="P26" i="2" s="1"/>
  <c r="P56" i="8"/>
  <c r="Q10" i="12"/>
  <c r="D80" i="19"/>
  <c r="E80" i="19" s="1"/>
  <c r="B80" i="19" s="1"/>
  <c r="Q10" i="13"/>
  <c r="P120" i="8"/>
  <c r="P69" i="8" s="1"/>
  <c r="P72" i="8"/>
  <c r="P10" i="8"/>
  <c r="P9" i="8" s="1"/>
  <c r="Q8" i="13"/>
  <c r="P59" i="8"/>
  <c r="AG34" i="2"/>
  <c r="P11" i="17"/>
  <c r="P105" i="8" l="1"/>
  <c r="O21" i="8"/>
  <c r="O11" i="2"/>
  <c r="O17" i="8"/>
  <c r="P48" i="2"/>
  <c r="P101" i="8"/>
  <c r="P114" i="8"/>
  <c r="P116" i="8" s="1"/>
  <c r="P32" i="2" s="1"/>
  <c r="P31" i="2" s="1"/>
  <c r="O10" i="2"/>
  <c r="AF14" i="2" s="1"/>
  <c r="AF7" i="2"/>
  <c r="N25" i="8"/>
  <c r="N15" i="2"/>
  <c r="N24" i="8"/>
  <c r="P99" i="8"/>
  <c r="P47" i="2"/>
  <c r="P41" i="8"/>
  <c r="P7" i="2"/>
  <c r="P8" i="2" s="1"/>
  <c r="AG13" i="2" s="1"/>
  <c r="P11" i="8"/>
  <c r="P13" i="8"/>
  <c r="P43" i="8"/>
  <c r="P121" i="8"/>
  <c r="P97" i="8"/>
  <c r="P78" i="8"/>
  <c r="P85" i="8" s="1"/>
  <c r="P54" i="2" s="1"/>
  <c r="P75" i="8"/>
  <c r="P55" i="2"/>
  <c r="P106" i="8"/>
  <c r="P102" i="8"/>
  <c r="P104" i="8"/>
  <c r="P39" i="8"/>
  <c r="Q11" i="17" l="1"/>
  <c r="P51" i="8"/>
  <c r="P50" i="2"/>
  <c r="P56" i="2"/>
  <c r="P86" i="8"/>
  <c r="P57" i="2" s="1"/>
  <c r="N94" i="8"/>
  <c r="N108" i="8" s="1"/>
  <c r="N29" i="8"/>
  <c r="N18" i="2" s="1"/>
  <c r="AE10" i="2" s="1"/>
  <c r="N31" i="8"/>
  <c r="N30" i="8"/>
  <c r="N26" i="8"/>
  <c r="N16" i="2"/>
  <c r="P9" i="2"/>
  <c r="P14" i="8"/>
  <c r="P16" i="8"/>
  <c r="Q15" i="17"/>
  <c r="O12" i="2"/>
  <c r="AF15" i="2" s="1"/>
  <c r="AF8" i="2"/>
  <c r="O22" i="8"/>
  <c r="O23" i="8"/>
  <c r="O25" i="8" s="1"/>
  <c r="O13" i="2"/>
  <c r="O14" i="2" s="1"/>
  <c r="AF16" i="2" s="1"/>
  <c r="N28" i="2" l="1"/>
  <c r="N109" i="8"/>
  <c r="N133" i="8"/>
  <c r="N17" i="2"/>
  <c r="AE17" i="2" s="1"/>
  <c r="AE9" i="2"/>
  <c r="N25" i="2"/>
  <c r="O31" i="8"/>
  <c r="O94" i="8"/>
  <c r="O108" i="8" s="1"/>
  <c r="O30" i="8"/>
  <c r="O26" i="8"/>
  <c r="O16" i="2"/>
  <c r="O29" i="8"/>
  <c r="O18" i="2" s="1"/>
  <c r="AF10" i="2" s="1"/>
  <c r="N19" i="2"/>
  <c r="AE40" i="2" s="1"/>
  <c r="O13" i="17"/>
  <c r="P10" i="2"/>
  <c r="AG14" i="2" s="1"/>
  <c r="AG7" i="2"/>
  <c r="O24" i="8"/>
  <c r="O15" i="2"/>
  <c r="P11" i="2"/>
  <c r="P17" i="8"/>
  <c r="P21" i="8"/>
  <c r="N65" i="8"/>
  <c r="N33" i="8"/>
  <c r="N32" i="8"/>
  <c r="O17" i="17" s="1"/>
  <c r="O18" i="17" s="1"/>
  <c r="N122" i="8"/>
  <c r="O25" i="2" l="1"/>
  <c r="O17" i="2"/>
  <c r="AF17" i="2" s="1"/>
  <c r="AF9" i="2"/>
  <c r="P13" i="2"/>
  <c r="P14" i="2" s="1"/>
  <c r="AG16" i="2" s="1"/>
  <c r="P22" i="8"/>
  <c r="P23" i="8"/>
  <c r="O14" i="17"/>
  <c r="O20" i="17"/>
  <c r="O133" i="8"/>
  <c r="O109" i="8"/>
  <c r="O28" i="2"/>
  <c r="O23" i="17"/>
  <c r="N134" i="8"/>
  <c r="N66" i="8"/>
  <c r="N87" i="8" s="1"/>
  <c r="D31" i="19" s="1"/>
  <c r="N59" i="2"/>
  <c r="N60" i="2" s="1"/>
  <c r="O65" i="8"/>
  <c r="O19" i="2"/>
  <c r="AF40" i="2" s="1"/>
  <c r="P13" i="17"/>
  <c r="N125" i="8"/>
  <c r="N33" i="2"/>
  <c r="P12" i="2"/>
  <c r="AG15" i="2" s="1"/>
  <c r="AG8" i="2"/>
  <c r="O32" i="8"/>
  <c r="P17" i="17" s="1"/>
  <c r="P18" i="17" s="1"/>
  <c r="O33" i="8"/>
  <c r="O122" i="8"/>
  <c r="N29" i="2"/>
  <c r="N27" i="2"/>
  <c r="N41" i="2"/>
  <c r="N42" i="2" s="1"/>
  <c r="AE22" i="2" s="1"/>
  <c r="O66" i="8" l="1"/>
  <c r="O87" i="8" s="1"/>
  <c r="D33" i="19" s="1"/>
  <c r="O59" i="2"/>
  <c r="O60" i="2" s="1"/>
  <c r="O27" i="2"/>
  <c r="O29" i="2"/>
  <c r="O41" i="2"/>
  <c r="O42" i="2" s="1"/>
  <c r="AF22" i="2" s="1"/>
  <c r="P23" i="17"/>
  <c r="O134" i="8"/>
  <c r="N63" i="2"/>
  <c r="AE20" i="2" s="1"/>
  <c r="N61" i="2"/>
  <c r="AE42" i="2"/>
  <c r="AE26" i="2"/>
  <c r="O33" i="2"/>
  <c r="O125" i="8"/>
  <c r="N36" i="2"/>
  <c r="N35" i="2" s="1"/>
  <c r="N127" i="8"/>
  <c r="P20" i="17"/>
  <c r="P14" i="17"/>
  <c r="P25" i="8"/>
  <c r="P15" i="2"/>
  <c r="P24" i="8"/>
  <c r="N38" i="2" l="1"/>
  <c r="N130" i="8"/>
  <c r="P94" i="8"/>
  <c r="P108" i="8" s="1"/>
  <c r="P29" i="8"/>
  <c r="P18" i="2" s="1"/>
  <c r="AG10" i="2" s="1"/>
  <c r="P16" i="2"/>
  <c r="P31" i="8"/>
  <c r="P30" i="8"/>
  <c r="P26" i="8"/>
  <c r="AF42" i="2"/>
  <c r="AF26" i="2"/>
  <c r="O61" i="2"/>
  <c r="O63" i="2"/>
  <c r="AF20" i="2" s="1"/>
  <c r="O36" i="2"/>
  <c r="O35" i="2" s="1"/>
  <c r="O127" i="8"/>
  <c r="O38" i="2" s="1"/>
  <c r="P33" i="8" l="1"/>
  <c r="P122" i="8"/>
  <c r="P32" i="8"/>
  <c r="Q17" i="17" s="1"/>
  <c r="Q18" i="17" s="1"/>
  <c r="P25" i="2"/>
  <c r="AG9" i="2"/>
  <c r="P17" i="2"/>
  <c r="AG17" i="2" s="1"/>
  <c r="P65" i="8"/>
  <c r="P109" i="8"/>
  <c r="P28" i="2"/>
  <c r="P133" i="8"/>
  <c r="N55" i="8"/>
  <c r="C32" i="19"/>
  <c r="C71" i="19"/>
  <c r="E71" i="19" s="1"/>
  <c r="B71" i="19" s="1"/>
  <c r="Q13" i="17"/>
  <c r="P19" i="2"/>
  <c r="AG40" i="2" s="1"/>
  <c r="P27" i="2" l="1"/>
  <c r="P29" i="2"/>
  <c r="P41" i="2"/>
  <c r="P42" i="2" s="1"/>
  <c r="AG22" i="2" s="1"/>
  <c r="Q14" i="17"/>
  <c r="Q20" i="17"/>
  <c r="P59" i="2"/>
  <c r="P60" i="2" s="1"/>
  <c r="P66" i="8"/>
  <c r="P87" i="8" s="1"/>
  <c r="D35" i="19" s="1"/>
  <c r="P33" i="2"/>
  <c r="P125" i="8"/>
  <c r="Q23" i="17"/>
  <c r="P134" i="8"/>
  <c r="N46" i="2"/>
  <c r="O10" i="17"/>
  <c r="O129" i="8"/>
  <c r="N61" i="8"/>
  <c r="N131" i="8"/>
  <c r="AG42" i="2" l="1"/>
  <c r="P61" i="2"/>
  <c r="AG26" i="2"/>
  <c r="P63" i="2"/>
  <c r="AG20" i="2" s="1"/>
  <c r="D32" i="19"/>
  <c r="E32" i="19" s="1"/>
  <c r="B32" i="19" s="1"/>
  <c r="N132" i="8"/>
  <c r="Q26" i="17"/>
  <c r="O26" i="17"/>
  <c r="O27" i="17" s="1"/>
  <c r="N26" i="17"/>
  <c r="N27" i="17" s="1"/>
  <c r="N31" i="17" s="1"/>
  <c r="N32" i="17" s="1"/>
  <c r="N33" i="17" s="1"/>
  <c r="P26" i="17"/>
  <c r="P36" i="2"/>
  <c r="P35" i="2" s="1"/>
  <c r="P127" i="8"/>
  <c r="P38" i="2" s="1"/>
  <c r="N62" i="8"/>
  <c r="N49" i="2"/>
  <c r="O39" i="2"/>
  <c r="O130" i="8"/>
  <c r="N62" i="2"/>
  <c r="AE27" i="2"/>
  <c r="AE39" i="2"/>
  <c r="AE41" i="2" s="1"/>
  <c r="AE25" i="2"/>
  <c r="O12" i="17"/>
  <c r="O16" i="17" s="1"/>
  <c r="O22" i="17"/>
  <c r="O31" i="17" l="1"/>
  <c r="O32" i="17" s="1"/>
  <c r="O33" i="17" s="1"/>
  <c r="O55" i="8"/>
  <c r="C34" i="19"/>
  <c r="C77" i="19"/>
  <c r="E77" i="19" s="1"/>
  <c r="B77" i="19" s="1"/>
  <c r="N88" i="8"/>
  <c r="C31" i="19"/>
  <c r="E31" i="19" s="1"/>
  <c r="B31" i="19" s="1"/>
  <c r="N53" i="2"/>
  <c r="AE21" i="2" l="1"/>
  <c r="P129" i="8"/>
  <c r="O46" i="2"/>
  <c r="O61" i="8"/>
  <c r="O131" i="8"/>
  <c r="P10" i="17"/>
  <c r="O62" i="2" l="1"/>
  <c r="AF25" i="2"/>
  <c r="AF39" i="2"/>
  <c r="AF41" i="2" s="1"/>
  <c r="AF27" i="2"/>
  <c r="D34" i="19"/>
  <c r="E34" i="19" s="1"/>
  <c r="B34" i="19" s="1"/>
  <c r="O132" i="8"/>
  <c r="O49" i="2"/>
  <c r="O62" i="8"/>
  <c r="P130" i="8"/>
  <c r="P39" i="2"/>
  <c r="P12" i="17"/>
  <c r="P16" i="17" s="1"/>
  <c r="P22" i="17"/>
  <c r="P27" i="17"/>
  <c r="P31" i="17" l="1"/>
  <c r="P32" i="17" s="1"/>
  <c r="P33" i="17" s="1"/>
  <c r="C36" i="19"/>
  <c r="C83" i="19"/>
  <c r="E83" i="19" s="1"/>
  <c r="B83" i="19" s="1"/>
  <c r="P55" i="8"/>
  <c r="O88" i="8"/>
  <c r="O53" i="2"/>
  <c r="AF21" i="2" s="1"/>
  <c r="C33" i="19"/>
  <c r="E33" i="19" s="1"/>
  <c r="B33" i="19" s="1"/>
  <c r="Q10" i="17" l="1"/>
  <c r="P131" i="8"/>
  <c r="P61" i="8"/>
  <c r="P46" i="2"/>
  <c r="P62" i="2" l="1"/>
  <c r="AG39" i="2"/>
  <c r="AG41" i="2" s="1"/>
  <c r="AG27" i="2"/>
  <c r="AG25" i="2"/>
  <c r="P62" i="8"/>
  <c r="P49" i="2"/>
  <c r="D36" i="19"/>
  <c r="E36" i="19" s="1"/>
  <c r="B36" i="19" s="1"/>
  <c r="P132" i="8"/>
  <c r="Q27" i="17"/>
  <c r="Q12" i="17"/>
  <c r="Q16" i="17" s="1"/>
  <c r="Q22" i="17"/>
  <c r="Q31" i="17" s="1"/>
  <c r="Q32" i="17" s="1"/>
  <c r="Q33" i="17" s="1"/>
  <c r="P88" i="8" l="1"/>
  <c r="C35" i="19"/>
  <c r="E35" i="19" s="1"/>
  <c r="B35" i="19" s="1"/>
  <c r="B6" i="19" s="1"/>
  <c r="P53" i="2"/>
  <c r="AG21" i="2" s="1"/>
</calcChain>
</file>

<file path=xl/sharedStrings.xml><?xml version="1.0" encoding="utf-8"?>
<sst xmlns="http://schemas.openxmlformats.org/spreadsheetml/2006/main" count="1737" uniqueCount="713">
  <si>
    <t>Metric</t>
  </si>
  <si>
    <t>Units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</si>
  <si>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</si>
  <si>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</si>
  <si>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</si>
  <si>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</si>
  <si>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</si>
  <si>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</si>
  <si>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</si>
  <si>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</si>
  <si>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</si>
  <si>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</si>
  <si>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</si>
  <si>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</si>
  <si>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</si>
  <si>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</si>
  <si>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</si>
  <si>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Revenue</t>
  </si>
  <si>
    <t>₹m</t>
  </si>
  <si>
    <t>Revenue growth</t>
  </si>
  <si>
    <t>%</t>
  </si>
  <si>
    <t>$m</t>
  </si>
  <si>
    <t>TCV bookings</t>
  </si>
  <si>
    <t>ACV bookings</t>
  </si>
  <si>
    <t>Gross margin</t>
  </si>
  <si>
    <t>EBITDA margin</t>
  </si>
  <si>
    <t>EBITDA</t>
  </si>
  <si>
    <t>EBIT margin</t>
  </si>
  <si>
    <t>Net income</t>
  </si>
  <si>
    <t>Diluted EPS</t>
  </si>
  <si>
    <t>₹ / share</t>
  </si>
  <si>
    <t>Free cash flow</t>
  </si>
  <si>
    <t>Closing cash</t>
  </si>
  <si>
    <t>Headcount</t>
  </si>
  <si>
    <t>#</t>
  </si>
  <si>
    <t>Incremental AI uplift</t>
  </si>
  <si>
    <t>T&amp;M AI deflation drag</t>
  </si>
  <si>
    <t>Clients $1m+</t>
  </si>
  <si>
    <t>Top 10 concentration</t>
  </si>
  <si>
    <t>Reference market price</t>
  </si>
  <si>
    <t>P/E</t>
  </si>
  <si>
    <t>x</t>
  </si>
  <si>
    <t>EV / EBITDA</t>
  </si>
  <si>
    <t>Blended target price</t>
  </si>
  <si>
    <t>Upside / (downside)</t>
  </si>
  <si>
    <t>text</t>
  </si>
  <si>
    <t>Sources &amp; Data Conventions</t>
  </si>
  <si>
    <t>Primary-source register; non-disclosed metrics remain blank, derived classifications are explicit and forecast assumptions are editable</t>
  </si>
  <si>
    <t>ID</t>
  </si>
  <si>
    <t>Data / period</t>
  </si>
  <si>
    <t>Primary source</t>
  </si>
  <si>
    <t>Model use</t>
  </si>
  <si>
    <t>Status</t>
  </si>
  <si>
    <t>Notes</t>
  </si>
  <si>
    <t>S1</t>
  </si>
  <si>
    <t>Annual reports FY16–FY25</t>
  </si>
  <si>
    <t>https://www.persistent.com/investors/financial-results-and-reports/annual-reports/</t>
  </si>
  <si>
    <t>Audited P&amp;L, balance sheet and cash flow</t>
  </si>
  <si>
    <t>Loaded</t>
  </si>
  <si>
    <t>Annual comparatives used; explicit classification residuals preserve reported totals</t>
  </si>
  <si>
    <t>S2</t>
  </si>
  <si>
    <t>FY26 audited consolidated statements</t>
  </si>
  <si>
    <t>https://www.persistent.com/wp-content/uploads/2026/04/Consolidated-Financial-Statements-FY2025-26.pdf</t>
  </si>
  <si>
    <t>FY26 annual three statements and segment note</t>
  </si>
  <si>
    <t>FY26 revenue ₹147,484.5m; PAT ₹18,651.2m</t>
  </si>
  <si>
    <t>S3</t>
  </si>
  <si>
    <t>Quarterly archives FY16–FY20</t>
  </si>
  <si>
    <t>₹m / $m / % / #</t>
  </si>
  <si>
    <t>https://www.persistent.com/investors/quarterly-results/</t>
  </si>
  <si>
    <t>Quarterly P&amp;L and operating history</t>
  </si>
  <si>
    <t>Official ZIP archives</t>
  </si>
  <si>
    <t>S4</t>
  </si>
  <si>
    <t>Quarterly factsheets FY21–FY26</t>
  </si>
  <si>
    <t>Quarterly P&amp;L, mix, clients, people and bookings</t>
  </si>
  <si>
    <t>Quarterly current-period column retained</t>
  </si>
  <si>
    <t>S5</t>
  </si>
  <si>
    <t>Q1 FY27 presentation and FS</t>
  </si>
  <si>
    <t>https://www.persistent.com/wp-content/uploads/2026/08/analyst-presentation-and-factsheet-q1fy27.pdf</t>
  </si>
  <si>
    <t>Q1 FY27 actuals, TCV/ACV and operating KPIs</t>
  </si>
  <si>
    <t>Revenue $452.4m; TCV $1,146.2m; ACV $536.8m</t>
  </si>
  <si>
    <t>S6</t>
  </si>
  <si>
    <t>Nagarro transaction</t>
  </si>
  <si>
    <t>EUR / scenario</t>
  </si>
  <si>
    <t>https://www.persistent.com/investors/investors-communication/investor-events/</t>
  </si>
  <si>
    <t>Default-off M&amp;A scenario</t>
  </si>
  <si>
    <t>Pending transaction is not consolidated in base case</t>
  </si>
  <si>
    <t>S7</t>
  </si>
  <si>
    <t>Market prices</t>
  </si>
  <si>
    <t>https://finance.yahoo.com/quote/PERSISTENT.NS/history/</t>
  </si>
  <si>
    <t>Daily series downloaded; month-end history displayed with exact FY-end closes</t>
  </si>
  <si>
    <t>Third-party price series only; editable forecast reference price</t>
  </si>
  <si>
    <t>S8</t>
  </si>
  <si>
    <t>Historical direct cost / gross profit</t>
  </si>
  <si>
    <t>Official quarterly factsheets</t>
  </si>
  <si>
    <t>Calculated annual operating lines</t>
  </si>
  <si>
    <t>Calculated</t>
  </si>
  <si>
    <t>Sum of four reported quarters; audited annual PBT/PAT remain source of truth</t>
  </si>
  <si>
    <t>S9</t>
  </si>
  <si>
    <t>Historical cash-flow residuals</t>
  </si>
  <si>
    <t>Audited CFS totals</t>
  </si>
  <si>
    <t>Line-by-line reconciliation</t>
  </si>
  <si>
    <t>Residuals make reported totals transparent; forecast residual is zero</t>
  </si>
  <si>
    <t>S10</t>
  </si>
  <si>
    <t>Historical AI revenue</t>
  </si>
  <si>
    <t>n/a</t>
  </si>
  <si>
    <t>Forecast policy</t>
  </si>
  <si>
    <t>Not disclosed</t>
  </si>
  <si>
    <t>AI narrative/activity is not hardcoded as historical revenue</t>
  </si>
  <si>
    <t>Forecast Assumptions</t>
  </si>
  <si>
    <t>Blue text on yellow = editable; all forecast financials and valuation outputs are formula-driven</t>
  </si>
  <si>
    <t>Driver</t>
  </si>
  <si>
    <t>Logic / interpretation</t>
  </si>
  <si>
    <t>Revenue retention</t>
  </si>
  <si>
    <t>Retained prior-year organic revenue; FY27 uses Q1 annualized run-rate instead</t>
  </si>
  <si>
    <t>ACV growth</t>
  </si>
  <si>
    <t>Total ACV bookings</t>
  </si>
  <si>
    <t>New ACV share</t>
  </si>
  <si>
    <t>Scenario share of ACV representing new scope</t>
  </si>
  <si>
    <t>New ACV first-year realization</t>
  </si>
  <si>
    <t>Revenue recognized from new ACV</t>
  </si>
  <si>
    <t>Strategic mega-deal TCV</t>
  </si>
  <si>
    <t>Q1 FY27 disclosed strategic deal; no incremental undisclosed mega-deal added</t>
  </si>
  <si>
    <t>Strategic deal realization</t>
  </si>
  <si>
    <t>Annual revenue ramp from disclosed strategic TCV</t>
  </si>
  <si>
    <t>Client farming / pricing uplift</t>
  </si>
  <si>
    <t>Cross-sell, wallet-share and pricing on prior revenue</t>
  </si>
  <si>
    <t>T&amp;M mix</t>
  </si>
  <si>
    <t>Model assumption; not a reported historical series</t>
  </si>
  <si>
    <t>AI deflation on T&amp;M</t>
  </si>
  <si>
    <t>Productivity / rate deflation on T&amp;M pool</t>
  </si>
  <si>
    <t>Incremental AI-led demand; not historical disclosed AI revenue</t>
  </si>
  <si>
    <t>Average INR / USD</t>
  </si>
  <si>
    <t>₹ / $</t>
  </si>
  <si>
    <t>Translation rate</t>
  </si>
  <si>
    <t>Delivery leverage and mix</t>
  </si>
  <si>
    <t>SG&amp;A / revenue</t>
  </si>
  <si>
    <t>Operating leverage</t>
  </si>
  <si>
    <t>D&amp;A / revenue</t>
  </si>
  <si>
    <t>PPE, ROU and acquired intangibles</t>
  </si>
  <si>
    <t>Other income / revenue</t>
  </si>
  <si>
    <t>Treasury and non-operating income</t>
  </si>
  <si>
    <t>Finance cost / revenue</t>
  </si>
  <si>
    <t>Lease / funding cost before Nagarro scenario</t>
  </si>
  <si>
    <t>Effective tax rate</t>
  </si>
  <si>
    <t>P&amp;L tax rate</t>
  </si>
  <si>
    <t>Billed receivable days</t>
  </si>
  <si>
    <t>Closing trade receivables</t>
  </si>
  <si>
    <t>Unbilled / other financial days</t>
  </si>
  <si>
    <t>Other current financial assets</t>
  </si>
  <si>
    <t>Other current assets / revenue</t>
  </si>
  <si>
    <t>Operating and prepaid assets</t>
  </si>
  <si>
    <t>Current investments / revenue</t>
  </si>
  <si>
    <t>Treasury investments</t>
  </si>
  <si>
    <t>Other bank balances / revenue</t>
  </si>
  <si>
    <t>Deposits outside cash equivalents</t>
  </si>
  <si>
    <t>Other non-current assets / revenue</t>
  </si>
  <si>
    <t>Includes non-current financial / tax assets</t>
  </si>
  <si>
    <t>DTA / revenue</t>
  </si>
  <si>
    <t>Deferred tax asset</t>
  </si>
  <si>
    <t>PPE capex / revenue</t>
  </si>
  <si>
    <t>Cash PPE additions</t>
  </si>
  <si>
    <t>Intangible capex / revenue</t>
  </si>
  <si>
    <t>Cash software / intangible additions</t>
  </si>
  <si>
    <t>PPE share of D&amp;A</t>
  </si>
  <si>
    <t>D&amp;A allocation</t>
  </si>
  <si>
    <t>ROU share of D&amp;A</t>
  </si>
  <si>
    <t>Lease additions / revenue</t>
  </si>
  <si>
    <t>Non-cash ROU / lease additions</t>
  </si>
  <si>
    <t>Lease principal / opening lease</t>
  </si>
  <si>
    <t>Cash principal payment</t>
  </si>
  <si>
    <t>Trade payables / revenue</t>
  </si>
  <si>
    <t>Operating payables</t>
  </si>
  <si>
    <t>Other current financial liabilities / revenue</t>
  </si>
  <si>
    <t>Operating financial liabilities</t>
  </si>
  <si>
    <t>Other current liabilities / revenue</t>
  </si>
  <si>
    <t>Contract / payroll / statutory liabilities</t>
  </si>
  <si>
    <t>Current provisions / revenue</t>
  </si>
  <si>
    <t>Short-term provisions</t>
  </si>
  <si>
    <t>Current tax liabilities / revenue</t>
  </si>
  <si>
    <t>Closing current tax payable</t>
  </si>
  <si>
    <t>DTL / revenue</t>
  </si>
  <si>
    <t>Deferred tax liability</t>
  </si>
  <si>
    <t>Non-current provisions / revenue</t>
  </si>
  <si>
    <t>Long-term employee / labor provisions</t>
  </si>
  <si>
    <t>SBC / revenue</t>
  </si>
  <si>
    <t>Non-cash employee stock compensation</t>
  </si>
  <si>
    <t>Dividend payout</t>
  </si>
  <si>
    <t>Dividend / net income</t>
  </si>
  <si>
    <t>OCI / reserve movement</t>
  </si>
  <si>
    <t>Editable non-P&amp;L reserve movement</t>
  </si>
  <si>
    <t>Target P/E</t>
  </si>
  <si>
    <t>Premium forward multiple; target remains EPS-driven</t>
  </si>
  <si>
    <t>Target EV / EBITDA</t>
  </si>
  <si>
    <t>Forward enterprise multiple</t>
  </si>
  <si>
    <t>WACC</t>
  </si>
  <si>
    <t>DCF discount rate</t>
  </si>
  <si>
    <t>Terminal growth</t>
  </si>
  <si>
    <t>DCF perpetual growth</t>
  </si>
  <si>
    <t>P/E weight</t>
  </si>
  <si>
    <t>Blended valuation</t>
  </si>
  <si>
    <t>EV / EBITDA weight</t>
  </si>
  <si>
    <t>DCF weight</t>
  </si>
  <si>
    <t>Latest historical close carried into FY27–FY30; editable</t>
  </si>
  <si>
    <t>Nagarro scenario toggle</t>
  </si>
  <si>
    <t>0 / 1</t>
  </si>
  <si>
    <t>0 = exclude; 1 = include scenario inputs</t>
  </si>
  <si>
    <t>Nagarro consolidation months</t>
  </si>
  <si>
    <t>months</t>
  </si>
  <si>
    <t>User input after closing</t>
  </si>
  <si>
    <t>Nagarro annual revenue</t>
  </si>
  <si>
    <t>User input; no unreported revenue is hardcoded</t>
  </si>
  <si>
    <t>Nagarro revenue growth</t>
  </si>
  <si>
    <t>Scenario growth</t>
  </si>
  <si>
    <t>Nagarro cash consideration</t>
  </si>
  <si>
    <t>Cash acquisition outflow</t>
  </si>
  <si>
    <t>Nagarro share consideration</t>
  </si>
  <si>
    <t>Non-cash equity consideration</t>
  </si>
  <si>
    <t>Nagarro debt funding</t>
  </si>
  <si>
    <t>Acquisition financing</t>
  </si>
  <si>
    <t>Nagarro net assets acquired</t>
  </si>
  <si>
    <t>Scenario purchase-price allocation input</t>
  </si>
  <si>
    <t>Raw Reported Financials — Source Layer</t>
  </si>
  <si>
    <t>Hardcoded official reported inputs only; calculations and classifications live downstream</t>
  </si>
  <si>
    <t>Annual reported P&amp;L</t>
  </si>
  <si>
    <t>Other income</t>
  </si>
  <si>
    <t>Total income</t>
  </si>
  <si>
    <t>Employee benefits</t>
  </si>
  <si>
    <t>Subcontracting / professionals</t>
  </si>
  <si>
    <t>Finance costs</t>
  </si>
  <si>
    <t>D&amp;A</t>
  </si>
  <si>
    <t>Other expenses</t>
  </si>
  <si>
    <t>PBT pre-exceptional</t>
  </si>
  <si>
    <t>Exceptional items</t>
  </si>
  <si>
    <t>PBT</t>
  </si>
  <si>
    <t>Tax</t>
  </si>
  <si>
    <t>Basic EPS</t>
  </si>
  <si>
    <t>Quarterly reported P&amp;L</t>
  </si>
  <si>
    <t>Q1 FY16A</t>
  </si>
  <si>
    <t>Q2 FY16A</t>
  </si>
  <si>
    <t>Q3 FY16A</t>
  </si>
  <si>
    <t>Q4 FY16A</t>
  </si>
  <si>
    <t>Q1 FY17A</t>
  </si>
  <si>
    <t>Q2 FY17A</t>
  </si>
  <si>
    <t>Q3 FY17A</t>
  </si>
  <si>
    <t>Q4 FY17A</t>
  </si>
  <si>
    <t>Q1 FY18A</t>
  </si>
  <si>
    <t>Q2 FY18A</t>
  </si>
  <si>
    <t>Q3 FY18A</t>
  </si>
  <si>
    <t>Q4 FY18A</t>
  </si>
  <si>
    <t>Q1 FY19A</t>
  </si>
  <si>
    <t>Q2 FY19A</t>
  </si>
  <si>
    <t>Q3 FY19A</t>
  </si>
  <si>
    <t>Q4 FY19A</t>
  </si>
  <si>
    <t>Q1 FY20A</t>
  </si>
  <si>
    <t>Q2 FY20A</t>
  </si>
  <si>
    <t>Q3 FY20A</t>
  </si>
  <si>
    <t>Q4 FY20A</t>
  </si>
  <si>
    <t>Q1 FY21A</t>
  </si>
  <si>
    <t>Q2 FY21A</t>
  </si>
  <si>
    <t>Q3 FY21A</t>
  </si>
  <si>
    <t>Q4 FY21A</t>
  </si>
  <si>
    <t>Q1 FY22A</t>
  </si>
  <si>
    <t>Q2 FY22A</t>
  </si>
  <si>
    <t>Q3 FY22A</t>
  </si>
  <si>
    <t>Q4 FY22A</t>
  </si>
  <si>
    <t>Q1 FY23A</t>
  </si>
  <si>
    <t>Q2 FY23A</t>
  </si>
  <si>
    <t>Q3 FY23A</t>
  </si>
  <si>
    <t>Q4 FY23A</t>
  </si>
  <si>
    <t>Q1 FY24A</t>
  </si>
  <si>
    <t>Q2 FY24A</t>
  </si>
  <si>
    <t>Q3 FY24A</t>
  </si>
  <si>
    <t>Q4 FY24A</t>
  </si>
  <si>
    <t>Q1 FY25A</t>
  </si>
  <si>
    <t>Q2 FY25A</t>
  </si>
  <si>
    <t>Q3 FY25A</t>
  </si>
  <si>
    <t>Q4 FY25A</t>
  </si>
  <si>
    <t>Q1 FY26A</t>
  </si>
  <si>
    <t>Q2 FY26A</t>
  </si>
  <si>
    <t>Q3 FY26A</t>
  </si>
  <si>
    <t>Q4 FY26A</t>
  </si>
  <si>
    <t>Q1 FY27A</t>
  </si>
  <si>
    <t>Average FX</t>
  </si>
  <si>
    <t>Cost of revenue</t>
  </si>
  <si>
    <t>Gross profit</t>
  </si>
  <si>
    <t>SG&amp;A</t>
  </si>
  <si>
    <t>Depreciation</t>
  </si>
  <si>
    <t>Amortization</t>
  </si>
  <si>
    <t>EBIT</t>
  </si>
  <si>
    <t>FX gain / loss</t>
  </si>
  <si>
    <t>PAT</t>
  </si>
  <si>
    <t>EPS</t>
  </si>
  <si>
    <t>Annual reported balance sheet</t>
  </si>
  <si>
    <t>PPE</t>
  </si>
  <si>
    <t>ppe</t>
  </si>
  <si>
    <t>CWIP</t>
  </si>
  <si>
    <t>cwip</t>
  </si>
  <si>
    <t>ROU assets</t>
  </si>
  <si>
    <t>rou</t>
  </si>
  <si>
    <t>Goodwill</t>
  </si>
  <si>
    <t>goodwill</t>
  </si>
  <si>
    <t>Intangibles incl. development</t>
  </si>
  <si>
    <t>intangibles</t>
  </si>
  <si>
    <t>Non-current investments</t>
  </si>
  <si>
    <t>nc_investments</t>
  </si>
  <si>
    <t>Non-current receivables</t>
  </si>
  <si>
    <t>nc_receivables</t>
  </si>
  <si>
    <t>Other non-current financial / advances</t>
  </si>
  <si>
    <t>other_nc_financial</t>
  </si>
  <si>
    <t>Deferred tax assets</t>
  </si>
  <si>
    <t>dta</t>
  </si>
  <si>
    <t>Non-current tax assets</t>
  </si>
  <si>
    <t>nc_tax</t>
  </si>
  <si>
    <t>Other non-current assets</t>
  </si>
  <si>
    <t>other_nc_assets</t>
  </si>
  <si>
    <t>Total non-current assets</t>
  </si>
  <si>
    <t>total_nc_assets</t>
  </si>
  <si>
    <t>Current investments</t>
  </si>
  <si>
    <t>current_investments</t>
  </si>
  <si>
    <t>Trade receivables</t>
  </si>
  <si>
    <t>trade_receivables</t>
  </si>
  <si>
    <t>Cash &amp; equivalents</t>
  </si>
  <si>
    <t>cash</t>
  </si>
  <si>
    <t>Other bank balances</t>
  </si>
  <si>
    <t>other_bank</t>
  </si>
  <si>
    <t>Other current financial assets incl. unbilled</t>
  </si>
  <si>
    <t>other_current_financial</t>
  </si>
  <si>
    <t>Current tax assets</t>
  </si>
  <si>
    <t>current_tax</t>
  </si>
  <si>
    <t>Other current assets</t>
  </si>
  <si>
    <t>other_current_assets</t>
  </si>
  <si>
    <t>Total current assets</t>
  </si>
  <si>
    <t>total_current_assets</t>
  </si>
  <si>
    <t>Total assets</t>
  </si>
  <si>
    <t>total_assets</t>
  </si>
  <si>
    <t>Share capital</t>
  </si>
  <si>
    <t>share_capital</t>
  </si>
  <si>
    <t>Other equity</t>
  </si>
  <si>
    <t>other_equity</t>
  </si>
  <si>
    <t>Total equity</t>
  </si>
  <si>
    <t>total_equity</t>
  </si>
  <si>
    <t>Long-term borrowings</t>
  </si>
  <si>
    <t>lt_borrowings</t>
  </si>
  <si>
    <t>Non-current lease liabilities</t>
  </si>
  <si>
    <t>nc_lease</t>
  </si>
  <si>
    <t>Other non-current financial liabilities</t>
  </si>
  <si>
    <t>other_nc_financial_liab</t>
  </si>
  <si>
    <t>Other non-current liabilities</t>
  </si>
  <si>
    <t>other_nc_liab</t>
  </si>
  <si>
    <t>Deferred tax liabilities</t>
  </si>
  <si>
    <t>dtl</t>
  </si>
  <si>
    <t>Non-current provisions</t>
  </si>
  <si>
    <t>nc_provisions</t>
  </si>
  <si>
    <t>Total non-current liabilities</t>
  </si>
  <si>
    <t>total_nc_liab</t>
  </si>
  <si>
    <t>Short-term borrowings</t>
  </si>
  <si>
    <t>st_borrowings</t>
  </si>
  <si>
    <t>Current lease liabilities</t>
  </si>
  <si>
    <t>current_lease</t>
  </si>
  <si>
    <t>Trade payables</t>
  </si>
  <si>
    <t>trade_payables</t>
  </si>
  <si>
    <t>Other current financial liabilities</t>
  </si>
  <si>
    <t>other_current_financial_liab</t>
  </si>
  <si>
    <t>Other current liabilities</t>
  </si>
  <si>
    <t>other_current_liab</t>
  </si>
  <si>
    <t>Current provisions</t>
  </si>
  <si>
    <t>current_provisions</t>
  </si>
  <si>
    <t>Current tax liabilities</t>
  </si>
  <si>
    <t>current_tax_liab</t>
  </si>
  <si>
    <t>Total current liabilities</t>
  </si>
  <si>
    <t>total_current_liab</t>
  </si>
  <si>
    <t>Total liabilities</t>
  </si>
  <si>
    <t>total_liabilities</t>
  </si>
  <si>
    <t>Total equity &amp; liabilities</t>
  </si>
  <si>
    <t>total_equity_liabilities</t>
  </si>
  <si>
    <t>Annual reported cash flow totals</t>
  </si>
  <si>
    <t>Cash flow from operations</t>
  </si>
  <si>
    <t>cfo</t>
  </si>
  <si>
    <t>Cash flow from investing</t>
  </si>
  <si>
    <t>cfi</t>
  </si>
  <si>
    <t>Cash flow from financing</t>
  </si>
  <si>
    <t>cff</t>
  </si>
  <si>
    <t>Capex</t>
  </si>
  <si>
    <t>capex</t>
  </si>
  <si>
    <t>Acquisitions</t>
  </si>
  <si>
    <t>acquisitions</t>
  </si>
  <si>
    <t>Dividends</t>
  </si>
  <si>
    <t>dividends</t>
  </si>
  <si>
    <t>Other investing / classification residual</t>
  </si>
  <si>
    <t>other_investing</t>
  </si>
  <si>
    <t>Other financing / classification residual</t>
  </si>
  <si>
    <t>other_financing</t>
  </si>
  <si>
    <t>Net change before FX / classification</t>
  </si>
  <si>
    <t>net_change</t>
  </si>
  <si>
    <t>FX / classification / consolidation bridge</t>
  </si>
  <si>
    <t>fx_classification</t>
  </si>
  <si>
    <t>Opening cash</t>
  </si>
  <si>
    <t>opening_cash</t>
  </si>
  <si>
    <t>Closing cash — BS anchored</t>
  </si>
  <si>
    <t>closing_cash</t>
  </si>
  <si>
    <t>Raw Reported Operating Metrics</t>
  </si>
  <si>
    <t>Annual reported KPIs; blanks mean not disclosed under a comparable definition</t>
  </si>
  <si>
    <t>Technical employees</t>
  </si>
  <si>
    <t>Attrition</t>
  </si>
  <si>
    <t>Utilization</t>
  </si>
  <si>
    <t>North America mix</t>
  </si>
  <si>
    <t>Europe mix</t>
  </si>
  <si>
    <t>India mix</t>
  </si>
  <si>
    <t>ROW / residual mix</t>
  </si>
  <si>
    <t>BFSI mix</t>
  </si>
  <si>
    <t>Healthcare &amp; Life Sciences mix</t>
  </si>
  <si>
    <t>Software, Hi-Tech &amp; Emerging mix</t>
  </si>
  <si>
    <t>Clients $75m+</t>
  </si>
  <si>
    <t>Clients $20–50m</t>
  </si>
  <si>
    <t>Clients $10–20m</t>
  </si>
  <si>
    <t>Clients $5–10m</t>
  </si>
  <si>
    <t>Clients $1–5m</t>
  </si>
  <si>
    <t>Quarterly Profit &amp; Loss</t>
  </si>
  <si>
    <t>QoQ growth</t>
  </si>
  <si>
    <t>YoY growth</t>
  </si>
  <si>
    <t>PBT margin</t>
  </si>
  <si>
    <t>PAT margin</t>
  </si>
  <si>
    <t>Annual Profit &amp; Loss</t>
  </si>
  <si>
    <t>Net margin</t>
  </si>
  <si>
    <t>Basic shares</t>
  </si>
  <si>
    <t>m</t>
  </si>
  <si>
    <t>Diluted shares</t>
  </si>
  <si>
    <t>Dividend per share</t>
  </si>
  <si>
    <t>Annual Balance Sheet</t>
  </si>
  <si>
    <t>Historical classification / aggregation residual</t>
  </si>
  <si>
    <t>Balance check</t>
  </si>
  <si>
    <t>Annual Cash Flow Statement</t>
  </si>
  <si>
    <t>Stock compensation / non-cash employee cost</t>
  </si>
  <si>
    <t>Finance cost added back</t>
  </si>
  <si>
    <t>Other non-cash / operating residual</t>
  </si>
  <si>
    <t>Trade receivables change</t>
  </si>
  <si>
    <t>Other current financial assets change</t>
  </si>
  <si>
    <t>Other current assets / tax assets change</t>
  </si>
  <si>
    <t>Other non-current operating assets change</t>
  </si>
  <si>
    <t>Trade payables change</t>
  </si>
  <si>
    <t>Other current liabilities change</t>
  </si>
  <si>
    <t>Provisions and tax liabilities change</t>
  </si>
  <si>
    <t>Other non-current liabilities change</t>
  </si>
  <si>
    <t>Cash taxes / classification residual</t>
  </si>
  <si>
    <t>CFO / net income</t>
  </si>
  <si>
    <t>PPE capex</t>
  </si>
  <si>
    <t>Intangible capex</t>
  </si>
  <si>
    <t>Acquisitions / contingent consideration</t>
  </si>
  <si>
    <t>Net investment purchases / sales</t>
  </si>
  <si>
    <t>Interest received / other investing residual</t>
  </si>
  <si>
    <t>New borrowings / (repayments)</t>
  </si>
  <si>
    <t>Lease principal</t>
  </si>
  <si>
    <t>Lease additions — non-cash memo</t>
  </si>
  <si>
    <t>Interest paid</t>
  </si>
  <si>
    <t>Dividends paid</t>
  </si>
  <si>
    <t>Share issuance / treasury shares</t>
  </si>
  <si>
    <t>Other financing residual</t>
  </si>
  <si>
    <t>Closing cash per balance sheet</t>
  </si>
  <si>
    <t>Cash tie check</t>
  </si>
  <si>
    <t>FCF / net income</t>
  </si>
  <si>
    <t>Bookings &amp; Revenue Build</t>
  </si>
  <si>
    <t>ACV/TCV-led revenue architecture with Q1 run-rate, client mining, AI uplift, T&amp;M deflation and optional M&amp;A</t>
  </si>
  <si>
    <t>Reported / forecast revenue</t>
  </si>
  <si>
    <t>Q1 actual annualized run-rate</t>
  </si>
  <si>
    <t>First-year realization</t>
  </si>
  <si>
    <t>New ACV contribution</t>
  </si>
  <si>
    <t>Strategic realization</t>
  </si>
  <si>
    <t>Strategic-deal contribution</t>
  </si>
  <si>
    <t>Client farming / pricing</t>
  </si>
  <si>
    <t>T&amp;M revenue pool</t>
  </si>
  <si>
    <t>AI deflation drag</t>
  </si>
  <si>
    <t>Nagarro contribution</t>
  </si>
  <si>
    <t>Calculated revenue</t>
  </si>
  <si>
    <t>Revenue bridge check</t>
  </si>
  <si>
    <t>INR revenue check</t>
  </si>
  <si>
    <t>Industry Revenue Mix</t>
  </si>
  <si>
    <t>Reported comparable industry mix begins FY21; forecast mix and revenue are formula-driven</t>
  </si>
  <si>
    <t>BFSI revenue</t>
  </si>
  <si>
    <t>Healthcare &amp; Life Sciences revenue</t>
  </si>
  <si>
    <t>Software, Hi-Tech &amp; Emerging revenue</t>
  </si>
  <si>
    <t>Total mix</t>
  </si>
  <si>
    <t>Geography Revenue Mix</t>
  </si>
  <si>
    <t>Reported mix; India is separate only where disclosed, otherwise ROW remains the reported residual</t>
  </si>
  <si>
    <t>North America revenue</t>
  </si>
  <si>
    <t>Europe revenue</t>
  </si>
  <si>
    <t>India revenue</t>
  </si>
  <si>
    <t>ROW / residual revenue</t>
  </si>
  <si>
    <t>Client Metrics</t>
  </si>
  <si>
    <t>Reported revenue bands, concentration and revenue per disclosed client; blank means no comparable disclosure</t>
  </si>
  <si>
    <t>Total clients $1m+</t>
  </si>
  <si>
    <t>Revenue per $1m+ client</t>
  </si>
  <si>
    <t>Revenue per $5m+ client</t>
  </si>
  <si>
    <t>ACV / revenue</t>
  </si>
  <si>
    <t>TCV / revenue</t>
  </si>
  <si>
    <t>People, Productivity and AI</t>
  </si>
  <si>
    <t>Total headcount</t>
  </si>
  <si>
    <t>Technical / headcount</t>
  </si>
  <si>
    <t>Revenue per employee</t>
  </si>
  <si>
    <t>Revenue per technical employee</t>
  </si>
  <si>
    <t>Headcount growth</t>
  </si>
  <si>
    <t>Revenue growth less headcount growth</t>
  </si>
  <si>
    <t>Net AI / productivity contribution</t>
  </si>
  <si>
    <t>Q1 FY27 employees — North America</t>
  </si>
  <si>
    <t>Q1 FY27 employees — Europe</t>
  </si>
  <si>
    <t>Q1 FY27 employees — India</t>
  </si>
  <si>
    <t>Q1 FY27 employees — ROW</t>
  </si>
  <si>
    <t>Interpretation</t>
  </si>
  <si>
    <t>Persistent does not disclose annual AI revenue. The model therefore keeps incremental AI demand and T&amp;M productivity deflation as separate, editable forecast drivers; headcount only constrains delivery capacity.</t>
  </si>
  <si>
    <t>Nagarro Transaction Scenario</t>
  </si>
  <si>
    <t>Pending transaction is excluded by default; user inputs flow only when the 0/1 toggle is enabled</t>
  </si>
  <si>
    <t>Comment</t>
  </si>
  <si>
    <t>Scenario toggle</t>
  </si>
  <si>
    <t>0 excludes transaction</t>
  </si>
  <si>
    <t>Consolidation months</t>
  </si>
  <si>
    <t>Enter post-close months</t>
  </si>
  <si>
    <t>Annual revenue</t>
  </si>
  <si>
    <t>No default estimate</t>
  </si>
  <si>
    <t>Scenario input</t>
  </si>
  <si>
    <t>Revenue contribution</t>
  </si>
  <si>
    <t>Cash consideration</t>
  </si>
  <si>
    <t>Share consideration</t>
  </si>
  <si>
    <t>Debt funding</t>
  </si>
  <si>
    <t>Net assets acquired</t>
  </si>
  <si>
    <t>Implied goodwill</t>
  </si>
  <si>
    <t>Purchase consideration less net assets</t>
  </si>
  <si>
    <t>Funding check</t>
  </si>
  <si>
    <t>Debt funding less cash consideration</t>
  </si>
  <si>
    <t>Control</t>
  </si>
  <si>
    <t>Valuation</t>
  </si>
  <si>
    <t>Historical FY-end prices; forward P/E, EV/EBITDA and DCF calculate independently and blend into a target</t>
  </si>
  <si>
    <t>Market capitalization</t>
  </si>
  <si>
    <t>Cash + investments + bank balances</t>
  </si>
  <si>
    <t>Borrowings + lease liabilities</t>
  </si>
  <si>
    <t>Enterprise value</t>
  </si>
  <si>
    <t>Dividend yield</t>
  </si>
  <si>
    <t>P/E implied value / share</t>
  </si>
  <si>
    <t>EV / EBITDA implied value / share</t>
  </si>
  <si>
    <t>FCFF</t>
  </si>
  <si>
    <t>DCF enterprise value</t>
  </si>
  <si>
    <t>DCF equity value / share</t>
  </si>
  <si>
    <t>Implied rating</t>
  </si>
  <si>
    <t>Persistent Systems Market Prices</t>
  </si>
  <si>
    <t>Month-end price history from listing plus exact FY-end closes; latest available close drives the forecast reference price</t>
  </si>
  <si>
    <t>Date</t>
  </si>
  <si>
    <t>Close</t>
  </si>
  <si>
    <t>Adjusted close</t>
  </si>
  <si>
    <t>Volume</t>
  </si>
  <si>
    <t>Fiscal year</t>
  </si>
  <si>
    <t>Source</t>
  </si>
  <si>
    <t>FY-end date</t>
  </si>
  <si>
    <t>FY-end close</t>
  </si>
  <si>
    <t>FY11</t>
  </si>
  <si>
    <t>FY11A</t>
  </si>
  <si>
    <t>FY12A</t>
  </si>
  <si>
    <t>FY13A</t>
  </si>
  <si>
    <t>FY14A</t>
  </si>
  <si>
    <t>FY15A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</si>
  <si>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</si>
  <si>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</si>
  <si>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</si>
  <si>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</si>
  <si>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</si>
  <si>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</si>
  <si>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</si>
  <si>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</si>
  <si>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</si>
  <si>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</si>
  <si>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</si>
  <si>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</si>
  <si>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</si>
  <si>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</si>
  <si>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</si>
  <si>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</si>
  <si>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Model Checks</t>
  </si>
  <si>
    <t>Accounting, cash, quarterly-to-annual, mix, revenue-driver, M&amp;A, valuation and static circular-reference controls</t>
  </si>
  <si>
    <t>Check</t>
  </si>
  <si>
    <t>Difference</t>
  </si>
  <si>
    <t>Tolerance</t>
  </si>
  <si>
    <t>OVERALL MODEL STATUS</t>
  </si>
  <si>
    <t>FY16A balance sheet</t>
  </si>
  <si>
    <t>FY16A cash tie</t>
  </si>
  <si>
    <t>FY17A balance sheet</t>
  </si>
  <si>
    <t>FY17A cash tie</t>
  </si>
  <si>
    <t>FY18A balance sheet</t>
  </si>
  <si>
    <t>FY18A cash tie</t>
  </si>
  <si>
    <t>FY19A balance sheet</t>
  </si>
  <si>
    <t>FY19A cash tie</t>
  </si>
  <si>
    <t>FY20A balance sheet</t>
  </si>
  <si>
    <t>FY20A cash tie</t>
  </si>
  <si>
    <t>FY21A balance sheet</t>
  </si>
  <si>
    <t>FY21A cash tie</t>
  </si>
  <si>
    <t>FY22A balance sheet</t>
  </si>
  <si>
    <t>FY22A cash tie</t>
  </si>
  <si>
    <t>FY23A balance sheet</t>
  </si>
  <si>
    <t>FY23A cash tie</t>
  </si>
  <si>
    <t>FY24A balance sheet</t>
  </si>
  <si>
    <t>FY24A cash tie</t>
  </si>
  <si>
    <t>FY25A balance sheet</t>
  </si>
  <si>
    <t>FY25A cash tie</t>
  </si>
  <si>
    <t>FY26A balance sheet</t>
  </si>
  <si>
    <t>FY26A cash tie</t>
  </si>
  <si>
    <t>FY27E balance sheet</t>
  </si>
  <si>
    <t>FY27E cash tie</t>
  </si>
  <si>
    <t>FY28E balance sheet</t>
  </si>
  <si>
    <t>FY28E cash tie</t>
  </si>
  <si>
    <t>FY29E balance sheet</t>
  </si>
  <si>
    <t>FY29E cash tie</t>
  </si>
  <si>
    <t>FY30E balance sheet</t>
  </si>
  <si>
    <t>FY30E cash tie</t>
  </si>
  <si>
    <t>FY16 quarterly revenue vs audited annual</t>
  </si>
  <si>
    <t>FY16 quarterly PAT vs audited annual</t>
  </si>
  <si>
    <t>FY17 quarterly revenue vs audited annual</t>
  </si>
  <si>
    <t>FY17 quarterly PAT vs audited annual</t>
  </si>
  <si>
    <t>FY18 quarterly revenue vs audited annual</t>
  </si>
  <si>
    <t>FY18 quarterly PAT vs audited annual</t>
  </si>
  <si>
    <t>FY19 quarterly revenue vs audited annual</t>
  </si>
  <si>
    <t>FY19 quarterly PAT vs audited annual</t>
  </si>
  <si>
    <t>FY20 quarterly revenue vs audited annual</t>
  </si>
  <si>
    <t>FY20 quarterly PAT vs audited annual</t>
  </si>
  <si>
    <t>FY21 quarterly revenue vs audited annual</t>
  </si>
  <si>
    <t>FY21 quarterly PAT vs audited annual</t>
  </si>
  <si>
    <t>FY22 quarterly revenue vs audited annual</t>
  </si>
  <si>
    <t>FY22 quarterly PAT vs audited annual</t>
  </si>
  <si>
    <t>FY23 quarterly revenue vs audited annual</t>
  </si>
  <si>
    <t>FY23 quarterly PAT vs audited annual</t>
  </si>
  <si>
    <t>FY24 quarterly revenue vs audited annual</t>
  </si>
  <si>
    <t>FY24 quarterly PAT vs audited annual</t>
  </si>
  <si>
    <t>FY25 quarterly revenue vs audited annual</t>
  </si>
  <si>
    <t>FY25 quarterly PAT vs audited annual</t>
  </si>
  <si>
    <t>FY26 quarterly revenue vs audited annual</t>
  </si>
  <si>
    <t>FY26 quarterly PAT vs audited annual</t>
  </si>
  <si>
    <t>Q1 FY27 revenue spot check</t>
  </si>
  <si>
    <t>Q1 FY27 PBT spot check</t>
  </si>
  <si>
    <t>Q1 FY27 PAT spot check</t>
  </si>
  <si>
    <t>FY27E revenue-driver tie</t>
  </si>
  <si>
    <t>FY27E industry mix</t>
  </si>
  <si>
    <t>FY27E geography mix</t>
  </si>
  <si>
    <t>FY27E non-negative cash</t>
  </si>
  <si>
    <t>FY27E valuation weights</t>
  </si>
  <si>
    <t>FY27E Nagarro funding</t>
  </si>
  <si>
    <t>FY28E revenue-driver tie</t>
  </si>
  <si>
    <t>FY28E industry mix</t>
  </si>
  <si>
    <t>FY28E geography mix</t>
  </si>
  <si>
    <t>FY28E non-negative cash</t>
  </si>
  <si>
    <t>FY28E valuation weights</t>
  </si>
  <si>
    <t>FY28E Nagarro funding</t>
  </si>
  <si>
    <t>FY29E revenue-driver tie</t>
  </si>
  <si>
    <t>FY29E industry mix</t>
  </si>
  <si>
    <t>FY29E geography mix</t>
  </si>
  <si>
    <t>FY29E non-negative cash</t>
  </si>
  <si>
    <t>FY29E valuation weights</t>
  </si>
  <si>
    <t>FY29E Nagarro funding</t>
  </si>
  <si>
    <t>FY30E revenue-driver tie</t>
  </si>
  <si>
    <t>FY30E industry mix</t>
  </si>
  <si>
    <t>FY30E geography mix</t>
  </si>
  <si>
    <t>FY30E non-negative cash</t>
  </si>
  <si>
    <t>FY30E valuation weights</t>
  </si>
  <si>
    <t>FY30E Nagarro funding</t>
  </si>
  <si>
    <t>Static circular-reference count</t>
  </si>
  <si>
    <t>INDIRECT / OFFSET formula count</t>
  </si>
  <si>
    <t>Formula error token count</t>
  </si>
  <si>
    <t>Profit &amp; Loss Statement</t>
  </si>
  <si>
    <t>Key Ratios</t>
  </si>
  <si>
    <t>Growth (%)</t>
  </si>
  <si>
    <t>Growth</t>
  </si>
  <si>
    <t>Net profit</t>
  </si>
  <si>
    <t>Margins (%)</t>
  </si>
  <si>
    <t>Income tax</t>
  </si>
  <si>
    <t>Returns (%)</t>
  </si>
  <si>
    <t>Weighted-average basic shares</t>
  </si>
  <si>
    <t>ROE</t>
  </si>
  <si>
    <t>Weighted-average diluted shares</t>
  </si>
  <si>
    <t>ROA</t>
  </si>
  <si>
    <t>FCF margin</t>
  </si>
  <si>
    <t>Cash Flow Statement</t>
  </si>
  <si>
    <t>Gearing</t>
  </si>
  <si>
    <t>Net debt / EBITDA</t>
  </si>
  <si>
    <t>Debt / equity</t>
  </si>
  <si>
    <t>Other non-cash / working capital</t>
  </si>
  <si>
    <t>Net debt / equity</t>
  </si>
  <si>
    <t>CFO margin</t>
  </si>
  <si>
    <t>Operating KPIs</t>
  </si>
  <si>
    <t>Closing headcount</t>
  </si>
  <si>
    <t>Acquisitions / investments</t>
  </si>
  <si>
    <t>Billable employees</t>
  </si>
  <si>
    <t>AI revenue mix</t>
  </si>
  <si>
    <t>Buybacks / other financing</t>
  </si>
  <si>
    <t>Revenue / billable employee</t>
  </si>
  <si>
    <t>Debt issuance / repayment</t>
  </si>
  <si>
    <t>FY26 / current market price (INPUT)</t>
  </si>
  <si>
    <t>Valuations</t>
  </si>
  <si>
    <t>FX / other</t>
  </si>
  <si>
    <t>Share price (INR)</t>
  </si>
  <si>
    <t>Net change in cash</t>
  </si>
  <si>
    <t>P / E</t>
  </si>
  <si>
    <t>P / book value</t>
  </si>
  <si>
    <t>Balance Sheet</t>
  </si>
  <si>
    <t>Revenue Build — Core ex-AI + AI Revenue</t>
  </si>
  <si>
    <t>Core ex-AI / billable revenue</t>
  </si>
  <si>
    <t>AI revenue</t>
  </si>
  <si>
    <t>Total modelled revenue</t>
  </si>
  <si>
    <t>Net PPE &amp; intangibles</t>
  </si>
  <si>
    <t>AI revenue / total revenue</t>
  </si>
  <si>
    <t>Goodwill &amp; investments</t>
  </si>
  <si>
    <t>Other long-term assets</t>
  </si>
  <si>
    <t>Current liabilities</t>
  </si>
  <si>
    <t>Debt &amp; lease liabilities</t>
  </si>
  <si>
    <t>Other long-term liabilities</t>
  </si>
  <si>
    <t>Retained earnings &amp; reserves</t>
  </si>
  <si>
    <t>Total liabilities &amp; equity</t>
  </si>
  <si>
    <t>Net cash / (debt)</t>
  </si>
  <si>
    <t>Persistent — Financial Summary</t>
  </si>
  <si>
    <t>Capacity utilization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</si>
</sst>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%;[Red]\(0.0%\);\-"/>
    <numFmt numFmtId="165" formatCode="\$#,##0.0;[Red]\(\$#,##0.0\);\-"/>
    <numFmt numFmtId="166" formatCode="#,##0.0;[Red]\(#,##0.0\);\-"/>
    <numFmt numFmtId="167" formatCode="0.0\x;[Red]\(0.0\x\);\-"/>
    <numFmt numFmtId="168" formatCode="#,##0.00;[Red]\(#,##0.00\);\-"/>
    <numFmt numFmtId="169" formatCode="#,##0;[Red]\(#,##0\);\-"/>
    <numFmt numFmtId="170" formatCode="yyyy\-mm\-dd"/>
    <numFmt numFmtId="171" formatCode="0.00;[Red]\(0.00\);\-"/>
    <numFmt numFmtId="172" formatCode="_-* #,##0.000000_-;\-* #,##0.000000_-;_-* &quot;-&quot;??_-;_-@_-"/>
    <numFmt numFmtId="176" formatCode="_-* #,##0_-;\-* #,##0_-;_-* &quot;-&quot;??_-;_-@_-"/>
  </numFmts>
  <fonts count="15">
    <font>
      <sz val="11"/>
      <name val="Carlito"/>
    </font>
    <font>
      <sz val="10"/>
      <color rgb="FF000000"/>
      <name val="Aptos Narrow"/>
    </font>
    <font>
      <b/>
      <sz val="16"/>
      <color rgb="FFFFFFFF"/>
      <name val="Aptos Narrow"/>
    </font>
    <font>
      <i/>
      <sz val="10"/>
      <color rgb="FF666666"/>
      <name val="Aptos Narrow"/>
    </font>
    <font>
      <b/>
      <sz val="10"/>
      <color rgb="FF000000"/>
      <name val="Aptos Narrow"/>
    </font>
    <font>
      <b/>
      <sz val="10"/>
      <color rgb="FFFFFFFF"/>
      <name val="Aptos Narrow"/>
    </font>
    <font>
      <sz val="10"/>
      <color rgb="FF4472C4"/>
      <name val="Aptos Narrow"/>
    </font>
    <font>
      <i/>
      <sz val="10"/>
      <color rgb="FF4472C4"/>
      <name val="Aptos Narrow"/>
    </font>
    <font>
      <sz val="11"/>
      <name val="Carlito"/>
    </font>
    <font>
      <b/>
      <sz val="9"/>
      <color rgb="FFFFFFFF"/>
      <name val="Arial"/>
      <family val="2"/>
    </font>
    <font>
      <i/>
      <sz val="9"/>
      <color rgb="FF666666"/>
      <name val="Arial"/>
      <family val="2"/>
    </font>
    <font>
      <sz val="9"/>
      <name val="Arial"/>
      <family val="2"/>
    </font>
    <font>
      <b/>
      <sz val="9"/>
      <color rgb="FF16365C"/>
      <name val="Arial"/>
      <family val="2"/>
    </font>
    <font>
      <b/>
      <sz val="9"/>
      <name val="Arial"/>
      <family val="2"/>
    </font>
    <font>
      <b/>
      <sz val="9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6365C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D9D9D9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4" borderId="0" xfId="0" applyFont="1" applyFill="1" applyAlignment="1">
      <alignment horizontal="center"/>
    </xf>
    <xf numFmtId="164" fontId="6" fillId="5" borderId="0" xfId="0" applyNumberFormat="1" applyFont="1" applyFill="1"/>
    <xf numFmtId="165" fontId="6" fillId="5" borderId="0" xfId="0" applyNumberFormat="1" applyFont="1" applyFill="1"/>
    <xf numFmtId="166" fontId="6" fillId="5" borderId="0" xfId="0" applyNumberFormat="1" applyFont="1" applyFill="1"/>
    <xf numFmtId="167" fontId="6" fillId="5" borderId="0" xfId="0" applyNumberFormat="1" applyFont="1" applyFill="1"/>
    <xf numFmtId="0" fontId="5" fillId="2" borderId="0" xfId="0" applyFont="1" applyFill="1"/>
    <xf numFmtId="0" fontId="6" fillId="0" borderId="0" xfId="0" applyFont="1"/>
    <xf numFmtId="169" fontId="6" fillId="0" borderId="0" xfId="0" applyNumberFormat="1" applyFont="1"/>
    <xf numFmtId="168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4" fontId="6" fillId="0" borderId="0" xfId="0" applyNumberFormat="1" applyFont="1"/>
    <xf numFmtId="0" fontId="5" fillId="6" borderId="0" xfId="0" applyFont="1" applyFill="1" applyAlignment="1">
      <alignment horizontal="center"/>
    </xf>
    <xf numFmtId="0" fontId="1" fillId="6" borderId="0" xfId="0" applyFont="1" applyFill="1"/>
    <xf numFmtId="164" fontId="1" fillId="0" borderId="0" xfId="0" applyNumberFormat="1" applyFont="1"/>
    <xf numFmtId="166" fontId="1" fillId="0" borderId="0" xfId="0" applyNumberFormat="1" applyFont="1"/>
    <xf numFmtId="165" fontId="1" fillId="0" borderId="0" xfId="0" applyNumberFormat="1" applyFont="1"/>
    <xf numFmtId="169" fontId="1" fillId="0" borderId="0" xfId="0" applyNumberFormat="1" applyFont="1"/>
    <xf numFmtId="165" fontId="1" fillId="6" borderId="0" xfId="0" applyNumberFormat="1" applyFont="1" applyFill="1"/>
    <xf numFmtId="164" fontId="1" fillId="6" borderId="0" xfId="0" applyNumberFormat="1" applyFont="1" applyFill="1"/>
    <xf numFmtId="166" fontId="1" fillId="6" borderId="0" xfId="0" applyNumberFormat="1" applyFont="1" applyFill="1"/>
    <xf numFmtId="169" fontId="1" fillId="6" borderId="0" xfId="0" applyNumberFormat="1" applyFont="1" applyFill="1"/>
    <xf numFmtId="168" fontId="1" fillId="0" borderId="0" xfId="0" applyNumberFormat="1" applyFont="1"/>
    <xf numFmtId="169" fontId="1" fillId="0" borderId="1" xfId="0" applyNumberFormat="1" applyFont="1" applyBorder="1"/>
    <xf numFmtId="0" fontId="4" fillId="0" borderId="1" xfId="0" applyFont="1" applyBorder="1"/>
    <xf numFmtId="169" fontId="1" fillId="6" borderId="1" xfId="0" applyNumberFormat="1" applyFont="1" applyFill="1" applyBorder="1"/>
    <xf numFmtId="168" fontId="1" fillId="6" borderId="0" xfId="0" applyNumberFormat="1" applyFont="1" applyFill="1"/>
    <xf numFmtId="167" fontId="1" fillId="0" borderId="0" xfId="0" applyNumberFormat="1" applyFont="1"/>
    <xf numFmtId="167" fontId="1" fillId="6" borderId="0" xfId="0" applyNumberFormat="1" applyFont="1" applyFill="1"/>
    <xf numFmtId="166" fontId="6" fillId="6" borderId="0" xfId="0" applyNumberFormat="1" applyFont="1" applyFill="1"/>
    <xf numFmtId="170" fontId="6" fillId="0" borderId="0" xfId="0" applyNumberFormat="1" applyFont="1"/>
    <xf numFmtId="3" fontId="6" fillId="0" borderId="0" xfId="0" applyNumberFormat="1" applyFont="1"/>
    <xf numFmtId="168" fontId="1" fillId="5" borderId="0" xfId="0" applyNumberFormat="1" applyFont="1" applyFill="1"/>
    <xf numFmtId="0" fontId="4" fillId="2" borderId="0" xfId="0" applyFont="1" applyFill="1"/>
    <xf numFmtId="0" fontId="2" fillId="2" borderId="0" xfId="0" applyFont="1" applyFill="1"/>
    <xf numFmtId="0" fontId="3" fillId="0" borderId="0" xfId="0" applyFont="1" applyAlignment="1">
      <alignment wrapText="1"/>
    </xf>
    <xf numFmtId="0" fontId="5" fillId="2" borderId="0" xfId="0" applyFont="1" applyFill="1"/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9" fillId="7" borderId="0" xfId="0" applyFont="1" applyFill="1"/>
    <xf numFmtId="0" fontId="10" fillId="0" borderId="0" xfId="0" applyFont="1"/>
    <xf numFmtId="0" fontId="11" fillId="0" borderId="0" xfId="0" applyFont="1"/>
    <xf numFmtId="0" fontId="9" fillId="7" borderId="0" xfId="0" applyFont="1" applyFill="1" applyAlignment="1">
      <alignment horizontal="center"/>
    </xf>
    <xf numFmtId="169" fontId="11" fillId="0" borderId="0" xfId="0" applyNumberFormat="1" applyFont="1"/>
    <xf numFmtId="169" fontId="11" fillId="6" borderId="0" xfId="0" applyNumberFormat="1" applyFont="1" applyFill="1"/>
    <xf numFmtId="0" fontId="12" fillId="3" borderId="0" xfId="0" applyFont="1" applyFill="1"/>
    <xf numFmtId="164" fontId="11" fillId="0" borderId="0" xfId="0" applyNumberFormat="1" applyFont="1"/>
    <xf numFmtId="164" fontId="11" fillId="6" borderId="0" xfId="0" applyNumberFormat="1" applyFont="1" applyFill="1"/>
    <xf numFmtId="0" fontId="13" fillId="0" borderId="0" xfId="0" applyFont="1"/>
    <xf numFmtId="169" fontId="13" fillId="0" borderId="0" xfId="0" applyNumberFormat="1" applyFont="1"/>
    <xf numFmtId="169" fontId="13" fillId="6" borderId="0" xfId="0" applyNumberFormat="1" applyFont="1" applyFill="1"/>
    <xf numFmtId="169" fontId="12" fillId="3" borderId="0" xfId="0" applyNumberFormat="1" applyFont="1" applyFill="1"/>
    <xf numFmtId="164" fontId="13" fillId="0" borderId="0" xfId="0" applyNumberFormat="1" applyFont="1"/>
    <xf numFmtId="164" fontId="13" fillId="6" borderId="0" xfId="0" applyNumberFormat="1" applyFont="1" applyFill="1"/>
    <xf numFmtId="171" fontId="13" fillId="0" borderId="0" xfId="0" applyNumberFormat="1" applyFont="1"/>
    <xf numFmtId="171" fontId="13" fillId="6" borderId="0" xfId="0" applyNumberFormat="1" applyFont="1" applyFill="1"/>
    <xf numFmtId="166" fontId="11" fillId="0" borderId="0" xfId="0" applyNumberFormat="1" applyFont="1"/>
    <xf numFmtId="166" fontId="11" fillId="6" borderId="0" xfId="0" applyNumberFormat="1" applyFont="1" applyFill="1"/>
    <xf numFmtId="169" fontId="9" fillId="7" borderId="0" xfId="0" applyNumberFormat="1" applyFont="1" applyFill="1" applyAlignment="1">
      <alignment horizontal="center"/>
    </xf>
    <xf numFmtId="167" fontId="11" fillId="0" borderId="0" xfId="0" applyNumberFormat="1" applyFont="1"/>
    <xf numFmtId="167" fontId="11" fillId="6" borderId="0" xfId="0" applyNumberFormat="1" applyFont="1" applyFill="1"/>
    <xf numFmtId="171" fontId="11" fillId="0" borderId="0" xfId="0" applyNumberFormat="1" applyFont="1"/>
    <xf numFmtId="171" fontId="11" fillId="6" borderId="0" xfId="0" applyNumberFormat="1" applyFont="1" applyFill="1"/>
    <xf numFmtId="169" fontId="14" fillId="5" borderId="0" xfId="0" applyNumberFormat="1" applyFont="1" applyFill="1"/>
    <xf numFmtId="169" fontId="10" fillId="0" borderId="0" xfId="0" applyNumberFormat="1" applyFont="1" applyAlignment="1">
      <alignment wrapText="1"/>
    </xf>
    <xf numFmtId="169" fontId="10" fillId="6" borderId="0" xfId="0" applyNumberFormat="1" applyFont="1" applyFill="1" applyAlignment="1">
      <alignment wrapText="1"/>
    </xf>
    <xf numFmtId="168" fontId="11" fillId="0" borderId="0" xfId="0" applyNumberFormat="1" applyFont="1"/>
    <xf numFmtId="168" fontId="11" fillId="6" borderId="0" xfId="0" applyNumberFormat="1" applyFont="1" applyFill="1"/>
    <xf numFmtId="169" fontId="0" fillId="0" borderId="0" xfId="0" applyNumberFormat="1"/>
    <xf numFmtId="0" fontId="11" fillId="0" borderId="2" xfId="0" applyFont="1" applyBorder="1"/>
    <xf numFmtId="164" fontId="11" fillId="0" borderId="2" xfId="0" applyNumberFormat="1" applyFont="1" applyBorder="1"/>
    <xf numFmtId="164" fontId="11" fillId="6" borderId="2" xfId="0" applyNumberFormat="1" applyFont="1" applyFill="1" applyBorder="1"/>
    <xf numFmtId="43" fontId="11" fillId="6" borderId="0" xfId="1" applyFont="1" applyFill="1" applyBorder="1"/>
    <xf numFmtId="43" fontId="0" fillId="0" borderId="0" xfId="1" applyFont="1"/>
    <xf numFmtId="172" fontId="0" fillId="0" borderId="0" xfId="1" applyNumberFormat="1" applyFont="1"/>
    <xf numFmtId="43" fontId="0" fillId="0" borderId="0" xfId="0" applyNumberFormat="1"/>
    <xf numFmtId="9" fontId="0" fillId="0" borderId="0" xfId="2" applyFont="1"/>
    <xf numFmtId="0" fontId="2" fillId="8" borderId="0" xfId="0" applyFont="1" applyFill="1"/>
    <xf numFmtId="176" fontId="1" fillId="6" borderId="0" xfId="1" applyNumberFormat="1" applyFont="1" applyFill="1"/>
    <xf numFmtId="9" fontId="1" fillId="6" borderId="0" xfId="0" applyNumberFormat="1" applyFont="1" applyFill="1"/>
    <xf numFmtId="10" fontId="1" fillId="6" borderId="0" xfId="0" applyNumberFormat="1" applyFont="1" applyFill="1"/>
    <xf numFmtId="43" fontId="1" fillId="6" borderId="0" xfId="0" applyNumberFormat="1" applyFon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cuments\Infosys_final.xlsx" TargetMode="External"/><Relationship Id="rId1" Type="http://schemas.openxmlformats.org/officeDocument/2006/relationships/externalLinkPath" Target="Infosys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ssumptions"/>
      <sheetName val="Revenue Drivers"/>
      <sheetName val="Sources"/>
      <sheetName val="Quarterly P&amp;L"/>
      <sheetName val="Annual_Statements"/>
      <sheetName val="Segment Revenue"/>
      <sheetName val="Client Data"/>
      <sheetName val="Market data"/>
      <sheetName val="Checks"/>
    </sheetNames>
    <sheetDataSet>
      <sheetData sheetId="0"/>
      <sheetData sheetId="1"/>
      <sheetData sheetId="2">
        <row r="18">
          <cell r="B18">
            <v>624410</v>
          </cell>
          <cell r="C18">
            <v>684850</v>
          </cell>
          <cell r="D18">
            <v>705220</v>
          </cell>
          <cell r="E18">
            <v>826760</v>
          </cell>
          <cell r="F18">
            <v>907910</v>
          </cell>
          <cell r="G18">
            <v>1004730</v>
          </cell>
          <cell r="H18">
            <v>1216410</v>
          </cell>
          <cell r="I18">
            <v>1467670</v>
          </cell>
          <cell r="J18">
            <v>1536710</v>
          </cell>
          <cell r="K18">
            <v>1629900</v>
          </cell>
          <cell r="L18">
            <v>1786500</v>
          </cell>
          <cell r="M18">
            <v>1856045.0922329938</v>
          </cell>
          <cell r="N18">
            <v>1985560.6580985901</v>
          </cell>
          <cell r="O18">
            <v>2111778.3312296839</v>
          </cell>
          <cell r="P18">
            <v>2233599.5681016315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116133.9447902</v>
          </cell>
          <cell r="N19">
            <v>130070.01816502401</v>
          </cell>
          <cell r="O19">
            <v>141776.31979987619</v>
          </cell>
          <cell r="P19">
            <v>151700.66218586752</v>
          </cell>
        </row>
        <row r="20">
          <cell r="B20">
            <v>624410</v>
          </cell>
          <cell r="C20">
            <v>684850</v>
          </cell>
          <cell r="D20">
            <v>705220</v>
          </cell>
          <cell r="E20">
            <v>826760</v>
          </cell>
          <cell r="F20">
            <v>907910</v>
          </cell>
          <cell r="G20">
            <v>1004730</v>
          </cell>
          <cell r="H20">
            <v>1216410</v>
          </cell>
          <cell r="I20">
            <v>1467670</v>
          </cell>
          <cell r="J20">
            <v>1536710</v>
          </cell>
          <cell r="K20">
            <v>1629900</v>
          </cell>
          <cell r="L20">
            <v>1786500</v>
          </cell>
          <cell r="M20">
            <v>1972179.0370231939</v>
          </cell>
          <cell r="N20">
            <v>2115630.6762636141</v>
          </cell>
          <cell r="O20">
            <v>2253554.6510295602</v>
          </cell>
          <cell r="P20">
            <v>2385300.2302874988</v>
          </cell>
        </row>
      </sheetData>
      <sheetData sheetId="3"/>
      <sheetData sheetId="4"/>
      <sheetData sheetId="5">
        <row r="6">
          <cell r="C6">
            <v>9.679537483384304E-2</v>
          </cell>
          <cell r="D6">
            <v>2.9743739505001088E-2</v>
          </cell>
          <cell r="E6">
            <v>0.17234338220697087</v>
          </cell>
          <cell r="F6">
            <v>9.8154240650249136E-2</v>
          </cell>
          <cell r="G6">
            <v>0.1066405260433303</v>
          </cell>
          <cell r="H6">
            <v>0.21068346720014341</v>
          </cell>
          <cell r="I6">
            <v>0.20655864387829759</v>
          </cell>
          <cell r="J6">
            <v>4.7040547261986587E-2</v>
          </cell>
          <cell r="K6">
            <v>6.0642541533535876E-2</v>
          </cell>
          <cell r="L6">
            <v>9.6079514080618544E-2</v>
          </cell>
          <cell r="M6">
            <v>0.10393452953999094</v>
          </cell>
          <cell r="N6">
            <v>7.2737635147438695E-2</v>
          </cell>
          <cell r="O6">
            <v>6.519284122384339E-2</v>
          </cell>
          <cell r="P6">
            <v>5.8461231103381195E-2</v>
          </cell>
        </row>
        <row r="97">
          <cell r="B97">
            <v>326970</v>
          </cell>
          <cell r="C97">
            <v>226250</v>
          </cell>
          <cell r="D97">
            <v>198180</v>
          </cell>
          <cell r="E97">
            <v>195680</v>
          </cell>
          <cell r="F97">
            <v>186490</v>
          </cell>
          <cell r="G97">
            <v>247140</v>
          </cell>
          <cell r="H97">
            <v>174720</v>
          </cell>
          <cell r="I97">
            <v>121729.99999999997</v>
          </cell>
          <cell r="J97">
            <v>147860</v>
          </cell>
          <cell r="K97">
            <v>244550</v>
          </cell>
          <cell r="L97">
            <v>222010</v>
          </cell>
          <cell r="M97">
            <v>270955.2188590531</v>
          </cell>
          <cell r="N97">
            <v>321228.59473048092</v>
          </cell>
          <cell r="O97">
            <v>378075.80340616213</v>
          </cell>
          <cell r="P97">
            <v>441280.72273314546</v>
          </cell>
        </row>
      </sheetData>
      <sheetData sheetId="6"/>
      <sheetData sheetId="7"/>
      <sheetData sheetId="8">
        <row r="5">
          <cell r="E5">
            <v>12.129999999999999</v>
          </cell>
        </row>
        <row r="6">
          <cell r="E6">
            <v>12.879999999999999</v>
          </cell>
        </row>
        <row r="7">
          <cell r="E7">
            <v>21.75</v>
          </cell>
        </row>
        <row r="8">
          <cell r="E8">
            <v>21.5</v>
          </cell>
        </row>
        <row r="9">
          <cell r="E9">
            <v>17.5</v>
          </cell>
        </row>
        <row r="10">
          <cell r="E10">
            <v>27</v>
          </cell>
        </row>
        <row r="11">
          <cell r="E11">
            <v>31</v>
          </cell>
        </row>
        <row r="12">
          <cell r="E12">
            <v>34</v>
          </cell>
        </row>
        <row r="13">
          <cell r="E13">
            <v>46</v>
          </cell>
        </row>
        <row r="14">
          <cell r="E14">
            <v>43</v>
          </cell>
        </row>
        <row r="15">
          <cell r="E15">
            <v>48</v>
          </cell>
        </row>
        <row r="16">
          <cell r="E16">
            <v>49.097915172309932</v>
          </cell>
        </row>
        <row r="17">
          <cell r="E17">
            <v>53.821716272524739</v>
          </cell>
        </row>
        <row r="18">
          <cell r="E18">
            <v>57.394576765739863</v>
          </cell>
        </row>
        <row r="19">
          <cell r="E19">
            <v>60.674359220859351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3"/>
  <sheetViews>
    <sheetView showGridLines="0" tabSelected="1" topLeftCell="X1" workbookViewId="0">
      <selection activeCell="AD15" sqref="AD15"/>
    </sheetView>
  </sheetViews>
  <sheetFormatPr defaultRowHeight="13.8"/>
  <cols>
    <col min="1" max="1" width="31" customWidth="1"/>
    <col min="2" max="16" width="11" customWidth="1"/>
    <col min="17" max="17" width="3" customWidth="1"/>
    <col min="18" max="18" width="28" customWidth="1"/>
    <col min="19" max="33" width="11" customWidth="1"/>
    <col min="35" max="35" width="17.09765625" customWidth="1"/>
    <col min="36" max="38" width="12.59765625" bestFit="1" customWidth="1"/>
  </cols>
  <sheetData>
    <row r="1" spans="1:39" ht="19.95" customHeight="1">
      <c r="A1" s="42" t="s">
        <v>711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</row>
    <row r="2" spans="1:39" ht="18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</row>
    <row r="3" spans="1:39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</row>
    <row r="4" spans="1:39">
      <c r="A4" s="45" t="s">
        <v>661</v>
      </c>
      <c r="B4" s="45" t="s">
        <v>2</v>
      </c>
      <c r="C4" s="45" t="s">
        <v>3</v>
      </c>
      <c r="D4" s="45" t="s">
        <v>4</v>
      </c>
      <c r="E4" s="45" t="s">
        <v>5</v>
      </c>
      <c r="F4" s="45" t="s">
        <v>6</v>
      </c>
      <c r="G4" s="45" t="s">
        <v>7</v>
      </c>
      <c r="H4" s="45" t="s">
        <v>8</v>
      </c>
      <c r="I4" s="45" t="s">
        <v>9</v>
      </c>
      <c r="J4" s="45" t="s">
        <v>10</v>
      </c>
      <c r="K4" s="45" t="s">
        <v>11</v>
      </c>
      <c r="L4" s="45" t="s">
        <v>12</v>
      </c>
      <c r="M4" s="45" t="s">
        <v>13</v>
      </c>
      <c r="N4" s="45" t="s">
        <v>14</v>
      </c>
      <c r="O4" s="45" t="s">
        <v>15</v>
      </c>
      <c r="P4" s="45" t="s">
        <v>16</v>
      </c>
      <c r="Q4" s="44"/>
      <c r="R4" s="45" t="s">
        <v>662</v>
      </c>
      <c r="S4" s="45" t="s">
        <v>2</v>
      </c>
      <c r="T4" s="45" t="s">
        <v>3</v>
      </c>
      <c r="U4" s="45" t="s">
        <v>4</v>
      </c>
      <c r="V4" s="45" t="s">
        <v>5</v>
      </c>
      <c r="W4" s="45" t="s">
        <v>6</v>
      </c>
      <c r="X4" s="45" t="s">
        <v>7</v>
      </c>
      <c r="Y4" s="45" t="s">
        <v>8</v>
      </c>
      <c r="Z4" s="45" t="s">
        <v>9</v>
      </c>
      <c r="AA4" s="45" t="s">
        <v>10</v>
      </c>
      <c r="AB4" s="45" t="s">
        <v>11</v>
      </c>
      <c r="AC4" s="45" t="s">
        <v>12</v>
      </c>
      <c r="AD4" s="45" t="s">
        <v>13</v>
      </c>
      <c r="AE4" s="45" t="s">
        <v>14</v>
      </c>
      <c r="AF4" s="45" t="s">
        <v>15</v>
      </c>
      <c r="AG4" s="45" t="s">
        <v>16</v>
      </c>
    </row>
    <row r="5" spans="1:39">
      <c r="A5" s="44" t="s">
        <v>17</v>
      </c>
      <c r="B5" s="46">
        <f>'Annual P&amp;L'!B5</f>
        <v>23123.31</v>
      </c>
      <c r="C5" s="46">
        <f>'Annual P&amp;L'!C5</f>
        <v>28784.39</v>
      </c>
      <c r="D5" s="46">
        <f>'Annual P&amp;L'!D5</f>
        <v>30337.03</v>
      </c>
      <c r="E5" s="46">
        <f>'Annual P&amp;L'!E5</f>
        <v>33659.410000000003</v>
      </c>
      <c r="F5" s="46">
        <f>'Annual P&amp;L'!F5</f>
        <v>35658.080000000002</v>
      </c>
      <c r="G5" s="46">
        <f>'Annual P&amp;L'!G5</f>
        <v>41878.879999999997</v>
      </c>
      <c r="H5" s="46">
        <f>'Annual P&amp;L'!H5</f>
        <v>57107.46</v>
      </c>
      <c r="I5" s="46">
        <f>'Annual P&amp;L'!I5</f>
        <v>83505.919999999998</v>
      </c>
      <c r="J5" s="46">
        <f>'Annual P&amp;L'!J5</f>
        <v>98215.87</v>
      </c>
      <c r="K5" s="46">
        <f>'Annual P&amp;L'!K5</f>
        <v>119387.17</v>
      </c>
      <c r="L5" s="46">
        <f>'Annual P&amp;L'!L5</f>
        <v>147484.49</v>
      </c>
      <c r="M5" s="47">
        <f>'Annual P&amp;L'!M5</f>
        <v>181518.89013355385</v>
      </c>
      <c r="N5" s="47">
        <f>'Annual P&amp;L'!N5</f>
        <v>216842.08862184468</v>
      </c>
      <c r="O5" s="47">
        <f>'Annual P&amp;L'!O5</f>
        <v>247270.92469272984</v>
      </c>
      <c r="P5" s="47">
        <f>'Annual P&amp;L'!P5</f>
        <v>281990.34232471167</v>
      </c>
      <c r="Q5" s="44"/>
      <c r="R5" s="48" t="s">
        <v>663</v>
      </c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J5">
        <f>AC37*1.4</f>
        <v>6828.0802734374993</v>
      </c>
      <c r="AK5">
        <f>AJ5*(1.15)</f>
        <v>7852.2923144531233</v>
      </c>
      <c r="AL5">
        <f>AK5*1.15</f>
        <v>9030.1361616210907</v>
      </c>
      <c r="AM5">
        <f>AL5*1.1</f>
        <v>9933.149777783201</v>
      </c>
    </row>
    <row r="6" spans="1:39">
      <c r="A6" s="44" t="s">
        <v>664</v>
      </c>
      <c r="B6" s="49">
        <f>[1]Annual_Statements!B6</f>
        <v>0</v>
      </c>
      <c r="C6" s="49">
        <f>[1]Annual_Statements!C6</f>
        <v>9.679537483384304E-2</v>
      </c>
      <c r="D6" s="49">
        <f>[1]Annual_Statements!D6</f>
        <v>2.9743739505001088E-2</v>
      </c>
      <c r="E6" s="49">
        <f>[1]Annual_Statements!E6</f>
        <v>0.17234338220697087</v>
      </c>
      <c r="F6" s="49">
        <f>[1]Annual_Statements!F6</f>
        <v>9.8154240650249136E-2</v>
      </c>
      <c r="G6" s="49">
        <f>[1]Annual_Statements!G6</f>
        <v>0.1066405260433303</v>
      </c>
      <c r="H6" s="49">
        <f>[1]Annual_Statements!H6</f>
        <v>0.21068346720014341</v>
      </c>
      <c r="I6" s="49">
        <f>[1]Annual_Statements!I6</f>
        <v>0.20655864387829759</v>
      </c>
      <c r="J6" s="49">
        <f>[1]Annual_Statements!J6</f>
        <v>4.7040547261986587E-2</v>
      </c>
      <c r="K6" s="49">
        <f>[1]Annual_Statements!K6</f>
        <v>6.0642541533535876E-2</v>
      </c>
      <c r="L6" s="49">
        <f>[1]Annual_Statements!L6</f>
        <v>9.6079514080618544E-2</v>
      </c>
      <c r="M6" s="50">
        <f>[1]Annual_Statements!M6</f>
        <v>0.10393452953999094</v>
      </c>
      <c r="N6" s="50">
        <f>[1]Annual_Statements!N6</f>
        <v>7.2737635147438695E-2</v>
      </c>
      <c r="O6" s="50">
        <f>[1]Annual_Statements!O6</f>
        <v>6.519284122384339E-2</v>
      </c>
      <c r="P6" s="50">
        <f>[1]Annual_Statements!P6</f>
        <v>5.8461231103381195E-2</v>
      </c>
      <c r="Q6" s="44"/>
      <c r="R6" s="44" t="s">
        <v>17</v>
      </c>
      <c r="S6" s="49">
        <f>0</f>
        <v>0</v>
      </c>
      <c r="T6" s="49">
        <f t="shared" ref="T6:AG6" si="0">IFERROR(C5/B5-1,0)</f>
        <v>0.24482135126848181</v>
      </c>
      <c r="U6" s="49">
        <f t="shared" si="0"/>
        <v>5.3940347528643073E-2</v>
      </c>
      <c r="V6" s="49">
        <f t="shared" si="0"/>
        <v>0.10951566451956585</v>
      </c>
      <c r="W6" s="49">
        <f t="shared" si="0"/>
        <v>5.9379234514211676E-2</v>
      </c>
      <c r="X6" s="49">
        <f t="shared" si="0"/>
        <v>0.17445695337494316</v>
      </c>
      <c r="Y6" s="49">
        <f t="shared" si="0"/>
        <v>0.36363388896742221</v>
      </c>
      <c r="Z6" s="49">
        <f t="shared" si="0"/>
        <v>0.46225939658321336</v>
      </c>
      <c r="AA6" s="49">
        <f t="shared" si="0"/>
        <v>0.17615457682521196</v>
      </c>
      <c r="AB6" s="49">
        <f t="shared" si="0"/>
        <v>0.2155588501125123</v>
      </c>
      <c r="AC6" s="49">
        <f t="shared" si="0"/>
        <v>0.23534622690193596</v>
      </c>
      <c r="AD6" s="50">
        <f t="shared" si="0"/>
        <v>0.23076596144824357</v>
      </c>
      <c r="AE6" s="50">
        <f t="shared" si="0"/>
        <v>0.19459792015201027</v>
      </c>
      <c r="AF6" s="50">
        <f t="shared" si="0"/>
        <v>0.14032716740683404</v>
      </c>
      <c r="AG6" s="50">
        <f t="shared" si="0"/>
        <v>0.14041043311147794</v>
      </c>
      <c r="AJ6" s="79">
        <f>AJ5/AC37-1</f>
        <v>0.39999999999999991</v>
      </c>
      <c r="AK6" s="79">
        <f t="shared" ref="AK6:AM6" si="1">AK5/AD37-1</f>
        <v>0.14999999999999991</v>
      </c>
      <c r="AL6" s="79">
        <f t="shared" si="1"/>
        <v>0.14999999999999991</v>
      </c>
      <c r="AM6" s="79">
        <f t="shared" si="1"/>
        <v>0.10000000000000009</v>
      </c>
    </row>
    <row r="7" spans="1:39">
      <c r="A7" s="44" t="s">
        <v>284</v>
      </c>
      <c r="B7" s="46">
        <f>'Annual P&amp;L'!B10</f>
        <v>8818.510000000002</v>
      </c>
      <c r="C7" s="46">
        <f>'Annual P&amp;L'!C10</f>
        <v>10266.370000000001</v>
      </c>
      <c r="D7" s="46">
        <f>'Annual P&amp;L'!D10</f>
        <v>10632.91</v>
      </c>
      <c r="E7" s="46">
        <f>'Annual P&amp;L'!E10</f>
        <v>12281.259999999998</v>
      </c>
      <c r="F7" s="46">
        <f>'Annual P&amp;L'!F10</f>
        <v>12163.75</v>
      </c>
      <c r="G7" s="46">
        <f>'Annual P&amp;L'!G10</f>
        <v>14228.64</v>
      </c>
      <c r="H7" s="46">
        <f>'Annual P&amp;L'!H10</f>
        <v>19212.523000000001</v>
      </c>
      <c r="I7" s="46">
        <f>'Annual P&amp;L'!I10</f>
        <v>28190.600000000002</v>
      </c>
      <c r="J7" s="46">
        <f>'Annual P&amp;L'!J10</f>
        <v>32984.78</v>
      </c>
      <c r="K7" s="46">
        <f>'Annual P&amp;L'!K10</f>
        <v>40647.1</v>
      </c>
      <c r="L7" s="46">
        <f>'Annual P&amp;L'!L10</f>
        <v>51719.799999999996</v>
      </c>
      <c r="M7" s="47">
        <f>'Annual P&amp;L'!M10</f>
        <v>63894.649327010949</v>
      </c>
      <c r="N7" s="47">
        <f>'Annual P&amp;L'!N10</f>
        <v>77195.783549376705</v>
      </c>
      <c r="O7" s="47">
        <f>'Annual P&amp;L'!O10</f>
        <v>88770.261964690013</v>
      </c>
      <c r="P7" s="47">
        <f>'Annual P&amp;L'!P10</f>
        <v>102080.50392154562</v>
      </c>
      <c r="Q7" s="44"/>
      <c r="R7" s="44" t="s">
        <v>26</v>
      </c>
      <c r="S7" s="49">
        <f>0</f>
        <v>0</v>
      </c>
      <c r="T7" s="49">
        <f t="shared" ref="T7:AG7" si="2">IFERROR(C9/B9-1,0)</f>
        <v>8.8296500170220726E-2</v>
      </c>
      <c r="U7" s="49">
        <f t="shared" si="2"/>
        <v>3.2570742507187056E-2</v>
      </c>
      <c r="V7" s="49">
        <f t="shared" si="2"/>
        <v>0.23855606758832582</v>
      </c>
      <c r="W7" s="49">
        <f t="shared" si="2"/>
        <v>-0.15086402910413832</v>
      </c>
      <c r="X7" s="49">
        <f t="shared" si="2"/>
        <v>0.38555524450557255</v>
      </c>
      <c r="Y7" s="49">
        <f t="shared" si="2"/>
        <v>0.4028551349531122</v>
      </c>
      <c r="Z7" s="49">
        <f t="shared" si="2"/>
        <v>0.58544230774649764</v>
      </c>
      <c r="AA7" s="49">
        <f t="shared" si="2"/>
        <v>0.13506261828355148</v>
      </c>
      <c r="AB7" s="49">
        <f t="shared" si="2"/>
        <v>0.19362501464360649</v>
      </c>
      <c r="AC7" s="49">
        <f t="shared" si="2"/>
        <v>0.3149594056856333</v>
      </c>
      <c r="AD7" s="50">
        <f t="shared" si="2"/>
        <v>0.26091580156399519</v>
      </c>
      <c r="AE7" s="50">
        <f t="shared" si="2"/>
        <v>0.23907762994490422</v>
      </c>
      <c r="AF7" s="50">
        <f t="shared" si="2"/>
        <v>0.17541415717319842</v>
      </c>
      <c r="AG7" s="50">
        <f t="shared" si="2"/>
        <v>0.16877885184559416</v>
      </c>
    </row>
    <row r="8" spans="1:39">
      <c r="A8" s="44" t="s">
        <v>24</v>
      </c>
      <c r="B8" s="49">
        <f>B7/B5</f>
        <v>0.38136884382037006</v>
      </c>
      <c r="C8" s="49">
        <f t="shared" ref="C8:P8" si="3">C7/C5</f>
        <v>0.35666449766696467</v>
      </c>
      <c r="D8" s="49">
        <f t="shared" si="3"/>
        <v>0.35049278060508893</v>
      </c>
      <c r="E8" s="49">
        <f t="shared" si="3"/>
        <v>0.36486854641837146</v>
      </c>
      <c r="F8" s="49">
        <f t="shared" si="3"/>
        <v>0.34112184391307665</v>
      </c>
      <c r="G8" s="49">
        <f t="shared" si="3"/>
        <v>0.33975693714827138</v>
      </c>
      <c r="H8" s="49">
        <f t="shared" si="3"/>
        <v>0.33642755254742551</v>
      </c>
      <c r="I8" s="49">
        <f t="shared" si="3"/>
        <v>0.33758804166219597</v>
      </c>
      <c r="J8" s="49">
        <f t="shared" si="3"/>
        <v>0.33583961532896872</v>
      </c>
      <c r="K8" s="49">
        <f t="shared" si="3"/>
        <v>0.34046455745621579</v>
      </c>
      <c r="L8" s="49">
        <f t="shared" si="3"/>
        <v>0.35067958671450805</v>
      </c>
      <c r="M8" s="50">
        <f t="shared" si="3"/>
        <v>0.35199999999999998</v>
      </c>
      <c r="N8" s="50">
        <f t="shared" si="3"/>
        <v>0.35599999999999998</v>
      </c>
      <c r="O8" s="50">
        <f t="shared" si="3"/>
        <v>0.35899999999999999</v>
      </c>
      <c r="P8" s="50">
        <f t="shared" si="3"/>
        <v>0.36199999999999999</v>
      </c>
      <c r="Q8" s="44"/>
      <c r="R8" s="44" t="s">
        <v>288</v>
      </c>
      <c r="S8" s="49">
        <f>0</f>
        <v>0</v>
      </c>
      <c r="T8" s="49">
        <f t="shared" ref="T8:AG8" si="4">IFERROR(C11/B11-1,0)</f>
        <v>-4.8884868523659253E-2</v>
      </c>
      <c r="U8" s="49">
        <f t="shared" si="4"/>
        <v>1.7430915852786555E-2</v>
      </c>
      <c r="V8" s="49">
        <f t="shared" si="4"/>
        <v>0.36440997572792089</v>
      </c>
      <c r="W8" s="49">
        <f t="shared" si="4"/>
        <v>-0.2274897527670483</v>
      </c>
      <c r="X8" s="49">
        <f t="shared" si="4"/>
        <v>0.55191870137495713</v>
      </c>
      <c r="Y8" s="49">
        <f t="shared" si="4"/>
        <v>0.56101228656163471</v>
      </c>
      <c r="Z8" s="49">
        <f t="shared" si="4"/>
        <v>0.57446906814552778</v>
      </c>
      <c r="AA8" s="49">
        <f t="shared" si="4"/>
        <v>0.13445715706004524</v>
      </c>
      <c r="AB8" s="49">
        <f t="shared" si="4"/>
        <v>0.2377016797309266</v>
      </c>
      <c r="AC8" s="49">
        <f t="shared" si="4"/>
        <v>0.31531582974544015</v>
      </c>
      <c r="AD8" s="50">
        <f t="shared" si="4"/>
        <v>0.26872362930123228</v>
      </c>
      <c r="AE8" s="50">
        <f t="shared" si="4"/>
        <v>0.25395682301670663</v>
      </c>
      <c r="AF8" s="50">
        <f t="shared" si="4"/>
        <v>0.18755965363078575</v>
      </c>
      <c r="AG8" s="50">
        <f t="shared" si="4"/>
        <v>0.17928806151300547</v>
      </c>
    </row>
    <row r="9" spans="1:39">
      <c r="A9" s="51" t="s">
        <v>26</v>
      </c>
      <c r="B9" s="52">
        <f>'Annual P&amp;L'!B13</f>
        <v>4171.0599999999995</v>
      </c>
      <c r="C9" s="52">
        <f>'Annual P&amp;L'!C13</f>
        <v>4539.3500000000004</v>
      </c>
      <c r="D9" s="52">
        <f>'Annual P&amp;L'!D13</f>
        <v>4687.2</v>
      </c>
      <c r="E9" s="52">
        <f>'Annual P&amp;L'!E13</f>
        <v>5805.3600000000006</v>
      </c>
      <c r="F9" s="52">
        <f>'Annual P&amp;L'!F13</f>
        <v>4929.54</v>
      </c>
      <c r="G9" s="52">
        <f>'Annual P&amp;L'!G13</f>
        <v>6830.15</v>
      </c>
      <c r="H9" s="52">
        <f>'Annual P&amp;L'!H13</f>
        <v>9581.7109999999993</v>
      </c>
      <c r="I9" s="52">
        <f>'Annual P&amp;L'!I13</f>
        <v>15191.25</v>
      </c>
      <c r="J9" s="52">
        <f>'Annual P&amp;L'!J13</f>
        <v>17243.02</v>
      </c>
      <c r="K9" s="52">
        <f>'Annual P&amp;L'!K13</f>
        <v>20581.7</v>
      </c>
      <c r="L9" s="52">
        <f>'Annual P&amp;L'!L13</f>
        <v>27064.1</v>
      </c>
      <c r="M9" s="53">
        <f>'Annual P&amp;L'!M13</f>
        <v>34125.551345108121</v>
      </c>
      <c r="N9" s="53">
        <f>'Annual P&amp;L'!N13</f>
        <v>42284.207281259711</v>
      </c>
      <c r="O9" s="53">
        <f>'Annual P&amp;L'!O13</f>
        <v>49701.455863238698</v>
      </c>
      <c r="P9" s="53">
        <f>'Annual P&amp;L'!P13</f>
        <v>58090.010518890602</v>
      </c>
      <c r="Q9" s="44"/>
      <c r="R9" s="44" t="s">
        <v>665</v>
      </c>
      <c r="S9" s="49">
        <f>0</f>
        <v>0</v>
      </c>
      <c r="T9" s="49">
        <f t="shared" ref="T9:AG9" si="5">IFERROR(C16/B16-1,0)</f>
        <v>1.3801406371380276E-2</v>
      </c>
      <c r="U9" s="49">
        <f t="shared" si="5"/>
        <v>7.1726402733318873E-2</v>
      </c>
      <c r="V9" s="49">
        <f t="shared" si="5"/>
        <v>8.8492918338037851E-2</v>
      </c>
      <c r="W9" s="49">
        <f t="shared" si="5"/>
        <v>-3.238748972784844E-2</v>
      </c>
      <c r="X9" s="49">
        <f t="shared" si="5"/>
        <v>0.32439485261057532</v>
      </c>
      <c r="Y9" s="49">
        <f t="shared" si="5"/>
        <v>0.53188647301726055</v>
      </c>
      <c r="Z9" s="49">
        <f t="shared" si="5"/>
        <v>0.33417102896061057</v>
      </c>
      <c r="AA9" s="49">
        <f t="shared" si="5"/>
        <v>0.18716676817650324</v>
      </c>
      <c r="AB9" s="49">
        <f t="shared" si="5"/>
        <v>0.28045041065724363</v>
      </c>
      <c r="AC9" s="49">
        <f t="shared" si="5"/>
        <v>0.33207538275955417</v>
      </c>
      <c r="AD9" s="50">
        <f t="shared" si="5"/>
        <v>0.20651201047957612</v>
      </c>
      <c r="AE9" s="50">
        <f t="shared" si="5"/>
        <v>0.25395682301670641</v>
      </c>
      <c r="AF9" s="50">
        <f t="shared" si="5"/>
        <v>0.19430715166277879</v>
      </c>
      <c r="AG9" s="50">
        <f t="shared" si="5"/>
        <v>0.17906841389491768</v>
      </c>
    </row>
    <row r="10" spans="1:39">
      <c r="A10" s="44" t="s">
        <v>25</v>
      </c>
      <c r="B10" s="49">
        <f>B9/B5</f>
        <v>0.1803833447720071</v>
      </c>
      <c r="C10" s="49">
        <f t="shared" ref="C10:P10" si="6">C9/C5</f>
        <v>0.15770179600818363</v>
      </c>
      <c r="D10" s="49">
        <f t="shared" si="6"/>
        <v>0.1545042477790344</v>
      </c>
      <c r="E10" s="49">
        <f t="shared" si="6"/>
        <v>0.172473611391287</v>
      </c>
      <c r="F10" s="49">
        <f t="shared" si="6"/>
        <v>0.13824468395381914</v>
      </c>
      <c r="G10" s="49">
        <f t="shared" si="6"/>
        <v>0.16309294804445582</v>
      </c>
      <c r="H10" s="49">
        <f t="shared" si="6"/>
        <v>0.16778387622212579</v>
      </c>
      <c r="I10" s="49">
        <f t="shared" si="6"/>
        <v>0.18191824004813073</v>
      </c>
      <c r="J10" s="49">
        <f t="shared" si="6"/>
        <v>0.17556246256333116</v>
      </c>
      <c r="K10" s="49">
        <f t="shared" si="6"/>
        <v>0.17239457137647204</v>
      </c>
      <c r="L10" s="49">
        <f t="shared" si="6"/>
        <v>0.18350471971662918</v>
      </c>
      <c r="M10" s="50">
        <f t="shared" si="6"/>
        <v>0.18799999999999997</v>
      </c>
      <c r="N10" s="50">
        <f t="shared" si="6"/>
        <v>0.19499999999999998</v>
      </c>
      <c r="O10" s="50">
        <f t="shared" si="6"/>
        <v>0.20100000000000001</v>
      </c>
      <c r="P10" s="50">
        <f t="shared" si="6"/>
        <v>0.20599999999999999</v>
      </c>
      <c r="Q10" s="44"/>
      <c r="R10" s="44" t="s">
        <v>291</v>
      </c>
      <c r="S10" s="49">
        <f>0</f>
        <v>0</v>
      </c>
      <c r="T10" s="49">
        <f t="shared" ref="T10:AG10" si="7">IFERROR(C18/B18-1,0)</f>
        <v>1.1272141706924366E-2</v>
      </c>
      <c r="U10" s="49">
        <f t="shared" si="7"/>
        <v>7.1921443736730373E-2</v>
      </c>
      <c r="V10" s="49">
        <f t="shared" si="7"/>
        <v>8.9130973013122006E-2</v>
      </c>
      <c r="W10" s="49">
        <f t="shared" si="7"/>
        <v>8.8656512843827695E-3</v>
      </c>
      <c r="X10" s="49">
        <f t="shared" si="7"/>
        <v>0.32875168995042792</v>
      </c>
      <c r="Y10" s="49">
        <f t="shared" si="7"/>
        <v>0.53196540613871468</v>
      </c>
      <c r="Z10" s="49">
        <f t="shared" si="7"/>
        <v>0.36960371928270974</v>
      </c>
      <c r="AA10" s="49">
        <f t="shared" si="7"/>
        <v>-0.41453164147741051</v>
      </c>
      <c r="AB10" s="49">
        <f t="shared" si="7"/>
        <v>0.25924903368304797</v>
      </c>
      <c r="AC10" s="49">
        <f t="shared" si="7"/>
        <v>0.31265073448805092</v>
      </c>
      <c r="AD10" s="50">
        <f t="shared" si="7"/>
        <v>0.20651201047957612</v>
      </c>
      <c r="AE10" s="50">
        <f t="shared" si="7"/>
        <v>0.25395682301670641</v>
      </c>
      <c r="AF10" s="50">
        <f t="shared" si="7"/>
        <v>0.19430715166277901</v>
      </c>
      <c r="AG10" s="50">
        <f t="shared" si="7"/>
        <v>0.17906841389491768</v>
      </c>
    </row>
    <row r="11" spans="1:39">
      <c r="A11" s="51" t="s">
        <v>288</v>
      </c>
      <c r="B11" s="52">
        <f>'Annual P&amp;L'!B16</f>
        <v>3205.8999999999996</v>
      </c>
      <c r="C11" s="52">
        <f>'Annual P&amp;L'!C16</f>
        <v>3049.1800000000003</v>
      </c>
      <c r="D11" s="52">
        <f>'Annual P&amp;L'!D16</f>
        <v>3102.33</v>
      </c>
      <c r="E11" s="52">
        <f>'Annual P&amp;L'!E16</f>
        <v>4232.8500000000004</v>
      </c>
      <c r="F11" s="52">
        <f>'Annual P&amp;L'!F16</f>
        <v>3269.92</v>
      </c>
      <c r="G11" s="52">
        <f>'Annual P&amp;L'!G16</f>
        <v>5074.6499999999996</v>
      </c>
      <c r="H11" s="52">
        <f>'Annual P&amp;L'!H16</f>
        <v>7921.5909999999994</v>
      </c>
      <c r="I11" s="52">
        <f>'Annual P&amp;L'!I16</f>
        <v>12472.3</v>
      </c>
      <c r="J11" s="52">
        <f>'Annual P&amp;L'!J16</f>
        <v>14149.29</v>
      </c>
      <c r="K11" s="52">
        <f>'Annual P&amp;L'!K16</f>
        <v>17512.600000000002</v>
      </c>
      <c r="L11" s="52">
        <f>'Annual P&amp;L'!L16</f>
        <v>23034.6</v>
      </c>
      <c r="M11" s="53">
        <f>'Annual P&amp;L'!M16</f>
        <v>29224.541311502166</v>
      </c>
      <c r="N11" s="53">
        <f>'Annual P&amp;L'!N16</f>
        <v>36646.312977091751</v>
      </c>
      <c r="O11" s="53">
        <f>'Annual P&amp;L'!O16</f>
        <v>43519.682745920451</v>
      </c>
      <c r="P11" s="53">
        <f>'Annual P&amp;L'!P16</f>
        <v>51322.242303097519</v>
      </c>
      <c r="Q11" s="44"/>
      <c r="R11" s="44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47"/>
      <c r="AF11" s="47"/>
      <c r="AG11" s="47"/>
    </row>
    <row r="12" spans="1:39">
      <c r="A12" s="44" t="s">
        <v>27</v>
      </c>
      <c r="B12" s="49">
        <f>B11/B5</f>
        <v>0.13864364574102928</v>
      </c>
      <c r="C12" s="49">
        <f t="shared" ref="C12:P12" si="8">C11/C5</f>
        <v>0.10593172202016442</v>
      </c>
      <c r="D12" s="49">
        <f t="shared" si="8"/>
        <v>0.10226215288708222</v>
      </c>
      <c r="E12" s="49">
        <f t="shared" si="8"/>
        <v>0.12575532369699885</v>
      </c>
      <c r="F12" s="49">
        <f t="shared" si="8"/>
        <v>9.1702077060795195E-2</v>
      </c>
      <c r="G12" s="49">
        <f t="shared" si="8"/>
        <v>0.12117444401569478</v>
      </c>
      <c r="H12" s="49">
        <f t="shared" si="8"/>
        <v>0.1387137687440485</v>
      </c>
      <c r="I12" s="49">
        <f t="shared" si="8"/>
        <v>0.14935827304219867</v>
      </c>
      <c r="J12" s="49">
        <f t="shared" si="8"/>
        <v>0.14406317431185003</v>
      </c>
      <c r="K12" s="49">
        <f t="shared" si="8"/>
        <v>0.14668745393663324</v>
      </c>
      <c r="L12" s="49">
        <f t="shared" si="8"/>
        <v>0.15618320272185909</v>
      </c>
      <c r="M12" s="50">
        <f t="shared" si="8"/>
        <v>0.16099999999999998</v>
      </c>
      <c r="N12" s="50">
        <f t="shared" si="8"/>
        <v>0.16900000000000001</v>
      </c>
      <c r="O12" s="50">
        <f t="shared" si="8"/>
        <v>0.17599999999999999</v>
      </c>
      <c r="P12" s="50">
        <f t="shared" si="8"/>
        <v>0.18199999999999997</v>
      </c>
      <c r="Q12" s="44"/>
      <c r="R12" s="48" t="s">
        <v>666</v>
      </c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</row>
    <row r="13" spans="1:39">
      <c r="A13" s="51" t="s">
        <v>233</v>
      </c>
      <c r="B13" s="52">
        <f>'Annual P&amp;L'!B21</f>
        <v>3956.27</v>
      </c>
      <c r="C13" s="52">
        <f>'Annual P&amp;L'!C21</f>
        <v>4006.73</v>
      </c>
      <c r="D13" s="52">
        <f>'Annual P&amp;L'!D21</f>
        <v>4292.6099999999997</v>
      </c>
      <c r="E13" s="52">
        <f>'Annual P&amp;L'!E21</f>
        <v>4863.3900000000003</v>
      </c>
      <c r="F13" s="52">
        <f>'Annual P&amp;L'!F21</f>
        <v>4523.42</v>
      </c>
      <c r="G13" s="52">
        <f>'Annual P&amp;L'!G21</f>
        <v>6094.43</v>
      </c>
      <c r="H13" s="52">
        <f>'Annual P&amp;L'!H21</f>
        <v>9242.7900000000009</v>
      </c>
      <c r="I13" s="52">
        <f>'Annual P&amp;L'!I21</f>
        <v>12408.52</v>
      </c>
      <c r="J13" s="52">
        <f>'Annual P&amp;L'!J21</f>
        <v>14476.06</v>
      </c>
      <c r="K13" s="52">
        <f>'Annual P&amp;L'!K21</f>
        <v>18223.080000000002</v>
      </c>
      <c r="L13" s="52">
        <f>'Annual P&amp;L'!L21</f>
        <v>24112.12</v>
      </c>
      <c r="M13" s="53">
        <f>'Annual P&amp;L'!M21</f>
        <v>29224.541311502166</v>
      </c>
      <c r="N13" s="53">
        <f>'Annual P&amp;L'!N21</f>
        <v>36646.312977091751</v>
      </c>
      <c r="O13" s="53">
        <f>'Annual P&amp;L'!O21</f>
        <v>43766.953670613177</v>
      </c>
      <c r="P13" s="53">
        <f>'Annual P&amp;L'!P21</f>
        <v>51604.232645422228</v>
      </c>
      <c r="Q13" s="44"/>
      <c r="R13" s="44" t="s">
        <v>24</v>
      </c>
      <c r="S13" s="49">
        <f t="shared" ref="S13:AG13" si="9">B8</f>
        <v>0.38136884382037006</v>
      </c>
      <c r="T13" s="49">
        <f t="shared" si="9"/>
        <v>0.35666449766696467</v>
      </c>
      <c r="U13" s="49">
        <f t="shared" si="9"/>
        <v>0.35049278060508893</v>
      </c>
      <c r="V13" s="49">
        <f t="shared" si="9"/>
        <v>0.36486854641837146</v>
      </c>
      <c r="W13" s="49">
        <f t="shared" si="9"/>
        <v>0.34112184391307665</v>
      </c>
      <c r="X13" s="49">
        <f t="shared" si="9"/>
        <v>0.33975693714827138</v>
      </c>
      <c r="Y13" s="49">
        <f t="shared" si="9"/>
        <v>0.33642755254742551</v>
      </c>
      <c r="Z13" s="49">
        <f t="shared" si="9"/>
        <v>0.33758804166219597</v>
      </c>
      <c r="AA13" s="49">
        <f t="shared" si="9"/>
        <v>0.33583961532896872</v>
      </c>
      <c r="AB13" s="49">
        <f t="shared" si="9"/>
        <v>0.34046455745621579</v>
      </c>
      <c r="AC13" s="49">
        <f t="shared" si="9"/>
        <v>0.35067958671450805</v>
      </c>
      <c r="AD13" s="50">
        <f t="shared" si="9"/>
        <v>0.35199999999999998</v>
      </c>
      <c r="AE13" s="50">
        <f t="shared" si="9"/>
        <v>0.35599999999999998</v>
      </c>
      <c r="AF13" s="50">
        <f t="shared" si="9"/>
        <v>0.35899999999999999</v>
      </c>
      <c r="AG13" s="50">
        <f t="shared" si="9"/>
        <v>0.36199999999999999</v>
      </c>
    </row>
    <row r="14" spans="1:39">
      <c r="A14" s="44" t="s">
        <v>420</v>
      </c>
      <c r="B14" s="49">
        <f>B13/B5</f>
        <v>0.17109444971329796</v>
      </c>
      <c r="C14" s="49">
        <f t="shared" ref="C14:P14" si="10">C13/C5</f>
        <v>0.13919801670280316</v>
      </c>
      <c r="D14" s="49">
        <f t="shared" si="10"/>
        <v>0.14149737136430296</v>
      </c>
      <c r="E14" s="49">
        <f t="shared" si="10"/>
        <v>0.144488272373164</v>
      </c>
      <c r="F14" s="49">
        <f t="shared" si="10"/>
        <v>0.12685539995423198</v>
      </c>
      <c r="G14" s="49">
        <f t="shared" si="10"/>
        <v>0.14552514298376654</v>
      </c>
      <c r="H14" s="49">
        <f t="shared" si="10"/>
        <v>0.16184908241410143</v>
      </c>
      <c r="I14" s="49">
        <f t="shared" si="10"/>
        <v>0.14859449485737061</v>
      </c>
      <c r="J14" s="49">
        <f t="shared" si="10"/>
        <v>0.14739023337063553</v>
      </c>
      <c r="K14" s="49">
        <f t="shared" si="10"/>
        <v>0.15263851216173399</v>
      </c>
      <c r="L14" s="49">
        <f t="shared" si="10"/>
        <v>0.16348919130411613</v>
      </c>
      <c r="M14" s="50">
        <f t="shared" si="10"/>
        <v>0.16099999999999998</v>
      </c>
      <c r="N14" s="50">
        <f t="shared" si="10"/>
        <v>0.16900000000000001</v>
      </c>
      <c r="O14" s="50">
        <f t="shared" si="10"/>
        <v>0.17699999999999999</v>
      </c>
      <c r="P14" s="50">
        <f t="shared" si="10"/>
        <v>0.18299999999999997</v>
      </c>
      <c r="Q14" s="44"/>
      <c r="R14" s="44" t="s">
        <v>25</v>
      </c>
      <c r="S14" s="49">
        <f t="shared" ref="S14:AG14" si="11">B10</f>
        <v>0.1803833447720071</v>
      </c>
      <c r="T14" s="49">
        <f t="shared" si="11"/>
        <v>0.15770179600818363</v>
      </c>
      <c r="U14" s="49">
        <f t="shared" si="11"/>
        <v>0.1545042477790344</v>
      </c>
      <c r="V14" s="49">
        <f t="shared" si="11"/>
        <v>0.172473611391287</v>
      </c>
      <c r="W14" s="49">
        <f t="shared" si="11"/>
        <v>0.13824468395381914</v>
      </c>
      <c r="X14" s="49">
        <f t="shared" si="11"/>
        <v>0.16309294804445582</v>
      </c>
      <c r="Y14" s="49">
        <f t="shared" si="11"/>
        <v>0.16778387622212579</v>
      </c>
      <c r="Z14" s="49">
        <f t="shared" si="11"/>
        <v>0.18191824004813073</v>
      </c>
      <c r="AA14" s="49">
        <f t="shared" si="11"/>
        <v>0.17556246256333116</v>
      </c>
      <c r="AB14" s="49">
        <f t="shared" si="11"/>
        <v>0.17239457137647204</v>
      </c>
      <c r="AC14" s="49">
        <f t="shared" si="11"/>
        <v>0.18350471971662918</v>
      </c>
      <c r="AD14" s="50">
        <f t="shared" si="11"/>
        <v>0.18799999999999997</v>
      </c>
      <c r="AE14" s="50">
        <f t="shared" si="11"/>
        <v>0.19499999999999998</v>
      </c>
      <c r="AF14" s="50">
        <f t="shared" si="11"/>
        <v>0.20100000000000001</v>
      </c>
      <c r="AG14" s="50">
        <f t="shared" si="11"/>
        <v>0.20599999999999999</v>
      </c>
    </row>
    <row r="15" spans="1:39">
      <c r="A15" s="44" t="s">
        <v>667</v>
      </c>
      <c r="B15" s="46">
        <f>'Annual P&amp;L'!B23</f>
        <v>982.66</v>
      </c>
      <c r="C15" s="46">
        <f>'Annual P&amp;L'!C23</f>
        <v>992.08</v>
      </c>
      <c r="D15" s="46">
        <f>'Annual P&amp;L'!D23</f>
        <v>1061.73</v>
      </c>
      <c r="E15" s="46">
        <f>'Annual P&amp;L'!E23</f>
        <v>1346.6</v>
      </c>
      <c r="F15" s="46">
        <f>'Annual P&amp;L'!F23</f>
        <v>1120.53</v>
      </c>
      <c r="G15" s="46">
        <f>'Annual P&amp;L'!G23</f>
        <v>1587.66</v>
      </c>
      <c r="H15" s="46">
        <f>'Annual P&amp;L'!H23</f>
        <v>2338.9299999999998</v>
      </c>
      <c r="I15" s="46">
        <f>'Annual P&amp;L'!I23</f>
        <v>3197.59</v>
      </c>
      <c r="J15" s="46">
        <f>'Annual P&amp;L'!J23</f>
        <v>3541.15</v>
      </c>
      <c r="K15" s="46">
        <f>'Annual P&amp;L'!K23</f>
        <v>4221.47</v>
      </c>
      <c r="L15" s="46">
        <f>'Annual P&amp;L'!L23</f>
        <v>5460.92</v>
      </c>
      <c r="M15" s="47">
        <f>'Annual P&amp;L'!M23</f>
        <v>6721.6445016454982</v>
      </c>
      <c r="N15" s="47">
        <f>'Annual P&amp;L'!N23</f>
        <v>8428.6519847311029</v>
      </c>
      <c r="O15" s="47">
        <f>'Annual P&amp;L'!O23</f>
        <v>10066.399344241032</v>
      </c>
      <c r="P15" s="47">
        <f>'Annual P&amp;L'!P23</f>
        <v>11868.973508447112</v>
      </c>
      <c r="Q15" s="44"/>
      <c r="R15" s="44" t="s">
        <v>27</v>
      </c>
      <c r="S15" s="49">
        <f t="shared" ref="S15:AG15" si="12">B12</f>
        <v>0.13864364574102928</v>
      </c>
      <c r="T15" s="49">
        <f t="shared" si="12"/>
        <v>0.10593172202016442</v>
      </c>
      <c r="U15" s="49">
        <f t="shared" si="12"/>
        <v>0.10226215288708222</v>
      </c>
      <c r="V15" s="49">
        <f t="shared" si="12"/>
        <v>0.12575532369699885</v>
      </c>
      <c r="W15" s="49">
        <f t="shared" si="12"/>
        <v>9.1702077060795195E-2</v>
      </c>
      <c r="X15" s="49">
        <f t="shared" si="12"/>
        <v>0.12117444401569478</v>
      </c>
      <c r="Y15" s="49">
        <f t="shared" si="12"/>
        <v>0.1387137687440485</v>
      </c>
      <c r="Z15" s="49">
        <f t="shared" si="12"/>
        <v>0.14935827304219867</v>
      </c>
      <c r="AA15" s="49">
        <f t="shared" si="12"/>
        <v>0.14406317431185003</v>
      </c>
      <c r="AB15" s="49">
        <f t="shared" si="12"/>
        <v>0.14668745393663324</v>
      </c>
      <c r="AC15" s="49">
        <f t="shared" si="12"/>
        <v>0.15618320272185909</v>
      </c>
      <c r="AD15" s="50">
        <f t="shared" si="12"/>
        <v>0.16099999999999998</v>
      </c>
      <c r="AE15" s="50">
        <f t="shared" si="12"/>
        <v>0.16900000000000001</v>
      </c>
      <c r="AF15" s="50">
        <f t="shared" si="12"/>
        <v>0.17599999999999999</v>
      </c>
      <c r="AG15" s="50">
        <f t="shared" si="12"/>
        <v>0.18199999999999997</v>
      </c>
    </row>
    <row r="16" spans="1:39">
      <c r="A16" s="51" t="s">
        <v>665</v>
      </c>
      <c r="B16" s="52">
        <f>'Annual P&amp;L'!B25</f>
        <v>2973.61</v>
      </c>
      <c r="C16" s="52">
        <f>'Annual P&amp;L'!C25</f>
        <v>3014.65</v>
      </c>
      <c r="D16" s="52">
        <f>'Annual P&amp;L'!D25</f>
        <v>3230.88</v>
      </c>
      <c r="E16" s="52">
        <f>'Annual P&amp;L'!E25</f>
        <v>3516.79</v>
      </c>
      <c r="F16" s="52">
        <f>'Annual P&amp;L'!F25</f>
        <v>3402.89</v>
      </c>
      <c r="G16" s="52">
        <f>'Annual P&amp;L'!G25</f>
        <v>4506.7700000000004</v>
      </c>
      <c r="H16" s="52">
        <f>'Annual P&amp;L'!H25</f>
        <v>6903.86</v>
      </c>
      <c r="I16" s="52">
        <f>'Annual P&amp;L'!I25</f>
        <v>9210.93</v>
      </c>
      <c r="J16" s="52">
        <f>'Annual P&amp;L'!J25</f>
        <v>10934.91</v>
      </c>
      <c r="K16" s="52">
        <f>'Annual P&amp;L'!K25</f>
        <v>14001.61</v>
      </c>
      <c r="L16" s="52">
        <f>'Annual P&amp;L'!L25</f>
        <v>18651.2</v>
      </c>
      <c r="M16" s="53">
        <f>'Annual P&amp;L'!M25</f>
        <v>22502.896809856669</v>
      </c>
      <c r="N16" s="53">
        <f>'Annual P&amp;L'!N25</f>
        <v>28217.660992360648</v>
      </c>
      <c r="O16" s="53">
        <f>'Annual P&amp;L'!O25</f>
        <v>33700.554326372148</v>
      </c>
      <c r="P16" s="53">
        <f>'Annual P&amp;L'!P25</f>
        <v>39735.259136975117</v>
      </c>
      <c r="Q16" s="44"/>
      <c r="R16" s="44" t="s">
        <v>420</v>
      </c>
      <c r="S16" s="49">
        <f t="shared" ref="S16:AG16" si="13">B14</f>
        <v>0.17109444971329796</v>
      </c>
      <c r="T16" s="49">
        <f t="shared" si="13"/>
        <v>0.13919801670280316</v>
      </c>
      <c r="U16" s="49">
        <f t="shared" si="13"/>
        <v>0.14149737136430296</v>
      </c>
      <c r="V16" s="49">
        <f t="shared" si="13"/>
        <v>0.144488272373164</v>
      </c>
      <c r="W16" s="49">
        <f t="shared" si="13"/>
        <v>0.12685539995423198</v>
      </c>
      <c r="X16" s="49">
        <f t="shared" si="13"/>
        <v>0.14552514298376654</v>
      </c>
      <c r="Y16" s="49">
        <f t="shared" si="13"/>
        <v>0.16184908241410143</v>
      </c>
      <c r="Z16" s="49">
        <f t="shared" si="13"/>
        <v>0.14859449485737061</v>
      </c>
      <c r="AA16" s="49">
        <f t="shared" si="13"/>
        <v>0.14739023337063553</v>
      </c>
      <c r="AB16" s="49">
        <f t="shared" si="13"/>
        <v>0.15263851216173399</v>
      </c>
      <c r="AC16" s="49">
        <f t="shared" si="13"/>
        <v>0.16348919130411613</v>
      </c>
      <c r="AD16" s="50">
        <f t="shared" si="13"/>
        <v>0.16099999999999998</v>
      </c>
      <c r="AE16" s="50">
        <f t="shared" si="13"/>
        <v>0.16900000000000001</v>
      </c>
      <c r="AF16" s="50">
        <f t="shared" si="13"/>
        <v>0.17699999999999999</v>
      </c>
      <c r="AG16" s="50">
        <f t="shared" si="13"/>
        <v>0.18299999999999997</v>
      </c>
    </row>
    <row r="17" spans="1:33">
      <c r="A17" s="51" t="s">
        <v>423</v>
      </c>
      <c r="B17" s="55">
        <f>B16/B5</f>
        <v>0.12859793861691945</v>
      </c>
      <c r="C17" s="55">
        <f t="shared" ref="C17:P17" si="14">C16/C5</f>
        <v>0.10473211348234235</v>
      </c>
      <c r="D17" s="55">
        <f t="shared" si="14"/>
        <v>0.10649954857149828</v>
      </c>
      <c r="E17" s="55">
        <f t="shared" si="14"/>
        <v>0.10448162935713964</v>
      </c>
      <c r="F17" s="55">
        <f t="shared" si="14"/>
        <v>9.5431105656838502E-2</v>
      </c>
      <c r="G17" s="55">
        <f t="shared" si="14"/>
        <v>0.10761438701321527</v>
      </c>
      <c r="H17" s="55">
        <f t="shared" si="14"/>
        <v>0.12089243681998814</v>
      </c>
      <c r="I17" s="55">
        <f t="shared" si="14"/>
        <v>0.11030271865755147</v>
      </c>
      <c r="J17" s="55">
        <f t="shared" si="14"/>
        <v>0.11133546951220816</v>
      </c>
      <c r="K17" s="55">
        <f t="shared" si="14"/>
        <v>0.11727901750246698</v>
      </c>
      <c r="L17" s="55">
        <f t="shared" si="14"/>
        <v>0.12646211137184665</v>
      </c>
      <c r="M17" s="56">
        <f t="shared" si="14"/>
        <v>0.12396999999999998</v>
      </c>
      <c r="N17" s="56">
        <f t="shared" si="14"/>
        <v>0.13013</v>
      </c>
      <c r="O17" s="56">
        <f t="shared" si="14"/>
        <v>0.13628999999999999</v>
      </c>
      <c r="P17" s="56">
        <f t="shared" si="14"/>
        <v>0.14090999999999998</v>
      </c>
      <c r="Q17" s="44"/>
      <c r="R17" s="44" t="s">
        <v>423</v>
      </c>
      <c r="S17" s="49">
        <f t="shared" ref="S17:AG17" si="15">B17</f>
        <v>0.12859793861691945</v>
      </c>
      <c r="T17" s="49">
        <f t="shared" si="15"/>
        <v>0.10473211348234235</v>
      </c>
      <c r="U17" s="49">
        <f t="shared" si="15"/>
        <v>0.10649954857149828</v>
      </c>
      <c r="V17" s="49">
        <f t="shared" si="15"/>
        <v>0.10448162935713964</v>
      </c>
      <c r="W17" s="49">
        <f t="shared" si="15"/>
        <v>9.5431105656838502E-2</v>
      </c>
      <c r="X17" s="49">
        <f t="shared" si="15"/>
        <v>0.10761438701321527</v>
      </c>
      <c r="Y17" s="49">
        <f t="shared" si="15"/>
        <v>0.12089243681998814</v>
      </c>
      <c r="Z17" s="49">
        <f t="shared" si="15"/>
        <v>0.11030271865755147</v>
      </c>
      <c r="AA17" s="49">
        <f t="shared" si="15"/>
        <v>0.11133546951220816</v>
      </c>
      <c r="AB17" s="49">
        <f t="shared" si="15"/>
        <v>0.11727901750246698</v>
      </c>
      <c r="AC17" s="49">
        <f t="shared" si="15"/>
        <v>0.12646211137184665</v>
      </c>
      <c r="AD17" s="50">
        <f t="shared" si="15"/>
        <v>0.12396999999999998</v>
      </c>
      <c r="AE17" s="50">
        <f t="shared" si="15"/>
        <v>0.13013</v>
      </c>
      <c r="AF17" s="50">
        <f t="shared" si="15"/>
        <v>0.13628999999999999</v>
      </c>
      <c r="AG17" s="50">
        <f t="shared" si="15"/>
        <v>0.14090999999999998</v>
      </c>
    </row>
    <row r="18" spans="1:33">
      <c r="A18" s="51" t="s">
        <v>235</v>
      </c>
      <c r="B18" s="57">
        <f>'Annual P&amp;L'!B29</f>
        <v>37.26</v>
      </c>
      <c r="C18" s="57">
        <f>'Annual P&amp;L'!C29</f>
        <v>37.68</v>
      </c>
      <c r="D18" s="57">
        <f>'Annual P&amp;L'!D29</f>
        <v>40.39</v>
      </c>
      <c r="E18" s="57">
        <f>'Annual P&amp;L'!E29</f>
        <v>43.99</v>
      </c>
      <c r="F18" s="57">
        <f>'Annual P&amp;L'!F29</f>
        <v>44.38</v>
      </c>
      <c r="G18" s="57">
        <f>'Annual P&amp;L'!G29</f>
        <v>58.97</v>
      </c>
      <c r="H18" s="57">
        <f>'Annual P&amp;L'!H29</f>
        <v>90.34</v>
      </c>
      <c r="I18" s="57">
        <f>'Annual P&amp;L'!I29</f>
        <v>123.73</v>
      </c>
      <c r="J18" s="57">
        <f>'Annual P&amp;L'!J29</f>
        <v>72.44</v>
      </c>
      <c r="K18" s="57">
        <f>'Annual P&amp;L'!K29</f>
        <v>91.22</v>
      </c>
      <c r="L18" s="57">
        <f>'Annual P&amp;L'!L29</f>
        <v>119.74</v>
      </c>
      <c r="M18" s="58">
        <f>'Annual P&amp;L'!M29</f>
        <v>144.46774813482443</v>
      </c>
      <c r="N18" s="58">
        <f>'Annual P&amp;L'!N29</f>
        <v>181.15631847952216</v>
      </c>
      <c r="O18" s="58">
        <f>'Annual P&amp;L'!O29</f>
        <v>216.35628672899335</v>
      </c>
      <c r="P18" s="58">
        <f>'Annual P&amp;L'!P29</f>
        <v>255.09886382974824</v>
      </c>
      <c r="Q18" s="44"/>
      <c r="R18" s="44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7"/>
      <c r="AE18" s="47"/>
      <c r="AF18" s="47"/>
      <c r="AG18" s="47"/>
    </row>
    <row r="19" spans="1:33">
      <c r="A19" s="51" t="s">
        <v>29</v>
      </c>
      <c r="B19" s="57">
        <f>'Annual P&amp;L'!B30</f>
        <v>37.17</v>
      </c>
      <c r="C19" s="57">
        <f>'Annual P&amp;L'!C30</f>
        <v>37.68</v>
      </c>
      <c r="D19" s="57">
        <f>'Annual P&amp;L'!D30</f>
        <v>40.39</v>
      </c>
      <c r="E19" s="57">
        <f>'Annual P&amp;L'!E30</f>
        <v>43.99</v>
      </c>
      <c r="F19" s="57">
        <f>'Annual P&amp;L'!F30</f>
        <v>44.38</v>
      </c>
      <c r="G19" s="57">
        <f>'Annual P&amp;L'!G30</f>
        <v>58.97</v>
      </c>
      <c r="H19" s="57">
        <f>'Annual P&amp;L'!H30</f>
        <v>90.34</v>
      </c>
      <c r="I19" s="57">
        <f>'Annual P&amp;L'!I30</f>
        <v>120.52</v>
      </c>
      <c r="J19" s="57">
        <f>'Annual P&amp;L'!J30</f>
        <v>71.069999999999993</v>
      </c>
      <c r="K19" s="57">
        <f>'Annual P&amp;L'!K30</f>
        <v>90.24</v>
      </c>
      <c r="L19" s="57">
        <f>'Annual P&amp;L'!L30</f>
        <v>118.87</v>
      </c>
      <c r="M19" s="58">
        <f>'Annual P&amp;L'!M30</f>
        <v>143.41808268570722</v>
      </c>
      <c r="N19" s="58">
        <f>'Annual P&amp;L'!N30</f>
        <v>179.84008332771674</v>
      </c>
      <c r="O19" s="58">
        <f>'Annual P&amp;L'!O30</f>
        <v>214.7842976739222</v>
      </c>
      <c r="P19" s="58">
        <f>'Annual P&amp;L'!P30</f>
        <v>253.24538118792532</v>
      </c>
      <c r="Q19" s="44"/>
      <c r="R19" s="48" t="s">
        <v>668</v>
      </c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</row>
    <row r="20" spans="1:33">
      <c r="A20" s="44" t="s">
        <v>669</v>
      </c>
      <c r="B20" s="59">
        <f>'Annual P&amp;L'!B27</f>
        <v>79.807031669350522</v>
      </c>
      <c r="C20" s="59">
        <f>'Annual P&amp;L'!C27</f>
        <v>80.006634819532906</v>
      </c>
      <c r="D20" s="59">
        <f>'Annual P&amp;L'!D27</f>
        <v>79.99207724684328</v>
      </c>
      <c r="E20" s="59">
        <f>'Annual P&amp;L'!E27</f>
        <v>79.945214821550351</v>
      </c>
      <c r="F20" s="59">
        <f>'Annual P&amp;L'!F27</f>
        <v>76.676205497972049</v>
      </c>
      <c r="G20" s="59">
        <f>'Annual P&amp;L'!G27</f>
        <v>76.424792267254546</v>
      </c>
      <c r="H20" s="59">
        <f>'Annual P&amp;L'!H27</f>
        <v>76.420854549479742</v>
      </c>
      <c r="I20" s="59">
        <f>'Annual P&amp;L'!I27</f>
        <v>74.443788895174976</v>
      </c>
      <c r="J20" s="59">
        <f>'Annual P&amp;L'!J27</f>
        <v>150.95127001656545</v>
      </c>
      <c r="K20" s="59">
        <f>'Annual P&amp;L'!K27</f>
        <v>153.49276474457358</v>
      </c>
      <c r="L20" s="59">
        <f>'Annual P&amp;L'!L27</f>
        <v>155.76415567061969</v>
      </c>
      <c r="M20" s="60">
        <f>'Annual P&amp;L'!M27</f>
        <v>155.76415567061969</v>
      </c>
      <c r="N20" s="60">
        <f>'Annual P&amp;L'!N27</f>
        <v>155.76415567061969</v>
      </c>
      <c r="O20" s="60">
        <f>'Annual P&amp;L'!O27</f>
        <v>155.76415567061969</v>
      </c>
      <c r="P20" s="60">
        <f>'Annual P&amp;L'!P27</f>
        <v>155.76415567061969</v>
      </c>
      <c r="Q20" s="44"/>
      <c r="R20" s="44" t="s">
        <v>670</v>
      </c>
      <c r="S20" s="49">
        <f t="shared" ref="S20:AG20" si="16">B63</f>
        <v>0.1813955502850004</v>
      </c>
      <c r="T20" s="49">
        <f t="shared" si="16"/>
        <v>0.15872735898082571</v>
      </c>
      <c r="U20" s="49">
        <f t="shared" si="16"/>
        <v>0.15188423838108234</v>
      </c>
      <c r="V20" s="49">
        <f t="shared" si="16"/>
        <v>0.14999019055905283</v>
      </c>
      <c r="W20" s="49">
        <f t="shared" si="16"/>
        <v>0.14263367361694726</v>
      </c>
      <c r="X20" s="49">
        <f t="shared" si="16"/>
        <v>0.16120559465973405</v>
      </c>
      <c r="Y20" s="49">
        <f t="shared" si="16"/>
        <v>0.20497057793137027</v>
      </c>
      <c r="Z20" s="49">
        <f t="shared" si="16"/>
        <v>0.23230135699726465</v>
      </c>
      <c r="AA20" s="49">
        <f t="shared" si="16"/>
        <v>0.22056386147870377</v>
      </c>
      <c r="AB20" s="49">
        <f t="shared" si="16"/>
        <v>0.22157724283576763</v>
      </c>
      <c r="AC20" s="49">
        <f t="shared" si="16"/>
        <v>0.23796306514984011</v>
      </c>
      <c r="AD20" s="50">
        <f t="shared" si="16"/>
        <v>0.23788525585166886</v>
      </c>
      <c r="AE20" s="50">
        <f t="shared" si="16"/>
        <v>0.24635393842091965</v>
      </c>
      <c r="AF20" s="50">
        <f t="shared" si="16"/>
        <v>0.24480843069883895</v>
      </c>
      <c r="AG20" s="50">
        <f t="shared" si="16"/>
        <v>0.2416437673601039</v>
      </c>
    </row>
    <row r="21" spans="1:33">
      <c r="A21" s="44" t="s">
        <v>671</v>
      </c>
      <c r="B21" s="59">
        <f>'Annual P&amp;L'!B28</f>
        <v>80.000269034167346</v>
      </c>
      <c r="C21" s="59">
        <f>'Annual P&amp;L'!C28</f>
        <v>80.006634819532906</v>
      </c>
      <c r="D21" s="59">
        <f>'Annual P&amp;L'!D28</f>
        <v>79.99207724684328</v>
      </c>
      <c r="E21" s="59">
        <f>'Annual P&amp;L'!E28</f>
        <v>79.945214821550351</v>
      </c>
      <c r="F21" s="59">
        <f>'Annual P&amp;L'!F28</f>
        <v>76.676205497972049</v>
      </c>
      <c r="G21" s="59">
        <f>'Annual P&amp;L'!G28</f>
        <v>76.424792267254546</v>
      </c>
      <c r="H21" s="59">
        <f>'Annual P&amp;L'!H28</f>
        <v>76.420854549479742</v>
      </c>
      <c r="I21" s="59">
        <f>'Annual P&amp;L'!I28</f>
        <v>76.426568204447406</v>
      </c>
      <c r="J21" s="59">
        <f>'Annual P&amp;L'!J28</f>
        <v>153.86112283663994</v>
      </c>
      <c r="K21" s="59">
        <f>'Annual P&amp;L'!K28</f>
        <v>155.15968528368796</v>
      </c>
      <c r="L21" s="59">
        <f>'Annual P&amp;L'!L28</f>
        <v>156.90418103810885</v>
      </c>
      <c r="M21" s="60">
        <f>'Annual P&amp;L'!M28</f>
        <v>156.90418103810885</v>
      </c>
      <c r="N21" s="60">
        <f>'Annual P&amp;L'!N28</f>
        <v>156.90418103810885</v>
      </c>
      <c r="O21" s="60">
        <f>'Annual P&amp;L'!O28</f>
        <v>156.90418103810885</v>
      </c>
      <c r="P21" s="60">
        <f>'Annual P&amp;L'!P28</f>
        <v>156.90418103810885</v>
      </c>
      <c r="Q21" s="44"/>
      <c r="R21" s="44" t="s">
        <v>672</v>
      </c>
      <c r="S21" s="49">
        <f>IFERROR(B16/B53,0)</f>
        <v>0.14116065990582674</v>
      </c>
      <c r="T21" s="49">
        <f t="shared" ref="T21:AG21" si="17">IFERROR(C16/AVERAGE(B53,C53),0)</f>
        <v>0.13540116184540646</v>
      </c>
      <c r="U21" s="49">
        <f t="shared" si="17"/>
        <v>0.12910003226621727</v>
      </c>
      <c r="V21" s="49">
        <f t="shared" si="17"/>
        <v>0.12754791447432487</v>
      </c>
      <c r="W21" s="49">
        <f t="shared" si="17"/>
        <v>0.11442578123423779</v>
      </c>
      <c r="X21" s="49">
        <f t="shared" si="17"/>
        <v>0.13338191006901323</v>
      </c>
      <c r="Y21" s="49">
        <f t="shared" si="17"/>
        <v>0.15198998307580114</v>
      </c>
      <c r="Z21" s="49">
        <f t="shared" si="17"/>
        <v>0.15234522209020854</v>
      </c>
      <c r="AA21" s="49">
        <f t="shared" si="17"/>
        <v>0.15520732306396964</v>
      </c>
      <c r="AB21" s="49">
        <f t="shared" si="17"/>
        <v>0.17334908317545938</v>
      </c>
      <c r="AC21" s="49">
        <f t="shared" si="17"/>
        <v>0.1854627814067476</v>
      </c>
      <c r="AD21" s="50">
        <f t="shared" si="17"/>
        <v>0.17822626007579462</v>
      </c>
      <c r="AE21" s="50">
        <f t="shared" si="17"/>
        <v>0.18558565707402608</v>
      </c>
      <c r="AF21" s="50">
        <f t="shared" si="17"/>
        <v>0.18770357767432144</v>
      </c>
      <c r="AG21" s="50">
        <f t="shared" si="17"/>
        <v>0.18905065909901403</v>
      </c>
    </row>
    <row r="22" spans="1:33">
      <c r="A22" s="44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7"/>
      <c r="N22" s="47"/>
      <c r="O22" s="47"/>
      <c r="P22" s="47"/>
      <c r="Q22" s="44"/>
      <c r="R22" s="44" t="s">
        <v>673</v>
      </c>
      <c r="S22" s="49">
        <f t="shared" ref="S22:AG22" si="18">B42</f>
        <v>3.811089329339095E-2</v>
      </c>
      <c r="T22" s="49">
        <f t="shared" si="18"/>
        <v>2.3914350799165804E-2</v>
      </c>
      <c r="U22" s="49">
        <f t="shared" si="18"/>
        <v>0.11726164360848773</v>
      </c>
      <c r="V22" s="49">
        <f t="shared" si="18"/>
        <v>0.11717614776967272</v>
      </c>
      <c r="W22" s="49">
        <f t="shared" si="18"/>
        <v>6.9263123533291754E-2</v>
      </c>
      <c r="X22" s="49">
        <f t="shared" si="18"/>
        <v>0.14513783558681609</v>
      </c>
      <c r="Y22" s="49">
        <f t="shared" si="18"/>
        <v>8.0477927051912326E-2</v>
      </c>
      <c r="Z22" s="49">
        <f t="shared" si="18"/>
        <v>6.2565983345851423E-2</v>
      </c>
      <c r="AA22" s="49">
        <f t="shared" si="18"/>
        <v>9.6122551274045634E-2</v>
      </c>
      <c r="AB22" s="49">
        <f t="shared" si="18"/>
        <v>7.707905296691428E-2</v>
      </c>
      <c r="AC22" s="49">
        <f t="shared" si="18"/>
        <v>0.10567545102539258</v>
      </c>
      <c r="AD22" s="50">
        <f t="shared" si="18"/>
        <v>8.9909301468040048E-2</v>
      </c>
      <c r="AE22" s="50">
        <f t="shared" si="18"/>
        <v>0.1336544092221563</v>
      </c>
      <c r="AF22" s="50">
        <f t="shared" si="18"/>
        <v>0.14518859695644284</v>
      </c>
      <c r="AG22" s="50">
        <f t="shared" si="18"/>
        <v>0.15061893889254521</v>
      </c>
    </row>
    <row r="23" spans="1:33">
      <c r="A23" s="44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7"/>
      <c r="N23" s="47"/>
      <c r="O23" s="47"/>
      <c r="P23" s="47"/>
      <c r="Q23" s="44"/>
      <c r="R23" s="44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E23" s="47"/>
      <c r="AF23" s="47"/>
      <c r="AG23" s="47"/>
    </row>
    <row r="24" spans="1:33">
      <c r="A24" s="45" t="s">
        <v>674</v>
      </c>
      <c r="B24" s="61" t="s">
        <v>2</v>
      </c>
      <c r="C24" s="61" t="s">
        <v>3</v>
      </c>
      <c r="D24" s="61" t="s">
        <v>4</v>
      </c>
      <c r="E24" s="61" t="s">
        <v>5</v>
      </c>
      <c r="F24" s="61" t="s">
        <v>6</v>
      </c>
      <c r="G24" s="61" t="s">
        <v>7</v>
      </c>
      <c r="H24" s="61" t="s">
        <v>8</v>
      </c>
      <c r="I24" s="61" t="s">
        <v>9</v>
      </c>
      <c r="J24" s="61" t="s">
        <v>10</v>
      </c>
      <c r="K24" s="61" t="s">
        <v>11</v>
      </c>
      <c r="L24" s="61" t="s">
        <v>12</v>
      </c>
      <c r="M24" s="61" t="s">
        <v>13</v>
      </c>
      <c r="N24" s="61" t="s">
        <v>14</v>
      </c>
      <c r="O24" s="61" t="s">
        <v>15</v>
      </c>
      <c r="P24" s="61" t="s">
        <v>16</v>
      </c>
      <c r="Q24" s="44"/>
      <c r="R24" s="48" t="s">
        <v>675</v>
      </c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</row>
    <row r="25" spans="1:33">
      <c r="A25" s="44" t="s">
        <v>665</v>
      </c>
      <c r="B25" s="46">
        <f>B16</f>
        <v>2973.61</v>
      </c>
      <c r="C25" s="46">
        <f t="shared" ref="C25:P25" si="19">C16</f>
        <v>3014.65</v>
      </c>
      <c r="D25" s="46">
        <f t="shared" si="19"/>
        <v>3230.88</v>
      </c>
      <c r="E25" s="46">
        <f t="shared" si="19"/>
        <v>3516.79</v>
      </c>
      <c r="F25" s="46">
        <f t="shared" si="19"/>
        <v>3402.89</v>
      </c>
      <c r="G25" s="46">
        <f t="shared" si="19"/>
        <v>4506.7700000000004</v>
      </c>
      <c r="H25" s="46">
        <f t="shared" si="19"/>
        <v>6903.86</v>
      </c>
      <c r="I25" s="46">
        <f t="shared" si="19"/>
        <v>9210.93</v>
      </c>
      <c r="J25" s="46">
        <f t="shared" si="19"/>
        <v>10934.91</v>
      </c>
      <c r="K25" s="46">
        <f t="shared" si="19"/>
        <v>14001.61</v>
      </c>
      <c r="L25" s="46">
        <f t="shared" si="19"/>
        <v>18651.2</v>
      </c>
      <c r="M25" s="47">
        <f t="shared" si="19"/>
        <v>22502.896809856669</v>
      </c>
      <c r="N25" s="47">
        <f t="shared" si="19"/>
        <v>28217.660992360648</v>
      </c>
      <c r="O25" s="47">
        <f t="shared" si="19"/>
        <v>33700.554326372148</v>
      </c>
      <c r="P25" s="47">
        <f t="shared" si="19"/>
        <v>39735.259136975117</v>
      </c>
      <c r="Q25" s="44"/>
      <c r="R25" s="44" t="s">
        <v>676</v>
      </c>
      <c r="S25" s="62">
        <f t="shared" ref="S25:AG25" si="20">IFERROR((B55-B46)/B9,0)</f>
        <v>-0.32982023754153628</v>
      </c>
      <c r="T25" s="62">
        <f t="shared" si="20"/>
        <v>-0.317153336931499</v>
      </c>
      <c r="U25" s="62">
        <f t="shared" si="20"/>
        <v>-0.28314772145417311</v>
      </c>
      <c r="V25" s="62">
        <f t="shared" si="20"/>
        <v>-0.29756638692518633</v>
      </c>
      <c r="W25" s="62">
        <f t="shared" si="20"/>
        <v>-0.3043711989353976</v>
      </c>
      <c r="X25" s="62">
        <f t="shared" si="20"/>
        <v>-0.24258618039135307</v>
      </c>
      <c r="Y25" s="62">
        <f t="shared" si="20"/>
        <v>0.25691131782204657</v>
      </c>
      <c r="Z25" s="62">
        <f t="shared" si="20"/>
        <v>8.0903809758907305E-2</v>
      </c>
      <c r="AA25" s="62">
        <f t="shared" si="20"/>
        <v>-0.170728213503203</v>
      </c>
      <c r="AB25" s="62">
        <f t="shared" si="20"/>
        <v>-0.22288683636434309</v>
      </c>
      <c r="AC25" s="62">
        <f t="shared" si="20"/>
        <v>-0.28644772964924015</v>
      </c>
      <c r="AD25" s="63">
        <f t="shared" si="20"/>
        <v>-0.3160805792814777</v>
      </c>
      <c r="AE25" s="63">
        <f t="shared" si="20"/>
        <v>-0.53160947098134459</v>
      </c>
      <c r="AF25" s="63">
        <f t="shared" si="20"/>
        <v>-0.77787520048197534</v>
      </c>
      <c r="AG25" s="63">
        <f t="shared" si="20"/>
        <v>-0.9943519306396561</v>
      </c>
    </row>
    <row r="26" spans="1:33">
      <c r="A26" s="44" t="s">
        <v>229</v>
      </c>
      <c r="B26" s="46">
        <f>'Annual P&amp;L'!B95</f>
        <v>965.16</v>
      </c>
      <c r="C26" s="46">
        <f>'Annual P&amp;L'!C95</f>
        <v>1490.17</v>
      </c>
      <c r="D26" s="46">
        <f>'Annual P&amp;L'!D95</f>
        <v>1584.87</v>
      </c>
      <c r="E26" s="46">
        <f>'Annual P&amp;L'!E95</f>
        <v>1572.51</v>
      </c>
      <c r="F26" s="46">
        <f>'Annual P&amp;L'!F95</f>
        <v>1659.62</v>
      </c>
      <c r="G26" s="46">
        <f>'Annual P&amp;L'!G95</f>
        <v>1755.5</v>
      </c>
      <c r="H26" s="46">
        <f>'Annual P&amp;L'!H95</f>
        <v>1660.12</v>
      </c>
      <c r="I26" s="46">
        <f>'Annual P&amp;L'!I95</f>
        <v>2718.95</v>
      </c>
      <c r="J26" s="46">
        <f>'Annual P&amp;L'!J95</f>
        <v>3093.73</v>
      </c>
      <c r="K26" s="46">
        <f>'Annual P&amp;L'!K95</f>
        <v>3069.1</v>
      </c>
      <c r="L26" s="46">
        <f>'Annual P&amp;L'!L95</f>
        <v>4029.5</v>
      </c>
      <c r="M26" s="47">
        <f>'Annual P&amp;L'!M95</f>
        <v>4901.010033605954</v>
      </c>
      <c r="N26" s="47">
        <f>'Annual P&amp;L'!N95</f>
        <v>5637.8943041679613</v>
      </c>
      <c r="O26" s="47">
        <f>'Annual P&amp;L'!O95</f>
        <v>6181.7731173182465</v>
      </c>
      <c r="P26" s="47">
        <f>'Annual P&amp;L'!P95</f>
        <v>6767.7682157930803</v>
      </c>
      <c r="Q26" s="44"/>
      <c r="R26" s="44" t="s">
        <v>677</v>
      </c>
      <c r="S26" s="62">
        <f t="shared" ref="S26:AG26" si="21">IFERROR(B55/B60,0)</f>
        <v>1.567746154446787E-3</v>
      </c>
      <c r="T26" s="62">
        <f t="shared" si="21"/>
        <v>1.1430749717127116E-3</v>
      </c>
      <c r="U26" s="62">
        <f t="shared" si="21"/>
        <v>7.7801841764686794E-4</v>
      </c>
      <c r="V26" s="62">
        <f t="shared" si="21"/>
        <v>5.1051742668509138E-4</v>
      </c>
      <c r="W26" s="62">
        <f t="shared" si="21"/>
        <v>1.6748576446449868E-2</v>
      </c>
      <c r="X26" s="62">
        <f t="shared" si="21"/>
        <v>2.7270782704371693E-2</v>
      </c>
      <c r="Y26" s="62">
        <f t="shared" si="21"/>
        <v>0.16149895196869563</v>
      </c>
      <c r="Z26" s="62">
        <f t="shared" si="21"/>
        <v>0.14877765330215448</v>
      </c>
      <c r="AA26" s="62">
        <f t="shared" si="21"/>
        <v>7.4253682196224996E-2</v>
      </c>
      <c r="AB26" s="62">
        <f t="shared" si="21"/>
        <v>3.4129574549399321E-2</v>
      </c>
      <c r="AC26" s="62">
        <f t="shared" si="21"/>
        <v>3.823367490212564E-2</v>
      </c>
      <c r="AD26" s="63">
        <f t="shared" si="21"/>
        <v>3.5437815700801373E-2</v>
      </c>
      <c r="AE26" s="63">
        <f t="shared" si="21"/>
        <v>3.2792203749155729E-2</v>
      </c>
      <c r="AF26" s="63">
        <f t="shared" si="21"/>
        <v>3.0774895503041626E-2</v>
      </c>
      <c r="AG26" s="63">
        <f t="shared" si="21"/>
        <v>2.9181252106723701E-2</v>
      </c>
    </row>
    <row r="27" spans="1:33">
      <c r="A27" s="44" t="s">
        <v>678</v>
      </c>
      <c r="B27" s="46">
        <f>B28-B25-B26</f>
        <v>-1398.17</v>
      </c>
      <c r="C27" s="46">
        <f t="shared" ref="C27:P27" si="22">C28-C25-C26</f>
        <v>-1640.7200000000003</v>
      </c>
      <c r="D27" s="46">
        <f t="shared" si="22"/>
        <v>-603.81999999999971</v>
      </c>
      <c r="E27" s="46">
        <f t="shared" si="22"/>
        <v>-766.15999999999963</v>
      </c>
      <c r="F27" s="46">
        <f t="shared" si="22"/>
        <v>-1834.33</v>
      </c>
      <c r="G27" s="46">
        <f t="shared" si="22"/>
        <v>1096.9799999999996</v>
      </c>
      <c r="H27" s="46">
        <f t="shared" si="22"/>
        <v>-114.11999999999898</v>
      </c>
      <c r="I27" s="46">
        <f t="shared" si="22"/>
        <v>-2372.2599999999993</v>
      </c>
      <c r="J27" s="46">
        <f t="shared" si="22"/>
        <v>-1007.5499999999997</v>
      </c>
      <c r="K27" s="46">
        <f t="shared" si="22"/>
        <v>-5501.5500000000011</v>
      </c>
      <c r="L27" s="46">
        <f t="shared" si="22"/>
        <v>-5009.4000000000015</v>
      </c>
      <c r="M27" s="47">
        <f t="shared" si="22"/>
        <v>-8360.8868762975835</v>
      </c>
      <c r="N27" s="47">
        <f t="shared" si="22"/>
        <v>-1837.8648065716752</v>
      </c>
      <c r="O27" s="47">
        <f t="shared" si="22"/>
        <v>-519.61587373249404</v>
      </c>
      <c r="P27" s="47">
        <f t="shared" si="22"/>
        <v>-82.076421328577453</v>
      </c>
      <c r="Q27" s="44"/>
      <c r="R27" s="44" t="s">
        <v>679</v>
      </c>
      <c r="S27" s="62">
        <f t="shared" ref="S27:AG27" si="23">IFERROR((B55-B46)/B60,0)</f>
        <v>-8.3920170609822764E-2</v>
      </c>
      <c r="T27" s="62">
        <f t="shared" si="23"/>
        <v>-7.5801508269260229E-2</v>
      </c>
      <c r="U27" s="62">
        <f t="shared" si="23"/>
        <v>-6.2390495670597811E-2</v>
      </c>
      <c r="V27" s="62">
        <f t="shared" si="23"/>
        <v>-7.3676578466997628E-2</v>
      </c>
      <c r="W27" s="62">
        <f t="shared" si="23"/>
        <v>-6.2890363847084046E-2</v>
      </c>
      <c r="X27" s="62">
        <f t="shared" si="23"/>
        <v>-5.9266736441334553E-2</v>
      </c>
      <c r="Y27" s="62">
        <f t="shared" si="23"/>
        <v>7.3084596611860272E-2</v>
      </c>
      <c r="Z27" s="62">
        <f t="shared" si="23"/>
        <v>3.099636375375215E-2</v>
      </c>
      <c r="AA27" s="62">
        <f t="shared" si="23"/>
        <v>-5.9379668867079065E-2</v>
      </c>
      <c r="AB27" s="62">
        <f t="shared" si="23"/>
        <v>-7.2596024886593197E-2</v>
      </c>
      <c r="AC27" s="62">
        <f t="shared" si="23"/>
        <v>-9.8910352385952527E-2</v>
      </c>
      <c r="AD27" s="63">
        <f t="shared" si="23"/>
        <v>-0.11402670791932071</v>
      </c>
      <c r="AE27" s="63">
        <f t="shared" si="23"/>
        <v>-0.19624988043673702</v>
      </c>
      <c r="AF27" s="63">
        <f t="shared" si="23"/>
        <v>-0.28084607696101666</v>
      </c>
      <c r="AG27" s="63">
        <f t="shared" si="23"/>
        <v>-0.3512700518055582</v>
      </c>
    </row>
    <row r="28" spans="1:33">
      <c r="A28" s="51" t="s">
        <v>376</v>
      </c>
      <c r="B28" s="52">
        <f>'Annual P&amp;L'!B108</f>
        <v>2540.6</v>
      </c>
      <c r="C28" s="52">
        <f>'Annual P&amp;L'!C108</f>
        <v>2864.1</v>
      </c>
      <c r="D28" s="52">
        <f>'Annual P&amp;L'!D108</f>
        <v>4211.93</v>
      </c>
      <c r="E28" s="52">
        <f>'Annual P&amp;L'!E108</f>
        <v>4323.1400000000003</v>
      </c>
      <c r="F28" s="52">
        <f>'Annual P&amp;L'!F108</f>
        <v>3228.18</v>
      </c>
      <c r="G28" s="52">
        <f>'Annual P&amp;L'!G108</f>
        <v>7359.25</v>
      </c>
      <c r="H28" s="52">
        <f>'Annual P&amp;L'!H108</f>
        <v>8449.86</v>
      </c>
      <c r="I28" s="52">
        <f>'Annual P&amp;L'!I108</f>
        <v>9557.6200000000008</v>
      </c>
      <c r="J28" s="52">
        <f>'Annual P&amp;L'!J108</f>
        <v>13021.09</v>
      </c>
      <c r="K28" s="52">
        <f>'Annual P&amp;L'!K108</f>
        <v>11569.16</v>
      </c>
      <c r="L28" s="52">
        <f>'Annual P&amp;L'!L108</f>
        <v>17671.3</v>
      </c>
      <c r="M28" s="53">
        <f>'Annual P&amp;L'!M108</f>
        <v>19043.019967165041</v>
      </c>
      <c r="N28" s="53">
        <f>'Annual P&amp;L'!N108</f>
        <v>32017.690489956934</v>
      </c>
      <c r="O28" s="53">
        <f>'Annual P&amp;L'!O108</f>
        <v>39362.711569957901</v>
      </c>
      <c r="P28" s="53">
        <f>'Annual P&amp;L'!P108</f>
        <v>46420.95093143962</v>
      </c>
      <c r="Q28" s="44"/>
      <c r="R28" s="44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7">
        <f>AJ5</f>
        <v>6828.0802734374993</v>
      </c>
      <c r="AE28" s="47"/>
      <c r="AF28" s="47"/>
      <c r="AG28" s="47"/>
    </row>
    <row r="29" spans="1:33">
      <c r="A29" s="44" t="s">
        <v>680</v>
      </c>
      <c r="B29" s="49">
        <f>B28/B25</f>
        <v>0.85438238370196484</v>
      </c>
      <c r="C29" s="49">
        <f t="shared" ref="C29:P29" si="24">C28/C25</f>
        <v>0.95006053770752819</v>
      </c>
      <c r="D29" s="49">
        <f t="shared" si="24"/>
        <v>1.3036479225474176</v>
      </c>
      <c r="E29" s="49">
        <f t="shared" si="24"/>
        <v>1.2292857975597065</v>
      </c>
      <c r="F29" s="49">
        <f t="shared" si="24"/>
        <v>0.94865834628800816</v>
      </c>
      <c r="G29" s="49">
        <f t="shared" si="24"/>
        <v>1.6329322330627032</v>
      </c>
      <c r="H29" s="49">
        <f t="shared" si="24"/>
        <v>1.2239326985193792</v>
      </c>
      <c r="I29" s="49">
        <f t="shared" si="24"/>
        <v>1.037638978908753</v>
      </c>
      <c r="J29" s="49">
        <f t="shared" si="24"/>
        <v>1.1907816342338438</v>
      </c>
      <c r="K29" s="49">
        <f t="shared" si="24"/>
        <v>0.82627354997032476</v>
      </c>
      <c r="L29" s="49">
        <f t="shared" si="24"/>
        <v>0.94746182551256752</v>
      </c>
      <c r="M29" s="50">
        <f t="shared" si="24"/>
        <v>0.84624749107074337</v>
      </c>
      <c r="N29" s="50">
        <f t="shared" si="24"/>
        <v>1.1346684793833572</v>
      </c>
      <c r="O29" s="50">
        <f t="shared" si="24"/>
        <v>1.1680137717840109</v>
      </c>
      <c r="P29" s="50">
        <f t="shared" si="24"/>
        <v>1.1682559001670942</v>
      </c>
      <c r="Q29" s="44"/>
      <c r="R29" s="48" t="s">
        <v>681</v>
      </c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</row>
    <row r="30" spans="1:33">
      <c r="A30" s="44" t="s">
        <v>382</v>
      </c>
      <c r="B30" s="46">
        <f>'Annual P&amp;L'!B111</f>
        <v>-1659.35</v>
      </c>
      <c r="C30" s="46">
        <f>'Annual P&amp;L'!C111</f>
        <v>-2175.7399999999998</v>
      </c>
      <c r="D30" s="46">
        <f>'Annual P&amp;L'!D111</f>
        <v>-654.55999999999995</v>
      </c>
      <c r="E30" s="46">
        <f>'Annual P&amp;L'!E111</f>
        <v>-379.06</v>
      </c>
      <c r="F30" s="46">
        <f>'Annual P&amp;L'!F111</f>
        <v>-758.39</v>
      </c>
      <c r="G30" s="46">
        <f>'Annual P&amp;L'!G111</f>
        <v>-1281.04</v>
      </c>
      <c r="H30" s="46">
        <f>'Annual P&amp;L'!H111</f>
        <v>-3853.97</v>
      </c>
      <c r="I30" s="46">
        <f>'Annual P&amp;L'!I111</f>
        <v>-4332.99</v>
      </c>
      <c r="J30" s="46">
        <f>'Annual P&amp;L'!J111</f>
        <v>-3580.33</v>
      </c>
      <c r="K30" s="46">
        <f>'Annual P&amp;L'!K111</f>
        <v>-2366.91</v>
      </c>
      <c r="L30" s="46">
        <f>'Annual P&amp;L'!L111</f>
        <v>-2085.81</v>
      </c>
      <c r="M30" s="47">
        <f>'Annual P&amp;L'!M111</f>
        <v>-2722.7833520033078</v>
      </c>
      <c r="N30" s="47">
        <f>'Annual P&amp;L'!N111</f>
        <v>-3035.7892407058257</v>
      </c>
      <c r="O30" s="47">
        <f>'Annual P&amp;L'!O111</f>
        <v>-3461.7929456982179</v>
      </c>
      <c r="P30" s="47">
        <f>'Annual P&amp;L'!P111</f>
        <v>-3947.8647925459636</v>
      </c>
      <c r="Q30" s="44"/>
      <c r="R30" s="44" t="s">
        <v>682</v>
      </c>
      <c r="S30" s="46">
        <f>'People &amp; AI'!B5</f>
        <v>9264</v>
      </c>
      <c r="T30" s="46">
        <f>'People &amp; AI'!C5</f>
        <v>9460</v>
      </c>
      <c r="U30" s="46">
        <f>'People &amp; AI'!D5</f>
        <v>8976</v>
      </c>
      <c r="V30" s="46">
        <f>'People &amp; AI'!E5</f>
        <v>9962</v>
      </c>
      <c r="W30" s="46">
        <f>'People &amp; AI'!F5</f>
        <v>10632</v>
      </c>
      <c r="X30" s="46">
        <f>'People &amp; AI'!G5</f>
        <v>13680</v>
      </c>
      <c r="Y30" s="46">
        <f>'People &amp; AI'!H5</f>
        <v>18599</v>
      </c>
      <c r="Z30" s="46">
        <f>'People &amp; AI'!I5</f>
        <v>22889</v>
      </c>
      <c r="AA30" s="46">
        <f>'People &amp; AI'!J5</f>
        <v>23850</v>
      </c>
      <c r="AB30" s="46">
        <f>'People &amp; AI'!K5</f>
        <v>24594</v>
      </c>
      <c r="AC30" s="46">
        <f>'People &amp; AI'!L5</f>
        <v>27502</v>
      </c>
      <c r="AD30" s="47">
        <f>'People &amp; AI'!M5</f>
        <v>30753.842563226804</v>
      </c>
      <c r="AE30" s="47">
        <f>'People &amp; AI'!N5</f>
        <v>32829.72693624461</v>
      </c>
      <c r="AF30" s="47">
        <f>'People &amp; AI'!O5</f>
        <v>33945.937652076929</v>
      </c>
      <c r="AG30" s="47">
        <f>'People &amp; AI'!P5</f>
        <v>35100.099532247543</v>
      </c>
    </row>
    <row r="31" spans="1:33">
      <c r="A31" s="44" t="s">
        <v>683</v>
      </c>
      <c r="B31" s="46">
        <f>B32-B30</f>
        <v>1289.4199999999998</v>
      </c>
      <c r="C31" s="46">
        <f t="shared" ref="C31:P31" si="25">C32-C30</f>
        <v>-43.610000000000127</v>
      </c>
      <c r="D31" s="46">
        <f t="shared" si="25"/>
        <v>-2819.34</v>
      </c>
      <c r="E31" s="46">
        <f t="shared" si="25"/>
        <v>-1879.9299999999998</v>
      </c>
      <c r="F31" s="46">
        <f t="shared" si="25"/>
        <v>609.94999999999993</v>
      </c>
      <c r="G31" s="46">
        <f t="shared" si="25"/>
        <v>-4135.6899999999996</v>
      </c>
      <c r="H31" s="46">
        <f t="shared" si="25"/>
        <v>-5919.4600000000009</v>
      </c>
      <c r="I31" s="46">
        <f t="shared" si="25"/>
        <v>119.88999999999942</v>
      </c>
      <c r="J31" s="46">
        <f t="shared" si="25"/>
        <v>-2040.5699999999997</v>
      </c>
      <c r="K31" s="46">
        <f t="shared" si="25"/>
        <v>-1977.4300000000003</v>
      </c>
      <c r="L31" s="46">
        <f t="shared" si="25"/>
        <v>-4013.22</v>
      </c>
      <c r="M31" s="47">
        <f t="shared" si="25"/>
        <v>-2308.2011994823229</v>
      </c>
      <c r="N31" s="47">
        <f t="shared" si="25"/>
        <v>-3597.0604334699733</v>
      </c>
      <c r="O31" s="47">
        <f t="shared" si="25"/>
        <v>-3461.499892763914</v>
      </c>
      <c r="P31" s="47">
        <f t="shared" si="25"/>
        <v>-3948.7042000270885</v>
      </c>
      <c r="Q31" s="44"/>
      <c r="R31" s="44" t="s">
        <v>684</v>
      </c>
      <c r="S31" s="46">
        <f>'People &amp; AI'!B6</f>
        <v>0</v>
      </c>
      <c r="T31" s="46">
        <f>'People &amp; AI'!C6</f>
        <v>0</v>
      </c>
      <c r="U31" s="46">
        <f>'People &amp; AI'!D6</f>
        <v>0</v>
      </c>
      <c r="V31" s="46">
        <f>'People &amp; AI'!E6</f>
        <v>0</v>
      </c>
      <c r="W31" s="46">
        <f>'People &amp; AI'!F6</f>
        <v>0</v>
      </c>
      <c r="X31" s="46">
        <f>'People &amp; AI'!G6</f>
        <v>0</v>
      </c>
      <c r="Y31" s="46">
        <f>'People &amp; AI'!H6</f>
        <v>0</v>
      </c>
      <c r="Z31" s="46">
        <f>'People &amp; AI'!I6</f>
        <v>0</v>
      </c>
      <c r="AA31" s="46">
        <f>'People &amp; AI'!J6</f>
        <v>0</v>
      </c>
      <c r="AB31" s="46">
        <f>'People &amp; AI'!K6</f>
        <v>23072</v>
      </c>
      <c r="AC31" s="46">
        <f>'People &amp; AI'!L6</f>
        <v>25849</v>
      </c>
      <c r="AD31" s="47">
        <f>'People &amp; AI'!M6</f>
        <v>28970.119694559649</v>
      </c>
      <c r="AE31" s="47">
        <f>'People &amp; AI'!N6</f>
        <v>30991.26222781491</v>
      </c>
      <c r="AF31" s="47">
        <f>'People &amp; AI'!O6</f>
        <v>32112.857018864772</v>
      </c>
      <c r="AG31" s="47">
        <f>'People &amp; AI'!P6</f>
        <v>33204.694157506172</v>
      </c>
    </row>
    <row r="32" spans="1:33">
      <c r="A32" s="51" t="s">
        <v>378</v>
      </c>
      <c r="B32" s="52">
        <f>'Annual P&amp;L'!B116</f>
        <v>-369.93000000000006</v>
      </c>
      <c r="C32" s="52">
        <f>'Annual P&amp;L'!C116</f>
        <v>-2219.35</v>
      </c>
      <c r="D32" s="52">
        <f>'Annual P&amp;L'!D116</f>
        <v>-3473.9</v>
      </c>
      <c r="E32" s="52">
        <f>'Annual P&amp;L'!E116</f>
        <v>-2258.9899999999998</v>
      </c>
      <c r="F32" s="52">
        <f>'Annual P&amp;L'!F116</f>
        <v>-148.44000000000005</v>
      </c>
      <c r="G32" s="52">
        <f>'Annual P&amp;L'!G116</f>
        <v>-5416.73</v>
      </c>
      <c r="H32" s="52">
        <f>'Annual P&amp;L'!H116</f>
        <v>-9773.43</v>
      </c>
      <c r="I32" s="52">
        <f>'Annual P&amp;L'!I116</f>
        <v>-4213.1000000000004</v>
      </c>
      <c r="J32" s="52">
        <f>'Annual P&amp;L'!J116</f>
        <v>-5620.9</v>
      </c>
      <c r="K32" s="52">
        <f>'Annual P&amp;L'!K116</f>
        <v>-4344.34</v>
      </c>
      <c r="L32" s="52">
        <f>'Annual P&amp;L'!L116</f>
        <v>-6099.03</v>
      </c>
      <c r="M32" s="53">
        <f>'Annual P&amp;L'!M116</f>
        <v>-5030.9845514856306</v>
      </c>
      <c r="N32" s="53">
        <f>'Annual P&amp;L'!N116</f>
        <v>-6632.849674175799</v>
      </c>
      <c r="O32" s="53">
        <f>'Annual P&amp;L'!O116</f>
        <v>-6923.2928384621318</v>
      </c>
      <c r="P32" s="53">
        <f>'Annual P&amp;L'!P116</f>
        <v>-7896.5689925730521</v>
      </c>
      <c r="Q32" s="44"/>
      <c r="R32" s="44" t="s">
        <v>403</v>
      </c>
      <c r="S32" s="49">
        <f>'People &amp; AI'!B9</f>
        <v>0.16400000000000001</v>
      </c>
      <c r="T32" s="49">
        <f>'People &amp; AI'!C9</f>
        <v>0.157</v>
      </c>
      <c r="U32" s="49">
        <f>'People &amp; AI'!D9</f>
        <v>0.14699999999999999</v>
      </c>
      <c r="V32" s="49">
        <f>'People &amp; AI'!E9</f>
        <v>0.16700000000000001</v>
      </c>
      <c r="W32" s="49">
        <f>'People &amp; AI'!F9</f>
        <v>0.14299999999999999</v>
      </c>
      <c r="X32" s="49">
        <f>'People &amp; AI'!G9</f>
        <v>0.11700000000000001</v>
      </c>
      <c r="Y32" s="49">
        <f>'People &amp; AI'!H9</f>
        <v>0.26600000000000001</v>
      </c>
      <c r="Z32" s="49">
        <f>'People &amp; AI'!I9</f>
        <v>0.19800000000000001</v>
      </c>
      <c r="AA32" s="49">
        <f>'People &amp; AI'!J9</f>
        <v>0.115</v>
      </c>
      <c r="AB32" s="49">
        <f>'People &amp; AI'!K9</f>
        <v>0.129</v>
      </c>
      <c r="AC32" s="49">
        <f>'People &amp; AI'!L9</f>
        <v>0.13</v>
      </c>
      <c r="AD32" s="50">
        <f>'People &amp; AI'!M9</f>
        <v>0.127</v>
      </c>
      <c r="AE32" s="50">
        <f>'People &amp; AI'!N9</f>
        <v>0.124</v>
      </c>
      <c r="AF32" s="50">
        <f>'People &amp; AI'!O9</f>
        <v>0.121</v>
      </c>
      <c r="AG32" s="50">
        <f>'People &amp; AI'!P9</f>
        <v>0.11799999999999999</v>
      </c>
    </row>
    <row r="33" spans="1:34">
      <c r="A33" s="44" t="s">
        <v>386</v>
      </c>
      <c r="B33" s="46">
        <f>'Annual P&amp;L'!B122</f>
        <v>-1039.51</v>
      </c>
      <c r="C33" s="46">
        <f>'Annual P&amp;L'!C122</f>
        <v>-480.01</v>
      </c>
      <c r="D33" s="46">
        <f>'Annual P&amp;L'!D122</f>
        <v>-799.79</v>
      </c>
      <c r="E33" s="46">
        <f>'Annual P&amp;L'!E122</f>
        <v>-879.14</v>
      </c>
      <c r="F33" s="46">
        <f>'Annual P&amp;L'!F122</f>
        <v>-1146.3800000000001</v>
      </c>
      <c r="G33" s="46">
        <f>'Annual P&amp;L'!G122</f>
        <v>-1069.95</v>
      </c>
      <c r="H33" s="46">
        <f>'Annual P&amp;L'!H122</f>
        <v>-1987.05</v>
      </c>
      <c r="I33" s="46">
        <f>'Annual P&amp;L'!I122</f>
        <v>-2980.58</v>
      </c>
      <c r="J33" s="46">
        <f>'Annual P&amp;L'!J122</f>
        <v>-4083.62</v>
      </c>
      <c r="K33" s="46">
        <f>'Annual P&amp;L'!K122</f>
        <v>-4600.0600000000004</v>
      </c>
      <c r="L33" s="46">
        <f>'Annual P&amp;L'!L122</f>
        <v>-5790.41</v>
      </c>
      <c r="M33" s="47">
        <f>'Annual P&amp;L'!M122</f>
        <v>-8101.0428515484009</v>
      </c>
      <c r="N33" s="47">
        <f>'Annual P&amp;L'!N122</f>
        <v>-10440.534567173439</v>
      </c>
      <c r="O33" s="47">
        <f>'Annual P&amp;L'!O122</f>
        <v>-12806.210644021416</v>
      </c>
      <c r="P33" s="47">
        <f>'Annual P&amp;L'!P122</f>
        <v>-15496.751063420295</v>
      </c>
      <c r="Q33" s="44"/>
      <c r="R33" s="44" t="s">
        <v>685</v>
      </c>
      <c r="S33" s="49">
        <f>'Bookings &amp; Revenue'!B22/'Bookings &amp; Revenue'!B27</f>
        <v>0</v>
      </c>
      <c r="T33" s="49">
        <f>'Bookings &amp; Revenue'!C22/'Bookings &amp; Revenue'!C27</f>
        <v>0</v>
      </c>
      <c r="U33" s="49">
        <f>'Bookings &amp; Revenue'!D22/'Bookings &amp; Revenue'!D27</f>
        <v>0</v>
      </c>
      <c r="V33" s="49">
        <f>'Bookings &amp; Revenue'!E22/'Bookings &amp; Revenue'!E27</f>
        <v>0</v>
      </c>
      <c r="W33" s="49">
        <f>'Bookings &amp; Revenue'!F22/'Bookings &amp; Revenue'!F27</f>
        <v>0</v>
      </c>
      <c r="X33" s="49">
        <f>'Bookings &amp; Revenue'!G22/'Bookings &amp; Revenue'!G27</f>
        <v>0</v>
      </c>
      <c r="Y33" s="49">
        <f>'Bookings &amp; Revenue'!H22/'Bookings &amp; Revenue'!H27</f>
        <v>0</v>
      </c>
      <c r="Z33" s="49">
        <f>'Bookings &amp; Revenue'!I22/'Bookings &amp; Revenue'!I27</f>
        <v>0</v>
      </c>
      <c r="AA33" s="49">
        <f>'Bookings &amp; Revenue'!J22/'Bookings &amp; Revenue'!J27</f>
        <v>0</v>
      </c>
      <c r="AB33" s="49">
        <f>'Bookings &amp; Revenue'!K22/'Bookings &amp; Revenue'!K27</f>
        <v>0</v>
      </c>
      <c r="AC33" s="49">
        <f>'Bookings &amp; Revenue'!L22/'Bookings &amp; Revenue'!L27</f>
        <v>0</v>
      </c>
      <c r="AD33" s="50">
        <f>'Bookings &amp; Revenue'!M22/'Bookings &amp; Revenue'!M27</f>
        <v>1.388888888888889E-2</v>
      </c>
      <c r="AE33" s="50">
        <f>'Bookings &amp; Revenue'!N22/'Bookings &amp; Revenue'!N27</f>
        <v>1.6617210682492584E-2</v>
      </c>
      <c r="AF33" s="50">
        <f>'Bookings &amp; Revenue'!O22/'Bookings &amp; Revenue'!O27</f>
        <v>1.9501240988062874E-2</v>
      </c>
      <c r="AG33" s="50">
        <f>'Bookings &amp; Revenue'!P22/'Bookings &amp; Revenue'!P27</f>
        <v>2.0344780138776955E-2</v>
      </c>
    </row>
    <row r="34" spans="1:34">
      <c r="A34" s="44" t="s">
        <v>686</v>
      </c>
      <c r="B34" s="46">
        <f>'Annual P&amp;L'!B124</f>
        <v>-226.77999999999997</v>
      </c>
      <c r="C34" s="46">
        <f>'Annual P&amp;L'!C124</f>
        <v>-104.07000000000005</v>
      </c>
      <c r="D34" s="46">
        <f>'Annual P&amp;L'!D124</f>
        <v>-156.35000000000002</v>
      </c>
      <c r="E34" s="46">
        <f>'Annual P&amp;L'!E124</f>
        <v>-717.06000000000006</v>
      </c>
      <c r="F34" s="46">
        <f>'Annual P&amp;L'!F124</f>
        <v>-1856.94</v>
      </c>
      <c r="G34" s="46">
        <f>'Annual P&amp;L'!G124</f>
        <v>-372.65999999999985</v>
      </c>
      <c r="H34" s="46">
        <f>'Annual P&amp;L'!H124</f>
        <v>3809.94</v>
      </c>
      <c r="I34" s="46">
        <f>'Annual P&amp;L'!I124</f>
        <v>-1058.8699999999999</v>
      </c>
      <c r="J34" s="46">
        <f>'Annual P&amp;L'!J124</f>
        <v>-1735.21</v>
      </c>
      <c r="K34" s="46">
        <f>'Annual P&amp;L'!K124</f>
        <v>-1681.9299999999994</v>
      </c>
      <c r="L34" s="46">
        <f>'Annual P&amp;L'!L124</f>
        <v>-1691.3500000000004</v>
      </c>
      <c r="M34" s="47">
        <f>'Annual P&amp;L'!M124</f>
        <v>0</v>
      </c>
      <c r="N34" s="47">
        <f>'Annual P&amp;L'!N124</f>
        <v>0</v>
      </c>
      <c r="O34" s="47">
        <f>'Annual P&amp;L'!O124</f>
        <v>0</v>
      </c>
      <c r="P34" s="47">
        <f>'Annual P&amp;L'!P124</f>
        <v>0</v>
      </c>
      <c r="Q34" s="44"/>
      <c r="R34" s="44" t="s">
        <v>687</v>
      </c>
      <c r="S34" s="64" t="str">
        <f>IFERROR('Annual P&amp;L'!B5/Summary!S31,"")</f>
        <v/>
      </c>
      <c r="T34" s="64" t="str">
        <f>IFERROR('Annual P&amp;L'!C5/Summary!T31,"")</f>
        <v/>
      </c>
      <c r="U34" s="64" t="str">
        <f>IFERROR('Annual P&amp;L'!D5/Summary!U31,"")</f>
        <v/>
      </c>
      <c r="V34" s="64" t="str">
        <f>IFERROR('Annual P&amp;L'!E5/Summary!V31,"")</f>
        <v/>
      </c>
      <c r="W34" s="64" t="str">
        <f>IFERROR('Annual P&amp;L'!F5/Summary!W31,"")</f>
        <v/>
      </c>
      <c r="X34" s="64" t="str">
        <f>IFERROR('Annual P&amp;L'!G5/Summary!X31,"")</f>
        <v/>
      </c>
      <c r="Y34" s="64" t="str">
        <f>IFERROR('Annual P&amp;L'!H5/Summary!Y31,"")</f>
        <v/>
      </c>
      <c r="Z34" s="64" t="str">
        <f>IFERROR('Annual P&amp;L'!I5/Summary!Z31,"")</f>
        <v/>
      </c>
      <c r="AA34" s="64" t="str">
        <f>IFERROR('Annual P&amp;L'!J5/Summary!AA31,"")</f>
        <v/>
      </c>
      <c r="AB34" s="64">
        <f>IFERROR('Annual P&amp;L'!K5/Summary!AB31,"")</f>
        <v>5.1745479368932035</v>
      </c>
      <c r="AC34" s="64">
        <f>IFERROR('Annual P&amp;L'!L5/Summary!AC31,"")</f>
        <v>5.7056168517157335</v>
      </c>
      <c r="AD34" s="65">
        <f>IFERROR('Annual P&amp;L'!M5/Summary!AD31,"")</f>
        <v>6.2657280000000002</v>
      </c>
      <c r="AE34" s="65">
        <f>IFERROR('Annual P&amp;L'!N5/Summary!AE31,"")</f>
        <v>6.99687825</v>
      </c>
      <c r="AF34" s="65">
        <f>IFERROR('Annual P&amp;L'!O5/Summary!AF31,"")</f>
        <v>7.7000599649999986</v>
      </c>
      <c r="AG34" s="65">
        <f>IFERROR('Annual P&amp;L'!P5/Summary!AG31,"")</f>
        <v>8.4924842550000008</v>
      </c>
    </row>
    <row r="35" spans="1:34">
      <c r="A35" s="44" t="s">
        <v>688</v>
      </c>
      <c r="B35" s="46">
        <f>B36-B33-B34</f>
        <v>0</v>
      </c>
      <c r="C35" s="46">
        <f t="shared" ref="C35:P35" si="26">C36-C33-C34</f>
        <v>0</v>
      </c>
      <c r="D35" s="46">
        <f t="shared" si="26"/>
        <v>0</v>
      </c>
      <c r="E35" s="46">
        <f t="shared" si="26"/>
        <v>0</v>
      </c>
      <c r="F35" s="46">
        <f t="shared" si="26"/>
        <v>0</v>
      </c>
      <c r="G35" s="46">
        <f t="shared" si="26"/>
        <v>0</v>
      </c>
      <c r="H35" s="46">
        <f t="shared" si="26"/>
        <v>0</v>
      </c>
      <c r="I35" s="46">
        <f t="shared" si="26"/>
        <v>0</v>
      </c>
      <c r="J35" s="46">
        <f t="shared" si="26"/>
        <v>0</v>
      </c>
      <c r="K35" s="46">
        <f t="shared" si="26"/>
        <v>0</v>
      </c>
      <c r="L35" s="46">
        <f t="shared" si="26"/>
        <v>0</v>
      </c>
      <c r="M35" s="47">
        <f t="shared" si="26"/>
        <v>-2521.457340801323</v>
      </c>
      <c r="N35" s="47">
        <f t="shared" si="26"/>
        <v>-2848.2500021317283</v>
      </c>
      <c r="O35" s="47">
        <f t="shared" si="26"/>
        <v>-2969.9191186096468</v>
      </c>
      <c r="P35" s="47">
        <f t="shared" si="26"/>
        <v>-3365.2596323039434</v>
      </c>
      <c r="Q35" s="44"/>
      <c r="R35" s="44" t="s">
        <v>689</v>
      </c>
      <c r="S35" s="66">
        <f>AC37</f>
        <v>4877.2001953125</v>
      </c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8"/>
      <c r="AE35" s="68"/>
      <c r="AF35" s="68"/>
      <c r="AG35" s="68"/>
    </row>
    <row r="36" spans="1:34">
      <c r="A36" s="51" t="s">
        <v>380</v>
      </c>
      <c r="B36" s="52">
        <f>'Annual P&amp;L'!B125</f>
        <v>-1266.29</v>
      </c>
      <c r="C36" s="52">
        <f>'Annual P&amp;L'!C125</f>
        <v>-584.08000000000004</v>
      </c>
      <c r="D36" s="52">
        <f>'Annual P&amp;L'!D125</f>
        <v>-956.14</v>
      </c>
      <c r="E36" s="52">
        <f>'Annual P&amp;L'!E125</f>
        <v>-1596.2</v>
      </c>
      <c r="F36" s="52">
        <f>'Annual P&amp;L'!F125</f>
        <v>-3003.32</v>
      </c>
      <c r="G36" s="52">
        <f>'Annual P&amp;L'!G125</f>
        <v>-1442.61</v>
      </c>
      <c r="H36" s="52">
        <f>'Annual P&amp;L'!H125</f>
        <v>1822.89</v>
      </c>
      <c r="I36" s="52">
        <f>'Annual P&amp;L'!I125</f>
        <v>-4039.45</v>
      </c>
      <c r="J36" s="52">
        <f>'Annual P&amp;L'!J125</f>
        <v>-5818.83</v>
      </c>
      <c r="K36" s="52">
        <f>'Annual P&amp;L'!K125</f>
        <v>-6281.99</v>
      </c>
      <c r="L36" s="52">
        <f>'Annual P&amp;L'!L125</f>
        <v>-7481.76</v>
      </c>
      <c r="M36" s="53">
        <f>'Annual P&amp;L'!M125</f>
        <v>-10622.500192349724</v>
      </c>
      <c r="N36" s="53">
        <f>'Annual P&amp;L'!N125</f>
        <v>-13288.784569305168</v>
      </c>
      <c r="O36" s="53">
        <f>'Annual P&amp;L'!O125</f>
        <v>-15776.129762631062</v>
      </c>
      <c r="P36" s="53">
        <f>'Annual P&amp;L'!P125</f>
        <v>-18862.010695724239</v>
      </c>
      <c r="Q36" s="44"/>
      <c r="R36" s="48" t="s">
        <v>690</v>
      </c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</row>
    <row r="37" spans="1:34">
      <c r="A37" s="44" t="s">
        <v>691</v>
      </c>
      <c r="B37" s="46">
        <f>'Annual P&amp;L'!B128</f>
        <v>-491.11</v>
      </c>
      <c r="C37" s="46">
        <f>'Annual P&amp;L'!C128</f>
        <v>-0.68999999999994088</v>
      </c>
      <c r="D37" s="46">
        <f>'Annual P&amp;L'!D128</f>
        <v>100.4499999999997</v>
      </c>
      <c r="E37" s="46">
        <f>'Annual P&amp;L'!E128</f>
        <v>-72.220000000000482</v>
      </c>
      <c r="F37" s="46">
        <f>'Annual P&amp;L'!F128</f>
        <v>84.120000000000346</v>
      </c>
      <c r="G37" s="46">
        <f>'Annual P&amp;L'!G128</f>
        <v>19.399999999999636</v>
      </c>
      <c r="H37" s="46">
        <f>'Annual P&amp;L'!H128</f>
        <v>59.369999999999209</v>
      </c>
      <c r="I37" s="46">
        <f>'Annual P&amp;L'!I128</f>
        <v>387.05999999999949</v>
      </c>
      <c r="J37" s="46">
        <f>'Annual P&amp;L'!J128</f>
        <v>373.66999999999916</v>
      </c>
      <c r="K37" s="46">
        <f>'Annual P&amp;L'!K128</f>
        <v>-823.91999999999916</v>
      </c>
      <c r="L37" s="46">
        <f>'Annual P&amp;L'!L128</f>
        <v>-85.420000000000982</v>
      </c>
      <c r="M37" s="47">
        <f>'Annual P&amp;L'!M128</f>
        <v>0</v>
      </c>
      <c r="N37" s="47">
        <f>'Annual P&amp;L'!N128</f>
        <v>0</v>
      </c>
      <c r="O37" s="47">
        <f>'Annual P&amp;L'!O128</f>
        <v>0</v>
      </c>
      <c r="P37" s="47">
        <f>'Annual P&amp;L'!P128</f>
        <v>0</v>
      </c>
      <c r="Q37" s="44"/>
      <c r="R37" s="44" t="s">
        <v>692</v>
      </c>
      <c r="S37" s="69">
        <v>381.07501220703125</v>
      </c>
      <c r="T37" s="69">
        <v>297.85000610351563</v>
      </c>
      <c r="U37" s="69">
        <v>347.02499389648438</v>
      </c>
      <c r="V37" s="69">
        <v>318.39999389648438</v>
      </c>
      <c r="W37" s="69">
        <v>275.47500610351563</v>
      </c>
      <c r="X37" s="69">
        <v>961.0250244140625</v>
      </c>
      <c r="Y37" s="69">
        <v>2382.64990234375</v>
      </c>
      <c r="Z37" s="69">
        <v>2304.75</v>
      </c>
      <c r="AA37" s="69">
        <v>3984.550048828125</v>
      </c>
      <c r="AB37" s="69">
        <v>5513.75</v>
      </c>
      <c r="AC37" s="69">
        <v>4877.2001953125</v>
      </c>
      <c r="AD37" s="70">
        <f>AJ5</f>
        <v>6828.0802734374993</v>
      </c>
      <c r="AE37" s="70">
        <f t="shared" ref="AE37:AG37" si="27">AK5</f>
        <v>7852.2923144531233</v>
      </c>
      <c r="AF37" s="70">
        <f t="shared" si="27"/>
        <v>9030.1361616210907</v>
      </c>
      <c r="AG37" s="70">
        <f t="shared" si="27"/>
        <v>9933.149777783201</v>
      </c>
    </row>
    <row r="38" spans="1:34">
      <c r="A38" s="51" t="s">
        <v>693</v>
      </c>
      <c r="B38" s="52">
        <f>'Annual P&amp;L'!B127+'Annual P&amp;L'!B128</f>
        <v>413.2700000000001</v>
      </c>
      <c r="C38" s="52">
        <f>'Annual P&amp;L'!C127+'Annual P&amp;L'!C128</f>
        <v>59.980000000000018</v>
      </c>
      <c r="D38" s="52">
        <f>'Annual P&amp;L'!D127+'Annual P&amp;L'!D128</f>
        <v>-117.66000000000008</v>
      </c>
      <c r="E38" s="52">
        <f>'Annual P&amp;L'!E127+'Annual P&amp;L'!E128</f>
        <v>395.73</v>
      </c>
      <c r="F38" s="52">
        <f>'Annual P&amp;L'!F127+'Annual P&amp;L'!F128</f>
        <v>160.53999999999996</v>
      </c>
      <c r="G38" s="52">
        <f>'Annual P&amp;L'!G127+'Annual P&amp;L'!G128</f>
        <v>519.31000000000017</v>
      </c>
      <c r="H38" s="52">
        <f>'Annual P&amp;L'!H127+'Annual P&amp;L'!H128</f>
        <v>558.6899999999996</v>
      </c>
      <c r="I38" s="52">
        <f>'Annual P&amp;L'!I127+'Annual P&amp;L'!I128</f>
        <v>1692.13</v>
      </c>
      <c r="J38" s="52">
        <f>'Annual P&amp;L'!J127+'Annual P&amp;L'!J128</f>
        <v>1955.0299999999997</v>
      </c>
      <c r="K38" s="52">
        <f>'Annual P&amp;L'!K127+'Annual P&amp;L'!K128</f>
        <v>118.91000000000076</v>
      </c>
      <c r="L38" s="52">
        <f>'Annual P&amp;L'!L127+'Annual P&amp;L'!L128</f>
        <v>4005.0899999999992</v>
      </c>
      <c r="M38" s="53">
        <f>'Annual P&amp;L'!M127+'Annual P&amp;L'!M128</f>
        <v>3389.5352233296853</v>
      </c>
      <c r="N38" s="53">
        <f>'Annual P&amp;L'!N127+'Annual P&amp;L'!N128</f>
        <v>12096.056246475968</v>
      </c>
      <c r="O38" s="53">
        <f>'Annual P&amp;L'!O127+'Annual P&amp;L'!O128</f>
        <v>16663.288968864705</v>
      </c>
      <c r="P38" s="53">
        <f>'Annual P&amp;L'!P127+'Annual P&amp;L'!P128</f>
        <v>19662.371243142326</v>
      </c>
      <c r="Q38" s="44"/>
      <c r="R38" s="44" t="s">
        <v>530</v>
      </c>
      <c r="S38" s="46">
        <f t="shared" ref="S38:AG38" si="28">IF(S37&gt;0,S37*B21,0)</f>
        <v>30486.103498761106</v>
      </c>
      <c r="T38" s="46">
        <f t="shared" si="28"/>
        <v>23829.976669319622</v>
      </c>
      <c r="U38" s="46">
        <f t="shared" si="28"/>
        <v>27759.250118352895</v>
      </c>
      <c r="V38" s="46">
        <f t="shared" si="28"/>
        <v>25454.555911234766</v>
      </c>
      <c r="W38" s="46">
        <f t="shared" si="28"/>
        <v>21122.378177548268</v>
      </c>
      <c r="X38" s="46">
        <f t="shared" si="28"/>
        <v>73446.137854477958</v>
      </c>
      <c r="Y38" s="46">
        <f t="shared" si="28"/>
        <v>182084.14162934382</v>
      </c>
      <c r="Z38" s="46">
        <f t="shared" si="28"/>
        <v>176144.13306920015</v>
      </c>
      <c r="AA38" s="46">
        <f t="shared" si="28"/>
        <v>613067.3445114838</v>
      </c>
      <c r="AB38" s="46">
        <f t="shared" si="28"/>
        <v>855511.71473293449</v>
      </c>
      <c r="AC38" s="46">
        <f t="shared" si="28"/>
        <v>765253.10240441235</v>
      </c>
      <c r="AD38" s="47">
        <f t="shared" si="28"/>
        <v>1071354.3433661771</v>
      </c>
      <c r="AE38" s="47">
        <f t="shared" si="28"/>
        <v>1232057.4948711037</v>
      </c>
      <c r="AF38" s="47">
        <f t="shared" si="28"/>
        <v>1416866.1191017688</v>
      </c>
      <c r="AG38" s="47">
        <f t="shared" si="28"/>
        <v>1558552.731011946</v>
      </c>
      <c r="AH38" s="71"/>
    </row>
    <row r="39" spans="1:34">
      <c r="A39" s="44" t="s">
        <v>396</v>
      </c>
      <c r="B39" s="46">
        <f>'Annual P&amp;L'!B129</f>
        <v>988.13</v>
      </c>
      <c r="C39" s="46">
        <f>'Annual P&amp;L'!C129</f>
        <v>1401.4</v>
      </c>
      <c r="D39" s="46">
        <f>'Annual P&amp;L'!D129</f>
        <v>1461.38</v>
      </c>
      <c r="E39" s="46">
        <f>'Annual P&amp;L'!E129</f>
        <v>1343.72</v>
      </c>
      <c r="F39" s="46">
        <f>'Annual P&amp;L'!F129</f>
        <v>1739.45</v>
      </c>
      <c r="G39" s="46">
        <f>'Annual P&amp;L'!G129</f>
        <v>1899.99</v>
      </c>
      <c r="H39" s="46">
        <f>'Annual P&amp;L'!H129</f>
        <v>2419.3000000000002</v>
      </c>
      <c r="I39" s="46">
        <f>'Annual P&amp;L'!I129</f>
        <v>2977.99</v>
      </c>
      <c r="J39" s="46">
        <f>'Annual P&amp;L'!J129</f>
        <v>4670.12</v>
      </c>
      <c r="K39" s="46">
        <f>'Annual P&amp;L'!K129</f>
        <v>6625.15</v>
      </c>
      <c r="L39" s="46">
        <f>'Annual P&amp;L'!L129</f>
        <v>6744.06</v>
      </c>
      <c r="M39" s="47">
        <f>'Annual P&amp;L'!M129</f>
        <v>10749.15</v>
      </c>
      <c r="N39" s="47">
        <f>'Annual P&amp;L'!N129</f>
        <v>14138.685223329685</v>
      </c>
      <c r="O39" s="47">
        <f>'Annual P&amp;L'!O129</f>
        <v>26234.741469805653</v>
      </c>
      <c r="P39" s="47">
        <f>'Annual P&amp;L'!P129</f>
        <v>42898.030438670357</v>
      </c>
      <c r="Q39" s="44"/>
      <c r="R39" s="44" t="s">
        <v>533</v>
      </c>
      <c r="S39" s="46">
        <f t="shared" ref="S39:AG39" si="29">IF(S37&gt;0,S38+B55-B46,0)</f>
        <v>29110.403498761105</v>
      </c>
      <c r="T39" s="46">
        <f t="shared" si="29"/>
        <v>22390.30666931962</v>
      </c>
      <c r="U39" s="46">
        <f t="shared" si="29"/>
        <v>26432.080118352893</v>
      </c>
      <c r="V39" s="46">
        <f t="shared" si="29"/>
        <v>23727.075911234766</v>
      </c>
      <c r="W39" s="46">
        <f t="shared" si="29"/>
        <v>19621.968177548268</v>
      </c>
      <c r="X39" s="46">
        <f t="shared" si="29"/>
        <v>71789.237854477949</v>
      </c>
      <c r="Y39" s="46">
        <f t="shared" si="29"/>
        <v>184545.79162934382</v>
      </c>
      <c r="Z39" s="46">
        <f t="shared" si="29"/>
        <v>177373.16306920015</v>
      </c>
      <c r="AA39" s="46">
        <f t="shared" si="29"/>
        <v>610123.4745114838</v>
      </c>
      <c r="AB39" s="46">
        <f t="shared" si="29"/>
        <v>850924.32473293447</v>
      </c>
      <c r="AC39" s="46">
        <f t="shared" si="29"/>
        <v>757500.65240441228</v>
      </c>
      <c r="AD39" s="47">
        <f t="shared" si="29"/>
        <v>1060567.9193287157</v>
      </c>
      <c r="AE39" s="47">
        <f t="shared" si="29"/>
        <v>1209578.8098074477</v>
      </c>
      <c r="AF39" s="47">
        <f t="shared" si="29"/>
        <v>1378204.5891579059</v>
      </c>
      <c r="AG39" s="47">
        <f t="shared" si="29"/>
        <v>1500790.8169016091</v>
      </c>
    </row>
    <row r="40" spans="1:34">
      <c r="A40" s="51" t="s">
        <v>32</v>
      </c>
      <c r="B40" s="52">
        <f>[1]Annual_Statements!B97</f>
        <v>326970</v>
      </c>
      <c r="C40" s="52">
        <f>[1]Annual_Statements!C97</f>
        <v>226250</v>
      </c>
      <c r="D40" s="52">
        <f>[1]Annual_Statements!D97</f>
        <v>198180</v>
      </c>
      <c r="E40" s="52">
        <f>[1]Annual_Statements!E97</f>
        <v>195680</v>
      </c>
      <c r="F40" s="52">
        <f>[1]Annual_Statements!F97</f>
        <v>186490</v>
      </c>
      <c r="G40" s="52">
        <f>[1]Annual_Statements!G97</f>
        <v>247140</v>
      </c>
      <c r="H40" s="52">
        <f>[1]Annual_Statements!H97</f>
        <v>174720</v>
      </c>
      <c r="I40" s="52">
        <f>[1]Annual_Statements!I97</f>
        <v>121729.99999999997</v>
      </c>
      <c r="J40" s="52">
        <f>[1]Annual_Statements!J97</f>
        <v>147860</v>
      </c>
      <c r="K40" s="52">
        <f>[1]Annual_Statements!K97</f>
        <v>244550</v>
      </c>
      <c r="L40" s="52">
        <f>[1]Annual_Statements!L97</f>
        <v>222010</v>
      </c>
      <c r="M40" s="53">
        <f>[1]Annual_Statements!M97</f>
        <v>270955.2188590531</v>
      </c>
      <c r="N40" s="53">
        <f>[1]Annual_Statements!N97</f>
        <v>321228.59473048092</v>
      </c>
      <c r="O40" s="53">
        <f>[1]Annual_Statements!O97</f>
        <v>378075.80340616213</v>
      </c>
      <c r="P40" s="53">
        <f>[1]Annual_Statements!P97</f>
        <v>441280.72273314546</v>
      </c>
      <c r="Q40" s="44"/>
      <c r="R40" s="44" t="s">
        <v>694</v>
      </c>
      <c r="S40" s="62">
        <f t="shared" ref="S40:AG40" si="30">IF(S37&gt;0,IFERROR(S37/B19,0),0)</f>
        <v>10.252219860291397</v>
      </c>
      <c r="T40" s="62">
        <f t="shared" si="30"/>
        <v>7.9047241534903296</v>
      </c>
      <c r="U40" s="62">
        <f t="shared" si="30"/>
        <v>8.5918542682962205</v>
      </c>
      <c r="V40" s="62">
        <f t="shared" si="30"/>
        <v>7.2380084995790943</v>
      </c>
      <c r="W40" s="62">
        <f t="shared" si="30"/>
        <v>6.2071880600161249</v>
      </c>
      <c r="X40" s="62">
        <f t="shared" si="30"/>
        <v>16.296846267832162</v>
      </c>
      <c r="Y40" s="62">
        <f t="shared" si="30"/>
        <v>26.374251741684191</v>
      </c>
      <c r="Z40" s="62">
        <f t="shared" si="30"/>
        <v>19.123382011284434</v>
      </c>
      <c r="AA40" s="62">
        <f t="shared" si="30"/>
        <v>56.065147725174128</v>
      </c>
      <c r="AB40" s="62">
        <f t="shared" si="30"/>
        <v>61.100953014184398</v>
      </c>
      <c r="AC40" s="62">
        <f t="shared" si="30"/>
        <v>41.029697949966348</v>
      </c>
      <c r="AD40" s="63">
        <f t="shared" si="30"/>
        <v>47.609618993449097</v>
      </c>
      <c r="AE40" s="63">
        <f t="shared" si="30"/>
        <v>43.662637211661796</v>
      </c>
      <c r="AF40" s="63">
        <f t="shared" si="30"/>
        <v>42.04281346176581</v>
      </c>
      <c r="AG40" s="63">
        <f t="shared" si="30"/>
        <v>39.223419322353315</v>
      </c>
    </row>
    <row r="41" spans="1:34">
      <c r="A41" s="51" t="s">
        <v>31</v>
      </c>
      <c r="B41" s="52">
        <f t="shared" ref="B41:P41" si="31">B28+B30</f>
        <v>881.25</v>
      </c>
      <c r="C41" s="52">
        <f t="shared" ref="C41:P41" si="32">C28+C30</f>
        <v>688.36000000000013</v>
      </c>
      <c r="D41" s="52">
        <f t="shared" si="32"/>
        <v>3557.3700000000003</v>
      </c>
      <c r="E41" s="52">
        <f t="shared" si="32"/>
        <v>3944.0800000000004</v>
      </c>
      <c r="F41" s="52">
        <f t="shared" si="32"/>
        <v>2469.79</v>
      </c>
      <c r="G41" s="52">
        <f t="shared" si="32"/>
        <v>6078.21</v>
      </c>
      <c r="H41" s="52">
        <f t="shared" si="32"/>
        <v>4595.8900000000012</v>
      </c>
      <c r="I41" s="52">
        <f t="shared" si="32"/>
        <v>5224.630000000001</v>
      </c>
      <c r="J41" s="52">
        <f t="shared" si="32"/>
        <v>9440.76</v>
      </c>
      <c r="K41" s="52">
        <f t="shared" si="32"/>
        <v>9202.25</v>
      </c>
      <c r="L41" s="52">
        <f t="shared" si="32"/>
        <v>15585.49</v>
      </c>
      <c r="M41" s="53">
        <f t="shared" si="32"/>
        <v>16320.236615161733</v>
      </c>
      <c r="N41" s="53">
        <f t="shared" si="32"/>
        <v>28981.90124925111</v>
      </c>
      <c r="O41" s="53">
        <f t="shared" si="32"/>
        <v>35900.918624259684</v>
      </c>
      <c r="P41" s="53">
        <f t="shared" si="32"/>
        <v>42473.086138893654</v>
      </c>
      <c r="Q41" s="44"/>
      <c r="R41" s="44" t="s">
        <v>42</v>
      </c>
      <c r="S41" s="62">
        <f t="shared" ref="S41:AG41" si="33">IF(S37&gt;0,IFERROR(S39/B9,0),0)</f>
        <v>6.97913803655692</v>
      </c>
      <c r="T41" s="62">
        <f t="shared" si="33"/>
        <v>4.9324918037427423</v>
      </c>
      <c r="U41" s="62">
        <f t="shared" si="33"/>
        <v>5.6392046676806826</v>
      </c>
      <c r="V41" s="62">
        <f t="shared" si="33"/>
        <v>4.0870981147137755</v>
      </c>
      <c r="W41" s="62">
        <f t="shared" si="33"/>
        <v>3.9804866534297862</v>
      </c>
      <c r="X41" s="62">
        <f t="shared" si="33"/>
        <v>10.510638544465049</v>
      </c>
      <c r="Y41" s="62">
        <f t="shared" si="33"/>
        <v>19.260212672803828</v>
      </c>
      <c r="Z41" s="62">
        <f t="shared" si="33"/>
        <v>11.676008430458333</v>
      </c>
      <c r="AA41" s="62">
        <f t="shared" si="33"/>
        <v>35.383794399790979</v>
      </c>
      <c r="AB41" s="62">
        <f t="shared" si="33"/>
        <v>41.343733740795678</v>
      </c>
      <c r="AC41" s="62">
        <f t="shared" si="33"/>
        <v>27.989131447356915</v>
      </c>
      <c r="AD41" s="63">
        <f t="shared" si="33"/>
        <v>31.078411264430677</v>
      </c>
      <c r="AE41" s="63">
        <f t="shared" si="33"/>
        <v>28.605923761600966</v>
      </c>
      <c r="AF41" s="63">
        <f t="shared" si="33"/>
        <v>27.729662345309372</v>
      </c>
      <c r="AG41" s="63">
        <f t="shared" si="33"/>
        <v>25.83560931553901</v>
      </c>
    </row>
    <row r="42" spans="1:34">
      <c r="A42" s="44" t="s">
        <v>673</v>
      </c>
      <c r="B42" s="49">
        <f t="shared" ref="B42:P42" si="34">IFERROR(B41/B5,0)</f>
        <v>3.811089329339095E-2</v>
      </c>
      <c r="C42" s="49">
        <f t="shared" si="34"/>
        <v>2.3914350799165804E-2</v>
      </c>
      <c r="D42" s="49">
        <f t="shared" si="34"/>
        <v>0.11726164360848773</v>
      </c>
      <c r="E42" s="49">
        <f t="shared" si="34"/>
        <v>0.11717614776967272</v>
      </c>
      <c r="F42" s="49">
        <f t="shared" si="34"/>
        <v>6.9263123533291754E-2</v>
      </c>
      <c r="G42" s="49">
        <f t="shared" si="34"/>
        <v>0.14513783558681609</v>
      </c>
      <c r="H42" s="49">
        <f t="shared" si="34"/>
        <v>8.0477927051912326E-2</v>
      </c>
      <c r="I42" s="49">
        <f t="shared" si="34"/>
        <v>6.2565983345851423E-2</v>
      </c>
      <c r="J42" s="49">
        <f t="shared" si="34"/>
        <v>9.6122551274045634E-2</v>
      </c>
      <c r="K42" s="49">
        <f t="shared" si="34"/>
        <v>7.707905296691428E-2</v>
      </c>
      <c r="L42" s="49">
        <f t="shared" si="34"/>
        <v>0.10567545102539258</v>
      </c>
      <c r="M42" s="50">
        <f t="shared" si="34"/>
        <v>8.9909301468040048E-2</v>
      </c>
      <c r="N42" s="50">
        <f t="shared" si="34"/>
        <v>0.1336544092221563</v>
      </c>
      <c r="O42" s="50">
        <f t="shared" si="34"/>
        <v>0.14518859695644284</v>
      </c>
      <c r="P42" s="50">
        <f t="shared" si="34"/>
        <v>0.15061893889254521</v>
      </c>
      <c r="Q42" s="44"/>
      <c r="R42" s="44" t="s">
        <v>695</v>
      </c>
      <c r="S42" s="62">
        <f t="shared" ref="S42:AG42" si="35">IF(S37&gt;0,IFERROR(S38/B60,0),0)</f>
        <v>1.859707063200368</v>
      </c>
      <c r="T42" s="62">
        <f t="shared" si="35"/>
        <v>1.2546959883554631</v>
      </c>
      <c r="U42" s="62">
        <f t="shared" si="35"/>
        <v>1.3049672418214231</v>
      </c>
      <c r="V42" s="62">
        <f t="shared" si="35"/>
        <v>1.0856302741199126</v>
      </c>
      <c r="W42" s="62">
        <f t="shared" si="35"/>
        <v>0.88535403583135186</v>
      </c>
      <c r="X42" s="62">
        <f t="shared" si="35"/>
        <v>2.6271427936841509</v>
      </c>
      <c r="Y42" s="62">
        <f t="shared" si="35"/>
        <v>5.4059456220004583</v>
      </c>
      <c r="Z42" s="62">
        <f t="shared" si="35"/>
        <v>4.4423875915984539</v>
      </c>
      <c r="AA42" s="62">
        <f t="shared" si="35"/>
        <v>12.36594547663837</v>
      </c>
      <c r="AB42" s="62">
        <f t="shared" si="35"/>
        <v>13.538580703520765</v>
      </c>
      <c r="AC42" s="62">
        <f t="shared" si="35"/>
        <v>9.7635526863461024</v>
      </c>
      <c r="AD42" s="63">
        <f t="shared" si="35"/>
        <v>11.32562639525711</v>
      </c>
      <c r="AE42" s="63">
        <f t="shared" si="35"/>
        <v>10.756462638936686</v>
      </c>
      <c r="AF42" s="63">
        <f t="shared" si="35"/>
        <v>10.292435185738908</v>
      </c>
      <c r="AG42" s="63">
        <f t="shared" si="35"/>
        <v>9.478094813798549</v>
      </c>
    </row>
    <row r="43" spans="1:34">
      <c r="A43" s="44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7"/>
      <c r="N43" s="47"/>
      <c r="O43" s="47"/>
      <c r="P43" s="47"/>
      <c r="Q43" s="44"/>
      <c r="R43" s="44" t="s">
        <v>427</v>
      </c>
      <c r="S43" s="69">
        <f>'[1]Market data'!E5</f>
        <v>12.129999999999999</v>
      </c>
      <c r="T43" s="69">
        <f>'[1]Market data'!E6</f>
        <v>12.879999999999999</v>
      </c>
      <c r="U43" s="69">
        <f>'[1]Market data'!E7</f>
        <v>21.75</v>
      </c>
      <c r="V43" s="69">
        <f>'[1]Market data'!E8</f>
        <v>21.5</v>
      </c>
      <c r="W43" s="69">
        <f>'[1]Market data'!E9</f>
        <v>17.5</v>
      </c>
      <c r="X43" s="69">
        <f>'[1]Market data'!E10</f>
        <v>27</v>
      </c>
      <c r="Y43" s="69">
        <f>'[1]Market data'!E11</f>
        <v>31</v>
      </c>
      <c r="Z43" s="69">
        <f>'[1]Market data'!E12</f>
        <v>34</v>
      </c>
      <c r="AA43" s="69">
        <f>'[1]Market data'!E13</f>
        <v>46</v>
      </c>
      <c r="AB43" s="69">
        <f>'[1]Market data'!E14</f>
        <v>43</v>
      </c>
      <c r="AC43" s="69">
        <f>'[1]Market data'!E15</f>
        <v>48</v>
      </c>
      <c r="AD43" s="70">
        <f>'[1]Market data'!E16</f>
        <v>49.097915172309932</v>
      </c>
      <c r="AE43" s="70">
        <f>'[1]Market data'!E17</f>
        <v>53.821716272524739</v>
      </c>
      <c r="AF43" s="70">
        <f>'[1]Market data'!E18</f>
        <v>57.394576765739863</v>
      </c>
      <c r="AG43" s="70">
        <f>'[1]Market data'!E19</f>
        <v>60.674359220859351</v>
      </c>
    </row>
    <row r="44" spans="1:34">
      <c r="A44" s="44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7"/>
      <c r="N44" s="47"/>
      <c r="O44" s="47"/>
      <c r="P44" s="47"/>
      <c r="Q44" s="44"/>
      <c r="R44" s="72" t="s">
        <v>534</v>
      </c>
      <c r="S44" s="73">
        <f t="shared" ref="S44:AG44" si="36">IF(S37&gt;0,IFERROR(S43/S37,0),0)</f>
        <v>3.1831003375813016E-2</v>
      </c>
      <c r="T44" s="73">
        <f t="shared" si="36"/>
        <v>4.3243242357106575E-2</v>
      </c>
      <c r="U44" s="73">
        <f t="shared" si="36"/>
        <v>6.2675600842998364E-2</v>
      </c>
      <c r="V44" s="73">
        <f t="shared" si="36"/>
        <v>6.7525126922552345E-2</v>
      </c>
      <c r="W44" s="73">
        <f t="shared" si="36"/>
        <v>6.3526634403354917E-2</v>
      </c>
      <c r="X44" s="73">
        <f t="shared" si="36"/>
        <v>2.8095002017727806E-2</v>
      </c>
      <c r="Y44" s="73">
        <f t="shared" si="36"/>
        <v>1.3010723887511176E-2</v>
      </c>
      <c r="Z44" s="73">
        <f t="shared" si="36"/>
        <v>1.4752142314784684E-2</v>
      </c>
      <c r="AA44" s="73">
        <f t="shared" si="36"/>
        <v>1.1544590841198949E-2</v>
      </c>
      <c r="AB44" s="73">
        <f t="shared" si="36"/>
        <v>7.7986851054182727E-3</v>
      </c>
      <c r="AC44" s="73">
        <f t="shared" si="36"/>
        <v>9.8417120638461843E-3</v>
      </c>
      <c r="AD44" s="74">
        <f t="shared" si="36"/>
        <v>7.1905884532889779E-3</v>
      </c>
      <c r="AE44" s="74">
        <f t="shared" si="36"/>
        <v>6.854268042652864E-3</v>
      </c>
      <c r="AF44" s="74">
        <f t="shared" si="36"/>
        <v>6.3558927283590798E-3</v>
      </c>
      <c r="AG44" s="74">
        <f t="shared" si="36"/>
        <v>6.1082698417138093E-3</v>
      </c>
    </row>
    <row r="45" spans="1:34">
      <c r="A45" s="45" t="s">
        <v>696</v>
      </c>
      <c r="B45" s="61" t="s">
        <v>2</v>
      </c>
      <c r="C45" s="61" t="s">
        <v>3</v>
      </c>
      <c r="D45" s="61" t="s">
        <v>4</v>
      </c>
      <c r="E45" s="61" t="s">
        <v>5</v>
      </c>
      <c r="F45" s="61" t="s">
        <v>6</v>
      </c>
      <c r="G45" s="61" t="s">
        <v>7</v>
      </c>
      <c r="H45" s="61" t="s">
        <v>8</v>
      </c>
      <c r="I45" s="61" t="s">
        <v>9</v>
      </c>
      <c r="J45" s="61" t="s">
        <v>10</v>
      </c>
      <c r="K45" s="61" t="s">
        <v>11</v>
      </c>
      <c r="L45" s="61" t="s">
        <v>12</v>
      </c>
      <c r="M45" s="61" t="s">
        <v>13</v>
      </c>
      <c r="N45" s="61" t="s">
        <v>14</v>
      </c>
      <c r="O45" s="61" t="s">
        <v>15</v>
      </c>
      <c r="P45" s="61" t="s">
        <v>16</v>
      </c>
      <c r="Q45" s="44"/>
      <c r="R45" s="44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7"/>
      <c r="AE45" s="47"/>
      <c r="AF45" s="47"/>
      <c r="AG45" s="47"/>
    </row>
    <row r="46" spans="1:34">
      <c r="A46" s="44" t="s">
        <v>321</v>
      </c>
      <c r="B46" s="46">
        <f>'Annual P&amp;L'!B55</f>
        <v>1401.4</v>
      </c>
      <c r="C46" s="46">
        <f>'Annual P&amp;L'!C55</f>
        <v>1461.38</v>
      </c>
      <c r="D46" s="46">
        <f>'Annual P&amp;L'!D55</f>
        <v>1343.72</v>
      </c>
      <c r="E46" s="46">
        <f>'Annual P&amp;L'!E55</f>
        <v>1739.45</v>
      </c>
      <c r="F46" s="46">
        <f>'Annual P&amp;L'!F55</f>
        <v>1899.99</v>
      </c>
      <c r="G46" s="46">
        <f>'Annual P&amp;L'!G55</f>
        <v>2419.3000000000002</v>
      </c>
      <c r="H46" s="46">
        <f>'Annual P&amp;L'!H55</f>
        <v>2977.99</v>
      </c>
      <c r="I46" s="46">
        <f>'Annual P&amp;L'!I55</f>
        <v>4670.12</v>
      </c>
      <c r="J46" s="46">
        <f>'Annual P&amp;L'!J55</f>
        <v>6625.15</v>
      </c>
      <c r="K46" s="46">
        <f>'Annual P&amp;L'!K55</f>
        <v>6744.06</v>
      </c>
      <c r="L46" s="46">
        <f>'Annual P&amp;L'!L55</f>
        <v>10749.15</v>
      </c>
      <c r="M46" s="47">
        <f>'Annual P&amp;L'!M55</f>
        <v>14138.685223329685</v>
      </c>
      <c r="N46" s="47">
        <f>'Annual P&amp;L'!N55</f>
        <v>26234.741469805653</v>
      </c>
      <c r="O46" s="47">
        <f>'Annual P&amp;L'!O55</f>
        <v>42898.030438670357</v>
      </c>
      <c r="P46" s="47">
        <f>'Annual P&amp;L'!P55</f>
        <v>62560.401681812684</v>
      </c>
      <c r="Q46" s="44"/>
      <c r="R46" s="48" t="s">
        <v>697</v>
      </c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</row>
    <row r="47" spans="1:34">
      <c r="A47" s="44" t="s">
        <v>319</v>
      </c>
      <c r="B47" s="46">
        <f>'Annual P&amp;L'!B54</f>
        <v>4275.49</v>
      </c>
      <c r="C47" s="46">
        <f>'Annual P&amp;L'!C54</f>
        <v>4753.83</v>
      </c>
      <c r="D47" s="46">
        <f>'Annual P&amp;L'!D54</f>
        <v>4847.3999999999996</v>
      </c>
      <c r="E47" s="46">
        <f>'Annual P&amp;L'!E54</f>
        <v>4923.01</v>
      </c>
      <c r="F47" s="46">
        <f>'Annual P&amp;L'!F54</f>
        <v>5921.96</v>
      </c>
      <c r="G47" s="46">
        <f>'Annual P&amp;L'!G54</f>
        <v>5708.97</v>
      </c>
      <c r="H47" s="46">
        <f>'Annual P&amp;L'!H54</f>
        <v>9484.2900000000009</v>
      </c>
      <c r="I47" s="46">
        <f>'Annual P&amp;L'!I54</f>
        <v>15253.22</v>
      </c>
      <c r="J47" s="46">
        <f>'Annual P&amp;L'!J54</f>
        <v>16761.13</v>
      </c>
      <c r="K47" s="46">
        <f>'Annual P&amp;L'!K54</f>
        <v>18477.95</v>
      </c>
      <c r="L47" s="46">
        <f>'Annual P&amp;L'!L54</f>
        <v>21331.89</v>
      </c>
      <c r="M47" s="47">
        <f>'Annual P&amp;L'!M54</f>
        <v>29838.721665789675</v>
      </c>
      <c r="N47" s="47">
        <f>'Annual P&amp;L'!N54</f>
        <v>35051.186927914619</v>
      </c>
      <c r="O47" s="47">
        <f>'Annual P&amp;L'!O54</f>
        <v>39292.366115557066</v>
      </c>
      <c r="P47" s="47">
        <f>'Annual P&amp;L'!P54</f>
        <v>44036.847979475519</v>
      </c>
      <c r="Q47" s="44"/>
      <c r="R47" s="44" t="s">
        <v>698</v>
      </c>
      <c r="S47" s="46">
        <f>'[1]Revenue Drivers'!B18</f>
        <v>624410</v>
      </c>
      <c r="T47" s="46">
        <f>'[1]Revenue Drivers'!C18</f>
        <v>684850</v>
      </c>
      <c r="U47" s="46">
        <f>'[1]Revenue Drivers'!D18</f>
        <v>705220</v>
      </c>
      <c r="V47" s="46">
        <f>'[1]Revenue Drivers'!E18</f>
        <v>826760</v>
      </c>
      <c r="W47" s="46">
        <f>'[1]Revenue Drivers'!F18</f>
        <v>907910</v>
      </c>
      <c r="X47" s="46">
        <f>'[1]Revenue Drivers'!G18</f>
        <v>1004730</v>
      </c>
      <c r="Y47" s="46">
        <f>'[1]Revenue Drivers'!H18</f>
        <v>1216410</v>
      </c>
      <c r="Z47" s="46">
        <f>'[1]Revenue Drivers'!I18</f>
        <v>1467670</v>
      </c>
      <c r="AA47" s="46">
        <f>'[1]Revenue Drivers'!J18</f>
        <v>1536710</v>
      </c>
      <c r="AB47" s="46">
        <f>'[1]Revenue Drivers'!K18</f>
        <v>1629900</v>
      </c>
      <c r="AC47" s="46">
        <f>'[1]Revenue Drivers'!L18</f>
        <v>1786500</v>
      </c>
      <c r="AD47" s="47">
        <f>'[1]Revenue Drivers'!M18</f>
        <v>1856045.0922329938</v>
      </c>
      <c r="AE47" s="47">
        <f>'[1]Revenue Drivers'!N18</f>
        <v>1985560.6580985901</v>
      </c>
      <c r="AF47" s="47">
        <f>'[1]Revenue Drivers'!O18</f>
        <v>2111778.3312296839</v>
      </c>
      <c r="AG47" s="47">
        <f>'[1]Revenue Drivers'!P18</f>
        <v>2233599.5681016315</v>
      </c>
    </row>
    <row r="48" spans="1:34">
      <c r="A48" s="44" t="s">
        <v>329</v>
      </c>
      <c r="B48" s="46">
        <f>'Annual P&amp;L'!B59</f>
        <v>1787.77</v>
      </c>
      <c r="C48" s="46">
        <f>'Annual P&amp;L'!C59</f>
        <v>855.39</v>
      </c>
      <c r="D48" s="46">
        <f>'Annual P&amp;L'!D59</f>
        <v>1563.41</v>
      </c>
      <c r="E48" s="46">
        <f>'Annual P&amp;L'!E59</f>
        <v>1387.79</v>
      </c>
      <c r="F48" s="46">
        <f>'Annual P&amp;L'!F59</f>
        <v>1950.52</v>
      </c>
      <c r="G48" s="46">
        <f>'Annual P&amp;L'!G59</f>
        <v>2083.7199999999998</v>
      </c>
      <c r="H48" s="46">
        <f>'Annual P&amp;L'!H59</f>
        <v>2002.94</v>
      </c>
      <c r="I48" s="46">
        <f>'Annual P&amp;L'!I59</f>
        <v>3418.26</v>
      </c>
      <c r="J48" s="46">
        <f>'Annual P&amp;L'!J59</f>
        <v>5230.49</v>
      </c>
      <c r="K48" s="46">
        <f>'Annual P&amp;L'!K59</f>
        <v>8763.5400000000009</v>
      </c>
      <c r="L48" s="46">
        <f>'Annual P&amp;L'!L59</f>
        <v>16226.72</v>
      </c>
      <c r="M48" s="47">
        <f>'Annual P&amp;L'!M59</f>
        <v>18151.889013355387</v>
      </c>
      <c r="N48" s="47">
        <f>'Annual P&amp;L'!N59</f>
        <v>20599.998419075244</v>
      </c>
      <c r="O48" s="47">
        <f>'Annual P&amp;L'!O59</f>
        <v>22254.383222345685</v>
      </c>
      <c r="P48" s="47">
        <f>'Annual P&amp;L'!P59</f>
        <v>23969.179097600492</v>
      </c>
      <c r="Q48" s="44"/>
      <c r="R48" s="44" t="s">
        <v>699</v>
      </c>
      <c r="S48" s="46">
        <f>'[1]Revenue Drivers'!B19</f>
        <v>0</v>
      </c>
      <c r="T48" s="46">
        <f>'[1]Revenue Drivers'!C19</f>
        <v>0</v>
      </c>
      <c r="U48" s="46">
        <f>'[1]Revenue Drivers'!D19</f>
        <v>0</v>
      </c>
      <c r="V48" s="46">
        <f>'[1]Revenue Drivers'!E19</f>
        <v>0</v>
      </c>
      <c r="W48" s="46">
        <f>'[1]Revenue Drivers'!F19</f>
        <v>0</v>
      </c>
      <c r="X48" s="46">
        <f>'[1]Revenue Drivers'!G19</f>
        <v>0</v>
      </c>
      <c r="Y48" s="46">
        <f>'[1]Revenue Drivers'!H19</f>
        <v>0</v>
      </c>
      <c r="Z48" s="46">
        <f>'[1]Revenue Drivers'!I19</f>
        <v>0</v>
      </c>
      <c r="AA48" s="46">
        <f>'[1]Revenue Drivers'!J19</f>
        <v>0</v>
      </c>
      <c r="AB48" s="46">
        <f>'[1]Revenue Drivers'!K19</f>
        <v>0</v>
      </c>
      <c r="AC48" s="46">
        <f>'[1]Revenue Drivers'!L19</f>
        <v>0</v>
      </c>
      <c r="AD48" s="47">
        <f>'[1]Revenue Drivers'!M19</f>
        <v>116133.9447902</v>
      </c>
      <c r="AE48" s="47">
        <f>'[1]Revenue Drivers'!N19</f>
        <v>130070.01816502401</v>
      </c>
      <c r="AF48" s="47">
        <f>'[1]Revenue Drivers'!O19</f>
        <v>141776.31979987619</v>
      </c>
      <c r="AG48" s="47">
        <f>'[1]Revenue Drivers'!P19</f>
        <v>151700.66218586752</v>
      </c>
    </row>
    <row r="49" spans="1:38">
      <c r="A49" s="51" t="s">
        <v>331</v>
      </c>
      <c r="B49" s="52">
        <f>'Annual P&amp;L'!B61</f>
        <v>13135.63</v>
      </c>
      <c r="C49" s="52">
        <f>'Annual P&amp;L'!C61</f>
        <v>14038.74</v>
      </c>
      <c r="D49" s="52">
        <f>'Annual P&amp;L'!D61</f>
        <v>17619.96</v>
      </c>
      <c r="E49" s="52">
        <f>'Annual P&amp;L'!E61</f>
        <v>18900.099999999999</v>
      </c>
      <c r="F49" s="52">
        <f>'Annual P&amp;L'!F61</f>
        <v>19855.61</v>
      </c>
      <c r="G49" s="52">
        <f>'Annual P&amp;L'!G61</f>
        <v>26703.13</v>
      </c>
      <c r="H49" s="52">
        <f>'Annual P&amp;L'!H61</f>
        <v>28389.29</v>
      </c>
      <c r="I49" s="52">
        <f>'Annual P&amp;L'!I61</f>
        <v>34466.11</v>
      </c>
      <c r="J49" s="52">
        <f>'Annual P&amp;L'!J61</f>
        <v>41568.85</v>
      </c>
      <c r="K49" s="52">
        <f>'Annual P&amp;L'!K61</f>
        <v>50259.53</v>
      </c>
      <c r="L49" s="52">
        <f>'Annual P&amp;L'!L61</f>
        <v>70972.83</v>
      </c>
      <c r="M49" s="53">
        <f>'Annual P&amp;L'!M61</f>
        <v>89344.696621813753</v>
      </c>
      <c r="N49" s="53">
        <f>'Annual P&amp;L'!N61</f>
        <v>113803.29999818896</v>
      </c>
      <c r="O49" s="53">
        <f>'Annual P&amp;L'!O61</f>
        <v>140163.57293937908</v>
      </c>
      <c r="P49" s="53">
        <f>'Annual P&amp;L'!P61</f>
        <v>170527.93685956186</v>
      </c>
      <c r="Q49" s="44"/>
      <c r="R49" s="51" t="s">
        <v>700</v>
      </c>
      <c r="S49" s="52">
        <f>'[1]Revenue Drivers'!B20</f>
        <v>624410</v>
      </c>
      <c r="T49" s="52">
        <f>'[1]Revenue Drivers'!C20</f>
        <v>684850</v>
      </c>
      <c r="U49" s="52">
        <f>'[1]Revenue Drivers'!D20</f>
        <v>705220</v>
      </c>
      <c r="V49" s="52">
        <f>'[1]Revenue Drivers'!E20</f>
        <v>826760</v>
      </c>
      <c r="W49" s="52">
        <f>'[1]Revenue Drivers'!F20</f>
        <v>907910</v>
      </c>
      <c r="X49" s="52">
        <f>'[1]Revenue Drivers'!G20</f>
        <v>1004730</v>
      </c>
      <c r="Y49" s="52">
        <f>'[1]Revenue Drivers'!H20</f>
        <v>1216410</v>
      </c>
      <c r="Z49" s="52">
        <f>'[1]Revenue Drivers'!I20</f>
        <v>1467670</v>
      </c>
      <c r="AA49" s="52">
        <f>'[1]Revenue Drivers'!J20</f>
        <v>1536710</v>
      </c>
      <c r="AB49" s="52">
        <f>'[1]Revenue Drivers'!K20</f>
        <v>1629900</v>
      </c>
      <c r="AC49" s="52">
        <f>'[1]Revenue Drivers'!L20</f>
        <v>1786500</v>
      </c>
      <c r="AD49" s="53">
        <f>'[1]Revenue Drivers'!M20</f>
        <v>1972179.0370231939</v>
      </c>
      <c r="AE49" s="53">
        <f>'[1]Revenue Drivers'!N20</f>
        <v>2115630.6762636141</v>
      </c>
      <c r="AF49" s="53">
        <f>'[1]Revenue Drivers'!O20</f>
        <v>2253554.6510295602</v>
      </c>
      <c r="AG49" s="53">
        <f>'[1]Revenue Drivers'!P20</f>
        <v>2385300.2302874988</v>
      </c>
    </row>
    <row r="50" spans="1:38">
      <c r="A50" s="44" t="s">
        <v>701</v>
      </c>
      <c r="B50" s="46">
        <f>'Annual P&amp;L'!B39+'Annual P&amp;L'!B43</f>
        <v>4429.46</v>
      </c>
      <c r="C50" s="46">
        <f>'Annual P&amp;L'!C39+'Annual P&amp;L'!C43</f>
        <v>5524.54</v>
      </c>
      <c r="D50" s="46">
        <f>'Annual P&amp;L'!D39+'Annual P&amp;L'!D43</f>
        <v>5089.5600000000004</v>
      </c>
      <c r="E50" s="46">
        <f>'Annual P&amp;L'!E39+'Annual P&amp;L'!E43</f>
        <v>4230.1899999999996</v>
      </c>
      <c r="F50" s="46">
        <f>'Annual P&amp;L'!F39+'Annual P&amp;L'!F43</f>
        <v>3796.73</v>
      </c>
      <c r="G50" s="46">
        <f>'Annual P&amp;L'!G39+'Annual P&amp;L'!G43</f>
        <v>3630.9</v>
      </c>
      <c r="H50" s="46">
        <f>'Annual P&amp;L'!H39+'Annual P&amp;L'!H43</f>
        <v>11187.3</v>
      </c>
      <c r="I50" s="46">
        <f>'Annual P&amp;L'!I39+'Annual P&amp;L'!I43</f>
        <v>14031.369999999999</v>
      </c>
      <c r="J50" s="46">
        <f>'Annual P&amp;L'!J39+'Annual P&amp;L'!J43</f>
        <v>9111.5099999999984</v>
      </c>
      <c r="K50" s="46">
        <f>'Annual P&amp;L'!K39+'Annual P&amp;L'!K43</f>
        <v>10005.98</v>
      </c>
      <c r="L50" s="46">
        <f>'Annual P&amp;L'!L39+'Annual P&amp;L'!L43</f>
        <v>9760.08</v>
      </c>
      <c r="M50" s="47">
        <f>'Annual P&amp;L'!M39+'Annual P&amp;L'!M43</f>
        <v>9896.2191676001639</v>
      </c>
      <c r="N50" s="47">
        <f>'Annual P&amp;L'!N39+'Annual P&amp;L'!N43</f>
        <v>10004.640211911086</v>
      </c>
      <c r="O50" s="47">
        <f>'Annual P&amp;L'!O39+'Annual P&amp;L'!O43</f>
        <v>10313.728867776999</v>
      </c>
      <c r="P50" s="47">
        <f>'Annual P&amp;L'!P39+'Annual P&amp;L'!P43</f>
        <v>10877.709552426422</v>
      </c>
      <c r="Q50" s="44"/>
      <c r="R50" s="72" t="s">
        <v>702</v>
      </c>
      <c r="S50" s="73">
        <f t="shared" ref="S50:AG50" si="37">IFERROR(S48/S49,0)</f>
        <v>0</v>
      </c>
      <c r="T50" s="73">
        <f t="shared" si="37"/>
        <v>0</v>
      </c>
      <c r="U50" s="73">
        <f t="shared" si="37"/>
        <v>0</v>
      </c>
      <c r="V50" s="73">
        <f t="shared" si="37"/>
        <v>0</v>
      </c>
      <c r="W50" s="73">
        <f t="shared" si="37"/>
        <v>0</v>
      </c>
      <c r="X50" s="73">
        <f t="shared" si="37"/>
        <v>0</v>
      </c>
      <c r="Y50" s="73">
        <f t="shared" si="37"/>
        <v>0</v>
      </c>
      <c r="Z50" s="73">
        <f t="shared" si="37"/>
        <v>0</v>
      </c>
      <c r="AA50" s="73">
        <f t="shared" si="37"/>
        <v>0</v>
      </c>
      <c r="AB50" s="73">
        <f t="shared" si="37"/>
        <v>0</v>
      </c>
      <c r="AC50" s="73">
        <f t="shared" si="37"/>
        <v>0</v>
      </c>
      <c r="AD50" s="74">
        <f t="shared" si="37"/>
        <v>5.8886106489344149E-2</v>
      </c>
      <c r="AE50" s="74">
        <f t="shared" si="37"/>
        <v>6.1480493558894157E-2</v>
      </c>
      <c r="AF50" s="74">
        <f t="shared" si="37"/>
        <v>6.2912306002920401E-2</v>
      </c>
      <c r="AG50" s="74">
        <f t="shared" si="37"/>
        <v>6.3598141759950752E-2</v>
      </c>
    </row>
    <row r="51" spans="1:38">
      <c r="A51" s="44" t="s">
        <v>703</v>
      </c>
      <c r="B51" s="46">
        <f>'Annual P&amp;L'!B42+'Annual P&amp;L'!B44</f>
        <v>1522.8000000000002</v>
      </c>
      <c r="C51" s="46">
        <f>'Annual P&amp;L'!C42+'Annual P&amp;L'!C44</f>
        <v>2415.67</v>
      </c>
      <c r="D51" s="46">
        <f>'Annual P&amp;L'!D42+'Annual P&amp;L'!D44</f>
        <v>2957.65</v>
      </c>
      <c r="E51" s="46">
        <f>'Annual P&amp;L'!E42+'Annual P&amp;L'!E44</f>
        <v>4426.95</v>
      </c>
      <c r="F51" s="46">
        <f>'Annual P&amp;L'!F42+'Annual P&amp;L'!F44</f>
        <v>4709.91</v>
      </c>
      <c r="G51" s="46">
        <f>'Annual P&amp;L'!G42+'Annual P&amp;L'!G44</f>
        <v>3707.21</v>
      </c>
      <c r="H51" s="46">
        <f>'Annual P&amp;L'!H42+'Annual P&amp;L'!H44</f>
        <v>6667.94</v>
      </c>
      <c r="I51" s="46">
        <f>'Annual P&amp;L'!I42+'Annual P&amp;L'!I44</f>
        <v>11699.71</v>
      </c>
      <c r="J51" s="46">
        <f>'Annual P&amp;L'!J42+'Annual P&amp;L'!J44</f>
        <v>16451.7</v>
      </c>
      <c r="K51" s="46">
        <f>'Annual P&amp;L'!K42+'Annual P&amp;L'!K44</f>
        <v>18752.98</v>
      </c>
      <c r="L51" s="46">
        <f>'Annual P&amp;L'!L42+'Annual P&amp;L'!L44</f>
        <v>20598.259999999998</v>
      </c>
      <c r="M51" s="47">
        <f>'Annual P&amp;L'!M42+'Annual P&amp;L'!M44</f>
        <v>20598.259999999998</v>
      </c>
      <c r="N51" s="47">
        <f>'Annual P&amp;L'!N42+'Annual P&amp;L'!N44</f>
        <v>20598.259999999998</v>
      </c>
      <c r="O51" s="47">
        <f>'Annual P&amp;L'!O42+'Annual P&amp;L'!O44</f>
        <v>20598.259999999998</v>
      </c>
      <c r="P51" s="47">
        <f>'Annual P&amp;L'!P42+'Annual P&amp;L'!P44</f>
        <v>20598.259999999998</v>
      </c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</row>
    <row r="52" spans="1:38">
      <c r="A52" s="44" t="s">
        <v>704</v>
      </c>
      <c r="B52" s="46">
        <f>'Annual P&amp;L'!B49</f>
        <v>870.1</v>
      </c>
      <c r="C52" s="46">
        <f>'Annual P&amp;L'!C49</f>
        <v>71.849999999999994</v>
      </c>
      <c r="D52" s="46">
        <f>'Annual P&amp;L'!D49</f>
        <v>91.57</v>
      </c>
      <c r="E52" s="46">
        <f>'Annual P&amp;L'!E49</f>
        <v>68.31</v>
      </c>
      <c r="F52" s="46">
        <f>'Annual P&amp;L'!F49</f>
        <v>331.31</v>
      </c>
      <c r="G52" s="46">
        <f>'Annual P&amp;L'!G49</f>
        <v>441.52</v>
      </c>
      <c r="H52" s="46">
        <f>'Annual P&amp;L'!H49</f>
        <v>531.61</v>
      </c>
      <c r="I52" s="46">
        <f>'Annual P&amp;L'!I49</f>
        <v>959.29</v>
      </c>
      <c r="J52" s="46">
        <f>'Annual P&amp;L'!J49</f>
        <v>1247.28</v>
      </c>
      <c r="K52" s="46">
        <f>'Annual P&amp;L'!K49</f>
        <v>257.02</v>
      </c>
      <c r="L52" s="46">
        <f>'Annual P&amp;L'!L49</f>
        <v>450.32</v>
      </c>
      <c r="M52" s="47">
        <f>'Annual P&amp;L'!M49</f>
        <v>5445.5667040066155</v>
      </c>
      <c r="N52" s="47">
        <f>'Annual P&amp;L'!N49</f>
        <v>6071.5784814116514</v>
      </c>
      <c r="O52" s="47">
        <f>'Annual P&amp;L'!O49</f>
        <v>6429.0440420109753</v>
      </c>
      <c r="P52" s="47">
        <f>'Annual P&amp;L'!P49</f>
        <v>6767.7682157930803</v>
      </c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</row>
    <row r="53" spans="1:38">
      <c r="A53" s="51" t="s">
        <v>333</v>
      </c>
      <c r="B53" s="52">
        <f>'Annual P&amp;L'!B62</f>
        <v>21065.43</v>
      </c>
      <c r="C53" s="52">
        <f>'Annual P&amp;L'!C62</f>
        <v>23463.73</v>
      </c>
      <c r="D53" s="52">
        <f>'Annual P&amp;L'!D62</f>
        <v>26588.62</v>
      </c>
      <c r="E53" s="52">
        <f>'Annual P&amp;L'!E62</f>
        <v>28555.99</v>
      </c>
      <c r="F53" s="52">
        <f>'Annual P&amp;L'!F62</f>
        <v>30921.69</v>
      </c>
      <c r="G53" s="52">
        <f>'Annual P&amp;L'!G62</f>
        <v>36655.24</v>
      </c>
      <c r="H53" s="52">
        <f>'Annual P&amp;L'!H62</f>
        <v>54191.01</v>
      </c>
      <c r="I53" s="52">
        <f>'Annual P&amp;L'!I62</f>
        <v>66730.8</v>
      </c>
      <c r="J53" s="52">
        <f>'Annual P&amp;L'!J62</f>
        <v>74176.34</v>
      </c>
      <c r="K53" s="52">
        <f>'Annual P&amp;L'!K62</f>
        <v>87366.02</v>
      </c>
      <c r="L53" s="52">
        <f>'Annual P&amp;L'!L62</f>
        <v>113765.44</v>
      </c>
      <c r="M53" s="53">
        <f>'Annual P&amp;L'!M62</f>
        <v>138755.11224955987</v>
      </c>
      <c r="N53" s="53">
        <f>'Annual P&amp;L'!N62</f>
        <v>165338.01043292461</v>
      </c>
      <c r="O53" s="53">
        <f>'Annual P&amp;L'!O62</f>
        <v>193744.69586311537</v>
      </c>
      <c r="P53" s="53">
        <f>'Annual P&amp;L'!P62</f>
        <v>226621.5628566074</v>
      </c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</row>
    <row r="54" spans="1:38">
      <c r="A54" s="44" t="s">
        <v>705</v>
      </c>
      <c r="B54" s="46">
        <f>'Annual P&amp;L'!B85</f>
        <v>4521.1499999999996</v>
      </c>
      <c r="C54" s="46">
        <f>'Annual P&amp;L'!C85</f>
        <v>4172.76</v>
      </c>
      <c r="D54" s="46">
        <f>'Annual P&amp;L'!D85</f>
        <v>4869.92</v>
      </c>
      <c r="E54" s="46">
        <f>'Annual P&amp;L'!E85</f>
        <v>4844.42</v>
      </c>
      <c r="F54" s="46">
        <f>'Annual P&amp;L'!F85</f>
        <v>6473.81</v>
      </c>
      <c r="G54" s="46">
        <f>'Annual P&amp;L'!G85</f>
        <v>7697.2</v>
      </c>
      <c r="H54" s="46">
        <f>'Annual P&amp;L'!H85</f>
        <v>14259.59</v>
      </c>
      <c r="I54" s="46">
        <f>'Annual P&amp;L'!I85</f>
        <v>20128.77</v>
      </c>
      <c r="J54" s="46">
        <f>'Annual P&amp;L'!J85</f>
        <v>22178.71</v>
      </c>
      <c r="K54" s="46">
        <f>'Annual P&amp;L'!K85</f>
        <v>21327.73</v>
      </c>
      <c r="L54" s="46">
        <f>'Annual P&amp;L'!L85</f>
        <v>29242.560000000001</v>
      </c>
      <c r="M54" s="47">
        <f>'Annual P&amp;L'!M85</f>
        <v>37927.322852044657</v>
      </c>
      <c r="N54" s="47">
        <f>'Annual P&amp;L'!N85</f>
        <v>43873.015015019686</v>
      </c>
      <c r="O54" s="47">
        <f>'Annual P&amp;L'!O85</f>
        <v>48520.855491667593</v>
      </c>
      <c r="P54" s="47">
        <f>'Annual P&amp;L'!P85</f>
        <v>53906.043303123006</v>
      </c>
      <c r="Q54" s="44"/>
    </row>
    <row r="55" spans="1:38">
      <c r="A55" s="44" t="s">
        <v>706</v>
      </c>
      <c r="B55" s="46">
        <f>'Annual P&amp;L'!B69+'Annual P&amp;L'!B77+'Annual P&amp;L'!B68</f>
        <v>25.7</v>
      </c>
      <c r="C55" s="46">
        <f>'Annual P&amp;L'!C69+'Annual P&amp;L'!C77+'Annual P&amp;L'!C68</f>
        <v>21.71</v>
      </c>
      <c r="D55" s="46">
        <f>'Annual P&amp;L'!D69+'Annual P&amp;L'!D77+'Annual P&amp;L'!D68</f>
        <v>16.55</v>
      </c>
      <c r="E55" s="46">
        <f>'Annual P&amp;L'!E69+'Annual P&amp;L'!E77+'Annual P&amp;L'!E68</f>
        <v>11.97</v>
      </c>
      <c r="F55" s="46">
        <f>'Annual P&amp;L'!F69+'Annual P&amp;L'!F77+'Annual P&amp;L'!F68</f>
        <v>399.58000000000004</v>
      </c>
      <c r="G55" s="46">
        <f>'Annual P&amp;L'!G69+'Annual P&amp;L'!G77+'Annual P&amp;L'!G68</f>
        <v>762.4</v>
      </c>
      <c r="H55" s="46">
        <f>'Annual P&amp;L'!H69+'Annual P&amp;L'!H77+'Annual P&amp;L'!H68</f>
        <v>5439.6399999999994</v>
      </c>
      <c r="I55" s="46">
        <f>'Annual P&amp;L'!I69+'Annual P&amp;L'!I77+'Annual P&amp;L'!I68</f>
        <v>5899.1500000000005</v>
      </c>
      <c r="J55" s="46">
        <f>'Annual P&amp;L'!J69+'Annual P&amp;L'!J77+'Annual P&amp;L'!J68</f>
        <v>3681.28</v>
      </c>
      <c r="K55" s="46">
        <f>'Annual P&amp;L'!K69+'Annual P&amp;L'!K77+'Annual P&amp;L'!K68</f>
        <v>2156.67</v>
      </c>
      <c r="L55" s="46">
        <f>'Annual P&amp;L'!L69+'Annual P&amp;L'!L77+'Annual P&amp;L'!L68</f>
        <v>2996.7</v>
      </c>
      <c r="M55" s="47">
        <f>'Annual P&amp;L'!M69+'Annual P&amp;L'!M77+'Annual P&amp;L'!M68</f>
        <v>3352.2611858680998</v>
      </c>
      <c r="N55" s="47">
        <f>'Annual P&amp;L'!N69+'Annual P&amp;L'!N77+'Annual P&amp;L'!N68</f>
        <v>3756.0564061496602</v>
      </c>
      <c r="O55" s="47">
        <f>'Annual P&amp;L'!O69+'Annual P&amp;L'!O77+'Annual P&amp;L'!O68</f>
        <v>4236.5004948075057</v>
      </c>
      <c r="P55" s="47">
        <f>'Annual P&amp;L'!P69+'Annual P&amp;L'!P77+'Annual P&amp;L'!P68</f>
        <v>4798.4875714758791</v>
      </c>
      <c r="Q55" s="44"/>
      <c r="AI55" s="75"/>
      <c r="AJ55" s="75"/>
      <c r="AK55" s="75"/>
      <c r="AL55" s="75"/>
    </row>
    <row r="56" spans="1:38">
      <c r="A56" s="44" t="s">
        <v>707</v>
      </c>
      <c r="B56" s="46">
        <f>'Annual P&amp;L'!B75-'Annual P&amp;L'!B68-'Annual P&amp;L'!B69</f>
        <v>125.61999999999999</v>
      </c>
      <c r="C56" s="46">
        <f>'Annual P&amp;L'!C75-'Annual P&amp;L'!C68-'Annual P&amp;L'!C69</f>
        <v>276.63</v>
      </c>
      <c r="D56" s="46">
        <f>'Annual P&amp;L'!D75-'Annual P&amp;L'!D68-'Annual P&amp;L'!D69</f>
        <v>430.15999999999997</v>
      </c>
      <c r="E56" s="46">
        <f>'Annual P&amp;L'!E75-'Annual P&amp;L'!E68-'Annual P&amp;L'!E69</f>
        <v>252.79999999999998</v>
      </c>
      <c r="F56" s="46">
        <f>'Annual P&amp;L'!F75-'Annual P&amp;L'!F68-'Annual P&amp;L'!F69</f>
        <v>190.75</v>
      </c>
      <c r="G56" s="46">
        <f>'Annual P&amp;L'!G75-'Annual P&amp;L'!G68-'Annual P&amp;L'!G69</f>
        <v>240.94000000000005</v>
      </c>
      <c r="H56" s="46">
        <f>'Annual P&amp;L'!H75-'Annual P&amp;L'!H68-'Annual P&amp;L'!H69</f>
        <v>2334.1400000000003</v>
      </c>
      <c r="I56" s="46">
        <f>'Annual P&amp;L'!I75-'Annual P&amp;L'!I68-'Annual P&amp;L'!I69</f>
        <v>3301.46</v>
      </c>
      <c r="J56" s="46">
        <f>'Annual P&amp;L'!J75-'Annual P&amp;L'!J68-'Annual P&amp;L'!J69</f>
        <v>713.31999999999994</v>
      </c>
      <c r="K56" s="46">
        <f>'Annual P&amp;L'!K75-'Annual P&amp;L'!K68-'Annual P&amp;L'!K69</f>
        <v>690.9699999999998</v>
      </c>
      <c r="L56" s="46">
        <f>'Annual P&amp;L'!L75-'Annual P&amp;L'!L68-'Annual P&amp;L'!L69</f>
        <v>3147.63</v>
      </c>
      <c r="M56" s="47">
        <f>'Annual P&amp;L'!M75-'Annual P&amp;L'!M68-'Annual P&amp;L'!M69</f>
        <v>2879.9353520033078</v>
      </c>
      <c r="N56" s="47">
        <f>'Annual P&amp;L'!N75-'Annual P&amp;L'!N68-'Annual P&amp;L'!N69</f>
        <v>3167.7988407058251</v>
      </c>
      <c r="O56" s="47">
        <f>'Annual P&amp;L'!O75-'Annual P&amp;L'!O68-'Annual P&amp;L'!O69</f>
        <v>3326.4177010054873</v>
      </c>
      <c r="P56" s="47">
        <f>'Annual P&amp;L'!P75-'Annual P&amp;L'!P68-'Annual P&amp;L'!P69</f>
        <v>3479.6886518965393</v>
      </c>
      <c r="Q56" s="44"/>
      <c r="AI56" s="76"/>
      <c r="AJ56" s="76"/>
      <c r="AK56" s="76"/>
      <c r="AL56" s="76"/>
    </row>
    <row r="57" spans="1:38">
      <c r="A57" s="51" t="s">
        <v>371</v>
      </c>
      <c r="B57" s="52">
        <f>'Annual P&amp;L'!B86</f>
        <v>4672.4699999999993</v>
      </c>
      <c r="C57" s="52">
        <f>'Annual P&amp;L'!C86</f>
        <v>4471.1000000000004</v>
      </c>
      <c r="D57" s="52">
        <f>'Annual P&amp;L'!D86</f>
        <v>5316.63</v>
      </c>
      <c r="E57" s="52">
        <f>'Annual P&amp;L'!E86</f>
        <v>5109.1900000000005</v>
      </c>
      <c r="F57" s="52">
        <f>'Annual P&amp;L'!F86</f>
        <v>7064.14</v>
      </c>
      <c r="G57" s="52">
        <f>'Annual P&amp;L'!G86</f>
        <v>8698.58</v>
      </c>
      <c r="H57" s="52">
        <f>'Annual P&amp;L'!H86</f>
        <v>20508.810000000001</v>
      </c>
      <c r="I57" s="52">
        <f>'Annual P&amp;L'!I86</f>
        <v>27080.02</v>
      </c>
      <c r="J57" s="52">
        <f>'Annual P&amp;L'!J86</f>
        <v>24599.27</v>
      </c>
      <c r="K57" s="52">
        <f>'Annual P&amp;L'!K86</f>
        <v>24175.37</v>
      </c>
      <c r="L57" s="52">
        <f>'Annual P&amp;L'!L86</f>
        <v>35386.89</v>
      </c>
      <c r="M57" s="53">
        <f>'Annual P&amp;L'!M86</f>
        <v>44159.519389916066</v>
      </c>
      <c r="N57" s="53">
        <f>'Annual P&amp;L'!N86</f>
        <v>50796.87026187517</v>
      </c>
      <c r="O57" s="53">
        <f>'Annual P&amp;L'!O86</f>
        <v>56083.773687480585</v>
      </c>
      <c r="P57" s="53">
        <f>'Annual P&amp;L'!P86</f>
        <v>62184.219526495421</v>
      </c>
      <c r="Q57" s="44"/>
      <c r="AI57" s="76"/>
      <c r="AJ57" s="76"/>
      <c r="AK57" s="76"/>
      <c r="AL57" s="76"/>
    </row>
    <row r="58" spans="1:38">
      <c r="A58" s="44" t="s">
        <v>335</v>
      </c>
      <c r="B58" s="46">
        <f>'Annual P&amp;L'!B64</f>
        <v>800</v>
      </c>
      <c r="C58" s="46">
        <f>'Annual P&amp;L'!C64</f>
        <v>800</v>
      </c>
      <c r="D58" s="46">
        <f>'Annual P&amp;L'!D64</f>
        <v>800</v>
      </c>
      <c r="E58" s="46">
        <f>'Annual P&amp;L'!E64</f>
        <v>791.19</v>
      </c>
      <c r="F58" s="46">
        <f>'Annual P&amp;L'!F64</f>
        <v>764.25</v>
      </c>
      <c r="G58" s="46">
        <f>'Annual P&amp;L'!G64</f>
        <v>764.25</v>
      </c>
      <c r="H58" s="46">
        <f>'Annual P&amp;L'!H64</f>
        <v>764.25</v>
      </c>
      <c r="I58" s="46">
        <f>'Annual P&amp;L'!I64</f>
        <v>764.25</v>
      </c>
      <c r="J58" s="46">
        <f>'Annual P&amp;L'!J64</f>
        <v>770.25</v>
      </c>
      <c r="K58" s="46">
        <f>'Annual P&amp;L'!K64</f>
        <v>779.25</v>
      </c>
      <c r="L58" s="46">
        <f>'Annual P&amp;L'!L64</f>
        <v>788.75</v>
      </c>
      <c r="M58" s="47">
        <f>'Annual P&amp;L'!M64</f>
        <v>788.75</v>
      </c>
      <c r="N58" s="47">
        <f>'Annual P&amp;L'!N64</f>
        <v>788.75</v>
      </c>
      <c r="O58" s="47">
        <f>'Annual P&amp;L'!O64</f>
        <v>788.75</v>
      </c>
      <c r="P58" s="47">
        <f>'Annual P&amp;L'!P64</f>
        <v>788.75</v>
      </c>
      <c r="Q58" s="44"/>
      <c r="AI58" s="76"/>
      <c r="AJ58" s="76"/>
      <c r="AK58" s="76"/>
      <c r="AL58" s="76"/>
    </row>
    <row r="59" spans="1:38">
      <c r="A59" s="44" t="s">
        <v>708</v>
      </c>
      <c r="B59" s="46">
        <f>'Annual P&amp;L'!B65</f>
        <v>15592.96</v>
      </c>
      <c r="C59" s="46">
        <f>'Annual P&amp;L'!C65</f>
        <v>18192.63</v>
      </c>
      <c r="D59" s="46">
        <f>'Annual P&amp;L'!D65</f>
        <v>20471.990000000002</v>
      </c>
      <c r="E59" s="46">
        <f>'Annual P&amp;L'!E65</f>
        <v>22655.61</v>
      </c>
      <c r="F59" s="46">
        <f>'Annual P&amp;L'!F65</f>
        <v>23093.3</v>
      </c>
      <c r="G59" s="46">
        <f>'Annual P&amp;L'!G65</f>
        <v>27192.41</v>
      </c>
      <c r="H59" s="46">
        <f>'Annual P&amp;L'!H65</f>
        <v>32917.949999999997</v>
      </c>
      <c r="I59" s="46">
        <f>'Annual P&amp;L'!I65</f>
        <v>38886.53</v>
      </c>
      <c r="J59" s="46">
        <f>'Annual P&amp;L'!J65</f>
        <v>48806.82</v>
      </c>
      <c r="K59" s="46">
        <f>'Annual P&amp;L'!K65</f>
        <v>62411.4</v>
      </c>
      <c r="L59" s="46">
        <f>'Annual P&amp;L'!L65</f>
        <v>77589.8</v>
      </c>
      <c r="M59" s="47">
        <f>'Annual P&amp;L'!M65</f>
        <v>93806.842859643817</v>
      </c>
      <c r="N59" s="47">
        <f>'Annual P&amp;L'!N65</f>
        <v>113752.39017104947</v>
      </c>
      <c r="O59" s="47">
        <f>'Annual P&amp;L'!O65</f>
        <v>136872.17217563477</v>
      </c>
      <c r="P59" s="47">
        <f>'Annual P&amp;L'!P65</f>
        <v>163648.59333011199</v>
      </c>
      <c r="Q59" s="44"/>
      <c r="AI59" s="77"/>
      <c r="AJ59" s="76"/>
      <c r="AK59" s="76"/>
      <c r="AL59" s="76"/>
    </row>
    <row r="60" spans="1:38">
      <c r="A60" s="51" t="s">
        <v>339</v>
      </c>
      <c r="B60" s="52">
        <f>B58+B59</f>
        <v>16392.96</v>
      </c>
      <c r="C60" s="52">
        <f t="shared" ref="C60:P60" si="38">C58+C59</f>
        <v>18992.63</v>
      </c>
      <c r="D60" s="52">
        <f t="shared" si="38"/>
        <v>21271.99</v>
      </c>
      <c r="E60" s="52">
        <f t="shared" si="38"/>
        <v>23446.799999999999</v>
      </c>
      <c r="F60" s="52">
        <f t="shared" si="38"/>
        <v>23857.55</v>
      </c>
      <c r="G60" s="52">
        <f t="shared" si="38"/>
        <v>27956.66</v>
      </c>
      <c r="H60" s="52">
        <f t="shared" si="38"/>
        <v>33682.199999999997</v>
      </c>
      <c r="I60" s="52">
        <f t="shared" si="38"/>
        <v>39650.78</v>
      </c>
      <c r="J60" s="52">
        <f t="shared" si="38"/>
        <v>49577.07</v>
      </c>
      <c r="K60" s="52">
        <f t="shared" si="38"/>
        <v>63190.65</v>
      </c>
      <c r="L60" s="52">
        <f t="shared" si="38"/>
        <v>78378.55</v>
      </c>
      <c r="M60" s="53">
        <f t="shared" si="38"/>
        <v>94595.592859643817</v>
      </c>
      <c r="N60" s="53">
        <f t="shared" si="38"/>
        <v>114541.14017104947</v>
      </c>
      <c r="O60" s="53">
        <f t="shared" si="38"/>
        <v>137660.92217563477</v>
      </c>
      <c r="P60" s="53">
        <f t="shared" si="38"/>
        <v>164437.34333011199</v>
      </c>
      <c r="Q60" s="44"/>
      <c r="AI60" s="76"/>
      <c r="AJ60" s="76"/>
      <c r="AK60" s="76"/>
      <c r="AL60" s="76"/>
    </row>
    <row r="61" spans="1:38">
      <c r="A61" s="51" t="s">
        <v>709</v>
      </c>
      <c r="B61" s="52">
        <f>B60+B57</f>
        <v>21065.43</v>
      </c>
      <c r="C61" s="52">
        <f t="shared" ref="C61:P61" si="39">C60+C57</f>
        <v>23463.730000000003</v>
      </c>
      <c r="D61" s="52">
        <f t="shared" si="39"/>
        <v>26588.620000000003</v>
      </c>
      <c r="E61" s="52">
        <f t="shared" si="39"/>
        <v>28555.989999999998</v>
      </c>
      <c r="F61" s="52">
        <f t="shared" si="39"/>
        <v>30921.69</v>
      </c>
      <c r="G61" s="52">
        <f t="shared" si="39"/>
        <v>36655.24</v>
      </c>
      <c r="H61" s="52">
        <f t="shared" si="39"/>
        <v>54191.009999999995</v>
      </c>
      <c r="I61" s="52">
        <f t="shared" si="39"/>
        <v>66730.8</v>
      </c>
      <c r="J61" s="52">
        <f t="shared" si="39"/>
        <v>74176.34</v>
      </c>
      <c r="K61" s="52">
        <f t="shared" si="39"/>
        <v>87366.02</v>
      </c>
      <c r="L61" s="52">
        <f t="shared" si="39"/>
        <v>113765.44</v>
      </c>
      <c r="M61" s="53">
        <f t="shared" si="39"/>
        <v>138755.1122495599</v>
      </c>
      <c r="N61" s="53">
        <f t="shared" si="39"/>
        <v>165338.01043292464</v>
      </c>
      <c r="O61" s="53">
        <f t="shared" si="39"/>
        <v>193744.69586311537</v>
      </c>
      <c r="P61" s="53">
        <f t="shared" si="39"/>
        <v>226621.56285660743</v>
      </c>
      <c r="Q61" s="44"/>
      <c r="AI61" s="78"/>
      <c r="AJ61" s="78"/>
      <c r="AK61" s="78"/>
      <c r="AL61" s="78"/>
    </row>
    <row r="62" spans="1:38">
      <c r="A62" s="51" t="s">
        <v>710</v>
      </c>
      <c r="B62" s="52">
        <f t="shared" ref="B62:P62" si="40">B46-B55</f>
        <v>1375.7</v>
      </c>
      <c r="C62" s="52">
        <f t="shared" ref="C62:P62" si="41">C46-C55</f>
        <v>1439.67</v>
      </c>
      <c r="D62" s="52">
        <f t="shared" si="41"/>
        <v>1327.17</v>
      </c>
      <c r="E62" s="52">
        <f t="shared" si="41"/>
        <v>1727.48</v>
      </c>
      <c r="F62" s="52">
        <f t="shared" si="41"/>
        <v>1500.4099999999999</v>
      </c>
      <c r="G62" s="52">
        <f t="shared" si="41"/>
        <v>1656.9</v>
      </c>
      <c r="H62" s="52">
        <f t="shared" si="41"/>
        <v>-2461.6499999999996</v>
      </c>
      <c r="I62" s="52">
        <f t="shared" si="41"/>
        <v>-1229.0300000000007</v>
      </c>
      <c r="J62" s="52">
        <f t="shared" si="41"/>
        <v>2943.8699999999994</v>
      </c>
      <c r="K62" s="52">
        <f t="shared" si="41"/>
        <v>4587.3900000000003</v>
      </c>
      <c r="L62" s="52">
        <f t="shared" si="41"/>
        <v>7752.45</v>
      </c>
      <c r="M62" s="53">
        <f t="shared" si="41"/>
        <v>10786.424037461586</v>
      </c>
      <c r="N62" s="53">
        <f t="shared" si="41"/>
        <v>22478.685063655994</v>
      </c>
      <c r="O62" s="53">
        <f t="shared" si="41"/>
        <v>38661.52994386285</v>
      </c>
      <c r="P62" s="53">
        <f t="shared" si="41"/>
        <v>57761.914110336802</v>
      </c>
      <c r="Q62" s="44"/>
    </row>
    <row r="63" spans="1:38">
      <c r="A63" s="51" t="s">
        <v>670</v>
      </c>
      <c r="B63" s="55">
        <f>IFERROR(B16/B60,0)</f>
        <v>0.1813955502850004</v>
      </c>
      <c r="C63" s="55">
        <f t="shared" ref="C63:P63" si="42">IFERROR(C16/C60,0)</f>
        <v>0.15872735898082571</v>
      </c>
      <c r="D63" s="55">
        <f t="shared" si="42"/>
        <v>0.15188423838108234</v>
      </c>
      <c r="E63" s="55">
        <f t="shared" si="42"/>
        <v>0.14999019055905283</v>
      </c>
      <c r="F63" s="55">
        <f t="shared" si="42"/>
        <v>0.14263367361694726</v>
      </c>
      <c r="G63" s="55">
        <f t="shared" si="42"/>
        <v>0.16120559465973405</v>
      </c>
      <c r="H63" s="55">
        <f t="shared" si="42"/>
        <v>0.20497057793137027</v>
      </c>
      <c r="I63" s="55">
        <f t="shared" si="42"/>
        <v>0.23230135699726465</v>
      </c>
      <c r="J63" s="55">
        <f t="shared" si="42"/>
        <v>0.22056386147870377</v>
      </c>
      <c r="K63" s="55">
        <f t="shared" si="42"/>
        <v>0.22157724283576763</v>
      </c>
      <c r="L63" s="55">
        <f t="shared" si="42"/>
        <v>0.23796306514984011</v>
      </c>
      <c r="M63" s="56">
        <f t="shared" si="42"/>
        <v>0.23788525585166886</v>
      </c>
      <c r="N63" s="56">
        <f t="shared" si="42"/>
        <v>0.24635393842091965</v>
      </c>
      <c r="O63" s="56">
        <f t="shared" si="42"/>
        <v>0.24480843069883895</v>
      </c>
      <c r="P63" s="56">
        <f t="shared" si="42"/>
        <v>0.2416437673601039</v>
      </c>
      <c r="Q63" s="44"/>
    </row>
  </sheetData>
  <mergeCells count="10">
    <mergeCell ref="R36:AG36"/>
    <mergeCell ref="R46:AG46"/>
    <mergeCell ref="R12:AG12"/>
    <mergeCell ref="R19:AG19"/>
    <mergeCell ref="R24:AG24"/>
    <mergeCell ref="R29:AG29"/>
    <mergeCell ref="T35:AG35"/>
    <mergeCell ref="A1:AG1"/>
    <mergeCell ref="A2:AG2"/>
    <mergeCell ref="R5:A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AU260"/>
  <sheetViews>
    <sheetView showGridLines="0" workbookViewId="0">
      <selection activeCell="B197" sqref="B197"/>
    </sheetView>
  </sheetViews>
  <sheetFormatPr defaultRowHeight="13.8"/>
  <cols>
    <col min="1" max="2" width="14" customWidth="1"/>
    <col min="3" max="3" width="15" customWidth="1"/>
    <col min="4" max="4" width="16" customWidth="1"/>
    <col min="5" max="5" width="11" customWidth="1"/>
    <col min="6" max="6" width="58" customWidth="1"/>
    <col min="7" max="7" width="3" customWidth="1"/>
    <col min="8" max="8" width="12" customWidth="1"/>
    <col min="9" max="10" width="14" customWidth="1"/>
  </cols>
  <sheetData>
    <row r="1" spans="1:47" ht="25.95" customHeight="1">
      <c r="A1" s="37" t="s">
        <v>541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>
      <c r="A2" s="38" t="s">
        <v>542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543</v>
      </c>
      <c r="B5" s="3" t="s">
        <v>544</v>
      </c>
      <c r="C5" s="3" t="s">
        <v>545</v>
      </c>
      <c r="D5" s="3" t="s">
        <v>546</v>
      </c>
      <c r="E5" s="3" t="s">
        <v>547</v>
      </c>
      <c r="F5" s="3" t="s">
        <v>548</v>
      </c>
      <c r="G5" s="1"/>
      <c r="H5" s="3" t="s">
        <v>547</v>
      </c>
      <c r="I5" s="3" t="s">
        <v>549</v>
      </c>
      <c r="J5" s="3" t="s">
        <v>550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 hidden="1">
      <c r="A6" s="33">
        <v>40298.15625</v>
      </c>
      <c r="B6" s="11">
        <v>99.662498474121094</v>
      </c>
      <c r="C6" s="11">
        <v>81.489654541015625</v>
      </c>
      <c r="D6" s="34">
        <v>951820</v>
      </c>
      <c r="E6" s="9" t="s">
        <v>551</v>
      </c>
      <c r="F6" s="9" t="s">
        <v>88</v>
      </c>
      <c r="G6" s="1"/>
      <c r="H6" s="9" t="s">
        <v>552</v>
      </c>
      <c r="I6" s="33">
        <v>40633.15625</v>
      </c>
      <c r="J6" s="11">
        <v>91.8125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 hidden="1">
      <c r="A7" s="33">
        <v>40329.15625</v>
      </c>
      <c r="B7" s="11">
        <v>96.699996948242188</v>
      </c>
      <c r="C7" s="11">
        <v>79.365997314453125</v>
      </c>
      <c r="D7" s="34">
        <v>151008</v>
      </c>
      <c r="E7" s="9" t="s">
        <v>551</v>
      </c>
      <c r="F7" s="9" t="s">
        <v>88</v>
      </c>
      <c r="G7" s="1"/>
      <c r="H7" s="9" t="s">
        <v>553</v>
      </c>
      <c r="I7" s="33">
        <v>40998.15625</v>
      </c>
      <c r="J7" s="11">
        <v>79.262496948242188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 hidden="1">
      <c r="A8" s="33">
        <v>40359.15625</v>
      </c>
      <c r="B8" s="11">
        <v>103</v>
      </c>
      <c r="C8" s="11">
        <v>84.536659240722656</v>
      </c>
      <c r="D8" s="34">
        <v>198452</v>
      </c>
      <c r="E8" s="9" t="s">
        <v>551</v>
      </c>
      <c r="F8" s="9" t="s">
        <v>88</v>
      </c>
      <c r="G8" s="1"/>
      <c r="H8" s="9" t="s">
        <v>554</v>
      </c>
      <c r="I8" s="33">
        <v>41361.15625</v>
      </c>
      <c r="J8" s="11">
        <v>136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 hidden="1">
      <c r="A9" s="33">
        <v>40389.15625</v>
      </c>
      <c r="B9" s="11">
        <v>113.625</v>
      </c>
      <c r="C9" s="11">
        <v>93.451057434082031</v>
      </c>
      <c r="D9" s="34">
        <v>228908</v>
      </c>
      <c r="E9" s="9" t="s">
        <v>551</v>
      </c>
      <c r="F9" s="9" t="s">
        <v>88</v>
      </c>
      <c r="G9" s="1"/>
      <c r="H9" s="9" t="s">
        <v>555</v>
      </c>
      <c r="I9" s="33">
        <v>41729.15625</v>
      </c>
      <c r="J9" s="11">
        <v>262.36248779296875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 hidden="1">
      <c r="A10" s="33">
        <v>40421.15625</v>
      </c>
      <c r="B10" s="11">
        <v>113.5625</v>
      </c>
      <c r="C10" s="11">
        <v>93.399658203125</v>
      </c>
      <c r="D10" s="34">
        <v>206200</v>
      </c>
      <c r="E10" s="9" t="s">
        <v>551</v>
      </c>
      <c r="F10" s="9" t="s">
        <v>88</v>
      </c>
      <c r="G10" s="1"/>
      <c r="H10" s="9" t="s">
        <v>556</v>
      </c>
      <c r="I10" s="33">
        <v>42094.15625</v>
      </c>
      <c r="J10" s="11">
        <v>357.14999389648438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 hidden="1">
      <c r="A11" s="33">
        <v>40451.15625</v>
      </c>
      <c r="B11" s="11">
        <v>111.58750152587891</v>
      </c>
      <c r="C11" s="11">
        <v>91.775314331054688</v>
      </c>
      <c r="D11" s="34">
        <v>555560</v>
      </c>
      <c r="E11" s="9" t="s">
        <v>551</v>
      </c>
      <c r="F11" s="9" t="s">
        <v>88</v>
      </c>
      <c r="G11" s="1"/>
      <c r="H11" s="9" t="s">
        <v>2</v>
      </c>
      <c r="I11" s="33">
        <v>42460.15625</v>
      </c>
      <c r="J11" s="11">
        <v>381.07501220703125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 hidden="1">
      <c r="A12" s="33">
        <v>40480.15625</v>
      </c>
      <c r="B12" s="11">
        <v>100.8125</v>
      </c>
      <c r="C12" s="11">
        <v>82.913406372070313</v>
      </c>
      <c r="D12" s="34">
        <v>183828</v>
      </c>
      <c r="E12" s="9" t="s">
        <v>551</v>
      </c>
      <c r="F12" s="9" t="s">
        <v>88</v>
      </c>
      <c r="G12" s="1"/>
      <c r="H12" s="9" t="s">
        <v>3</v>
      </c>
      <c r="I12" s="33">
        <v>42825.15625</v>
      </c>
      <c r="J12" s="11">
        <v>297.85000610351563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 hidden="1">
      <c r="A13" s="33">
        <v>40512.15625</v>
      </c>
      <c r="B13" s="11">
        <v>95.612503051757813</v>
      </c>
      <c r="C13" s="11">
        <v>78.63665771484375</v>
      </c>
      <c r="D13" s="34">
        <v>40792</v>
      </c>
      <c r="E13" s="9" t="s">
        <v>551</v>
      </c>
      <c r="F13" s="9" t="s">
        <v>88</v>
      </c>
      <c r="G13" s="1"/>
      <c r="H13" s="9" t="s">
        <v>4</v>
      </c>
      <c r="I13" s="33">
        <v>43187.15625</v>
      </c>
      <c r="J13" s="11">
        <v>347.02499389648438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 hidden="1">
      <c r="A14" s="33">
        <v>40543.15625</v>
      </c>
      <c r="B14" s="11">
        <v>107.42500305175781</v>
      </c>
      <c r="C14" s="11">
        <v>88.351852416992188</v>
      </c>
      <c r="D14" s="34">
        <v>53560</v>
      </c>
      <c r="E14" s="9" t="s">
        <v>551</v>
      </c>
      <c r="F14" s="9" t="s">
        <v>88</v>
      </c>
      <c r="G14" s="1"/>
      <c r="H14" s="9" t="s">
        <v>5</v>
      </c>
      <c r="I14" s="33">
        <v>43552.15625</v>
      </c>
      <c r="J14" s="11">
        <v>318.39999389648438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 hidden="1">
      <c r="A15" s="33">
        <v>40574.15625</v>
      </c>
      <c r="B15" s="11">
        <v>96.375</v>
      </c>
      <c r="C15" s="11">
        <v>80.081886291503906</v>
      </c>
      <c r="D15" s="34">
        <v>35908</v>
      </c>
      <c r="E15" s="9" t="s">
        <v>551</v>
      </c>
      <c r="F15" s="9" t="s">
        <v>88</v>
      </c>
      <c r="G15" s="1"/>
      <c r="H15" s="9" t="s">
        <v>6</v>
      </c>
      <c r="I15" s="33">
        <v>43921.15625</v>
      </c>
      <c r="J15" s="11">
        <v>275.47500610351563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 hidden="1">
      <c r="A16" s="33">
        <v>40602.15625</v>
      </c>
      <c r="B16" s="11">
        <v>94.362503051757813</v>
      </c>
      <c r="C16" s="11">
        <v>78.40960693359375</v>
      </c>
      <c r="D16" s="34">
        <v>63840</v>
      </c>
      <c r="E16" s="9" t="s">
        <v>551</v>
      </c>
      <c r="F16" s="9" t="s">
        <v>88</v>
      </c>
      <c r="G16" s="1"/>
      <c r="H16" s="9" t="s">
        <v>7</v>
      </c>
      <c r="I16" s="33">
        <v>44286.15625</v>
      </c>
      <c r="J16" s="11">
        <v>961.0250244140625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 hidden="1">
      <c r="A17" s="33">
        <v>40633.15625</v>
      </c>
      <c r="B17" s="11">
        <v>91.8125</v>
      </c>
      <c r="C17" s="11">
        <v>76.290702819824219</v>
      </c>
      <c r="D17" s="34">
        <v>187968</v>
      </c>
      <c r="E17" s="9" t="s">
        <v>551</v>
      </c>
      <c r="F17" s="9" t="s">
        <v>88</v>
      </c>
      <c r="G17" s="1"/>
      <c r="H17" s="9" t="s">
        <v>8</v>
      </c>
      <c r="I17" s="33">
        <v>44651.15625</v>
      </c>
      <c r="J17" s="11">
        <v>2382.64990234375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 hidden="1">
      <c r="A18" s="33">
        <v>40662.15625</v>
      </c>
      <c r="B18" s="11">
        <v>96.1875</v>
      </c>
      <c r="C18" s="11">
        <v>79.926071166992188</v>
      </c>
      <c r="D18" s="34">
        <v>66652</v>
      </c>
      <c r="E18" s="9" t="s">
        <v>557</v>
      </c>
      <c r="F18" s="9" t="s">
        <v>88</v>
      </c>
      <c r="G18" s="1"/>
      <c r="H18" s="9" t="s">
        <v>9</v>
      </c>
      <c r="I18" s="33">
        <v>45016.15625</v>
      </c>
      <c r="J18" s="11">
        <v>2304.75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 hidden="1">
      <c r="A19" s="33">
        <v>40694.15625</v>
      </c>
      <c r="B19" s="11">
        <v>100.55000305175781</v>
      </c>
      <c r="C19" s="11">
        <v>83.551033020019531</v>
      </c>
      <c r="D19" s="34">
        <v>263020</v>
      </c>
      <c r="E19" s="9" t="s">
        <v>557</v>
      </c>
      <c r="F19" s="9" t="s">
        <v>88</v>
      </c>
      <c r="G19" s="1"/>
      <c r="H19" s="9" t="s">
        <v>10</v>
      </c>
      <c r="I19" s="33">
        <v>45379.15625</v>
      </c>
      <c r="J19" s="11">
        <v>3984.550048828125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 hidden="1">
      <c r="A20" s="33">
        <v>40724.15625</v>
      </c>
      <c r="B20" s="11">
        <v>91.324996948242188</v>
      </c>
      <c r="C20" s="11">
        <v>75.885627746582031</v>
      </c>
      <c r="D20" s="34">
        <v>43684</v>
      </c>
      <c r="E20" s="9" t="s">
        <v>557</v>
      </c>
      <c r="F20" s="9" t="s">
        <v>88</v>
      </c>
      <c r="G20" s="1"/>
      <c r="H20" s="9" t="s">
        <v>11</v>
      </c>
      <c r="I20" s="33">
        <v>45744.15625</v>
      </c>
      <c r="J20" s="11">
        <v>5513.75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 hidden="1">
      <c r="A21" s="33">
        <v>40753.15625</v>
      </c>
      <c r="B21" s="11">
        <v>88.837501525878906</v>
      </c>
      <c r="C21" s="11">
        <v>74.117683410644531</v>
      </c>
      <c r="D21" s="34">
        <v>16260</v>
      </c>
      <c r="E21" s="9" t="s">
        <v>557</v>
      </c>
      <c r="F21" s="9" t="s">
        <v>88</v>
      </c>
      <c r="G21" s="1"/>
      <c r="H21" s="9" t="s">
        <v>12</v>
      </c>
      <c r="I21" s="33">
        <v>46111.15625</v>
      </c>
      <c r="J21" s="11">
        <v>4877.2001953125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 hidden="1">
      <c r="A22" s="33">
        <v>40785.15625</v>
      </c>
      <c r="B22" s="11">
        <v>80.275001525878906</v>
      </c>
      <c r="C22" s="11">
        <v>66.973922729492188</v>
      </c>
      <c r="D22" s="34">
        <v>397204</v>
      </c>
      <c r="E22" s="9" t="s">
        <v>557</v>
      </c>
      <c r="F22" s="9" t="s">
        <v>88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 hidden="1">
      <c r="A23" s="33">
        <v>40816.15625</v>
      </c>
      <c r="B23" s="11">
        <v>76.25</v>
      </c>
      <c r="C23" s="11">
        <v>63.615837097167969</v>
      </c>
      <c r="D23" s="34">
        <v>50380</v>
      </c>
      <c r="E23" s="9" t="s">
        <v>557</v>
      </c>
      <c r="F23" s="9" t="s">
        <v>88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 hidden="1">
      <c r="A24" s="33">
        <v>40847.15625</v>
      </c>
      <c r="B24" s="11">
        <v>79.800003051757813</v>
      </c>
      <c r="C24" s="11">
        <v>66.577644348144531</v>
      </c>
      <c r="D24" s="34">
        <v>42184</v>
      </c>
      <c r="E24" s="9" t="s">
        <v>557</v>
      </c>
      <c r="F24" s="9" t="s">
        <v>88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 hidden="1">
      <c r="A25" s="33">
        <v>40877.15625</v>
      </c>
      <c r="B25" s="11">
        <v>79.775001525878906</v>
      </c>
      <c r="C25" s="11">
        <v>66.556800842285156</v>
      </c>
      <c r="D25" s="34">
        <v>38856</v>
      </c>
      <c r="E25" s="9" t="s">
        <v>557</v>
      </c>
      <c r="F25" s="9" t="s">
        <v>88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 hidden="1">
      <c r="A26" s="33">
        <v>40907.15625</v>
      </c>
      <c r="B26" s="11">
        <v>82.112503051757813</v>
      </c>
      <c r="C26" s="11">
        <v>68.506973266601563</v>
      </c>
      <c r="D26" s="34">
        <v>19224</v>
      </c>
      <c r="E26" s="9" t="s">
        <v>557</v>
      </c>
      <c r="F26" s="9" t="s">
        <v>88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 hidden="1">
      <c r="A27" s="33">
        <v>40939.15625</v>
      </c>
      <c r="B27" s="11">
        <v>80.8125</v>
      </c>
      <c r="C27" s="11">
        <v>68.141914367675781</v>
      </c>
      <c r="D27" s="34">
        <v>22936</v>
      </c>
      <c r="E27" s="9" t="s">
        <v>557</v>
      </c>
      <c r="F27" s="9" t="s">
        <v>88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 hidden="1">
      <c r="A28" s="33">
        <v>40968.15625</v>
      </c>
      <c r="B28" s="11">
        <v>77.237503051757813</v>
      </c>
      <c r="C28" s="11">
        <v>65.127456665039063</v>
      </c>
      <c r="D28" s="34">
        <v>14740</v>
      </c>
      <c r="E28" s="9" t="s">
        <v>557</v>
      </c>
      <c r="F28" s="9" t="s">
        <v>88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 hidden="1">
      <c r="A29" s="33">
        <v>40998.15625</v>
      </c>
      <c r="B29" s="11">
        <v>79.262496948242188</v>
      </c>
      <c r="C29" s="11">
        <v>66.834945678710938</v>
      </c>
      <c r="D29" s="34">
        <v>23220</v>
      </c>
      <c r="E29" s="9" t="s">
        <v>557</v>
      </c>
      <c r="F29" s="9" t="s">
        <v>88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 hidden="1">
      <c r="A30" s="33">
        <v>41029.15625</v>
      </c>
      <c r="B30" s="11">
        <v>89.949996948242188</v>
      </c>
      <c r="C30" s="11">
        <v>75.846763610839844</v>
      </c>
      <c r="D30" s="34">
        <v>71384</v>
      </c>
      <c r="E30" s="9" t="s">
        <v>558</v>
      </c>
      <c r="F30" s="9" t="s">
        <v>88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 hidden="1">
      <c r="A31" s="33">
        <v>41060.15625</v>
      </c>
      <c r="B31" s="11">
        <v>85.849998474121094</v>
      </c>
      <c r="C31" s="11">
        <v>72.389595031738281</v>
      </c>
      <c r="D31" s="34">
        <v>17388</v>
      </c>
      <c r="E31" s="9" t="s">
        <v>558</v>
      </c>
      <c r="F31" s="9" t="s">
        <v>88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 hidden="1">
      <c r="A32" s="33">
        <v>41089.15625</v>
      </c>
      <c r="B32" s="11">
        <v>99.112503051757813</v>
      </c>
      <c r="C32" s="11">
        <v>83.572677612304688</v>
      </c>
      <c r="D32" s="34">
        <v>43016</v>
      </c>
      <c r="E32" s="9" t="s">
        <v>558</v>
      </c>
      <c r="F32" s="9" t="s">
        <v>88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 hidden="1">
      <c r="A33" s="33">
        <v>41121.15625</v>
      </c>
      <c r="B33" s="11">
        <v>96.212501525878906</v>
      </c>
      <c r="C33" s="11">
        <v>81.65069580078125</v>
      </c>
      <c r="D33" s="34">
        <v>35660</v>
      </c>
      <c r="E33" s="9" t="s">
        <v>558</v>
      </c>
      <c r="F33" s="9" t="s">
        <v>88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 hidden="1">
      <c r="A34" s="33">
        <v>41152.15625</v>
      </c>
      <c r="B34" s="11">
        <v>94.675003051757813</v>
      </c>
      <c r="C34" s="11">
        <v>80.345901489257813</v>
      </c>
      <c r="D34" s="34">
        <v>25472</v>
      </c>
      <c r="E34" s="9" t="s">
        <v>558</v>
      </c>
      <c r="F34" s="9" t="s">
        <v>88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 hidden="1">
      <c r="A35" s="33">
        <v>41180.15625</v>
      </c>
      <c r="B35" s="11">
        <v>106.8125</v>
      </c>
      <c r="C35" s="11">
        <v>90.646385192871094</v>
      </c>
      <c r="D35" s="34">
        <v>150520</v>
      </c>
      <c r="E35" s="9" t="s">
        <v>558</v>
      </c>
      <c r="F35" s="9" t="s">
        <v>88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 hidden="1">
      <c r="A36" s="33">
        <v>41213.15625</v>
      </c>
      <c r="B36" s="11">
        <v>119.88749694824219</v>
      </c>
      <c r="C36" s="11">
        <v>101.74248504638672</v>
      </c>
      <c r="D36" s="34">
        <v>175492</v>
      </c>
      <c r="E36" s="9" t="s">
        <v>558</v>
      </c>
      <c r="F36" s="9" t="s">
        <v>88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 hidden="1">
      <c r="A37" s="33">
        <v>41243.15625</v>
      </c>
      <c r="B37" s="11">
        <v>120.25</v>
      </c>
      <c r="C37" s="11">
        <v>102.05011749267578</v>
      </c>
      <c r="D37" s="34">
        <v>33304</v>
      </c>
      <c r="E37" s="9" t="s">
        <v>558</v>
      </c>
      <c r="F37" s="9" t="s">
        <v>88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 hidden="1">
      <c r="A38" s="33">
        <v>41274.15625</v>
      </c>
      <c r="B38" s="11">
        <v>128.05000305175781</v>
      </c>
      <c r="C38" s="11">
        <v>108.66958618164063</v>
      </c>
      <c r="D38" s="34">
        <v>44936</v>
      </c>
      <c r="E38" s="9" t="s">
        <v>558</v>
      </c>
      <c r="F38" s="9" t="s">
        <v>88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 hidden="1">
      <c r="A39" s="33">
        <v>41305.15625</v>
      </c>
      <c r="B39" s="11">
        <v>138.41250610351563</v>
      </c>
      <c r="C39" s="11">
        <v>118.73725128173828</v>
      </c>
      <c r="D39" s="34">
        <v>143072</v>
      </c>
      <c r="E39" s="9" t="s">
        <v>558</v>
      </c>
      <c r="F39" s="9" t="s">
        <v>88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 hidden="1">
      <c r="A40" s="33">
        <v>41333.15625</v>
      </c>
      <c r="B40" s="11">
        <v>138.19999694824219</v>
      </c>
      <c r="C40" s="11">
        <v>118.55493927001953</v>
      </c>
      <c r="D40" s="34">
        <v>49360</v>
      </c>
      <c r="E40" s="9" t="s">
        <v>558</v>
      </c>
      <c r="F40" s="9" t="s">
        <v>88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 hidden="1">
      <c r="A41" s="33">
        <v>41361.15625</v>
      </c>
      <c r="B41" s="11">
        <v>136</v>
      </c>
      <c r="C41" s="11">
        <v>116.66769409179688</v>
      </c>
      <c r="D41" s="34">
        <v>26056</v>
      </c>
      <c r="E41" s="9" t="s">
        <v>558</v>
      </c>
      <c r="F41" s="9" t="s">
        <v>88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 hidden="1">
      <c r="A42" s="33">
        <v>41394.15625</v>
      </c>
      <c r="B42" s="11">
        <v>129.98750305175781</v>
      </c>
      <c r="C42" s="11">
        <v>111.50987243652344</v>
      </c>
      <c r="D42" s="34">
        <v>100568</v>
      </c>
      <c r="E42" s="9" t="s">
        <v>559</v>
      </c>
      <c r="F42" s="9" t="s">
        <v>88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 hidden="1">
      <c r="A43" s="33">
        <v>41425.15625</v>
      </c>
      <c r="B43" s="11">
        <v>128.23750305175781</v>
      </c>
      <c r="C43" s="11">
        <v>110.00862884521484</v>
      </c>
      <c r="D43" s="34">
        <v>33388</v>
      </c>
      <c r="E43" s="9" t="s">
        <v>559</v>
      </c>
      <c r="F43" s="9" t="s">
        <v>88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 hidden="1">
      <c r="A44" s="33">
        <v>41453.15625</v>
      </c>
      <c r="B44" s="11">
        <v>125.44999694824219</v>
      </c>
      <c r="C44" s="11">
        <v>107.61736297607422</v>
      </c>
      <c r="D44" s="34">
        <v>10680</v>
      </c>
      <c r="E44" s="9" t="s">
        <v>559</v>
      </c>
      <c r="F44" s="9" t="s">
        <v>88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 hidden="1">
      <c r="A45" s="33">
        <v>41486.15625</v>
      </c>
      <c r="B45" s="11">
        <v>129.92500305175781</v>
      </c>
      <c r="C45" s="11">
        <v>112.07536315917969</v>
      </c>
      <c r="D45" s="34">
        <v>106444</v>
      </c>
      <c r="E45" s="9" t="s">
        <v>559</v>
      </c>
      <c r="F45" s="9" t="s">
        <v>88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 hidden="1">
      <c r="A46" s="33">
        <v>41516.15625</v>
      </c>
      <c r="B46" s="11">
        <v>146.82499694824219</v>
      </c>
      <c r="C46" s="11">
        <v>126.65352630615234</v>
      </c>
      <c r="D46" s="34">
        <v>55296</v>
      </c>
      <c r="E46" s="9" t="s">
        <v>559</v>
      </c>
      <c r="F46" s="9" t="s">
        <v>88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 hidden="1">
      <c r="A47" s="33">
        <v>41547.15625</v>
      </c>
      <c r="B47" s="11">
        <v>158.35000610351563</v>
      </c>
      <c r="C47" s="11">
        <v>136.59519958496094</v>
      </c>
      <c r="D47" s="34">
        <v>222844</v>
      </c>
      <c r="E47" s="9" t="s">
        <v>559</v>
      </c>
      <c r="F47" s="9" t="s">
        <v>88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 hidden="1">
      <c r="A48" s="33">
        <v>41578.15625</v>
      </c>
      <c r="B48" s="11">
        <v>203.27499389648438</v>
      </c>
      <c r="C48" s="11">
        <v>175.34817504882813</v>
      </c>
      <c r="D48" s="34">
        <v>138372</v>
      </c>
      <c r="E48" s="9" t="s">
        <v>559</v>
      </c>
      <c r="F48" s="9" t="s">
        <v>88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 hidden="1">
      <c r="A49" s="33">
        <v>41607.15625</v>
      </c>
      <c r="B49" s="11">
        <v>216.75</v>
      </c>
      <c r="C49" s="11">
        <v>186.97193908691406</v>
      </c>
      <c r="D49" s="34">
        <v>68896</v>
      </c>
      <c r="E49" s="9" t="s">
        <v>559</v>
      </c>
      <c r="F49" s="9" t="s">
        <v>88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 hidden="1">
      <c r="A50" s="33">
        <v>41639.15625</v>
      </c>
      <c r="B50" s="11">
        <v>244.47500610351563</v>
      </c>
      <c r="C50" s="11">
        <v>210.88796997070313</v>
      </c>
      <c r="D50" s="34">
        <v>88312</v>
      </c>
      <c r="E50" s="9" t="s">
        <v>559</v>
      </c>
      <c r="F50" s="9" t="s">
        <v>88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 hidden="1">
      <c r="A51" s="33">
        <v>41670.15625</v>
      </c>
      <c r="B51" s="11">
        <v>241.30000305175781</v>
      </c>
      <c r="C51" s="11">
        <v>209.84068298339844</v>
      </c>
      <c r="D51" s="34">
        <v>73144</v>
      </c>
      <c r="E51" s="9" t="s">
        <v>559</v>
      </c>
      <c r="F51" s="9" t="s">
        <v>88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 hidden="1">
      <c r="A52" s="33">
        <v>41698.15625</v>
      </c>
      <c r="B52" s="11">
        <v>283.51251220703125</v>
      </c>
      <c r="C52" s="11">
        <v>246.5498046875</v>
      </c>
      <c r="D52" s="34">
        <v>211492</v>
      </c>
      <c r="E52" s="9" t="s">
        <v>559</v>
      </c>
      <c r="F52" s="9" t="s">
        <v>88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 hidden="1">
      <c r="A53" s="33">
        <v>41729.15625</v>
      </c>
      <c r="B53" s="11">
        <v>262.36248779296875</v>
      </c>
      <c r="C53" s="11">
        <v>228.15711975097656</v>
      </c>
      <c r="D53" s="34">
        <v>574996</v>
      </c>
      <c r="E53" s="9" t="s">
        <v>559</v>
      </c>
      <c r="F53" s="9" t="s">
        <v>88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 hidden="1">
      <c r="A54" s="33">
        <v>41759.15625</v>
      </c>
      <c r="B54" s="11">
        <v>251.83749389648438</v>
      </c>
      <c r="C54" s="11">
        <v>219.00436401367188</v>
      </c>
      <c r="D54" s="34">
        <v>159156</v>
      </c>
      <c r="E54" s="9" t="s">
        <v>560</v>
      </c>
      <c r="F54" s="9" t="s">
        <v>88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 hidden="1">
      <c r="A55" s="33">
        <v>41789.15625</v>
      </c>
      <c r="B55" s="11">
        <v>266.92498779296875</v>
      </c>
      <c r="C55" s="11">
        <v>232.12481689453125</v>
      </c>
      <c r="D55" s="34">
        <v>89260</v>
      </c>
      <c r="E55" s="9" t="s">
        <v>560</v>
      </c>
      <c r="F55" s="9" t="s">
        <v>88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 hidden="1">
      <c r="A56" s="33">
        <v>41820.15625</v>
      </c>
      <c r="B56" s="11">
        <v>270.29998779296875</v>
      </c>
      <c r="C56" s="11">
        <v>235.05982971191406</v>
      </c>
      <c r="D56" s="34">
        <v>53620</v>
      </c>
      <c r="E56" s="9" t="s">
        <v>560</v>
      </c>
      <c r="F56" s="9" t="s">
        <v>88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 hidden="1">
      <c r="A57" s="33">
        <v>41851.15625</v>
      </c>
      <c r="B57" s="11">
        <v>312.71249389648438</v>
      </c>
      <c r="C57" s="11">
        <v>272.81585693359375</v>
      </c>
      <c r="D57" s="34">
        <v>154784</v>
      </c>
      <c r="E57" s="9" t="s">
        <v>560</v>
      </c>
      <c r="F57" s="9" t="s">
        <v>88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 hidden="1">
      <c r="A58" s="33">
        <v>41879.15625</v>
      </c>
      <c r="B58" s="11">
        <v>314</v>
      </c>
      <c r="C58" s="11">
        <v>273.9390869140625</v>
      </c>
      <c r="D58" s="34">
        <v>144944</v>
      </c>
      <c r="E58" s="9" t="s">
        <v>560</v>
      </c>
      <c r="F58" s="9" t="s">
        <v>88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 hidden="1">
      <c r="A59" s="33">
        <v>41912.15625</v>
      </c>
      <c r="B59" s="11">
        <v>351.14999389648438</v>
      </c>
      <c r="C59" s="11">
        <v>306.34939575195313</v>
      </c>
      <c r="D59" s="34">
        <v>222024</v>
      </c>
      <c r="E59" s="9" t="s">
        <v>560</v>
      </c>
      <c r="F59" s="9" t="s">
        <v>88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 hidden="1">
      <c r="A60" s="33">
        <v>41943.15625</v>
      </c>
      <c r="B60" s="11">
        <v>324.91250610351563</v>
      </c>
      <c r="C60" s="11">
        <v>283.4593505859375</v>
      </c>
      <c r="D60" s="34">
        <v>189292</v>
      </c>
      <c r="E60" s="9" t="s">
        <v>560</v>
      </c>
      <c r="F60" s="9" t="s">
        <v>88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 hidden="1">
      <c r="A61" s="33">
        <v>41971.15625</v>
      </c>
      <c r="B61" s="11">
        <v>380.5</v>
      </c>
      <c r="C61" s="11">
        <v>331.954833984375</v>
      </c>
      <c r="D61" s="34">
        <v>436684</v>
      </c>
      <c r="E61" s="9" t="s">
        <v>560</v>
      </c>
      <c r="F61" s="9" t="s">
        <v>88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 hidden="1">
      <c r="A62" s="33">
        <v>42004.15625</v>
      </c>
      <c r="B62" s="11">
        <v>415.92498779296875</v>
      </c>
      <c r="C62" s="11">
        <v>362.8602294921875</v>
      </c>
      <c r="D62" s="34">
        <v>290412</v>
      </c>
      <c r="E62" s="9" t="s">
        <v>560</v>
      </c>
      <c r="F62" s="9" t="s">
        <v>88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 hidden="1">
      <c r="A63" s="33">
        <v>42034.15625</v>
      </c>
      <c r="B63" s="11">
        <v>421.86248779296875</v>
      </c>
      <c r="C63" s="11">
        <v>370.224609375</v>
      </c>
      <c r="D63" s="34">
        <v>232908</v>
      </c>
      <c r="E63" s="9" t="s">
        <v>560</v>
      </c>
      <c r="F63" s="9" t="s">
        <v>88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 hidden="1">
      <c r="A64" s="33">
        <v>42062.15625</v>
      </c>
      <c r="B64" s="11">
        <v>444.16250610351563</v>
      </c>
      <c r="C64" s="11">
        <v>389.79501342773438</v>
      </c>
      <c r="D64" s="34">
        <v>309592</v>
      </c>
      <c r="E64" s="9" t="s">
        <v>560</v>
      </c>
      <c r="F64" s="9" t="s">
        <v>88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 hidden="1">
      <c r="A65" s="33">
        <v>42094.15625</v>
      </c>
      <c r="B65" s="11">
        <v>357.14999389648438</v>
      </c>
      <c r="C65" s="11">
        <v>313.43319702148438</v>
      </c>
      <c r="D65" s="34">
        <v>572750</v>
      </c>
      <c r="E65" s="9" t="s">
        <v>560</v>
      </c>
      <c r="F65" s="9" t="s">
        <v>88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 hidden="1">
      <c r="A66" s="33">
        <v>42124.15625</v>
      </c>
      <c r="B66" s="11">
        <v>352.875</v>
      </c>
      <c r="C66" s="11">
        <v>309.68154907226563</v>
      </c>
      <c r="D66" s="34">
        <v>423844</v>
      </c>
      <c r="E66" s="9" t="s">
        <v>561</v>
      </c>
      <c r="F66" s="9" t="s">
        <v>88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 hidden="1">
      <c r="A67" s="33">
        <v>42153.15625</v>
      </c>
      <c r="B67" s="11">
        <v>393.32501220703125</v>
      </c>
      <c r="C67" s="11">
        <v>345.18020629882813</v>
      </c>
      <c r="D67" s="34">
        <v>1150244</v>
      </c>
      <c r="E67" s="9" t="s">
        <v>561</v>
      </c>
      <c r="F67" s="9" t="s">
        <v>88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 hidden="1">
      <c r="A68" s="33">
        <v>42185.15625</v>
      </c>
      <c r="B68" s="11">
        <v>300.14999389648438</v>
      </c>
      <c r="C68" s="11">
        <v>263.41024780273438</v>
      </c>
      <c r="D68" s="34">
        <v>1097388</v>
      </c>
      <c r="E68" s="9" t="s">
        <v>561</v>
      </c>
      <c r="F68" s="9" t="s">
        <v>88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 hidden="1">
      <c r="A69" s="33">
        <v>42216.15625</v>
      </c>
      <c r="B69" s="11">
        <v>332.54998779296875</v>
      </c>
      <c r="C69" s="11">
        <v>294.13494873046875</v>
      </c>
      <c r="D69" s="34">
        <v>111246</v>
      </c>
      <c r="E69" s="9" t="s">
        <v>561</v>
      </c>
      <c r="F69" s="9" t="s">
        <v>88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 hidden="1">
      <c r="A70" s="33">
        <v>42247.15625</v>
      </c>
      <c r="B70" s="11">
        <v>350.5</v>
      </c>
      <c r="C70" s="11">
        <v>310.01144409179688</v>
      </c>
      <c r="D70" s="34">
        <v>53086</v>
      </c>
      <c r="E70" s="9" t="s">
        <v>561</v>
      </c>
      <c r="F70" s="9" t="s">
        <v>88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 hidden="1">
      <c r="A71" s="33">
        <v>42277.15625</v>
      </c>
      <c r="B71" s="11">
        <v>332.82501220703125</v>
      </c>
      <c r="C71" s="11">
        <v>294.37823486328125</v>
      </c>
      <c r="D71" s="34">
        <v>178208</v>
      </c>
      <c r="E71" s="9" t="s">
        <v>561</v>
      </c>
      <c r="F71" s="9" t="s">
        <v>88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 hidden="1">
      <c r="A72" s="33">
        <v>42307.15625</v>
      </c>
      <c r="B72" s="11">
        <v>322.64999389648438</v>
      </c>
      <c r="C72" s="11">
        <v>285.37857055664063</v>
      </c>
      <c r="D72" s="34">
        <v>67792</v>
      </c>
      <c r="E72" s="9" t="s">
        <v>561</v>
      </c>
      <c r="F72" s="9" t="s">
        <v>88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 hidden="1">
      <c r="A73" s="33">
        <v>42338.15625</v>
      </c>
      <c r="B73" s="11">
        <v>332.97500610351563</v>
      </c>
      <c r="C73" s="11">
        <v>294.5108642578125</v>
      </c>
      <c r="D73" s="34">
        <v>141804</v>
      </c>
      <c r="E73" s="9" t="s">
        <v>561</v>
      </c>
      <c r="F73" s="9" t="s">
        <v>88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 hidden="1">
      <c r="A74" s="33">
        <v>42369.15625</v>
      </c>
      <c r="B74" s="11">
        <v>320.79998779296875</v>
      </c>
      <c r="C74" s="11">
        <v>283.74224853515625</v>
      </c>
      <c r="D74" s="34">
        <v>109882</v>
      </c>
      <c r="E74" s="9" t="s">
        <v>561</v>
      </c>
      <c r="F74" s="9" t="s">
        <v>88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 hidden="1">
      <c r="A75" s="33">
        <v>42398.15625</v>
      </c>
      <c r="B75" s="11">
        <v>331.45001220703125</v>
      </c>
      <c r="C75" s="11">
        <v>293.16201782226563</v>
      </c>
      <c r="D75" s="34">
        <v>375674</v>
      </c>
      <c r="E75" s="9" t="s">
        <v>561</v>
      </c>
      <c r="F75" s="9" t="s">
        <v>88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 hidden="1">
      <c r="A76" s="33">
        <v>42429.15625</v>
      </c>
      <c r="B76" s="11">
        <v>303.85000610351563</v>
      </c>
      <c r="C76" s="11">
        <v>270.79275512695313</v>
      </c>
      <c r="D76" s="34">
        <v>69250</v>
      </c>
      <c r="E76" s="9" t="s">
        <v>561</v>
      </c>
      <c r="F76" s="9" t="s">
        <v>88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33">
        <v>42460.15625</v>
      </c>
      <c r="B77" s="11">
        <v>381.07501220703125</v>
      </c>
      <c r="C77" s="11">
        <v>341.1612548828125</v>
      </c>
      <c r="D77" s="34">
        <v>170712</v>
      </c>
      <c r="E77" s="9" t="s">
        <v>561</v>
      </c>
      <c r="F77" s="9" t="s">
        <v>88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 hidden="1">
      <c r="A78" s="33">
        <v>42489.15625</v>
      </c>
      <c r="B78" s="11">
        <v>371.27499389648438</v>
      </c>
      <c r="C78" s="11">
        <v>332.3876953125</v>
      </c>
      <c r="D78" s="34">
        <v>391728</v>
      </c>
      <c r="E78" s="9" t="s">
        <v>562</v>
      </c>
      <c r="F78" s="9" t="s">
        <v>88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 hidden="1">
      <c r="A79" s="33">
        <v>42521.15625</v>
      </c>
      <c r="B79" s="11">
        <v>367.97500610351563</v>
      </c>
      <c r="C79" s="11">
        <v>329.43331909179688</v>
      </c>
      <c r="D79" s="34">
        <v>129604</v>
      </c>
      <c r="E79" s="9" t="s">
        <v>562</v>
      </c>
      <c r="F79" s="9" t="s">
        <v>88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 hidden="1">
      <c r="A80" s="33">
        <v>42551.15625</v>
      </c>
      <c r="B80" s="11">
        <v>348.79998779296875</v>
      </c>
      <c r="C80" s="11">
        <v>312.2667236328125</v>
      </c>
      <c r="D80" s="34">
        <v>133724</v>
      </c>
      <c r="E80" s="9" t="s">
        <v>562</v>
      </c>
      <c r="F80" s="9" t="s">
        <v>88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 hidden="1">
      <c r="A81" s="33">
        <v>42580.15625</v>
      </c>
      <c r="B81" s="11">
        <v>343.20001220703125</v>
      </c>
      <c r="C81" s="11">
        <v>307.25320434570313</v>
      </c>
      <c r="D81" s="34">
        <v>170970</v>
      </c>
      <c r="E81" s="9" t="s">
        <v>562</v>
      </c>
      <c r="F81" s="9" t="s">
        <v>88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 hidden="1">
      <c r="A82" s="33">
        <v>42613.15625</v>
      </c>
      <c r="B82" s="11">
        <v>311.22500610351563</v>
      </c>
      <c r="C82" s="11">
        <v>278.62728881835938</v>
      </c>
      <c r="D82" s="34">
        <v>120820</v>
      </c>
      <c r="E82" s="9" t="s">
        <v>562</v>
      </c>
      <c r="F82" s="9" t="s">
        <v>88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 hidden="1">
      <c r="A83" s="33">
        <v>42643.15625</v>
      </c>
      <c r="B83" s="11">
        <v>320.04998779296875</v>
      </c>
      <c r="C83" s="11">
        <v>286.52801513671875</v>
      </c>
      <c r="D83" s="34">
        <v>191602</v>
      </c>
      <c r="E83" s="9" t="s">
        <v>562</v>
      </c>
      <c r="F83" s="9" t="s">
        <v>88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 hidden="1">
      <c r="A84" s="33">
        <v>42671.15625</v>
      </c>
      <c r="B84" s="11">
        <v>322.39999389648438</v>
      </c>
      <c r="C84" s="11">
        <v>288.6318359375</v>
      </c>
      <c r="D84" s="34">
        <v>123630</v>
      </c>
      <c r="E84" s="9" t="s">
        <v>562</v>
      </c>
      <c r="F84" s="9" t="s">
        <v>88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 hidden="1">
      <c r="A85" s="33">
        <v>42704.15625</v>
      </c>
      <c r="B85" s="11">
        <v>304.67498779296875</v>
      </c>
      <c r="C85" s="11">
        <v>272.76333618164063</v>
      </c>
      <c r="D85" s="34">
        <v>446724</v>
      </c>
      <c r="E85" s="9" t="s">
        <v>562</v>
      </c>
      <c r="F85" s="9" t="s">
        <v>88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 hidden="1">
      <c r="A86" s="33">
        <v>42734.15625</v>
      </c>
      <c r="B86" s="11">
        <v>308.25</v>
      </c>
      <c r="C86" s="11">
        <v>275.9639892578125</v>
      </c>
      <c r="D86" s="34">
        <v>163276</v>
      </c>
      <c r="E86" s="9" t="s">
        <v>562</v>
      </c>
      <c r="F86" s="9" t="s">
        <v>88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 hidden="1">
      <c r="A87" s="33">
        <v>42766.15625</v>
      </c>
      <c r="B87" s="11">
        <v>297.27499389648438</v>
      </c>
      <c r="C87" s="11">
        <v>268.82257080078125</v>
      </c>
      <c r="D87" s="34">
        <v>352336</v>
      </c>
      <c r="E87" s="9" t="s">
        <v>562</v>
      </c>
      <c r="F87" s="9" t="s">
        <v>88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 hidden="1">
      <c r="A88" s="33">
        <v>42794.15625</v>
      </c>
      <c r="B88" s="11">
        <v>318.17498779296875</v>
      </c>
      <c r="C88" s="11">
        <v>287.7222900390625</v>
      </c>
      <c r="D88" s="34">
        <v>311220</v>
      </c>
      <c r="E88" s="9" t="s">
        <v>562</v>
      </c>
      <c r="F88" s="9" t="s">
        <v>88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33">
        <v>42825.15625</v>
      </c>
      <c r="B89" s="11">
        <v>297.85000610351563</v>
      </c>
      <c r="C89" s="11">
        <v>269.34262084960938</v>
      </c>
      <c r="D89" s="34">
        <v>542728</v>
      </c>
      <c r="E89" s="9" t="s">
        <v>562</v>
      </c>
      <c r="F89" s="9" t="s">
        <v>88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 hidden="1">
      <c r="A90" s="33">
        <v>42853.145833333336</v>
      </c>
      <c r="B90" s="11">
        <v>292.85000610351563</v>
      </c>
      <c r="C90" s="11">
        <v>264.8211669921875</v>
      </c>
      <c r="D90" s="34">
        <v>556302</v>
      </c>
      <c r="E90" s="9" t="s">
        <v>563</v>
      </c>
      <c r="F90" s="9" t="s">
        <v>88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 hidden="1">
      <c r="A91" s="33">
        <v>42886.15625</v>
      </c>
      <c r="B91" s="11">
        <v>303.22500610351563</v>
      </c>
      <c r="C91" s="11">
        <v>274.20321655273438</v>
      </c>
      <c r="D91" s="34">
        <v>3627280</v>
      </c>
      <c r="E91" s="9" t="s">
        <v>563</v>
      </c>
      <c r="F91" s="9" t="s">
        <v>88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 hidden="1">
      <c r="A92" s="33">
        <v>42916.15625</v>
      </c>
      <c r="B92" s="11">
        <v>341.07501220703125</v>
      </c>
      <c r="C92" s="11">
        <v>308.43051147460938</v>
      </c>
      <c r="D92" s="34">
        <v>421882</v>
      </c>
      <c r="E92" s="9" t="s">
        <v>563</v>
      </c>
      <c r="F92" s="9" t="s">
        <v>88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 hidden="1">
      <c r="A93" s="33">
        <v>42947.15625</v>
      </c>
      <c r="B93" s="11">
        <v>323.29998779296875</v>
      </c>
      <c r="C93" s="11">
        <v>293.6854248046875</v>
      </c>
      <c r="D93" s="34">
        <v>222394</v>
      </c>
      <c r="E93" s="9" t="s">
        <v>563</v>
      </c>
      <c r="F93" s="9" t="s">
        <v>88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 hidden="1">
      <c r="A94" s="33">
        <v>42978.15625</v>
      </c>
      <c r="B94" s="11">
        <v>311.20001220703125</v>
      </c>
      <c r="C94" s="11">
        <v>282.6937255859375</v>
      </c>
      <c r="D94" s="34">
        <v>137522</v>
      </c>
      <c r="E94" s="9" t="s">
        <v>563</v>
      </c>
      <c r="F94" s="9" t="s">
        <v>88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 hidden="1">
      <c r="A95" s="33">
        <v>43007.15625</v>
      </c>
      <c r="B95" s="11">
        <v>334.89999389648438</v>
      </c>
      <c r="C95" s="11">
        <v>304.2227783203125</v>
      </c>
      <c r="D95" s="34">
        <v>225076</v>
      </c>
      <c r="E95" s="9" t="s">
        <v>563</v>
      </c>
      <c r="F95" s="9" t="s">
        <v>88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 hidden="1">
      <c r="A96" s="33">
        <v>43039.15625</v>
      </c>
      <c r="B96" s="11">
        <v>325.89999389648438</v>
      </c>
      <c r="C96" s="11">
        <v>296.0472412109375</v>
      </c>
      <c r="D96" s="34">
        <v>119394</v>
      </c>
      <c r="E96" s="9" t="s">
        <v>563</v>
      </c>
      <c r="F96" s="9" t="s">
        <v>88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 hidden="1">
      <c r="A97" s="33">
        <v>43069.15625</v>
      </c>
      <c r="B97" s="11">
        <v>327.125</v>
      </c>
      <c r="C97" s="11">
        <v>297.15994262695313</v>
      </c>
      <c r="D97" s="34">
        <v>224574</v>
      </c>
      <c r="E97" s="9" t="s">
        <v>563</v>
      </c>
      <c r="F97" s="9" t="s">
        <v>88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 hidden="1">
      <c r="A98" s="33">
        <v>43098.15625</v>
      </c>
      <c r="B98" s="11">
        <v>359</v>
      </c>
      <c r="C98" s="11">
        <v>326.11520385742188</v>
      </c>
      <c r="D98" s="34">
        <v>421840</v>
      </c>
      <c r="E98" s="9" t="s">
        <v>563</v>
      </c>
      <c r="F98" s="9" t="s">
        <v>88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 hidden="1">
      <c r="A99" s="33">
        <v>43131.15625</v>
      </c>
      <c r="B99" s="11">
        <v>393.92498779296875</v>
      </c>
      <c r="C99" s="11">
        <v>357.84103393554688</v>
      </c>
      <c r="D99" s="34">
        <v>1293854</v>
      </c>
      <c r="E99" s="9" t="s">
        <v>563</v>
      </c>
      <c r="F99" s="9" t="s">
        <v>88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 hidden="1">
      <c r="A100" s="33">
        <v>43159.15625</v>
      </c>
      <c r="B100" s="11">
        <v>427.625</v>
      </c>
      <c r="C100" s="11">
        <v>391.9530029296875</v>
      </c>
      <c r="D100" s="34">
        <v>552380</v>
      </c>
      <c r="E100" s="9" t="s">
        <v>563</v>
      </c>
      <c r="F100" s="9" t="s">
        <v>88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33">
        <v>43187.15625</v>
      </c>
      <c r="B101" s="11">
        <v>347.02499389648438</v>
      </c>
      <c r="C101" s="11">
        <v>318.07656860351563</v>
      </c>
      <c r="D101" s="34">
        <v>2858476</v>
      </c>
      <c r="E101" s="9" t="s">
        <v>563</v>
      </c>
      <c r="F101" s="9" t="s">
        <v>88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 hidden="1">
      <c r="A102" s="33">
        <v>43220.15625</v>
      </c>
      <c r="B102" s="11">
        <v>403.82501220703125</v>
      </c>
      <c r="C102" s="11">
        <v>370.138427734375</v>
      </c>
      <c r="D102" s="34">
        <v>1336266</v>
      </c>
      <c r="E102" s="9" t="s">
        <v>564</v>
      </c>
      <c r="F102" s="9" t="s">
        <v>88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 hidden="1">
      <c r="A103" s="33">
        <v>43251.15625</v>
      </c>
      <c r="B103" s="11">
        <v>394.02499389648438</v>
      </c>
      <c r="C103" s="11">
        <v>361.15585327148438</v>
      </c>
      <c r="D103" s="34">
        <v>223262</v>
      </c>
      <c r="E103" s="9" t="s">
        <v>564</v>
      </c>
      <c r="F103" s="9" t="s">
        <v>88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 hidden="1">
      <c r="A104" s="33">
        <v>43280.15625</v>
      </c>
      <c r="B104" s="11">
        <v>405.72500610351563</v>
      </c>
      <c r="C104" s="11">
        <v>371.87991333007813</v>
      </c>
      <c r="D104" s="34">
        <v>126922</v>
      </c>
      <c r="E104" s="9" t="s">
        <v>564</v>
      </c>
      <c r="F104" s="9" t="s">
        <v>88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 hidden="1">
      <c r="A105" s="33">
        <v>43312.15625</v>
      </c>
      <c r="B105" s="11">
        <v>417.72500610351563</v>
      </c>
      <c r="C105" s="11">
        <v>384.2606201171875</v>
      </c>
      <c r="D105" s="34">
        <v>250748</v>
      </c>
      <c r="E105" s="9" t="s">
        <v>564</v>
      </c>
      <c r="F105" s="9" t="s">
        <v>88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 hidden="1">
      <c r="A106" s="33">
        <v>43343.15625</v>
      </c>
      <c r="B106" s="11">
        <v>413.79998779296875</v>
      </c>
      <c r="C106" s="11">
        <v>380.6500244140625</v>
      </c>
      <c r="D106" s="34">
        <v>458032</v>
      </c>
      <c r="E106" s="9" t="s">
        <v>564</v>
      </c>
      <c r="F106" s="9" t="s">
        <v>88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 hidden="1">
      <c r="A107" s="33">
        <v>43371.15625</v>
      </c>
      <c r="B107" s="11">
        <v>394.20001220703125</v>
      </c>
      <c r="C107" s="11">
        <v>362.62014770507813</v>
      </c>
      <c r="D107" s="34">
        <v>509804</v>
      </c>
      <c r="E107" s="9" t="s">
        <v>564</v>
      </c>
      <c r="F107" s="9" t="s">
        <v>88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 hidden="1">
      <c r="A108" s="33">
        <v>43404.15625</v>
      </c>
      <c r="B108" s="11">
        <v>283.20001220703125</v>
      </c>
      <c r="C108" s="11">
        <v>260.51254272460938</v>
      </c>
      <c r="D108" s="34">
        <v>831198</v>
      </c>
      <c r="E108" s="9" t="s">
        <v>564</v>
      </c>
      <c r="F108" s="9" t="s">
        <v>88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 hidden="1">
      <c r="A109" s="33">
        <v>43434.15625</v>
      </c>
      <c r="B109" s="11">
        <v>302.77499389648438</v>
      </c>
      <c r="C109" s="11">
        <v>278.51937866210938</v>
      </c>
      <c r="D109" s="34">
        <v>398696</v>
      </c>
      <c r="E109" s="9" t="s">
        <v>564</v>
      </c>
      <c r="F109" s="9" t="s">
        <v>88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 hidden="1">
      <c r="A110" s="33">
        <v>43465.15625</v>
      </c>
      <c r="B110" s="11">
        <v>311.32501220703125</v>
      </c>
      <c r="C110" s="11">
        <v>286.38433837890625</v>
      </c>
      <c r="D110" s="34">
        <v>446936</v>
      </c>
      <c r="E110" s="9" t="s">
        <v>564</v>
      </c>
      <c r="F110" s="9" t="s">
        <v>88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 hidden="1">
      <c r="A111" s="33">
        <v>43496.15625</v>
      </c>
      <c r="B111" s="11">
        <v>301.04998779296875</v>
      </c>
      <c r="C111" s="11">
        <v>276.93252563476563</v>
      </c>
      <c r="D111" s="34">
        <v>1107442</v>
      </c>
      <c r="E111" s="9" t="s">
        <v>564</v>
      </c>
      <c r="F111" s="9" t="s">
        <v>88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 hidden="1">
      <c r="A112" s="33">
        <v>43524.15625</v>
      </c>
      <c r="B112" s="11">
        <v>327.60000610351563</v>
      </c>
      <c r="C112" s="11">
        <v>305.30264282226563</v>
      </c>
      <c r="D112" s="34">
        <v>311010</v>
      </c>
      <c r="E112" s="9" t="s">
        <v>564</v>
      </c>
      <c r="F112" s="9" t="s">
        <v>88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33">
        <v>43552.15625</v>
      </c>
      <c r="B113" s="11">
        <v>318.39999389648438</v>
      </c>
      <c r="C113" s="11">
        <v>296.72882080078125</v>
      </c>
      <c r="D113" s="34">
        <v>205396</v>
      </c>
      <c r="E113" s="9" t="s">
        <v>564</v>
      </c>
      <c r="F113" s="9" t="s">
        <v>88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 hidden="1">
      <c r="A114" s="33">
        <v>43585.15625</v>
      </c>
      <c r="B114" s="11">
        <v>318.125</v>
      </c>
      <c r="C114" s="11">
        <v>296.47250366210938</v>
      </c>
      <c r="D114" s="34">
        <v>505892</v>
      </c>
      <c r="E114" s="9" t="s">
        <v>565</v>
      </c>
      <c r="F114" s="9" t="s">
        <v>88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 hidden="1">
      <c r="A115" s="33">
        <v>43616.15625</v>
      </c>
      <c r="B115" s="11">
        <v>290.97500610351563</v>
      </c>
      <c r="C115" s="11">
        <v>271.17041015625</v>
      </c>
      <c r="D115" s="34">
        <v>234212</v>
      </c>
      <c r="E115" s="9" t="s">
        <v>565</v>
      </c>
      <c r="F115" s="9" t="s">
        <v>88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 hidden="1">
      <c r="A116" s="33">
        <v>43644.15625</v>
      </c>
      <c r="B116" s="11">
        <v>308.70001220703125</v>
      </c>
      <c r="C116" s="11">
        <v>287.68905639648438</v>
      </c>
      <c r="D116" s="34">
        <v>36820</v>
      </c>
      <c r="E116" s="9" t="s">
        <v>565</v>
      </c>
      <c r="F116" s="9" t="s">
        <v>88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 hidden="1">
      <c r="A117" s="33">
        <v>43677.15625</v>
      </c>
      <c r="B117" s="11">
        <v>260.27499389648438</v>
      </c>
      <c r="C117" s="11">
        <v>243.74662780761719</v>
      </c>
      <c r="D117" s="34">
        <v>689760</v>
      </c>
      <c r="E117" s="9" t="s">
        <v>565</v>
      </c>
      <c r="F117" s="9" t="s">
        <v>88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 hidden="1">
      <c r="A118" s="33">
        <v>43707.15625</v>
      </c>
      <c r="B118" s="11">
        <v>271.02499389648438</v>
      </c>
      <c r="C118" s="11">
        <v>253.81398010253906</v>
      </c>
      <c r="D118" s="34">
        <v>104250</v>
      </c>
      <c r="E118" s="9" t="s">
        <v>565</v>
      </c>
      <c r="F118" s="9" t="s">
        <v>88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 hidden="1">
      <c r="A119" s="33">
        <v>43738.15625</v>
      </c>
      <c r="B119" s="11">
        <v>284.97500610351563</v>
      </c>
      <c r="C119" s="11">
        <v>266.87811279296875</v>
      </c>
      <c r="D119" s="34">
        <v>69560</v>
      </c>
      <c r="E119" s="9" t="s">
        <v>565</v>
      </c>
      <c r="F119" s="9" t="s">
        <v>88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 hidden="1">
      <c r="A120" s="33">
        <v>43769.15625</v>
      </c>
      <c r="B120" s="11">
        <v>309.79998779296875</v>
      </c>
      <c r="C120" s="11">
        <v>290.12667846679688</v>
      </c>
      <c r="D120" s="34">
        <v>673950</v>
      </c>
      <c r="E120" s="9" t="s">
        <v>565</v>
      </c>
      <c r="F120" s="9" t="s">
        <v>88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 hidden="1">
      <c r="A121" s="33">
        <v>43798.15625</v>
      </c>
      <c r="B121" s="11">
        <v>342.17498779296875</v>
      </c>
      <c r="C121" s="11">
        <v>320.4456787109375</v>
      </c>
      <c r="D121" s="34">
        <v>164394</v>
      </c>
      <c r="E121" s="9" t="s">
        <v>565</v>
      </c>
      <c r="F121" s="9" t="s">
        <v>88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 hidden="1">
      <c r="A122" s="33">
        <v>43830.15625</v>
      </c>
      <c r="B122" s="11">
        <v>337.07501220703125</v>
      </c>
      <c r="C122" s="11">
        <v>315.66964721679688</v>
      </c>
      <c r="D122" s="34">
        <v>37034</v>
      </c>
      <c r="E122" s="9" t="s">
        <v>565</v>
      </c>
      <c r="F122" s="9" t="s">
        <v>88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 hidden="1">
      <c r="A123" s="33">
        <v>43861.15625</v>
      </c>
      <c r="B123" s="11">
        <v>350.47500610351563</v>
      </c>
      <c r="C123" s="11">
        <v>328.21859741210938</v>
      </c>
      <c r="D123" s="34">
        <v>478658</v>
      </c>
      <c r="E123" s="9" t="s">
        <v>565</v>
      </c>
      <c r="F123" s="9" t="s">
        <v>88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 hidden="1">
      <c r="A124" s="33">
        <v>43889.15625</v>
      </c>
      <c r="B124" s="11">
        <v>348.20001220703125</v>
      </c>
      <c r="C124" s="11">
        <v>330.24978637695313</v>
      </c>
      <c r="D124" s="34">
        <v>179552</v>
      </c>
      <c r="E124" s="9" t="s">
        <v>565</v>
      </c>
      <c r="F124" s="9" t="s">
        <v>88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33">
        <v>43921.15625</v>
      </c>
      <c r="B125" s="11">
        <v>275.47500610351563</v>
      </c>
      <c r="C125" s="11">
        <v>262.597900390625</v>
      </c>
      <c r="D125" s="34">
        <v>52508</v>
      </c>
      <c r="E125" s="9" t="s">
        <v>565</v>
      </c>
      <c r="F125" s="9" t="s">
        <v>88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 hidden="1">
      <c r="A126" s="33">
        <v>43951.15625</v>
      </c>
      <c r="B126" s="11">
        <v>237.25</v>
      </c>
      <c r="C126" s="11">
        <v>226.15969848632813</v>
      </c>
      <c r="D126" s="34">
        <v>645204</v>
      </c>
      <c r="E126" s="9" t="s">
        <v>566</v>
      </c>
      <c r="F126" s="9" t="s">
        <v>88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 hidden="1">
      <c r="A127" s="33">
        <v>43980.15625</v>
      </c>
      <c r="B127" s="11">
        <v>262.77499389648438</v>
      </c>
      <c r="C127" s="11">
        <v>250.49150085449219</v>
      </c>
      <c r="D127" s="34">
        <v>202230</v>
      </c>
      <c r="E127" s="9" t="s">
        <v>566</v>
      </c>
      <c r="F127" s="9" t="s">
        <v>88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 hidden="1">
      <c r="A128" s="33">
        <v>44012.15625</v>
      </c>
      <c r="B128" s="11">
        <v>317.54998779296875</v>
      </c>
      <c r="C128" s="11">
        <v>302.7060546875</v>
      </c>
      <c r="D128" s="34">
        <v>129564</v>
      </c>
      <c r="E128" s="9" t="s">
        <v>566</v>
      </c>
      <c r="F128" s="9" t="s">
        <v>88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 hidden="1">
      <c r="A129" s="33">
        <v>44043.15625</v>
      </c>
      <c r="B129" s="11">
        <v>459.04998779296875</v>
      </c>
      <c r="C129" s="11">
        <v>437.59158325195313</v>
      </c>
      <c r="D129" s="34">
        <v>588986</v>
      </c>
      <c r="E129" s="9" t="s">
        <v>566</v>
      </c>
      <c r="F129" s="9" t="s">
        <v>88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 hidden="1">
      <c r="A130" s="33">
        <v>44074.15625</v>
      </c>
      <c r="B130" s="11">
        <v>479.125</v>
      </c>
      <c r="C130" s="11">
        <v>456.72824096679688</v>
      </c>
      <c r="D130" s="34">
        <v>566412</v>
      </c>
      <c r="E130" s="9" t="s">
        <v>566</v>
      </c>
      <c r="F130" s="9" t="s">
        <v>88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 hidden="1">
      <c r="A131" s="33">
        <v>44104.15625</v>
      </c>
      <c r="B131" s="11">
        <v>670.625</v>
      </c>
      <c r="C131" s="11">
        <v>639.2764892578125</v>
      </c>
      <c r="D131" s="34">
        <v>355892</v>
      </c>
      <c r="E131" s="9" t="s">
        <v>566</v>
      </c>
      <c r="F131" s="9" t="s">
        <v>88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 hidden="1">
      <c r="A132" s="33">
        <v>44134.15625</v>
      </c>
      <c r="B132" s="11">
        <v>579.32501220703125</v>
      </c>
      <c r="C132" s="11">
        <v>552.24432373046875</v>
      </c>
      <c r="D132" s="34">
        <v>178390</v>
      </c>
      <c r="E132" s="9" t="s">
        <v>566</v>
      </c>
      <c r="F132" s="9" t="s">
        <v>88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 hidden="1">
      <c r="A133" s="33">
        <v>44162.15625</v>
      </c>
      <c r="B133" s="11">
        <v>596.67498779296875</v>
      </c>
      <c r="C133" s="11">
        <v>568.7833251953125</v>
      </c>
      <c r="D133" s="34">
        <v>543580</v>
      </c>
      <c r="E133" s="9" t="s">
        <v>566</v>
      </c>
      <c r="F133" s="9" t="s">
        <v>88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 hidden="1">
      <c r="A134" s="33">
        <v>44196.15625</v>
      </c>
      <c r="B134" s="11">
        <v>758.57501220703125</v>
      </c>
      <c r="C134" s="11">
        <v>723.11517333984375</v>
      </c>
      <c r="D134" s="34">
        <v>189944</v>
      </c>
      <c r="E134" s="9" t="s">
        <v>566</v>
      </c>
      <c r="F134" s="9" t="s">
        <v>88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 hidden="1">
      <c r="A135" s="33">
        <v>44225.15625</v>
      </c>
      <c r="B135" s="11">
        <v>762.125</v>
      </c>
      <c r="C135" s="11">
        <v>726.4993896484375</v>
      </c>
      <c r="D135" s="34">
        <v>635876</v>
      </c>
      <c r="E135" s="9" t="s">
        <v>566</v>
      </c>
      <c r="F135" s="9" t="s">
        <v>88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 hidden="1">
      <c r="A136" s="33">
        <v>44253.15625</v>
      </c>
      <c r="B136" s="11">
        <v>828.2750244140625</v>
      </c>
      <c r="C136" s="11">
        <v>795.8350830078125</v>
      </c>
      <c r="D136" s="34">
        <v>214522</v>
      </c>
      <c r="E136" s="9" t="s">
        <v>566</v>
      </c>
      <c r="F136" s="9" t="s">
        <v>88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33">
        <v>44286.15625</v>
      </c>
      <c r="B137" s="11">
        <v>961.0250244140625</v>
      </c>
      <c r="C137" s="11">
        <v>923.3857421875</v>
      </c>
      <c r="D137" s="34">
        <v>337782</v>
      </c>
      <c r="E137" s="9" t="s">
        <v>566</v>
      </c>
      <c r="F137" s="9" t="s">
        <v>88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 hidden="1">
      <c r="A138" s="33">
        <v>44316.15625</v>
      </c>
      <c r="B138" s="11">
        <v>1019.1500244140625</v>
      </c>
      <c r="C138" s="11">
        <v>979.23431396484375</v>
      </c>
      <c r="D138" s="34">
        <v>2095778</v>
      </c>
      <c r="E138" s="9" t="s">
        <v>567</v>
      </c>
      <c r="F138" s="9" t="s">
        <v>88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 hidden="1">
      <c r="A139" s="33">
        <v>44347.15625</v>
      </c>
      <c r="B139" s="11">
        <v>1271.4749755859375</v>
      </c>
      <c r="C139" s="11">
        <v>1221.6766357421875</v>
      </c>
      <c r="D139" s="34">
        <v>434682</v>
      </c>
      <c r="E139" s="9" t="s">
        <v>567</v>
      </c>
      <c r="F139" s="9" t="s">
        <v>88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 hidden="1">
      <c r="A140" s="33">
        <v>44377.15625</v>
      </c>
      <c r="B140" s="11">
        <v>1469.425048828125</v>
      </c>
      <c r="C140" s="11">
        <v>1411.8739013671875</v>
      </c>
      <c r="D140" s="34">
        <v>1428960</v>
      </c>
      <c r="E140" s="9" t="s">
        <v>567</v>
      </c>
      <c r="F140" s="9" t="s">
        <v>88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 hidden="1">
      <c r="A141" s="33">
        <v>44407.15625</v>
      </c>
      <c r="B141" s="11">
        <v>1571.5999755859375</v>
      </c>
      <c r="C141" s="11">
        <v>1513.3201904296875</v>
      </c>
      <c r="D141" s="34">
        <v>304536</v>
      </c>
      <c r="E141" s="9" t="s">
        <v>567</v>
      </c>
      <c r="F141" s="9" t="s">
        <v>88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 hidden="1">
      <c r="A142" s="33">
        <v>44439.15625</v>
      </c>
      <c r="B142" s="11">
        <v>1661.0250244140625</v>
      </c>
      <c r="C142" s="11">
        <v>1599.4290771484375</v>
      </c>
      <c r="D142" s="34">
        <v>405876</v>
      </c>
      <c r="E142" s="9" t="s">
        <v>567</v>
      </c>
      <c r="F142" s="9" t="s">
        <v>88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 hidden="1">
      <c r="A143" s="33">
        <v>44469.15625</v>
      </c>
      <c r="B143" s="11">
        <v>1858.1500244140625</v>
      </c>
      <c r="C143" s="11">
        <v>1789.244140625</v>
      </c>
      <c r="D143" s="34">
        <v>757602</v>
      </c>
      <c r="E143" s="9" t="s">
        <v>567</v>
      </c>
      <c r="F143" s="9" t="s">
        <v>88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 hidden="1">
      <c r="A144" s="33">
        <v>44498.15625</v>
      </c>
      <c r="B144" s="11">
        <v>1961.8499755859375</v>
      </c>
      <c r="C144" s="11">
        <v>1889.098388671875</v>
      </c>
      <c r="D144" s="34">
        <v>417422</v>
      </c>
      <c r="E144" s="9" t="s">
        <v>567</v>
      </c>
      <c r="F144" s="9" t="s">
        <v>88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 hidden="1">
      <c r="A145" s="33">
        <v>44530.15625</v>
      </c>
      <c r="B145" s="11">
        <v>2069.39990234375</v>
      </c>
      <c r="C145" s="11">
        <v>1992.66015625</v>
      </c>
      <c r="D145" s="34">
        <v>983242</v>
      </c>
      <c r="E145" s="9" t="s">
        <v>567</v>
      </c>
      <c r="F145" s="9" t="s">
        <v>88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 hidden="1">
      <c r="A146" s="33">
        <v>44561.15625</v>
      </c>
      <c r="B146" s="11">
        <v>2452.175048828125</v>
      </c>
      <c r="C146" s="11">
        <v>2361.24072265625</v>
      </c>
      <c r="D146" s="34">
        <v>698628</v>
      </c>
      <c r="E146" s="9" t="s">
        <v>567</v>
      </c>
      <c r="F146" s="9" t="s">
        <v>88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 hidden="1">
      <c r="A147" s="33">
        <v>44592.15625</v>
      </c>
      <c r="B147" s="11">
        <v>2200.050048828125</v>
      </c>
      <c r="C147" s="11">
        <v>2128.739013671875</v>
      </c>
      <c r="D147" s="34">
        <v>595884</v>
      </c>
      <c r="E147" s="9" t="s">
        <v>567</v>
      </c>
      <c r="F147" s="9" t="s">
        <v>88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 hidden="1">
      <c r="A148" s="33">
        <v>44620.15625</v>
      </c>
      <c r="B148" s="11">
        <v>1968.9000244140625</v>
      </c>
      <c r="C148" s="11">
        <v>1905.081298828125</v>
      </c>
      <c r="D148" s="34">
        <v>765496</v>
      </c>
      <c r="E148" s="9" t="s">
        <v>567</v>
      </c>
      <c r="F148" s="9" t="s">
        <v>88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33">
        <v>44651.15625</v>
      </c>
      <c r="B149" s="11">
        <v>2382.64990234375</v>
      </c>
      <c r="C149" s="11">
        <v>2305.420166015625</v>
      </c>
      <c r="D149" s="34">
        <v>455058</v>
      </c>
      <c r="E149" s="9" t="s">
        <v>567</v>
      </c>
      <c r="F149" s="9" t="s">
        <v>88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 hidden="1">
      <c r="A150" s="33">
        <v>44680.15625</v>
      </c>
      <c r="B150" s="11">
        <v>2160.324951171875</v>
      </c>
      <c r="C150" s="11">
        <v>2090.3017578125</v>
      </c>
      <c r="D150" s="34">
        <v>746902</v>
      </c>
      <c r="E150" s="9" t="s">
        <v>568</v>
      </c>
      <c r="F150" s="9" t="s">
        <v>88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 hidden="1">
      <c r="A151" s="33">
        <v>44712.15625</v>
      </c>
      <c r="B151" s="11">
        <v>1879.949951171875</v>
      </c>
      <c r="C151" s="11">
        <v>1819.0146484375</v>
      </c>
      <c r="D151" s="34">
        <v>420908</v>
      </c>
      <c r="E151" s="9" t="s">
        <v>568</v>
      </c>
      <c r="F151" s="9" t="s">
        <v>88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 hidden="1">
      <c r="A152" s="33">
        <v>44742.15625</v>
      </c>
      <c r="B152" s="11">
        <v>1700.9000244140625</v>
      </c>
      <c r="C152" s="11">
        <v>1645.7684326171875</v>
      </c>
      <c r="D152" s="34">
        <v>387598</v>
      </c>
      <c r="E152" s="9" t="s">
        <v>568</v>
      </c>
      <c r="F152" s="9" t="s">
        <v>88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 hidden="1">
      <c r="A153" s="33">
        <v>44771.15625</v>
      </c>
      <c r="B153" s="11">
        <v>1816.425048828125</v>
      </c>
      <c r="C153" s="11">
        <v>1763.2569580078125</v>
      </c>
      <c r="D153" s="34">
        <v>1073404</v>
      </c>
      <c r="E153" s="9" t="s">
        <v>568</v>
      </c>
      <c r="F153" s="9" t="s">
        <v>88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 hidden="1">
      <c r="A154" s="33">
        <v>44803.15625</v>
      </c>
      <c r="B154" s="11">
        <v>1758.9749755859375</v>
      </c>
      <c r="C154" s="11">
        <v>1707.488525390625</v>
      </c>
      <c r="D154" s="34">
        <v>429608</v>
      </c>
      <c r="E154" s="9" t="s">
        <v>568</v>
      </c>
      <c r="F154" s="9" t="s">
        <v>88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 hidden="1">
      <c r="A155" s="33">
        <v>44834.15625</v>
      </c>
      <c r="B155" s="11">
        <v>1620.5999755859375</v>
      </c>
      <c r="C155" s="11">
        <v>1573.163818359375</v>
      </c>
      <c r="D155" s="34">
        <v>772468</v>
      </c>
      <c r="E155" s="9" t="s">
        <v>568</v>
      </c>
      <c r="F155" s="9" t="s">
        <v>88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 hidden="1">
      <c r="A156" s="33">
        <v>44865.15625</v>
      </c>
      <c r="B156" s="11">
        <v>1846.5250244140625</v>
      </c>
      <c r="C156" s="11">
        <v>1792.475830078125</v>
      </c>
      <c r="D156" s="34">
        <v>302968</v>
      </c>
      <c r="E156" s="9" t="s">
        <v>568</v>
      </c>
      <c r="F156" s="9" t="s">
        <v>88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 hidden="1">
      <c r="A157" s="33">
        <v>44895.15625</v>
      </c>
      <c r="B157" s="11">
        <v>2077.35009765625</v>
      </c>
      <c r="C157" s="11">
        <v>2016.5445556640625</v>
      </c>
      <c r="D157" s="34">
        <v>827680</v>
      </c>
      <c r="E157" s="9" t="s">
        <v>568</v>
      </c>
      <c r="F157" s="9" t="s">
        <v>88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 hidden="1">
      <c r="A158" s="33">
        <v>44925.15625</v>
      </c>
      <c r="B158" s="11">
        <v>1935.449951171875</v>
      </c>
      <c r="C158" s="11">
        <v>1878.7977294921875</v>
      </c>
      <c r="D158" s="34">
        <v>529376</v>
      </c>
      <c r="E158" s="9" t="s">
        <v>568</v>
      </c>
      <c r="F158" s="9" t="s">
        <v>88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 hidden="1">
      <c r="A159" s="33">
        <v>44957.15625</v>
      </c>
      <c r="B159" s="11">
        <v>2343.77490234375</v>
      </c>
      <c r="C159" s="11">
        <v>2289.14013671875</v>
      </c>
      <c r="D159" s="34">
        <v>1060130</v>
      </c>
      <c r="E159" s="9" t="s">
        <v>568</v>
      </c>
      <c r="F159" s="9" t="s">
        <v>88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 hidden="1">
      <c r="A160" s="33">
        <v>44985.15625</v>
      </c>
      <c r="B160" s="11">
        <v>2396.550048828125</v>
      </c>
      <c r="C160" s="11">
        <v>2340.68505859375</v>
      </c>
      <c r="D160" s="34">
        <v>472828</v>
      </c>
      <c r="E160" s="9" t="s">
        <v>568</v>
      </c>
      <c r="F160" s="9" t="s">
        <v>88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33">
        <v>45016.15625</v>
      </c>
      <c r="B161" s="11">
        <v>2304.75</v>
      </c>
      <c r="C161" s="11">
        <v>2251.025146484375</v>
      </c>
      <c r="D161" s="34">
        <v>1182254</v>
      </c>
      <c r="E161" s="9" t="s">
        <v>568</v>
      </c>
      <c r="F161" s="9" t="s">
        <v>88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 hidden="1">
      <c r="A162" s="33">
        <v>45044.15625</v>
      </c>
      <c r="B162" s="11">
        <v>2368.625</v>
      </c>
      <c r="C162" s="11">
        <v>2313.4111328125</v>
      </c>
      <c r="D162" s="34">
        <v>1169504</v>
      </c>
      <c r="E162" s="9" t="s">
        <v>569</v>
      </c>
      <c r="F162" s="9" t="s">
        <v>88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 hidden="1">
      <c r="A163" s="33">
        <v>45077.15625</v>
      </c>
      <c r="B163" s="11">
        <v>2569.199951171875</v>
      </c>
      <c r="C163" s="11">
        <v>2509.310546875</v>
      </c>
      <c r="D163" s="34">
        <v>660568</v>
      </c>
      <c r="E163" s="9" t="s">
        <v>569</v>
      </c>
      <c r="F163" s="9" t="s">
        <v>88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 hidden="1">
      <c r="A164" s="33">
        <v>45107.15625</v>
      </c>
      <c r="B164" s="11">
        <v>2505.52490234375</v>
      </c>
      <c r="C164" s="11">
        <v>2447.119873046875</v>
      </c>
      <c r="D164" s="34">
        <v>960168</v>
      </c>
      <c r="E164" s="9" t="s">
        <v>569</v>
      </c>
      <c r="F164" s="9" t="s">
        <v>88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 hidden="1">
      <c r="A165" s="33">
        <v>45138.15625</v>
      </c>
      <c r="B165" s="11">
        <v>2372.02490234375</v>
      </c>
      <c r="C165" s="11">
        <v>2327.51611328125</v>
      </c>
      <c r="D165" s="34">
        <v>512634</v>
      </c>
      <c r="E165" s="9" t="s">
        <v>569</v>
      </c>
      <c r="F165" s="9" t="s">
        <v>88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 hidden="1">
      <c r="A166" s="33">
        <v>45169.15625</v>
      </c>
      <c r="B166" s="11">
        <v>2685.35009765625</v>
      </c>
      <c r="C166" s="11">
        <v>2634.9619140625</v>
      </c>
      <c r="D166" s="34">
        <v>1386890</v>
      </c>
      <c r="E166" s="9" t="s">
        <v>569</v>
      </c>
      <c r="F166" s="9" t="s">
        <v>88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 hidden="1">
      <c r="A167" s="33">
        <v>45198.15625</v>
      </c>
      <c r="B167" s="11">
        <v>2898.35009765625</v>
      </c>
      <c r="C167" s="11">
        <v>2843.96533203125</v>
      </c>
      <c r="D167" s="34">
        <v>1101802</v>
      </c>
      <c r="E167" s="9" t="s">
        <v>569</v>
      </c>
      <c r="F167" s="9" t="s">
        <v>88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 hidden="1">
      <c r="A168" s="33">
        <v>45230.15625</v>
      </c>
      <c r="B168" s="11">
        <v>3080.10009765625</v>
      </c>
      <c r="C168" s="11">
        <v>3022.3046875</v>
      </c>
      <c r="D168" s="34">
        <v>905422</v>
      </c>
      <c r="E168" s="9" t="s">
        <v>569</v>
      </c>
      <c r="F168" s="9" t="s">
        <v>88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 hidden="1">
      <c r="A169" s="33">
        <v>45260.15625</v>
      </c>
      <c r="B169" s="11">
        <v>3199.97509765625</v>
      </c>
      <c r="C169" s="11">
        <v>3139.9306640625</v>
      </c>
      <c r="D169" s="34">
        <v>14528104</v>
      </c>
      <c r="E169" s="9" t="s">
        <v>569</v>
      </c>
      <c r="F169" s="9" t="s">
        <v>88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 hidden="1">
      <c r="A170" s="33">
        <v>45289.15625</v>
      </c>
      <c r="B170" s="11">
        <v>3694.699951171875</v>
      </c>
      <c r="C170" s="11">
        <v>3625.372314453125</v>
      </c>
      <c r="D170" s="34">
        <v>529612</v>
      </c>
      <c r="E170" s="9" t="s">
        <v>569</v>
      </c>
      <c r="F170" s="9" t="s">
        <v>88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 hidden="1">
      <c r="A171" s="33">
        <v>45322.15625</v>
      </c>
      <c r="B171" s="11">
        <v>4176.5751953125</v>
      </c>
      <c r="C171" s="11">
        <v>4113.44482421875</v>
      </c>
      <c r="D171" s="34">
        <v>729942</v>
      </c>
      <c r="E171" s="9" t="s">
        <v>569</v>
      </c>
      <c r="F171" s="9" t="s">
        <v>88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 hidden="1">
      <c r="A172" s="33">
        <v>45351.15625</v>
      </c>
      <c r="B172" s="11">
        <v>4315.1748046875</v>
      </c>
      <c r="C172" s="11">
        <v>4249.94970703125</v>
      </c>
      <c r="D172" s="34">
        <v>602434</v>
      </c>
      <c r="E172" s="9" t="s">
        <v>569</v>
      </c>
      <c r="F172" s="9" t="s">
        <v>88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33">
        <v>45379.15625</v>
      </c>
      <c r="B173" s="11">
        <v>3984.550048828125</v>
      </c>
      <c r="C173" s="11">
        <v>3924.322021484375</v>
      </c>
      <c r="D173" s="34">
        <v>747068</v>
      </c>
      <c r="E173" s="9" t="s">
        <v>569</v>
      </c>
      <c r="F173" s="9" t="s">
        <v>88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 hidden="1">
      <c r="A174" s="33">
        <v>45412.15625</v>
      </c>
      <c r="B174" s="11">
        <v>3368.60009765625</v>
      </c>
      <c r="C174" s="11">
        <v>3317.68212890625</v>
      </c>
      <c r="D174" s="34">
        <v>595315</v>
      </c>
      <c r="E174" s="9" t="s">
        <v>570</v>
      </c>
      <c r="F174" s="9" t="s">
        <v>88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 hidden="1">
      <c r="A175" s="33">
        <v>45443.15625</v>
      </c>
      <c r="B175" s="11">
        <v>3410.5</v>
      </c>
      <c r="C175" s="11">
        <v>3358.948974609375</v>
      </c>
      <c r="D175" s="34">
        <v>898926</v>
      </c>
      <c r="E175" s="9" t="s">
        <v>570</v>
      </c>
      <c r="F175" s="9" t="s">
        <v>88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 hidden="1">
      <c r="A176" s="33">
        <v>45471.15625</v>
      </c>
      <c r="B176" s="11">
        <v>4241.4501953125</v>
      </c>
      <c r="C176" s="11">
        <v>4177.3388671875</v>
      </c>
      <c r="D176" s="34">
        <v>1252644</v>
      </c>
      <c r="E176" s="9" t="s">
        <v>570</v>
      </c>
      <c r="F176" s="9" t="s">
        <v>88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 hidden="1">
      <c r="A177" s="33">
        <v>45504.15625</v>
      </c>
      <c r="B177" s="11">
        <v>4832.2998046875</v>
      </c>
      <c r="C177" s="11">
        <v>4769.6572265625</v>
      </c>
      <c r="D177" s="34">
        <v>731474</v>
      </c>
      <c r="E177" s="9" t="s">
        <v>570</v>
      </c>
      <c r="F177" s="9" t="s">
        <v>88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 hidden="1">
      <c r="A178" s="33">
        <v>45534.15625</v>
      </c>
      <c r="B178" s="11">
        <v>5170.85009765625</v>
      </c>
      <c r="C178" s="11">
        <v>5103.8193359375</v>
      </c>
      <c r="D178" s="34">
        <v>1385111</v>
      </c>
      <c r="E178" s="9" t="s">
        <v>570</v>
      </c>
      <c r="F178" s="9" t="s">
        <v>88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 hidden="1">
      <c r="A179" s="33">
        <v>45565.15625</v>
      </c>
      <c r="B179" s="11">
        <v>5450.39990234375</v>
      </c>
      <c r="C179" s="11">
        <v>5379.7451171875</v>
      </c>
      <c r="D179" s="34">
        <v>404261</v>
      </c>
      <c r="E179" s="9" t="s">
        <v>570</v>
      </c>
      <c r="F179" s="9" t="s">
        <v>88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 hidden="1">
      <c r="A180" s="33">
        <v>45596.15625</v>
      </c>
      <c r="B180" s="11">
        <v>5372.5</v>
      </c>
      <c r="C180" s="11">
        <v>5302.85498046875</v>
      </c>
      <c r="D180" s="34">
        <v>867619</v>
      </c>
      <c r="E180" s="9" t="s">
        <v>570</v>
      </c>
      <c r="F180" s="9" t="s">
        <v>88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 hidden="1">
      <c r="A181" s="33">
        <v>45625.15625</v>
      </c>
      <c r="B181" s="11">
        <v>5905.64990234375</v>
      </c>
      <c r="C181" s="11">
        <v>5829.09375</v>
      </c>
      <c r="D181" s="34">
        <v>333871</v>
      </c>
      <c r="E181" s="9" t="s">
        <v>570</v>
      </c>
      <c r="F181" s="9" t="s">
        <v>88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 hidden="1">
      <c r="A182" s="33">
        <v>45657.15625</v>
      </c>
      <c r="B182" s="11">
        <v>6457.7001953125</v>
      </c>
      <c r="C182" s="11">
        <v>6373.9873046875</v>
      </c>
      <c r="D182" s="34">
        <v>573708</v>
      </c>
      <c r="E182" s="9" t="s">
        <v>570</v>
      </c>
      <c r="F182" s="9" t="s">
        <v>88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 hidden="1">
      <c r="A183" s="33">
        <v>45688.15625</v>
      </c>
      <c r="B183" s="11">
        <v>6032.60009765625</v>
      </c>
      <c r="C183" s="11">
        <v>5974.125</v>
      </c>
      <c r="D183" s="34">
        <v>354309</v>
      </c>
      <c r="E183" s="9" t="s">
        <v>570</v>
      </c>
      <c r="F183" s="9" t="s">
        <v>88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 hidden="1">
      <c r="A184" s="33">
        <v>45716.15625</v>
      </c>
      <c r="B184" s="11">
        <v>5303.89990234375</v>
      </c>
      <c r="C184" s="11">
        <v>5252.48828125</v>
      </c>
      <c r="D184" s="34">
        <v>1607716</v>
      </c>
      <c r="E184" s="9" t="s">
        <v>570</v>
      </c>
      <c r="F184" s="9" t="s">
        <v>88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33">
        <v>45744.15625</v>
      </c>
      <c r="B185" s="11">
        <v>5513.75</v>
      </c>
      <c r="C185" s="11">
        <v>5460.3046875</v>
      </c>
      <c r="D185" s="34">
        <v>317428</v>
      </c>
      <c r="E185" s="9" t="s">
        <v>570</v>
      </c>
      <c r="F185" s="9" t="s">
        <v>88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 hidden="1">
      <c r="A186" s="33">
        <v>45777.15625</v>
      </c>
      <c r="B186" s="11">
        <v>5321.5</v>
      </c>
      <c r="C186" s="11">
        <v>5269.91748046875</v>
      </c>
      <c r="D186" s="34">
        <v>568446</v>
      </c>
      <c r="E186" s="9" t="s">
        <v>571</v>
      </c>
      <c r="F186" s="9" t="s">
        <v>88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 hidden="1">
      <c r="A187" s="33">
        <v>45807.15625</v>
      </c>
      <c r="B187" s="11">
        <v>5638</v>
      </c>
      <c r="C187" s="11">
        <v>5583.35009765625</v>
      </c>
      <c r="D187" s="34">
        <v>568563</v>
      </c>
      <c r="E187" s="9" t="s">
        <v>571</v>
      </c>
      <c r="F187" s="9" t="s">
        <v>88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 hidden="1">
      <c r="A188" s="33">
        <v>45838.15625</v>
      </c>
      <c r="B188" s="11">
        <v>6041.5</v>
      </c>
      <c r="C188" s="11">
        <v>5982.93896484375</v>
      </c>
      <c r="D188" s="34">
        <v>362533</v>
      </c>
      <c r="E188" s="9" t="s">
        <v>571</v>
      </c>
      <c r="F188" s="9" t="s">
        <v>88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 hidden="1">
      <c r="A189" s="33">
        <v>45869.15625</v>
      </c>
      <c r="B189" s="11">
        <v>5160.5</v>
      </c>
      <c r="C189" s="11">
        <v>5124.25732421875</v>
      </c>
      <c r="D189" s="34">
        <v>549977</v>
      </c>
      <c r="E189" s="9" t="s">
        <v>571</v>
      </c>
      <c r="F189" s="9" t="s">
        <v>88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 hidden="1">
      <c r="A190" s="33">
        <v>45898.15625</v>
      </c>
      <c r="B190" s="11">
        <v>5305.5</v>
      </c>
      <c r="C190" s="11">
        <v>5268.23876953125</v>
      </c>
      <c r="D190" s="34">
        <v>487634</v>
      </c>
      <c r="E190" s="9" t="s">
        <v>571</v>
      </c>
      <c r="F190" s="9" t="s">
        <v>88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 hidden="1">
      <c r="A191" s="33">
        <v>45930.15625</v>
      </c>
      <c r="B191" s="11">
        <v>4822.5</v>
      </c>
      <c r="C191" s="11">
        <v>4788.630859375</v>
      </c>
      <c r="D191" s="34">
        <v>831690</v>
      </c>
      <c r="E191" s="9" t="s">
        <v>571</v>
      </c>
      <c r="F191" s="9" t="s">
        <v>88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 hidden="1">
      <c r="A192" s="33">
        <v>45961.15625</v>
      </c>
      <c r="B192" s="11">
        <v>5916.60009765625</v>
      </c>
      <c r="C192" s="11">
        <v>5875.046875</v>
      </c>
      <c r="D192" s="34">
        <v>336904</v>
      </c>
      <c r="E192" s="9" t="s">
        <v>571</v>
      </c>
      <c r="F192" s="9" t="s">
        <v>88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 hidden="1">
      <c r="A193" s="33">
        <v>45989.15625</v>
      </c>
      <c r="B193" s="11">
        <v>6353</v>
      </c>
      <c r="C193" s="11">
        <v>6308.38232421875</v>
      </c>
      <c r="D193" s="34">
        <v>208808</v>
      </c>
      <c r="E193" s="9" t="s">
        <v>571</v>
      </c>
      <c r="F193" s="9" t="s">
        <v>88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 hidden="1">
      <c r="A194" s="33">
        <v>46022.15625</v>
      </c>
      <c r="B194" s="11">
        <v>6272</v>
      </c>
      <c r="C194" s="11">
        <v>6227.951171875</v>
      </c>
      <c r="D194" s="34">
        <v>229337</v>
      </c>
      <c r="E194" s="9" t="s">
        <v>571</v>
      </c>
      <c r="F194" s="9" t="s">
        <v>88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 hidden="1">
      <c r="A195" s="33">
        <v>46052.15625</v>
      </c>
      <c r="B195" s="11">
        <v>6035</v>
      </c>
      <c r="C195" s="11">
        <v>6014.11181640625</v>
      </c>
      <c r="D195" s="34">
        <v>486262</v>
      </c>
      <c r="E195" s="9" t="s">
        <v>571</v>
      </c>
      <c r="F195" s="9" t="s">
        <v>88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 hidden="1">
      <c r="A196" s="33">
        <v>46080.15625</v>
      </c>
      <c r="B196" s="11">
        <v>4733</v>
      </c>
      <c r="C196" s="11">
        <v>4716.6181640625</v>
      </c>
      <c r="D196" s="34">
        <v>1144899</v>
      </c>
      <c r="E196" s="9" t="s">
        <v>571</v>
      </c>
      <c r="F196" s="9" t="s">
        <v>88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33">
        <v>46111.15625</v>
      </c>
      <c r="B197" s="11">
        <v>4877.2001953125</v>
      </c>
      <c r="C197" s="11">
        <v>4860.3193359375</v>
      </c>
      <c r="D197" s="34">
        <v>1293604</v>
      </c>
      <c r="E197" s="9" t="s">
        <v>571</v>
      </c>
      <c r="F197" s="9" t="s">
        <v>88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 hidden="1">
      <c r="A198" s="33">
        <v>46142.15625</v>
      </c>
      <c r="B198" s="11">
        <v>4800</v>
      </c>
      <c r="C198" s="11">
        <v>4783.38623046875</v>
      </c>
      <c r="D198" s="34">
        <v>542790</v>
      </c>
      <c r="E198" s="9" t="s">
        <v>572</v>
      </c>
      <c r="F198" s="9" t="s">
        <v>88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 hidden="1">
      <c r="A199" s="33">
        <v>46171.15625</v>
      </c>
      <c r="B199" s="11">
        <v>5194.2998046875</v>
      </c>
      <c r="C199" s="11">
        <v>5176.3212890625</v>
      </c>
      <c r="D199" s="34">
        <v>1393236</v>
      </c>
      <c r="E199" s="9" t="s">
        <v>572</v>
      </c>
      <c r="F199" s="9" t="s">
        <v>88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 hidden="1">
      <c r="A200" s="33">
        <v>46203.15625</v>
      </c>
      <c r="B200" s="11">
        <v>4326.5</v>
      </c>
      <c r="C200" s="11">
        <v>4311.525390625</v>
      </c>
      <c r="D200" s="34">
        <v>1513736</v>
      </c>
      <c r="E200" s="9" t="s">
        <v>572</v>
      </c>
      <c r="F200" s="9" t="s">
        <v>88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 hidden="1">
      <c r="A201" s="33">
        <v>46234.15625</v>
      </c>
      <c r="B201" s="11">
        <v>5549</v>
      </c>
      <c r="C201" s="11">
        <v>5549</v>
      </c>
      <c r="D201" s="34">
        <v>1471276</v>
      </c>
      <c r="E201" s="9" t="s">
        <v>572</v>
      </c>
      <c r="F201" s="9" t="s">
        <v>88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 hidden="1">
      <c r="A202" s="33">
        <v>46265.15625</v>
      </c>
      <c r="B202" s="11">
        <v>5594.5</v>
      </c>
      <c r="C202" s="11">
        <v>5594.5</v>
      </c>
      <c r="D202" s="34">
        <v>1111436</v>
      </c>
      <c r="E202" s="9" t="s">
        <v>572</v>
      </c>
      <c r="F202" s="9" t="s">
        <v>88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autoFilter ref="A5:F202" xr:uid="{00000000-0001-0000-1100-000000000000}">
    <filterColumn colId="0">
      <filters>
        <dateGroupItem year="2026" month="3" dateTimeGrouping="month"/>
        <dateGroupItem year="2025" month="3" dateTimeGrouping="month"/>
        <dateGroupItem year="2024" month="3" dateTimeGrouping="month"/>
        <dateGroupItem year="2023" month="3" dateTimeGrouping="month"/>
        <dateGroupItem year="2022" month="3" dateTimeGrouping="month"/>
        <dateGroupItem year="2021" month="3" dateTimeGrouping="month"/>
        <dateGroupItem year="2020" month="3" dateTimeGrouping="month"/>
        <dateGroupItem year="2019" month="3" dateTimeGrouping="month"/>
        <dateGroupItem year="2018" month="3" dateTimeGrouping="month"/>
        <dateGroupItem year="2017" month="3" dateTimeGrouping="month"/>
        <dateGroupItem year="2016" month="3" dateTimeGrouping="month"/>
      </filters>
    </filterColumn>
  </autoFilter>
  <mergeCells count="2">
    <mergeCell ref="A1:M1"/>
    <mergeCell ref="A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60"/>
  <sheetViews>
    <sheetView showGridLines="0" workbookViewId="0">
      <selection activeCell="D10" sqref="D10"/>
    </sheetView>
  </sheetViews>
  <sheetFormatPr defaultRowHeight="13.8"/>
  <cols>
    <col min="1" max="1" width="8" customWidth="1"/>
    <col min="2" max="2" width="32" customWidth="1"/>
    <col min="3" max="3" width="15" customWidth="1"/>
    <col min="4" max="4" width="70" customWidth="1"/>
    <col min="5" max="5" width="38" customWidth="1"/>
    <col min="6" max="6" width="14" customWidth="1"/>
    <col min="7" max="7" width="58" customWidth="1"/>
  </cols>
  <sheetData>
    <row r="1" spans="1:47" ht="25.95" customHeight="1">
      <c r="A1" s="37" t="s">
        <v>46</v>
      </c>
      <c r="B1" s="37"/>
      <c r="C1" s="37"/>
      <c r="D1" s="37"/>
      <c r="E1" s="37"/>
      <c r="F1" s="37"/>
      <c r="G1" s="3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>
      <c r="A2" s="38" t="s">
        <v>47</v>
      </c>
      <c r="B2" s="38"/>
      <c r="C2" s="38"/>
      <c r="D2" s="38"/>
      <c r="E2" s="38"/>
      <c r="F2" s="38"/>
      <c r="G2" s="3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48</v>
      </c>
      <c r="B5" s="3" t="s">
        <v>49</v>
      </c>
      <c r="C5" s="3" t="s">
        <v>1</v>
      </c>
      <c r="D5" s="3" t="s">
        <v>50</v>
      </c>
      <c r="E5" s="3" t="s">
        <v>51</v>
      </c>
      <c r="F5" s="3" t="s">
        <v>52</v>
      </c>
      <c r="G5" s="3" t="s">
        <v>53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42" customHeight="1">
      <c r="A6" s="2" t="s">
        <v>54</v>
      </c>
      <c r="B6" s="2" t="s">
        <v>55</v>
      </c>
      <c r="C6" s="2" t="s">
        <v>18</v>
      </c>
      <c r="D6" s="2" t="s">
        <v>56</v>
      </c>
      <c r="E6" s="2" t="s">
        <v>57</v>
      </c>
      <c r="F6" s="2" t="s">
        <v>58</v>
      </c>
      <c r="G6" s="2" t="s">
        <v>59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42" customHeight="1">
      <c r="A7" s="2" t="s">
        <v>60</v>
      </c>
      <c r="B7" s="2" t="s">
        <v>61</v>
      </c>
      <c r="C7" s="2" t="s">
        <v>18</v>
      </c>
      <c r="D7" s="2" t="s">
        <v>62</v>
      </c>
      <c r="E7" s="2" t="s">
        <v>63</v>
      </c>
      <c r="F7" s="2" t="s">
        <v>58</v>
      </c>
      <c r="G7" s="2" t="s">
        <v>64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42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58</v>
      </c>
      <c r="G8" s="2" t="s">
        <v>70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42" customHeight="1">
      <c r="A9" s="2" t="s">
        <v>71</v>
      </c>
      <c r="B9" s="2" t="s">
        <v>72</v>
      </c>
      <c r="C9" s="2" t="s">
        <v>67</v>
      </c>
      <c r="D9" s="2" t="s">
        <v>68</v>
      </c>
      <c r="E9" s="2" t="s">
        <v>73</v>
      </c>
      <c r="F9" s="2" t="s">
        <v>58</v>
      </c>
      <c r="G9" s="2" t="s">
        <v>74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42" customHeight="1">
      <c r="A10" s="2" t="s">
        <v>75</v>
      </c>
      <c r="B10" s="2" t="s">
        <v>76</v>
      </c>
      <c r="C10" s="2" t="s">
        <v>67</v>
      </c>
      <c r="D10" s="2" t="s">
        <v>77</v>
      </c>
      <c r="E10" s="2" t="s">
        <v>78</v>
      </c>
      <c r="F10" s="2" t="s">
        <v>58</v>
      </c>
      <c r="G10" s="2" t="s">
        <v>79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42" customHeight="1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58</v>
      </c>
      <c r="G11" s="2" t="s">
        <v>85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42" customHeight="1">
      <c r="A12" s="2" t="s">
        <v>86</v>
      </c>
      <c r="B12" s="2" t="s">
        <v>87</v>
      </c>
      <c r="C12" s="2" t="s">
        <v>30</v>
      </c>
      <c r="D12" s="2" t="s">
        <v>88</v>
      </c>
      <c r="E12" s="2" t="s">
        <v>89</v>
      </c>
      <c r="F12" s="2" t="s">
        <v>58</v>
      </c>
      <c r="G12" s="2" t="s">
        <v>90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42" customHeight="1">
      <c r="A13" s="2" t="s">
        <v>91</v>
      </c>
      <c r="B13" s="2" t="s">
        <v>92</v>
      </c>
      <c r="C13" s="2" t="s">
        <v>18</v>
      </c>
      <c r="D13" s="2" t="s">
        <v>93</v>
      </c>
      <c r="E13" s="2" t="s">
        <v>94</v>
      </c>
      <c r="F13" s="2" t="s">
        <v>95</v>
      </c>
      <c r="G13" s="2" t="s">
        <v>96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42" customHeight="1">
      <c r="A14" s="2" t="s">
        <v>97</v>
      </c>
      <c r="B14" s="2" t="s">
        <v>98</v>
      </c>
      <c r="C14" s="2" t="s">
        <v>18</v>
      </c>
      <c r="D14" s="2" t="s">
        <v>99</v>
      </c>
      <c r="E14" s="2" t="s">
        <v>100</v>
      </c>
      <c r="F14" s="2" t="s">
        <v>95</v>
      </c>
      <c r="G14" s="2" t="s">
        <v>101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42" customHeight="1">
      <c r="A15" s="2" t="s">
        <v>102</v>
      </c>
      <c r="B15" s="2" t="s">
        <v>103</v>
      </c>
      <c r="C15" s="2" t="s">
        <v>104</v>
      </c>
      <c r="D15" s="2" t="s">
        <v>104</v>
      </c>
      <c r="E15" s="2" t="s">
        <v>105</v>
      </c>
      <c r="F15" s="2" t="s">
        <v>106</v>
      </c>
      <c r="G15" s="2" t="s">
        <v>107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60"/>
  <sheetViews>
    <sheetView showGridLines="0" topLeftCell="A38" workbookViewId="0">
      <selection activeCell="B16" sqref="B16"/>
    </sheetView>
  </sheetViews>
  <sheetFormatPr defaultRowHeight="13.8"/>
  <cols>
    <col min="1" max="1" width="52" customWidth="1"/>
    <col min="2" max="5" width="13" customWidth="1"/>
    <col min="6" max="6" width="56" customWidth="1"/>
  </cols>
  <sheetData>
    <row r="1" spans="1:46" ht="25.95" customHeight="1">
      <c r="A1" s="37" t="s">
        <v>108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9.95" customHeight="1">
      <c r="A2" s="38" t="s">
        <v>109</v>
      </c>
      <c r="B2" s="38"/>
      <c r="C2" s="38"/>
      <c r="D2" s="38"/>
      <c r="E2" s="38"/>
      <c r="F2" s="3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3" t="s">
        <v>110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112</v>
      </c>
      <c r="B6" s="4">
        <v>0.97</v>
      </c>
      <c r="C6" s="4">
        <v>0.97199999999999998</v>
      </c>
      <c r="D6" s="4">
        <v>0.97399999999999998</v>
      </c>
      <c r="E6" s="4">
        <v>0.97499999999999998</v>
      </c>
      <c r="F6" s="2" t="s">
        <v>113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114</v>
      </c>
      <c r="B7" s="4">
        <v>0.12</v>
      </c>
      <c r="C7" s="4">
        <v>0.1</v>
      </c>
      <c r="D7" s="4">
        <v>0.09</v>
      </c>
      <c r="E7" s="4">
        <v>0.08</v>
      </c>
      <c r="F7" s="2" t="s">
        <v>115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116</v>
      </c>
      <c r="B8" s="4">
        <v>0.55000000000000004</v>
      </c>
      <c r="C8" s="4">
        <v>0.56000000000000005</v>
      </c>
      <c r="D8" s="4">
        <v>0.56999999999999995</v>
      </c>
      <c r="E8" s="4">
        <v>0.57999999999999996</v>
      </c>
      <c r="F8" s="2" t="s">
        <v>117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118</v>
      </c>
      <c r="B9" s="4">
        <v>0.1</v>
      </c>
      <c r="C9" s="4">
        <v>0.16</v>
      </c>
      <c r="D9" s="4">
        <v>0.16</v>
      </c>
      <c r="E9" s="4">
        <v>0.16</v>
      </c>
      <c r="F9" s="2" t="s">
        <v>119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120</v>
      </c>
      <c r="B10" s="5">
        <v>650</v>
      </c>
      <c r="C10" s="5">
        <v>650</v>
      </c>
      <c r="D10" s="5">
        <v>650</v>
      </c>
      <c r="E10" s="5">
        <v>650</v>
      </c>
      <c r="F10" s="2" t="s">
        <v>121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122</v>
      </c>
      <c r="B11" s="4">
        <v>0.08</v>
      </c>
      <c r="C11" s="4">
        <v>0.1</v>
      </c>
      <c r="D11" s="4">
        <v>0.12</v>
      </c>
      <c r="E11" s="4">
        <v>0.12</v>
      </c>
      <c r="F11" s="2" t="s">
        <v>123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124</v>
      </c>
      <c r="B12" s="4">
        <v>1.4999999999999999E-2</v>
      </c>
      <c r="C12" s="4">
        <v>1.4999999999999999E-2</v>
      </c>
      <c r="D12" s="4">
        <v>1.4999999999999999E-2</v>
      </c>
      <c r="E12" s="4">
        <v>1.4999999999999999E-2</v>
      </c>
      <c r="F12" s="2" t="s">
        <v>125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126</v>
      </c>
      <c r="B13" s="4">
        <v>0.6</v>
      </c>
      <c r="C13" s="4">
        <v>0.57999999999999996</v>
      </c>
      <c r="D13" s="4">
        <v>0.56000000000000005</v>
      </c>
      <c r="E13" s="4">
        <v>0.54</v>
      </c>
      <c r="F13" s="2" t="s">
        <v>127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128</v>
      </c>
      <c r="B14" s="4">
        <v>0.01</v>
      </c>
      <c r="C14" s="4">
        <v>0.01</v>
      </c>
      <c r="D14" s="4">
        <v>8.0000000000000002E-3</v>
      </c>
      <c r="E14" s="4">
        <v>6.0000000000000001E-3</v>
      </c>
      <c r="F14" s="2" t="s">
        <v>129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35</v>
      </c>
      <c r="B15" s="4">
        <v>3.5000000000000003E-2</v>
      </c>
      <c r="C15" s="4">
        <v>0.04</v>
      </c>
      <c r="D15" s="4">
        <v>4.4999999999999998E-2</v>
      </c>
      <c r="E15" s="4">
        <v>4.4999999999999998E-2</v>
      </c>
      <c r="F15" s="2" t="s">
        <v>130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131</v>
      </c>
      <c r="B16" s="6">
        <v>91</v>
      </c>
      <c r="C16" s="6">
        <v>95</v>
      </c>
      <c r="D16" s="6">
        <v>96</v>
      </c>
      <c r="E16" s="6">
        <v>97</v>
      </c>
      <c r="F16" s="2" t="s">
        <v>133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24</v>
      </c>
      <c r="B17" s="4">
        <v>0.35199999999999998</v>
      </c>
      <c r="C17" s="4">
        <v>0.35599999999999998</v>
      </c>
      <c r="D17" s="4">
        <v>0.35899999999999999</v>
      </c>
      <c r="E17" s="4">
        <v>0.36199999999999999</v>
      </c>
      <c r="F17" s="2" t="s">
        <v>134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135</v>
      </c>
      <c r="B18" s="4">
        <v>0.16400000000000001</v>
      </c>
      <c r="C18" s="4">
        <v>0.161</v>
      </c>
      <c r="D18" s="4">
        <v>0.158</v>
      </c>
      <c r="E18" s="4">
        <v>0.156</v>
      </c>
      <c r="F18" s="2" t="s">
        <v>136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137</v>
      </c>
      <c r="B19" s="4">
        <v>2.7E-2</v>
      </c>
      <c r="C19" s="4">
        <v>2.5999999999999999E-2</v>
      </c>
      <c r="D19" s="4">
        <v>2.5000000000000001E-2</v>
      </c>
      <c r="E19" s="4">
        <v>2.4E-2</v>
      </c>
      <c r="F19" s="2" t="s">
        <v>138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139</v>
      </c>
      <c r="B20" s="4">
        <v>6.0000000000000001E-3</v>
      </c>
      <c r="C20" s="4">
        <v>6.0000000000000001E-3</v>
      </c>
      <c r="D20" s="4">
        <v>6.0000000000000001E-3</v>
      </c>
      <c r="E20" s="4">
        <v>6.0000000000000001E-3</v>
      </c>
      <c r="F20" s="2" t="s">
        <v>140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141</v>
      </c>
      <c r="B21" s="4">
        <v>6.0000000000000001E-3</v>
      </c>
      <c r="C21" s="4">
        <v>6.0000000000000001E-3</v>
      </c>
      <c r="D21" s="4">
        <v>5.0000000000000001E-3</v>
      </c>
      <c r="E21" s="4">
        <v>5.0000000000000001E-3</v>
      </c>
      <c r="F21" s="2" t="s">
        <v>142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143</v>
      </c>
      <c r="B22" s="4">
        <v>0.23</v>
      </c>
      <c r="C22" s="4">
        <v>0.23</v>
      </c>
      <c r="D22" s="4">
        <v>0.23</v>
      </c>
      <c r="E22" s="4">
        <v>0.23</v>
      </c>
      <c r="F22" s="2" t="s">
        <v>144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145</v>
      </c>
      <c r="B23" s="6">
        <v>60</v>
      </c>
      <c r="C23" s="6">
        <v>59</v>
      </c>
      <c r="D23" s="6">
        <v>58</v>
      </c>
      <c r="E23" s="6">
        <v>57</v>
      </c>
      <c r="F23" s="2" t="s">
        <v>146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147</v>
      </c>
      <c r="B24" s="6">
        <v>31</v>
      </c>
      <c r="C24" s="6">
        <v>30</v>
      </c>
      <c r="D24" s="6">
        <v>29</v>
      </c>
      <c r="E24" s="6">
        <v>28</v>
      </c>
      <c r="F24" s="2" t="s">
        <v>148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149</v>
      </c>
      <c r="B25" s="4">
        <v>0.1</v>
      </c>
      <c r="C25" s="4">
        <v>9.5000000000000001E-2</v>
      </c>
      <c r="D25" s="4">
        <v>0.09</v>
      </c>
      <c r="E25" s="4">
        <v>8.5000000000000006E-2</v>
      </c>
      <c r="F25" s="2" t="s">
        <v>150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151</v>
      </c>
      <c r="B26" s="4">
        <v>5.5E-2</v>
      </c>
      <c r="C26" s="4">
        <v>5.5E-2</v>
      </c>
      <c r="D26" s="4">
        <v>5.5E-2</v>
      </c>
      <c r="E26" s="4">
        <v>5.5E-2</v>
      </c>
      <c r="F26" s="2" t="s">
        <v>152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153</v>
      </c>
      <c r="B27" s="4">
        <v>0.01</v>
      </c>
      <c r="C27" s="4">
        <v>0.01</v>
      </c>
      <c r="D27" s="4">
        <v>0.01</v>
      </c>
      <c r="E27" s="4">
        <v>0.01</v>
      </c>
      <c r="F27" s="2" t="s">
        <v>154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155</v>
      </c>
      <c r="B28" s="4">
        <v>0.03</v>
      </c>
      <c r="C28" s="4">
        <v>2.8000000000000001E-2</v>
      </c>
      <c r="D28" s="4">
        <v>2.5999999999999999E-2</v>
      </c>
      <c r="E28" s="4">
        <v>2.4E-2</v>
      </c>
      <c r="F28" s="2" t="s">
        <v>156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157</v>
      </c>
      <c r="B29" s="4">
        <v>2.4E-2</v>
      </c>
      <c r="C29" s="4">
        <v>2.3E-2</v>
      </c>
      <c r="D29" s="4">
        <v>2.1999999999999999E-2</v>
      </c>
      <c r="E29" s="4">
        <v>2.1000000000000001E-2</v>
      </c>
      <c r="F29" s="2" t="s">
        <v>158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159</v>
      </c>
      <c r="B30" s="4">
        <v>1.4999999999999999E-2</v>
      </c>
      <c r="C30" s="4">
        <v>1.4E-2</v>
      </c>
      <c r="D30" s="4">
        <v>1.4E-2</v>
      </c>
      <c r="E30" s="4">
        <v>1.4E-2</v>
      </c>
      <c r="F30" s="2" t="s">
        <v>160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 t="s">
        <v>161</v>
      </c>
      <c r="B31" s="4">
        <v>6.0000000000000001E-3</v>
      </c>
      <c r="C31" s="4">
        <v>6.0000000000000001E-3</v>
      </c>
      <c r="D31" s="4">
        <v>6.0000000000000001E-3</v>
      </c>
      <c r="E31" s="4">
        <v>6.0000000000000001E-3</v>
      </c>
      <c r="F31" s="2" t="s">
        <v>162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163</v>
      </c>
      <c r="B32" s="4">
        <v>0.35</v>
      </c>
      <c r="C32" s="4">
        <v>0.35</v>
      </c>
      <c r="D32" s="4">
        <v>0.35</v>
      </c>
      <c r="E32" s="4">
        <v>0.35</v>
      </c>
      <c r="F32" s="2" t="s">
        <v>164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165</v>
      </c>
      <c r="B33" s="4">
        <v>0.25</v>
      </c>
      <c r="C33" s="4">
        <v>0.25</v>
      </c>
      <c r="D33" s="4">
        <v>0.25</v>
      </c>
      <c r="E33" s="4">
        <v>0.25</v>
      </c>
      <c r="F33" s="2" t="s">
        <v>164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 t="s">
        <v>166</v>
      </c>
      <c r="B34" s="4">
        <v>0.01</v>
      </c>
      <c r="C34" s="4">
        <v>0.01</v>
      </c>
      <c r="D34" s="4">
        <v>0.01</v>
      </c>
      <c r="E34" s="4">
        <v>0.01</v>
      </c>
      <c r="F34" s="2" t="s">
        <v>167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 t="s">
        <v>168</v>
      </c>
      <c r="B35" s="4">
        <v>0.3</v>
      </c>
      <c r="C35" s="4">
        <v>0.3</v>
      </c>
      <c r="D35" s="4">
        <v>0.3</v>
      </c>
      <c r="E35" s="4">
        <v>0.3</v>
      </c>
      <c r="F35" s="2" t="s">
        <v>169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 t="s">
        <v>170</v>
      </c>
      <c r="B36" s="4">
        <v>7.4999999999999997E-2</v>
      </c>
      <c r="C36" s="4">
        <v>7.2999999999999995E-2</v>
      </c>
      <c r="D36" s="4">
        <v>7.0999999999999994E-2</v>
      </c>
      <c r="E36" s="4">
        <v>7.0000000000000007E-2</v>
      </c>
      <c r="F36" s="2" t="s">
        <v>171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 t="s">
        <v>172</v>
      </c>
      <c r="B37" s="4">
        <v>0.05</v>
      </c>
      <c r="C37" s="4">
        <v>4.8000000000000001E-2</v>
      </c>
      <c r="D37" s="4">
        <v>4.5999999999999999E-2</v>
      </c>
      <c r="E37" s="4">
        <v>4.3999999999999997E-2</v>
      </c>
      <c r="F37" s="2" t="s">
        <v>173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 t="s">
        <v>174</v>
      </c>
      <c r="B38" s="4">
        <v>0.05</v>
      </c>
      <c r="C38" s="4">
        <v>4.8000000000000001E-2</v>
      </c>
      <c r="D38" s="4">
        <v>4.5999999999999999E-2</v>
      </c>
      <c r="E38" s="4">
        <v>4.3999999999999997E-2</v>
      </c>
      <c r="F38" s="2" t="s">
        <v>175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176</v>
      </c>
      <c r="B39" s="4">
        <v>0.02</v>
      </c>
      <c r="C39" s="4">
        <v>0.02</v>
      </c>
      <c r="D39" s="4">
        <v>0.02</v>
      </c>
      <c r="E39" s="4">
        <v>0.02</v>
      </c>
      <c r="F39" s="2" t="s">
        <v>177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178</v>
      </c>
      <c r="B40" s="4">
        <v>4.0000000000000001E-3</v>
      </c>
      <c r="C40" s="4">
        <v>4.0000000000000001E-3</v>
      </c>
      <c r="D40" s="4">
        <v>4.0000000000000001E-3</v>
      </c>
      <c r="E40" s="4">
        <v>4.0000000000000001E-3</v>
      </c>
      <c r="F40" s="2" t="s">
        <v>179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180</v>
      </c>
      <c r="B41" s="4">
        <v>3.0000000000000001E-3</v>
      </c>
      <c r="C41" s="4">
        <v>3.0000000000000001E-3</v>
      </c>
      <c r="D41" s="4">
        <v>3.0000000000000001E-3</v>
      </c>
      <c r="E41" s="4">
        <v>3.0000000000000001E-3</v>
      </c>
      <c r="F41" s="2" t="s">
        <v>181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182</v>
      </c>
      <c r="B42" s="4">
        <v>1.2E-2</v>
      </c>
      <c r="C42" s="4">
        <v>1.0999999999999999E-2</v>
      </c>
      <c r="D42" s="4">
        <v>0.01</v>
      </c>
      <c r="E42" s="4">
        <v>8.9999999999999993E-3</v>
      </c>
      <c r="F42" s="2" t="s">
        <v>183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184</v>
      </c>
      <c r="B43" s="4">
        <v>0.01</v>
      </c>
      <c r="C43" s="4">
        <v>0.01</v>
      </c>
      <c r="D43" s="4">
        <v>8.9999999999999993E-3</v>
      </c>
      <c r="E43" s="4">
        <v>8.9999999999999993E-3</v>
      </c>
      <c r="F43" s="2" t="s">
        <v>185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186</v>
      </c>
      <c r="B44" s="4">
        <v>0.36</v>
      </c>
      <c r="C44" s="4">
        <v>0.37</v>
      </c>
      <c r="D44" s="4">
        <v>0.38</v>
      </c>
      <c r="E44" s="4">
        <v>0.39</v>
      </c>
      <c r="F44" s="2" t="s">
        <v>187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188</v>
      </c>
      <c r="B45" s="6">
        <v>0</v>
      </c>
      <c r="C45" s="6">
        <v>0</v>
      </c>
      <c r="D45" s="6">
        <v>0</v>
      </c>
      <c r="E45" s="6">
        <v>0</v>
      </c>
      <c r="F45" s="2" t="s">
        <v>189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190</v>
      </c>
      <c r="B46" s="7">
        <v>46</v>
      </c>
      <c r="C46" s="7">
        <v>42</v>
      </c>
      <c r="D46" s="7">
        <v>39</v>
      </c>
      <c r="E46" s="7">
        <v>36</v>
      </c>
      <c r="F46" s="2" t="s">
        <v>191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192</v>
      </c>
      <c r="B47" s="7">
        <v>32</v>
      </c>
      <c r="C47" s="7">
        <v>29</v>
      </c>
      <c r="D47" s="7">
        <v>27</v>
      </c>
      <c r="E47" s="7">
        <v>25</v>
      </c>
      <c r="F47" s="2" t="s">
        <v>193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194</v>
      </c>
      <c r="B48" s="4">
        <v>0.1</v>
      </c>
      <c r="C48" s="4">
        <v>0.10199999999999999</v>
      </c>
      <c r="D48" s="4">
        <v>0.10299999999999999</v>
      </c>
      <c r="E48" s="4">
        <v>0.104</v>
      </c>
      <c r="F48" s="2" t="s">
        <v>195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196</v>
      </c>
      <c r="B49" s="4">
        <v>5.5E-2</v>
      </c>
      <c r="C49" s="4">
        <v>5.5E-2</v>
      </c>
      <c r="D49" s="4">
        <v>5.5E-2</v>
      </c>
      <c r="E49" s="4">
        <v>5.5E-2</v>
      </c>
      <c r="F49" s="2" t="s">
        <v>197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198</v>
      </c>
      <c r="B50" s="4">
        <v>0.4</v>
      </c>
      <c r="C50" s="4">
        <v>0.4</v>
      </c>
      <c r="D50" s="4">
        <v>0.4</v>
      </c>
      <c r="E50" s="4">
        <v>0.4</v>
      </c>
      <c r="F50" s="2" t="s">
        <v>199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 t="s">
        <v>200</v>
      </c>
      <c r="B51" s="4">
        <v>0.3</v>
      </c>
      <c r="C51" s="4">
        <v>0.3</v>
      </c>
      <c r="D51" s="4">
        <v>0.3</v>
      </c>
      <c r="E51" s="4">
        <v>0.3</v>
      </c>
      <c r="F51" s="2" t="s">
        <v>199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 t="s">
        <v>201</v>
      </c>
      <c r="B52" s="4">
        <v>0.3</v>
      </c>
      <c r="C52" s="4">
        <v>0.3</v>
      </c>
      <c r="D52" s="4">
        <v>0.3</v>
      </c>
      <c r="E52" s="4">
        <v>0.3</v>
      </c>
      <c r="F52" s="2" t="s">
        <v>199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39</v>
      </c>
      <c r="B53" s="35">
        <f>'PERSISTENT Prices'!B202</f>
        <v>5594.5</v>
      </c>
      <c r="C53" s="35">
        <f>'PERSISTENT Prices'!B202</f>
        <v>5594.5</v>
      </c>
      <c r="D53" s="35">
        <f>'PERSISTENT Prices'!B202</f>
        <v>5594.5</v>
      </c>
      <c r="E53" s="35">
        <f>'PERSISTENT Prices'!B202</f>
        <v>5594.5</v>
      </c>
      <c r="F53" s="2" t="s">
        <v>202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203</v>
      </c>
      <c r="B54" s="6">
        <v>0</v>
      </c>
      <c r="C54" s="6">
        <v>0</v>
      </c>
      <c r="D54" s="6">
        <v>0</v>
      </c>
      <c r="E54" s="6">
        <v>0</v>
      </c>
      <c r="F54" s="2" t="s">
        <v>205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206</v>
      </c>
      <c r="B55" s="6">
        <v>0</v>
      </c>
      <c r="C55" s="6">
        <v>12</v>
      </c>
      <c r="D55" s="6">
        <v>12</v>
      </c>
      <c r="E55" s="6">
        <v>12</v>
      </c>
      <c r="F55" s="2" t="s">
        <v>208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209</v>
      </c>
      <c r="B56" s="5">
        <v>0</v>
      </c>
      <c r="C56" s="5">
        <v>0</v>
      </c>
      <c r="D56" s="5">
        <v>0</v>
      </c>
      <c r="E56" s="5">
        <v>0</v>
      </c>
      <c r="F56" s="2" t="s">
        <v>210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211</v>
      </c>
      <c r="B57" s="4">
        <v>0</v>
      </c>
      <c r="C57" s="4">
        <v>0</v>
      </c>
      <c r="D57" s="4">
        <v>0</v>
      </c>
      <c r="E57" s="4">
        <v>0</v>
      </c>
      <c r="F57" s="2" t="s">
        <v>212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213</v>
      </c>
      <c r="B58" s="6">
        <v>0</v>
      </c>
      <c r="C58" s="6">
        <v>0</v>
      </c>
      <c r="D58" s="6">
        <v>0</v>
      </c>
      <c r="E58" s="6">
        <v>0</v>
      </c>
      <c r="F58" s="2" t="s">
        <v>214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215</v>
      </c>
      <c r="B59" s="6">
        <v>0</v>
      </c>
      <c r="C59" s="6">
        <v>0</v>
      </c>
      <c r="D59" s="6">
        <v>0</v>
      </c>
      <c r="E59" s="6">
        <v>0</v>
      </c>
      <c r="F59" s="2" t="s">
        <v>216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217</v>
      </c>
      <c r="B60" s="6">
        <v>0</v>
      </c>
      <c r="C60" s="6">
        <v>0</v>
      </c>
      <c r="D60" s="6">
        <v>0</v>
      </c>
      <c r="E60" s="6">
        <v>0</v>
      </c>
      <c r="F60" s="2" t="s">
        <v>218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 t="s">
        <v>219</v>
      </c>
      <c r="B61" s="6">
        <v>0</v>
      </c>
      <c r="C61" s="6">
        <v>0</v>
      </c>
      <c r="D61" s="6">
        <v>0</v>
      </c>
      <c r="E61" s="6">
        <v>0</v>
      </c>
      <c r="F61" s="2" t="s">
        <v>220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60"/>
  <sheetViews>
    <sheetView showGridLines="0" workbookViewId="0">
      <selection sqref="A1:AU1"/>
    </sheetView>
  </sheetViews>
  <sheetFormatPr defaultRowHeight="13.8"/>
  <cols>
    <col min="1" max="1" width="48" customWidth="1"/>
    <col min="2" max="2" width="14" customWidth="1"/>
    <col min="3" max="47" width="11" customWidth="1"/>
  </cols>
  <sheetData>
    <row r="1" spans="1:47" ht="25.95" customHeight="1">
      <c r="A1" s="37" t="s">
        <v>221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</row>
    <row r="2" spans="1:47" ht="19.95" customHeight="1">
      <c r="A2" s="38" t="s">
        <v>222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8" customHeight="1">
      <c r="A4" s="39" t="s">
        <v>223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 t="s">
        <v>17</v>
      </c>
      <c r="B6" s="1" t="s">
        <v>18</v>
      </c>
      <c r="C6" s="10">
        <v>23123.31</v>
      </c>
      <c r="D6" s="10">
        <v>28784.39</v>
      </c>
      <c r="E6" s="10">
        <v>30337.03</v>
      </c>
      <c r="F6" s="10">
        <v>33659.410000000003</v>
      </c>
      <c r="G6" s="10">
        <v>35658.080000000002</v>
      </c>
      <c r="H6" s="10">
        <v>41878.879999999997</v>
      </c>
      <c r="I6" s="10">
        <v>57107.46</v>
      </c>
      <c r="J6" s="10">
        <v>83505.919999999998</v>
      </c>
      <c r="K6" s="10">
        <v>98215.87</v>
      </c>
      <c r="L6" s="10">
        <v>119387.17</v>
      </c>
      <c r="M6" s="10">
        <v>147484.49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224</v>
      </c>
      <c r="B7" s="1" t="s">
        <v>18</v>
      </c>
      <c r="C7" s="10">
        <v>784.49</v>
      </c>
      <c r="D7" s="10">
        <v>958.45</v>
      </c>
      <c r="E7" s="10">
        <v>1191.01</v>
      </c>
      <c r="F7" s="10">
        <v>876.55</v>
      </c>
      <c r="G7" s="10">
        <v>1323.77</v>
      </c>
      <c r="H7" s="10">
        <v>1077.72</v>
      </c>
      <c r="I7" s="10">
        <v>1439.55</v>
      </c>
      <c r="J7" s="10">
        <v>706.17</v>
      </c>
      <c r="K7" s="10">
        <v>1280.2</v>
      </c>
      <c r="L7" s="10">
        <v>1381.54</v>
      </c>
      <c r="M7" s="10">
        <v>1804.26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225</v>
      </c>
      <c r="B8" s="1" t="s">
        <v>18</v>
      </c>
      <c r="C8" s="10">
        <v>23907.8</v>
      </c>
      <c r="D8" s="10">
        <v>29742.84</v>
      </c>
      <c r="E8" s="10">
        <v>31528.04</v>
      </c>
      <c r="F8" s="10">
        <v>34535.96</v>
      </c>
      <c r="G8" s="10">
        <v>36981.85</v>
      </c>
      <c r="H8" s="10">
        <v>42956.6</v>
      </c>
      <c r="I8" s="10">
        <v>58547.01</v>
      </c>
      <c r="J8" s="10">
        <v>84212.09</v>
      </c>
      <c r="K8" s="10">
        <v>99496.07</v>
      </c>
      <c r="L8" s="10">
        <v>120768.71</v>
      </c>
      <c r="M8" s="10">
        <v>149288.75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226</v>
      </c>
      <c r="B9" s="1" t="s">
        <v>18</v>
      </c>
      <c r="C9" s="10">
        <v>13828.26</v>
      </c>
      <c r="D9" s="10">
        <v>17648.97</v>
      </c>
      <c r="E9" s="10">
        <v>18316.46</v>
      </c>
      <c r="F9" s="10">
        <v>19249.53</v>
      </c>
      <c r="G9" s="10">
        <v>21556.400000000001</v>
      </c>
      <c r="H9" s="10">
        <v>25157.99</v>
      </c>
      <c r="I9" s="10">
        <v>34593.1</v>
      </c>
      <c r="J9" s="10">
        <v>49695.65</v>
      </c>
      <c r="K9" s="10">
        <v>59609.7</v>
      </c>
      <c r="L9" s="10">
        <v>68737.17</v>
      </c>
      <c r="M9" s="10">
        <v>79495.42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227</v>
      </c>
      <c r="B10" s="1" t="s">
        <v>18</v>
      </c>
      <c r="C10" s="10">
        <v>1586.63</v>
      </c>
      <c r="D10" s="10">
        <v>2177.66</v>
      </c>
      <c r="E10" s="10">
        <v>3180.63</v>
      </c>
      <c r="F10" s="10">
        <v>3490.45</v>
      </c>
      <c r="G10" s="10">
        <v>3918.94</v>
      </c>
      <c r="H10" s="10">
        <v>5563.68</v>
      </c>
      <c r="I10" s="10">
        <v>7974.18</v>
      </c>
      <c r="J10" s="10">
        <v>10426.01</v>
      </c>
      <c r="K10" s="10">
        <v>11492.7</v>
      </c>
      <c r="L10" s="10">
        <v>17491.650000000001</v>
      </c>
      <c r="M10" s="10">
        <v>21986.14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228</v>
      </c>
      <c r="B11" s="1" t="s">
        <v>18</v>
      </c>
      <c r="C11" s="10">
        <v>0.92</v>
      </c>
      <c r="D11" s="10">
        <v>0.91</v>
      </c>
      <c r="E11" s="10">
        <v>0.79</v>
      </c>
      <c r="F11" s="10">
        <v>3.05</v>
      </c>
      <c r="G11" s="10">
        <v>63.32</v>
      </c>
      <c r="H11" s="10">
        <v>57.94</v>
      </c>
      <c r="I11" s="10">
        <v>118.35</v>
      </c>
      <c r="J11" s="10">
        <v>473.4</v>
      </c>
      <c r="K11" s="10">
        <v>467.27</v>
      </c>
      <c r="L11" s="10">
        <v>671.29</v>
      </c>
      <c r="M11" s="10">
        <v>726.82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229</v>
      </c>
      <c r="B12" s="1" t="s">
        <v>18</v>
      </c>
      <c r="C12" s="10">
        <v>965.16</v>
      </c>
      <c r="D12" s="10">
        <v>1490.17</v>
      </c>
      <c r="E12" s="10">
        <v>1584.87</v>
      </c>
      <c r="F12" s="10">
        <v>1572.51</v>
      </c>
      <c r="G12" s="10">
        <v>1659.62</v>
      </c>
      <c r="H12" s="10">
        <v>1755.5</v>
      </c>
      <c r="I12" s="10">
        <v>1660.12</v>
      </c>
      <c r="J12" s="10">
        <v>2718.95</v>
      </c>
      <c r="K12" s="10">
        <v>3093.73</v>
      </c>
      <c r="L12" s="10">
        <v>3069.1</v>
      </c>
      <c r="M12" s="10">
        <v>4029.5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230</v>
      </c>
      <c r="B13" s="1" t="s">
        <v>18</v>
      </c>
      <c r="C13" s="10">
        <v>3570.56</v>
      </c>
      <c r="D13" s="10">
        <v>4304.29</v>
      </c>
      <c r="E13" s="10">
        <v>4152.68</v>
      </c>
      <c r="F13" s="10">
        <v>5357.03</v>
      </c>
      <c r="G13" s="10">
        <v>5260.15</v>
      </c>
      <c r="H13" s="10">
        <v>4327.0600000000004</v>
      </c>
      <c r="I13" s="10">
        <v>4958.47</v>
      </c>
      <c r="J13" s="10">
        <v>8193.01</v>
      </c>
      <c r="K13" s="10">
        <v>10356.61</v>
      </c>
      <c r="L13" s="10">
        <v>12576.42</v>
      </c>
      <c r="M13" s="10">
        <v>18048.5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231</v>
      </c>
      <c r="B14" s="1" t="s">
        <v>18</v>
      </c>
      <c r="C14" s="10">
        <v>3956.27</v>
      </c>
      <c r="D14" s="10">
        <v>4120.84</v>
      </c>
      <c r="E14" s="10">
        <v>4292.6099999999997</v>
      </c>
      <c r="F14" s="10">
        <v>4863.3900000000003</v>
      </c>
      <c r="G14" s="10">
        <v>4523.42</v>
      </c>
      <c r="H14" s="10">
        <v>6094.43</v>
      </c>
      <c r="I14" s="10">
        <v>9242.7900000000009</v>
      </c>
      <c r="J14" s="10">
        <v>12705.07</v>
      </c>
      <c r="K14" s="10">
        <v>14476.06</v>
      </c>
      <c r="L14" s="10">
        <v>18223.080000000002</v>
      </c>
      <c r="M14" s="10">
        <v>25002.37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232</v>
      </c>
      <c r="B15" s="1" t="s">
        <v>18</v>
      </c>
      <c r="C15" s="10">
        <v>0</v>
      </c>
      <c r="D15" s="10">
        <v>-114.11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-296.55</v>
      </c>
      <c r="K15" s="10">
        <v>0</v>
      </c>
      <c r="L15" s="10">
        <v>0</v>
      </c>
      <c r="M15" s="10">
        <v>-890.25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233</v>
      </c>
      <c r="B16" s="1" t="s">
        <v>18</v>
      </c>
      <c r="C16" s="10">
        <v>3956.27</v>
      </c>
      <c r="D16" s="10">
        <v>4006.73</v>
      </c>
      <c r="E16" s="10">
        <v>4292.6099999999997</v>
      </c>
      <c r="F16" s="10">
        <v>4863.3900000000003</v>
      </c>
      <c r="G16" s="10">
        <v>4523.42</v>
      </c>
      <c r="H16" s="10">
        <v>6094.43</v>
      </c>
      <c r="I16" s="10">
        <v>9242.7900000000009</v>
      </c>
      <c r="J16" s="10">
        <v>12408.52</v>
      </c>
      <c r="K16" s="10">
        <v>14476.06</v>
      </c>
      <c r="L16" s="10">
        <v>18223.080000000002</v>
      </c>
      <c r="M16" s="10">
        <v>24112.12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234</v>
      </c>
      <c r="B17" s="1" t="s">
        <v>18</v>
      </c>
      <c r="C17" s="10">
        <v>982.66</v>
      </c>
      <c r="D17" s="10">
        <v>992.08</v>
      </c>
      <c r="E17" s="10">
        <v>1061.73</v>
      </c>
      <c r="F17" s="10">
        <v>1346.6</v>
      </c>
      <c r="G17" s="10">
        <v>1120.53</v>
      </c>
      <c r="H17" s="10">
        <v>1587.66</v>
      </c>
      <c r="I17" s="10">
        <v>2338.9299999999998</v>
      </c>
      <c r="J17" s="10">
        <v>3197.59</v>
      </c>
      <c r="K17" s="10">
        <v>3541.15</v>
      </c>
      <c r="L17" s="10">
        <v>4221.47</v>
      </c>
      <c r="M17" s="10">
        <v>5460.92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28</v>
      </c>
      <c r="B18" s="1" t="s">
        <v>18</v>
      </c>
      <c r="C18" s="10">
        <v>2973.61</v>
      </c>
      <c r="D18" s="10">
        <v>3014.65</v>
      </c>
      <c r="E18" s="10">
        <v>3230.88</v>
      </c>
      <c r="F18" s="10">
        <v>3516.79</v>
      </c>
      <c r="G18" s="10">
        <v>3402.89</v>
      </c>
      <c r="H18" s="10">
        <v>4506.7700000000004</v>
      </c>
      <c r="I18" s="10">
        <v>6903.86</v>
      </c>
      <c r="J18" s="10">
        <v>9210.93</v>
      </c>
      <c r="K18" s="10">
        <v>10934.91</v>
      </c>
      <c r="L18" s="10">
        <v>14001.61</v>
      </c>
      <c r="M18" s="10">
        <v>18651.2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235</v>
      </c>
      <c r="B19" s="1" t="s">
        <v>30</v>
      </c>
      <c r="C19" s="11">
        <v>37.26</v>
      </c>
      <c r="D19" s="11">
        <v>37.68</v>
      </c>
      <c r="E19" s="11">
        <v>40.39</v>
      </c>
      <c r="F19" s="11">
        <v>43.99</v>
      </c>
      <c r="G19" s="11">
        <v>44.38</v>
      </c>
      <c r="H19" s="11">
        <v>58.97</v>
      </c>
      <c r="I19" s="11">
        <v>90.34</v>
      </c>
      <c r="J19" s="11">
        <v>123.73</v>
      </c>
      <c r="K19" s="11">
        <v>72.44</v>
      </c>
      <c r="L19" s="11">
        <v>91.22</v>
      </c>
      <c r="M19" s="11">
        <v>119.74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29</v>
      </c>
      <c r="B20" s="1" t="s">
        <v>30</v>
      </c>
      <c r="C20" s="11">
        <v>37.17</v>
      </c>
      <c r="D20" s="11">
        <v>37.68</v>
      </c>
      <c r="E20" s="11">
        <v>40.39</v>
      </c>
      <c r="F20" s="11">
        <v>43.99</v>
      </c>
      <c r="G20" s="11">
        <v>44.38</v>
      </c>
      <c r="H20" s="11">
        <v>58.97</v>
      </c>
      <c r="I20" s="11">
        <v>90.34</v>
      </c>
      <c r="J20" s="11">
        <v>120.52</v>
      </c>
      <c r="K20" s="11">
        <v>71.069999999999993</v>
      </c>
      <c r="L20" s="11">
        <v>90.24</v>
      </c>
      <c r="M20" s="11">
        <v>118.87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8" customHeight="1">
      <c r="A24" s="39" t="s">
        <v>236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</row>
    <row r="25" spans="1:47" ht="19.95" customHeight="1">
      <c r="A25" s="3" t="s">
        <v>0</v>
      </c>
      <c r="B25" s="3" t="s">
        <v>1</v>
      </c>
      <c r="C25" s="3" t="s">
        <v>237</v>
      </c>
      <c r="D25" s="3" t="s">
        <v>238</v>
      </c>
      <c r="E25" s="3" t="s">
        <v>239</v>
      </c>
      <c r="F25" s="3" t="s">
        <v>240</v>
      </c>
      <c r="G25" s="3" t="s">
        <v>241</v>
      </c>
      <c r="H25" s="3" t="s">
        <v>242</v>
      </c>
      <c r="I25" s="3" t="s">
        <v>243</v>
      </c>
      <c r="J25" s="3" t="s">
        <v>244</v>
      </c>
      <c r="K25" s="3" t="s">
        <v>245</v>
      </c>
      <c r="L25" s="3" t="s">
        <v>246</v>
      </c>
      <c r="M25" s="3" t="s">
        <v>247</v>
      </c>
      <c r="N25" s="3" t="s">
        <v>248</v>
      </c>
      <c r="O25" s="3" t="s">
        <v>249</v>
      </c>
      <c r="P25" s="3" t="s">
        <v>250</v>
      </c>
      <c r="Q25" s="3" t="s">
        <v>251</v>
      </c>
      <c r="R25" s="3" t="s">
        <v>252</v>
      </c>
      <c r="S25" s="3" t="s">
        <v>253</v>
      </c>
      <c r="T25" s="3" t="s">
        <v>254</v>
      </c>
      <c r="U25" s="3" t="s">
        <v>255</v>
      </c>
      <c r="V25" s="3" t="s">
        <v>256</v>
      </c>
      <c r="W25" s="3" t="s">
        <v>257</v>
      </c>
      <c r="X25" s="3" t="s">
        <v>258</v>
      </c>
      <c r="Y25" s="3" t="s">
        <v>259</v>
      </c>
      <c r="Z25" s="3" t="s">
        <v>260</v>
      </c>
      <c r="AA25" s="3" t="s">
        <v>261</v>
      </c>
      <c r="AB25" s="3" t="s">
        <v>262</v>
      </c>
      <c r="AC25" s="3" t="s">
        <v>263</v>
      </c>
      <c r="AD25" s="3" t="s">
        <v>264</v>
      </c>
      <c r="AE25" s="3" t="s">
        <v>265</v>
      </c>
      <c r="AF25" s="3" t="s">
        <v>266</v>
      </c>
      <c r="AG25" s="3" t="s">
        <v>267</v>
      </c>
      <c r="AH25" s="3" t="s">
        <v>268</v>
      </c>
      <c r="AI25" s="3" t="s">
        <v>269</v>
      </c>
      <c r="AJ25" s="3" t="s">
        <v>270</v>
      </c>
      <c r="AK25" s="3" t="s">
        <v>271</v>
      </c>
      <c r="AL25" s="3" t="s">
        <v>272</v>
      </c>
      <c r="AM25" s="3" t="s">
        <v>273</v>
      </c>
      <c r="AN25" s="3" t="s">
        <v>274</v>
      </c>
      <c r="AO25" s="3" t="s">
        <v>275</v>
      </c>
      <c r="AP25" s="3" t="s">
        <v>276</v>
      </c>
      <c r="AQ25" s="3" t="s">
        <v>277</v>
      </c>
      <c r="AR25" s="3" t="s">
        <v>278</v>
      </c>
      <c r="AS25" s="3" t="s">
        <v>279</v>
      </c>
      <c r="AT25" s="3" t="s">
        <v>280</v>
      </c>
      <c r="AU25" s="3" t="s">
        <v>281</v>
      </c>
    </row>
    <row r="26" spans="1:47" ht="14.4">
      <c r="A26" s="1" t="s">
        <v>17</v>
      </c>
      <c r="B26" s="1" t="s">
        <v>21</v>
      </c>
      <c r="C26" s="12">
        <v>78.61</v>
      </c>
      <c r="D26" s="12">
        <v>82.96</v>
      </c>
      <c r="E26" s="12">
        <v>89.65</v>
      </c>
      <c r="F26" s="12">
        <v>100.43</v>
      </c>
      <c r="G26" s="12">
        <v>104.76</v>
      </c>
      <c r="H26" s="12">
        <v>105.18</v>
      </c>
      <c r="I26" s="12">
        <v>110.03</v>
      </c>
      <c r="J26" s="12">
        <v>109.03</v>
      </c>
      <c r="K26" s="12">
        <v>112.97</v>
      </c>
      <c r="L26" s="12">
        <v>118.1</v>
      </c>
      <c r="M26" s="12">
        <v>122.53</v>
      </c>
      <c r="N26" s="12">
        <v>116.95</v>
      </c>
      <c r="O26" s="12">
        <v>123.6</v>
      </c>
      <c r="P26" s="12">
        <v>118.23</v>
      </c>
      <c r="Q26" s="12">
        <v>120.84</v>
      </c>
      <c r="R26" s="12">
        <v>118.3</v>
      </c>
      <c r="S26" s="12">
        <v>119.62</v>
      </c>
      <c r="T26" s="12">
        <v>125.51</v>
      </c>
      <c r="U26" s="12">
        <v>129.43</v>
      </c>
      <c r="V26" s="12">
        <v>127.05</v>
      </c>
      <c r="W26" s="12">
        <v>131.02000000000001</v>
      </c>
      <c r="X26" s="12">
        <v>136.09</v>
      </c>
      <c r="Y26" s="12">
        <v>146.15</v>
      </c>
      <c r="Z26" s="12">
        <v>152.82</v>
      </c>
      <c r="AA26" s="12">
        <v>144.93128999999999</v>
      </c>
      <c r="AB26" s="12">
        <v>182.32</v>
      </c>
      <c r="AC26" s="12">
        <v>172.68</v>
      </c>
      <c r="AD26" s="12">
        <v>217.32</v>
      </c>
      <c r="AE26" s="12">
        <v>241.52</v>
      </c>
      <c r="AF26" s="12">
        <v>255.56</v>
      </c>
      <c r="AG26" s="12">
        <v>242.65</v>
      </c>
      <c r="AH26" s="12">
        <v>274.55</v>
      </c>
      <c r="AI26" s="12">
        <v>282.89999999999998</v>
      </c>
      <c r="AJ26" s="12">
        <v>291.70999999999998</v>
      </c>
      <c r="AK26" s="12">
        <v>300.55</v>
      </c>
      <c r="AL26" s="12">
        <v>310.89</v>
      </c>
      <c r="AM26" s="12">
        <v>328.2</v>
      </c>
      <c r="AN26" s="12">
        <v>345.5</v>
      </c>
      <c r="AO26" s="12">
        <v>360.2</v>
      </c>
      <c r="AP26" s="12">
        <v>375.2</v>
      </c>
      <c r="AQ26" s="12">
        <v>389.7</v>
      </c>
      <c r="AR26" s="12">
        <v>406.2</v>
      </c>
      <c r="AS26" s="12">
        <v>422.5</v>
      </c>
      <c r="AT26" s="12">
        <v>436</v>
      </c>
      <c r="AU26" s="12">
        <v>452.4</v>
      </c>
    </row>
    <row r="27" spans="1:47" ht="14.4">
      <c r="A27" s="1" t="s">
        <v>282</v>
      </c>
      <c r="B27" s="1" t="s">
        <v>132</v>
      </c>
      <c r="C27" s="13">
        <v>63.66</v>
      </c>
      <c r="D27" s="13">
        <v>65.42</v>
      </c>
      <c r="E27" s="13">
        <v>66.040000000000006</v>
      </c>
      <c r="F27" s="13">
        <v>67.42</v>
      </c>
      <c r="G27" s="13">
        <v>66.989999999999995</v>
      </c>
      <c r="H27" s="13">
        <v>66.930000000000007</v>
      </c>
      <c r="I27" s="13">
        <v>67.760000000000005</v>
      </c>
      <c r="J27" s="13">
        <v>66.69</v>
      </c>
      <c r="K27" s="13">
        <v>64.44</v>
      </c>
      <c r="L27" s="13">
        <v>64.459999999999994</v>
      </c>
      <c r="M27" s="13">
        <v>64.63</v>
      </c>
      <c r="N27" s="13">
        <v>64.349999999999994</v>
      </c>
      <c r="O27" s="13">
        <v>67.5</v>
      </c>
      <c r="P27" s="13">
        <v>70.67</v>
      </c>
      <c r="Q27" s="13">
        <v>71.52</v>
      </c>
      <c r="R27" s="13">
        <v>70.319999999999993</v>
      </c>
      <c r="S27" s="13">
        <v>69.56</v>
      </c>
      <c r="T27" s="13">
        <v>70.48</v>
      </c>
      <c r="U27" s="13">
        <v>71.290000000000006</v>
      </c>
      <c r="V27" s="13">
        <v>72.91</v>
      </c>
      <c r="W27" s="13">
        <v>75.69</v>
      </c>
      <c r="X27" s="13">
        <v>74.05</v>
      </c>
      <c r="Y27" s="13">
        <v>73.58</v>
      </c>
      <c r="Z27" s="13">
        <v>72.849999999999994</v>
      </c>
      <c r="AA27" s="13">
        <v>73.737200000000001</v>
      </c>
      <c r="AB27" s="13">
        <v>74.11</v>
      </c>
      <c r="AC27" s="13">
        <v>74.92</v>
      </c>
      <c r="AD27" s="13"/>
      <c r="AE27" s="13">
        <v>77.760000000000005</v>
      </c>
      <c r="AF27" s="13">
        <v>80.16</v>
      </c>
      <c r="AG27" s="13">
        <v>82.06</v>
      </c>
      <c r="AH27" s="13">
        <v>82.12</v>
      </c>
      <c r="AI27" s="13">
        <v>82.05</v>
      </c>
      <c r="AJ27" s="13">
        <v>82.67</v>
      </c>
      <c r="AK27" s="13">
        <v>83.12</v>
      </c>
      <c r="AL27" s="13">
        <v>83.33</v>
      </c>
      <c r="AM27" s="13">
        <v>83.4</v>
      </c>
      <c r="AN27" s="13">
        <v>83.9</v>
      </c>
      <c r="AO27" s="13">
        <v>85</v>
      </c>
      <c r="AP27" s="13">
        <v>86.4</v>
      </c>
      <c r="AQ27" s="13">
        <v>85.5</v>
      </c>
      <c r="AR27" s="13">
        <v>88.2</v>
      </c>
      <c r="AS27" s="13">
        <v>89.4</v>
      </c>
      <c r="AT27" s="13">
        <v>93</v>
      </c>
      <c r="AU27" s="13">
        <v>95.1</v>
      </c>
    </row>
    <row r="28" spans="1:47" ht="14.4">
      <c r="A28" s="1" t="s">
        <v>17</v>
      </c>
      <c r="B28" s="1" t="s">
        <v>18</v>
      </c>
      <c r="C28" s="13">
        <v>5004.16</v>
      </c>
      <c r="D28" s="13">
        <v>5427.31</v>
      </c>
      <c r="E28" s="13">
        <v>5920.74</v>
      </c>
      <c r="F28" s="13">
        <v>6771.1</v>
      </c>
      <c r="G28" s="13">
        <v>7017.77</v>
      </c>
      <c r="H28" s="13">
        <v>7040.19</v>
      </c>
      <c r="I28" s="13">
        <v>7455.35</v>
      </c>
      <c r="J28" s="13">
        <v>7271.08</v>
      </c>
      <c r="K28" s="13">
        <v>7280.15</v>
      </c>
      <c r="L28" s="13">
        <v>7612.52</v>
      </c>
      <c r="M28" s="13">
        <v>7918.9</v>
      </c>
      <c r="N28" s="13">
        <v>7525.46</v>
      </c>
      <c r="O28" s="13">
        <v>8342.81</v>
      </c>
      <c r="P28" s="13">
        <v>8355.57</v>
      </c>
      <c r="Q28" s="13">
        <v>8642.49</v>
      </c>
      <c r="R28" s="13">
        <v>8318.5400000000009</v>
      </c>
      <c r="S28" s="13">
        <v>8321.14</v>
      </c>
      <c r="T28" s="13">
        <v>8846</v>
      </c>
      <c r="U28" s="13">
        <v>9227.2900000000009</v>
      </c>
      <c r="V28" s="13">
        <v>9263.65</v>
      </c>
      <c r="W28" s="13">
        <v>9913.85</v>
      </c>
      <c r="X28" s="13">
        <v>10077.469999999999</v>
      </c>
      <c r="Y28" s="13">
        <v>10753.98</v>
      </c>
      <c r="Z28" s="13">
        <v>11133.58</v>
      </c>
      <c r="AA28" s="13">
        <v>12299.2611</v>
      </c>
      <c r="AB28" s="13">
        <v>13512.49</v>
      </c>
      <c r="AC28" s="13">
        <v>14917.17</v>
      </c>
      <c r="AD28" s="13">
        <v>16378.54</v>
      </c>
      <c r="AE28" s="13">
        <v>18781.11</v>
      </c>
      <c r="AF28" s="13">
        <v>20486.41</v>
      </c>
      <c r="AG28" s="13">
        <v>21693.68</v>
      </c>
      <c r="AH28" s="13">
        <v>22544.720000000001</v>
      </c>
      <c r="AI28" s="13">
        <v>23211.75</v>
      </c>
      <c r="AJ28" s="13">
        <v>24116.7</v>
      </c>
      <c r="AK28" s="13">
        <v>24982.16</v>
      </c>
      <c r="AL28" s="13">
        <v>25905.26</v>
      </c>
      <c r="AM28" s="13">
        <v>27371.7</v>
      </c>
      <c r="AN28" s="13">
        <v>28971.5</v>
      </c>
      <c r="AO28" s="13">
        <v>30622.799999999999</v>
      </c>
      <c r="AP28" s="13">
        <v>32421.1</v>
      </c>
      <c r="AQ28" s="13">
        <v>33335.9</v>
      </c>
      <c r="AR28" s="13">
        <v>35807.199999999997</v>
      </c>
      <c r="AS28" s="13">
        <v>37782.1</v>
      </c>
      <c r="AT28" s="13">
        <v>40559.4</v>
      </c>
      <c r="AU28" s="13">
        <v>43032.3</v>
      </c>
    </row>
    <row r="29" spans="1:47" ht="14.4">
      <c r="A29" s="1" t="s">
        <v>283</v>
      </c>
      <c r="B29" s="1" t="s">
        <v>18</v>
      </c>
      <c r="C29" s="13">
        <v>3015.2</v>
      </c>
      <c r="D29" s="13">
        <v>3313.74</v>
      </c>
      <c r="E29" s="13">
        <v>3622.39</v>
      </c>
      <c r="F29" s="13">
        <v>4353.47</v>
      </c>
      <c r="G29" s="13">
        <v>4584.5200000000004</v>
      </c>
      <c r="H29" s="13">
        <v>4538.51</v>
      </c>
      <c r="I29" s="13">
        <v>4751.0200000000004</v>
      </c>
      <c r="J29" s="13">
        <v>4643.97</v>
      </c>
      <c r="K29" s="13">
        <v>4783.17</v>
      </c>
      <c r="L29" s="13">
        <v>4994.0600000000004</v>
      </c>
      <c r="M29" s="13">
        <v>5008.8999999999996</v>
      </c>
      <c r="N29" s="13">
        <v>4917.99</v>
      </c>
      <c r="O29" s="13">
        <v>5372.82</v>
      </c>
      <c r="P29" s="13">
        <v>5409.62</v>
      </c>
      <c r="Q29" s="13">
        <v>5341.15</v>
      </c>
      <c r="R29" s="13">
        <v>5254.56</v>
      </c>
      <c r="S29" s="13">
        <v>5434.02</v>
      </c>
      <c r="T29" s="13">
        <v>5773.25</v>
      </c>
      <c r="U29" s="13">
        <v>6157.43</v>
      </c>
      <c r="V29" s="13">
        <v>6129.63</v>
      </c>
      <c r="W29" s="13">
        <v>6646.37</v>
      </c>
      <c r="X29" s="13">
        <v>6576.62</v>
      </c>
      <c r="Y29" s="13">
        <v>7064.21</v>
      </c>
      <c r="Z29" s="13">
        <v>7363.04</v>
      </c>
      <c r="AA29" s="13">
        <v>8173.0870000000004</v>
      </c>
      <c r="AB29" s="13">
        <v>8982.0300000000007</v>
      </c>
      <c r="AC29" s="13">
        <v>9880.34</v>
      </c>
      <c r="AD29" s="13">
        <v>10859.49</v>
      </c>
      <c r="AE29" s="13">
        <v>12433.14</v>
      </c>
      <c r="AF29" s="13">
        <v>13628.38</v>
      </c>
      <c r="AG29" s="13">
        <v>14360.05</v>
      </c>
      <c r="AH29" s="13">
        <v>14893.75</v>
      </c>
      <c r="AI29" s="13">
        <v>15278.46</v>
      </c>
      <c r="AJ29" s="13">
        <v>16127.2</v>
      </c>
      <c r="AK29" s="13">
        <v>16539.12</v>
      </c>
      <c r="AL29" s="13"/>
      <c r="AM29" s="13">
        <v>18328.7</v>
      </c>
      <c r="AN29" s="13">
        <v>19294</v>
      </c>
      <c r="AO29" s="13">
        <v>20000.400000000001</v>
      </c>
      <c r="AP29" s="13">
        <v>21117</v>
      </c>
      <c r="AQ29" s="13">
        <v>21576.2</v>
      </c>
      <c r="AR29" s="13">
        <v>22923.8</v>
      </c>
      <c r="AS29" s="13">
        <v>25017.8</v>
      </c>
      <c r="AT29" s="13">
        <v>26246.9</v>
      </c>
      <c r="AU29" s="13">
        <v>27915.4</v>
      </c>
    </row>
    <row r="30" spans="1:47" ht="14.4">
      <c r="A30" s="1" t="s">
        <v>284</v>
      </c>
      <c r="B30" s="1" t="s">
        <v>18</v>
      </c>
      <c r="C30" s="13">
        <v>1988.96</v>
      </c>
      <c r="D30" s="13">
        <v>2113.5700000000002</v>
      </c>
      <c r="E30" s="13">
        <v>2298.35</v>
      </c>
      <c r="F30" s="13">
        <v>2417.63</v>
      </c>
      <c r="G30" s="13">
        <v>2433.25</v>
      </c>
      <c r="H30" s="13">
        <v>2501.6799999999998</v>
      </c>
      <c r="I30" s="13">
        <v>2704.33</v>
      </c>
      <c r="J30" s="13">
        <v>2627.11</v>
      </c>
      <c r="K30" s="13">
        <v>2496.98</v>
      </c>
      <c r="L30" s="13">
        <v>2618.46</v>
      </c>
      <c r="M30" s="13">
        <v>2910</v>
      </c>
      <c r="N30" s="13">
        <v>2607.4699999999998</v>
      </c>
      <c r="O30" s="13">
        <v>2969.99</v>
      </c>
      <c r="P30" s="13">
        <v>2945.95</v>
      </c>
      <c r="Q30" s="13">
        <v>3301.34</v>
      </c>
      <c r="R30" s="13">
        <v>3063.98</v>
      </c>
      <c r="S30" s="13">
        <v>2887.12</v>
      </c>
      <c r="T30" s="13">
        <v>3072.75</v>
      </c>
      <c r="U30" s="13">
        <v>3069.86</v>
      </c>
      <c r="V30" s="13">
        <v>3134.02</v>
      </c>
      <c r="W30" s="13">
        <v>3267.48</v>
      </c>
      <c r="X30" s="13">
        <v>3500.85</v>
      </c>
      <c r="Y30" s="13">
        <v>3689.77</v>
      </c>
      <c r="Z30" s="13">
        <v>3770.54</v>
      </c>
      <c r="AA30" s="13">
        <v>4126.183</v>
      </c>
      <c r="AB30" s="13">
        <v>4530.46</v>
      </c>
      <c r="AC30" s="13">
        <v>5036.83</v>
      </c>
      <c r="AD30" s="13">
        <v>5519.05</v>
      </c>
      <c r="AE30" s="13">
        <v>6347.97</v>
      </c>
      <c r="AF30" s="13">
        <v>6858.03</v>
      </c>
      <c r="AG30" s="13">
        <v>7333.63</v>
      </c>
      <c r="AH30" s="13">
        <v>7650.97</v>
      </c>
      <c r="AI30" s="13">
        <v>7933.29</v>
      </c>
      <c r="AJ30" s="13">
        <v>7989.5</v>
      </c>
      <c r="AK30" s="13">
        <v>8443.0400000000009</v>
      </c>
      <c r="AL30" s="13">
        <v>8618.9500000000007</v>
      </c>
      <c r="AM30" s="13">
        <v>9043</v>
      </c>
      <c r="AN30" s="13">
        <v>9677.5</v>
      </c>
      <c r="AO30" s="13">
        <v>10622.5</v>
      </c>
      <c r="AP30" s="13">
        <v>11304.1</v>
      </c>
      <c r="AQ30" s="13">
        <v>11759.7</v>
      </c>
      <c r="AR30" s="13">
        <v>12883.4</v>
      </c>
      <c r="AS30" s="13">
        <v>12764.3</v>
      </c>
      <c r="AT30" s="13">
        <v>14312.4</v>
      </c>
      <c r="AU30" s="13">
        <v>15116.9</v>
      </c>
    </row>
    <row r="31" spans="1:47" ht="14.4">
      <c r="A31" s="1" t="s">
        <v>24</v>
      </c>
      <c r="B31" s="1" t="s">
        <v>20</v>
      </c>
      <c r="C31" s="14">
        <v>0.39746131218825936</v>
      </c>
      <c r="D31" s="14">
        <v>0.3894323338817941</v>
      </c>
      <c r="E31" s="14">
        <v>0.38818627401304567</v>
      </c>
      <c r="F31" s="14">
        <v>0.35705129151836479</v>
      </c>
      <c r="G31" s="14">
        <v>0.34672695172398066</v>
      </c>
      <c r="H31" s="14">
        <v>0.35534268251282991</v>
      </c>
      <c r="I31" s="14">
        <v>0.36273682657420508</v>
      </c>
      <c r="J31" s="14">
        <v>0.36130946159305083</v>
      </c>
      <c r="K31" s="14">
        <v>0.34298469124949349</v>
      </c>
      <c r="L31" s="14">
        <v>0.34396756921492488</v>
      </c>
      <c r="M31" s="14">
        <v>0.3674752806576671</v>
      </c>
      <c r="N31" s="14">
        <v>0.34648646062832039</v>
      </c>
      <c r="O31" s="14">
        <v>0.35599396366452069</v>
      </c>
      <c r="P31" s="14">
        <v>0.35257319368995771</v>
      </c>
      <c r="Q31" s="14">
        <v>0.3819894497997684</v>
      </c>
      <c r="R31" s="14">
        <v>0.36833146201136252</v>
      </c>
      <c r="S31" s="14">
        <v>0.3469620749080054</v>
      </c>
      <c r="T31" s="14">
        <v>0.34736038887632831</v>
      </c>
      <c r="U31" s="14">
        <v>0.3326935644159878</v>
      </c>
      <c r="V31" s="14">
        <v>0.33831373162846179</v>
      </c>
      <c r="W31" s="14">
        <v>0.32958739541146981</v>
      </c>
      <c r="X31" s="14">
        <v>0.34739374069086787</v>
      </c>
      <c r="Y31" s="14">
        <v>0.34310738907827615</v>
      </c>
      <c r="Z31" s="14">
        <v>0.33866375415634503</v>
      </c>
      <c r="AA31" s="14">
        <v>0.33548218599896218</v>
      </c>
      <c r="AB31" s="14">
        <v>0.33527943406433602</v>
      </c>
      <c r="AC31" s="14">
        <v>0.3376531875684195</v>
      </c>
      <c r="AD31" s="14">
        <v>0.33696837447049616</v>
      </c>
      <c r="AE31" s="14">
        <v>0.33799759439138582</v>
      </c>
      <c r="AF31" s="14">
        <v>0.33475997014606268</v>
      </c>
      <c r="AG31" s="14">
        <v>0.33805375574821789</v>
      </c>
      <c r="AH31" s="14">
        <v>0.33936859717042395</v>
      </c>
      <c r="AI31" s="14">
        <v>0.3417790558661023</v>
      </c>
      <c r="AJ31" s="14">
        <v>0.33128496021429132</v>
      </c>
      <c r="AK31" s="14">
        <v>0.33796277023283822</v>
      </c>
      <c r="AL31" s="14">
        <v>0.33271042251650829</v>
      </c>
      <c r="AM31" s="14">
        <v>0.33037772589937781</v>
      </c>
      <c r="AN31" s="14">
        <v>0.33403517249710923</v>
      </c>
      <c r="AO31" s="14">
        <v>0.34688206173178154</v>
      </c>
      <c r="AP31" s="14">
        <v>0.34866491266490035</v>
      </c>
      <c r="AQ31" s="14">
        <v>0.3527638371845368</v>
      </c>
      <c r="AR31" s="14">
        <v>0.3597991465403606</v>
      </c>
      <c r="AS31" s="14">
        <v>0.33783987655530001</v>
      </c>
      <c r="AT31" s="14">
        <v>0.3528750425302149</v>
      </c>
      <c r="AU31" s="14">
        <v>0.35129193652210083</v>
      </c>
    </row>
    <row r="32" spans="1:47" ht="14.4">
      <c r="A32" s="1" t="s">
        <v>285</v>
      </c>
      <c r="B32" s="1" t="s">
        <v>18</v>
      </c>
      <c r="C32" s="13">
        <v>1019.88</v>
      </c>
      <c r="D32" s="13">
        <v>1096.06</v>
      </c>
      <c r="E32" s="13">
        <v>1187.9000000000001</v>
      </c>
      <c r="F32" s="13">
        <v>1343.61</v>
      </c>
      <c r="G32" s="13">
        <v>1375.74</v>
      </c>
      <c r="H32" s="13">
        <v>1393.89</v>
      </c>
      <c r="I32" s="13">
        <v>1517.78</v>
      </c>
      <c r="J32" s="13">
        <v>1439.61</v>
      </c>
      <c r="K32" s="13">
        <v>1453.4</v>
      </c>
      <c r="L32" s="13">
        <v>1460.64</v>
      </c>
      <c r="M32" s="13">
        <v>1534.83</v>
      </c>
      <c r="N32" s="13">
        <v>1496.84</v>
      </c>
      <c r="O32" s="13">
        <v>1569.53</v>
      </c>
      <c r="P32" s="13">
        <v>1509.72</v>
      </c>
      <c r="Q32" s="13">
        <v>1598.17</v>
      </c>
      <c r="R32" s="13">
        <v>1798.48</v>
      </c>
      <c r="S32" s="13">
        <v>1685.19</v>
      </c>
      <c r="T32" s="13">
        <v>1856.3</v>
      </c>
      <c r="U32" s="13">
        <v>1835.55</v>
      </c>
      <c r="V32" s="13">
        <v>1857.17</v>
      </c>
      <c r="W32" s="13">
        <v>1803.12</v>
      </c>
      <c r="X32" s="13">
        <v>1843.13</v>
      </c>
      <c r="Y32" s="13">
        <v>1864.99</v>
      </c>
      <c r="Z32" s="13">
        <v>1887.25</v>
      </c>
      <c r="AA32" s="13">
        <v>2110.9810000000002</v>
      </c>
      <c r="AB32" s="13">
        <v>2286.52</v>
      </c>
      <c r="AC32" s="13">
        <v>2526</v>
      </c>
      <c r="AD32" s="13">
        <v>2707.31</v>
      </c>
      <c r="AE32" s="13">
        <v>3015.05</v>
      </c>
      <c r="AF32" s="13">
        <v>3178.39</v>
      </c>
      <c r="AG32" s="13">
        <v>3318.08</v>
      </c>
      <c r="AH32" s="13">
        <v>3487.83</v>
      </c>
      <c r="AI32" s="13">
        <v>3703.85</v>
      </c>
      <c r="AJ32" s="13">
        <v>3937.88</v>
      </c>
      <c r="AK32" s="13">
        <v>4024.7</v>
      </c>
      <c r="AL32" s="13"/>
      <c r="AM32" s="13">
        <v>4490.8999999999996</v>
      </c>
      <c r="AN32" s="13">
        <v>4870.3</v>
      </c>
      <c r="AO32" s="13">
        <v>5244.1</v>
      </c>
      <c r="AP32" s="13">
        <v>5460.2</v>
      </c>
      <c r="AQ32" s="13">
        <v>5643.7</v>
      </c>
      <c r="AR32" s="13">
        <v>6045.5</v>
      </c>
      <c r="AS32" s="13">
        <v>6331</v>
      </c>
      <c r="AT32" s="13">
        <v>6635.4</v>
      </c>
      <c r="AU32" s="13">
        <v>7095.3</v>
      </c>
    </row>
    <row r="33" spans="1:47" ht="14.4">
      <c r="A33" s="1" t="s">
        <v>26</v>
      </c>
      <c r="B33" s="1" t="s">
        <v>18</v>
      </c>
      <c r="C33" s="13">
        <v>969.08</v>
      </c>
      <c r="D33" s="13">
        <v>1017.51</v>
      </c>
      <c r="E33" s="13">
        <v>1110.45</v>
      </c>
      <c r="F33" s="13">
        <v>1074.02</v>
      </c>
      <c r="G33" s="13">
        <v>1057.51</v>
      </c>
      <c r="H33" s="13">
        <v>1107.79</v>
      </c>
      <c r="I33" s="13">
        <v>1186.55</v>
      </c>
      <c r="J33" s="13">
        <v>1187.5</v>
      </c>
      <c r="K33" s="13">
        <v>1043.58</v>
      </c>
      <c r="L33" s="13">
        <v>1157.82</v>
      </c>
      <c r="M33" s="13">
        <v>1375.17</v>
      </c>
      <c r="N33" s="13">
        <v>1110.6300000000001</v>
      </c>
      <c r="O33" s="13">
        <v>1400.46</v>
      </c>
      <c r="P33" s="13">
        <v>1436.23</v>
      </c>
      <c r="Q33" s="13">
        <v>1703.17</v>
      </c>
      <c r="R33" s="13">
        <v>1265.5</v>
      </c>
      <c r="S33" s="13">
        <v>1201.93</v>
      </c>
      <c r="T33" s="13">
        <v>1216.45</v>
      </c>
      <c r="U33" s="13">
        <v>1234.31</v>
      </c>
      <c r="V33" s="13">
        <v>1276.8499999999999</v>
      </c>
      <c r="W33" s="13">
        <v>1464.36</v>
      </c>
      <c r="X33" s="13">
        <v>1657.72</v>
      </c>
      <c r="Y33" s="13">
        <v>1824.78</v>
      </c>
      <c r="Z33" s="13">
        <v>1883.29</v>
      </c>
      <c r="AA33" s="13">
        <v>2015.201</v>
      </c>
      <c r="AB33" s="13">
        <v>2243.94</v>
      </c>
      <c r="AC33" s="13">
        <v>2510.83</v>
      </c>
      <c r="AD33" s="13">
        <v>2811.74</v>
      </c>
      <c r="AE33" s="13">
        <v>3332.92</v>
      </c>
      <c r="AF33" s="13">
        <v>3679.64</v>
      </c>
      <c r="AG33" s="13">
        <v>4015.55</v>
      </c>
      <c r="AH33" s="13">
        <v>4163.1400000000003</v>
      </c>
      <c r="AI33" s="13">
        <v>4229.4399999999996</v>
      </c>
      <c r="AJ33" s="13">
        <v>4051.62</v>
      </c>
      <c r="AK33" s="13">
        <v>4418.34</v>
      </c>
      <c r="AL33" s="13">
        <v>4543.62</v>
      </c>
      <c r="AM33" s="13">
        <v>4552.1000000000004</v>
      </c>
      <c r="AN33" s="13">
        <v>4807.3</v>
      </c>
      <c r="AO33" s="13">
        <v>5378.4</v>
      </c>
      <c r="AP33" s="13">
        <v>5843.9</v>
      </c>
      <c r="AQ33" s="13">
        <v>6115.9</v>
      </c>
      <c r="AR33" s="13">
        <v>6837.9</v>
      </c>
      <c r="AS33" s="13">
        <v>6433.3</v>
      </c>
      <c r="AT33" s="13">
        <v>7677</v>
      </c>
      <c r="AU33" s="13">
        <v>8021.6</v>
      </c>
    </row>
    <row r="34" spans="1:47" ht="14.4">
      <c r="A34" s="1" t="s">
        <v>286</v>
      </c>
      <c r="B34" s="1" t="s">
        <v>18</v>
      </c>
      <c r="C34" s="13">
        <v>132.76</v>
      </c>
      <c r="D34" s="13">
        <v>141.30000000000001</v>
      </c>
      <c r="E34" s="13">
        <v>150.13999999999999</v>
      </c>
      <c r="F34" s="13">
        <v>144.33000000000001</v>
      </c>
      <c r="G34" s="13">
        <v>147.83000000000001</v>
      </c>
      <c r="H34" s="13">
        <v>139.26</v>
      </c>
      <c r="I34" s="13">
        <v>143.19</v>
      </c>
      <c r="J34" s="13">
        <v>142.09</v>
      </c>
      <c r="K34" s="13">
        <v>132.76</v>
      </c>
      <c r="L34" s="13">
        <v>130.01</v>
      </c>
      <c r="M34" s="13">
        <v>124.37</v>
      </c>
      <c r="N34" s="13">
        <v>133.77000000000001</v>
      </c>
      <c r="O34" s="13">
        <v>122.86</v>
      </c>
      <c r="P34" s="13">
        <v>119.72</v>
      </c>
      <c r="Q34" s="13">
        <v>115.83</v>
      </c>
      <c r="R34" s="13">
        <v>115.98</v>
      </c>
      <c r="S34" s="13">
        <v>110.2</v>
      </c>
      <c r="T34" s="13">
        <v>115.91</v>
      </c>
      <c r="U34" s="13">
        <v>116.24</v>
      </c>
      <c r="V34" s="13">
        <v>111.14</v>
      </c>
      <c r="W34" s="13">
        <v>109.8</v>
      </c>
      <c r="X34" s="13">
        <v>115.08</v>
      </c>
      <c r="Y34" s="13">
        <v>117.22</v>
      </c>
      <c r="Z34" s="13">
        <v>124.68</v>
      </c>
      <c r="AA34" s="13"/>
      <c r="AB34" s="13">
        <v>168.12</v>
      </c>
      <c r="AC34" s="13"/>
      <c r="AD34" s="13">
        <v>231.18</v>
      </c>
      <c r="AE34" s="13">
        <v>222.08</v>
      </c>
      <c r="AF34" s="13">
        <v>243.95</v>
      </c>
      <c r="AG34" s="13"/>
      <c r="AH34" s="13">
        <v>293.22000000000003</v>
      </c>
      <c r="AI34" s="13">
        <v>287.56</v>
      </c>
      <c r="AJ34" s="13">
        <v>297.08999999999997</v>
      </c>
      <c r="AK34" s="13">
        <v>303.20999999999998</v>
      </c>
      <c r="AL34" s="13">
        <v>299.64999999999998</v>
      </c>
      <c r="AM34" s="13">
        <v>211.5</v>
      </c>
      <c r="AN34" s="13">
        <v>226.9</v>
      </c>
      <c r="AO34" s="13">
        <v>242.4</v>
      </c>
      <c r="AP34" s="13">
        <v>239.9</v>
      </c>
      <c r="AQ34" s="13">
        <v>252.8</v>
      </c>
      <c r="AR34" s="13">
        <v>254.2</v>
      </c>
      <c r="AS34" s="13">
        <v>246.8</v>
      </c>
      <c r="AT34" s="13">
        <v>257.89999999999998</v>
      </c>
      <c r="AU34" s="13">
        <v>244.2</v>
      </c>
    </row>
    <row r="35" spans="1:47" ht="14.4">
      <c r="A35" s="1" t="s">
        <v>287</v>
      </c>
      <c r="B35" s="1" t="s">
        <v>18</v>
      </c>
      <c r="C35" s="13">
        <v>93.96</v>
      </c>
      <c r="D35" s="13">
        <v>94.75</v>
      </c>
      <c r="E35" s="13">
        <v>96.33</v>
      </c>
      <c r="F35" s="13">
        <v>111.59</v>
      </c>
      <c r="G35" s="13">
        <v>194.98</v>
      </c>
      <c r="H35" s="13">
        <v>227.45</v>
      </c>
      <c r="I35" s="13">
        <v>243.34</v>
      </c>
      <c r="J35" s="13">
        <v>252.03</v>
      </c>
      <c r="K35" s="13">
        <v>259.14999999999998</v>
      </c>
      <c r="L35" s="13">
        <v>249.43</v>
      </c>
      <c r="M35" s="13">
        <v>268.26</v>
      </c>
      <c r="N35" s="13">
        <v>287.12</v>
      </c>
      <c r="O35" s="13">
        <v>277.95</v>
      </c>
      <c r="P35" s="13">
        <v>278.86</v>
      </c>
      <c r="Q35" s="13">
        <v>280.49</v>
      </c>
      <c r="R35" s="13">
        <v>260.82</v>
      </c>
      <c r="S35" s="13">
        <v>275.97000000000003</v>
      </c>
      <c r="T35" s="13">
        <v>308.99</v>
      </c>
      <c r="U35" s="13">
        <v>312.06</v>
      </c>
      <c r="V35" s="13">
        <v>309.11</v>
      </c>
      <c r="W35" s="13">
        <v>325.81</v>
      </c>
      <c r="X35" s="13">
        <v>324.70999999999998</v>
      </c>
      <c r="Y35" s="13">
        <v>343.83</v>
      </c>
      <c r="Z35" s="13">
        <v>294.37</v>
      </c>
      <c r="AA35" s="13"/>
      <c r="AB35" s="13">
        <v>202.71</v>
      </c>
      <c r="AC35" s="13"/>
      <c r="AD35" s="13">
        <v>280.17</v>
      </c>
      <c r="AE35" s="13">
        <v>423.04</v>
      </c>
      <c r="AF35" s="13">
        <v>449.12</v>
      </c>
      <c r="AG35" s="13"/>
      <c r="AH35" s="13">
        <v>404.03</v>
      </c>
      <c r="AI35" s="13">
        <v>475.72</v>
      </c>
      <c r="AJ35" s="13">
        <v>446.88</v>
      </c>
      <c r="AK35" s="13">
        <v>484.1</v>
      </c>
      <c r="AL35" s="13">
        <v>499.52</v>
      </c>
      <c r="AM35" s="13">
        <v>500.5</v>
      </c>
      <c r="AN35" s="13">
        <v>518.1</v>
      </c>
      <c r="AO35" s="13">
        <v>578.79999999999995</v>
      </c>
      <c r="AP35" s="13">
        <v>551.20000000000005</v>
      </c>
      <c r="AQ35" s="13">
        <v>685.1</v>
      </c>
      <c r="AR35" s="13">
        <v>746.3</v>
      </c>
      <c r="AS35" s="13">
        <v>759.1</v>
      </c>
      <c r="AT35" s="13">
        <v>827.5</v>
      </c>
      <c r="AU35" s="13">
        <v>908.6</v>
      </c>
    </row>
    <row r="36" spans="1:47" ht="14.4">
      <c r="A36" s="1" t="s">
        <v>229</v>
      </c>
      <c r="B36" s="1" t="s">
        <v>18</v>
      </c>
      <c r="C36" s="13">
        <v>226.71999999999997</v>
      </c>
      <c r="D36" s="13">
        <v>236.05</v>
      </c>
      <c r="E36" s="13">
        <v>246.46999999999997</v>
      </c>
      <c r="F36" s="13">
        <v>255.92000000000002</v>
      </c>
      <c r="G36" s="13">
        <v>342.81</v>
      </c>
      <c r="H36" s="13">
        <v>366.71</v>
      </c>
      <c r="I36" s="13">
        <v>386.53</v>
      </c>
      <c r="J36" s="13">
        <v>394.12</v>
      </c>
      <c r="K36" s="13">
        <v>391.90999999999997</v>
      </c>
      <c r="L36" s="13">
        <v>379.44</v>
      </c>
      <c r="M36" s="13">
        <v>392.63</v>
      </c>
      <c r="N36" s="13">
        <v>420.89</v>
      </c>
      <c r="O36" s="13">
        <v>400.81</v>
      </c>
      <c r="P36" s="13">
        <v>398.58000000000004</v>
      </c>
      <c r="Q36" s="13">
        <v>396.32</v>
      </c>
      <c r="R36" s="13">
        <v>376.8</v>
      </c>
      <c r="S36" s="13">
        <v>386.17</v>
      </c>
      <c r="T36" s="13">
        <v>424.9</v>
      </c>
      <c r="U36" s="13">
        <v>428.3</v>
      </c>
      <c r="V36" s="13">
        <v>420.25</v>
      </c>
      <c r="W36" s="13">
        <v>435.61</v>
      </c>
      <c r="X36" s="13">
        <v>439.78999999999996</v>
      </c>
      <c r="Y36" s="13">
        <v>461.04999999999995</v>
      </c>
      <c r="Z36" s="13">
        <v>419.05</v>
      </c>
      <c r="AA36" s="13"/>
      <c r="AB36" s="13">
        <v>370.83000000000004</v>
      </c>
      <c r="AC36" s="13"/>
      <c r="AD36" s="13">
        <v>511.35</v>
      </c>
      <c r="AE36" s="13">
        <v>645.12</v>
      </c>
      <c r="AF36" s="13">
        <v>693.07</v>
      </c>
      <c r="AG36" s="13"/>
      <c r="AH36" s="13">
        <v>697.25</v>
      </c>
      <c r="AI36" s="13">
        <v>763.28</v>
      </c>
      <c r="AJ36" s="13">
        <v>743.97</v>
      </c>
      <c r="AK36" s="13">
        <v>787.31</v>
      </c>
      <c r="AL36" s="13">
        <v>799.17</v>
      </c>
      <c r="AM36" s="13">
        <v>712</v>
      </c>
      <c r="AN36" s="13">
        <v>745</v>
      </c>
      <c r="AO36" s="13">
        <v>821.19999999999993</v>
      </c>
      <c r="AP36" s="13">
        <v>791.1</v>
      </c>
      <c r="AQ36" s="13">
        <v>937.90000000000009</v>
      </c>
      <c r="AR36" s="13">
        <v>1000.5</v>
      </c>
      <c r="AS36" s="13">
        <v>1005.9000000000001</v>
      </c>
      <c r="AT36" s="13">
        <v>1085.4000000000001</v>
      </c>
      <c r="AU36" s="13">
        <v>1152.8</v>
      </c>
    </row>
    <row r="37" spans="1:47" ht="14.4">
      <c r="A37" s="1" t="s">
        <v>288</v>
      </c>
      <c r="B37" s="1" t="s">
        <v>18</v>
      </c>
      <c r="C37" s="13">
        <v>742.36</v>
      </c>
      <c r="D37" s="13">
        <v>781.46</v>
      </c>
      <c r="E37" s="13">
        <v>863.98</v>
      </c>
      <c r="F37" s="13">
        <v>818.1</v>
      </c>
      <c r="G37" s="13">
        <v>714.7</v>
      </c>
      <c r="H37" s="13">
        <v>741.08</v>
      </c>
      <c r="I37" s="13">
        <v>800.02</v>
      </c>
      <c r="J37" s="13">
        <v>793.38</v>
      </c>
      <c r="K37" s="13">
        <v>651.66999999999996</v>
      </c>
      <c r="L37" s="13">
        <v>778.38</v>
      </c>
      <c r="M37" s="13">
        <v>982.54</v>
      </c>
      <c r="N37" s="13">
        <v>689.74</v>
      </c>
      <c r="O37" s="13">
        <v>999.65</v>
      </c>
      <c r="P37" s="13">
        <v>1037.6500000000001</v>
      </c>
      <c r="Q37" s="13">
        <v>1306.8499999999999</v>
      </c>
      <c r="R37" s="13">
        <v>888.7</v>
      </c>
      <c r="S37" s="13">
        <v>815.76</v>
      </c>
      <c r="T37" s="13">
        <v>791.55</v>
      </c>
      <c r="U37" s="13">
        <v>806.01</v>
      </c>
      <c r="V37" s="13">
        <v>856.6</v>
      </c>
      <c r="W37" s="13">
        <v>1028.75</v>
      </c>
      <c r="X37" s="13">
        <v>1217.93</v>
      </c>
      <c r="Y37" s="13">
        <v>1363.73</v>
      </c>
      <c r="Z37" s="13">
        <v>1464.24</v>
      </c>
      <c r="AA37" s="13">
        <v>1665.1110000000001</v>
      </c>
      <c r="AB37" s="13">
        <v>1873.11</v>
      </c>
      <c r="AC37" s="13">
        <v>2082.98</v>
      </c>
      <c r="AD37" s="13">
        <v>2300.39</v>
      </c>
      <c r="AE37" s="13">
        <v>2687.8</v>
      </c>
      <c r="AF37" s="13">
        <v>2986.57</v>
      </c>
      <c r="AG37" s="13">
        <v>3332.04</v>
      </c>
      <c r="AH37" s="13">
        <v>3465.89</v>
      </c>
      <c r="AI37" s="13">
        <v>3466.16</v>
      </c>
      <c r="AJ37" s="13">
        <v>3307.65</v>
      </c>
      <c r="AK37" s="13">
        <v>3631.03</v>
      </c>
      <c r="AL37" s="13">
        <v>3744.45</v>
      </c>
      <c r="AM37" s="13">
        <v>3840.2</v>
      </c>
      <c r="AN37" s="13">
        <v>4062.3</v>
      </c>
      <c r="AO37" s="13">
        <v>4557.3</v>
      </c>
      <c r="AP37" s="13">
        <v>5052.8999999999996</v>
      </c>
      <c r="AQ37" s="13">
        <v>5178.1000000000004</v>
      </c>
      <c r="AR37" s="13">
        <v>5837.4</v>
      </c>
      <c r="AS37" s="13">
        <v>5427.5</v>
      </c>
      <c r="AT37" s="13">
        <v>6591.6</v>
      </c>
      <c r="AU37" s="13">
        <v>6868.8</v>
      </c>
    </row>
    <row r="38" spans="1:47" ht="14.4">
      <c r="A38" s="1" t="s">
        <v>224</v>
      </c>
      <c r="B38" s="1" t="s">
        <v>18</v>
      </c>
      <c r="C38" s="13">
        <v>128.36000000000001</v>
      </c>
      <c r="D38" s="13">
        <v>111.46</v>
      </c>
      <c r="E38" s="13">
        <v>118.51</v>
      </c>
      <c r="F38" s="13">
        <v>245.53</v>
      </c>
      <c r="G38" s="13">
        <v>172.44</v>
      </c>
      <c r="H38" s="13">
        <v>202.54</v>
      </c>
      <c r="I38" s="13">
        <v>143.33000000000001</v>
      </c>
      <c r="J38" s="13">
        <v>170.74</v>
      </c>
      <c r="K38" s="13">
        <v>183.28</v>
      </c>
      <c r="L38" s="13">
        <v>133.49</v>
      </c>
      <c r="M38" s="13">
        <v>142.99</v>
      </c>
      <c r="N38" s="13">
        <v>144.21</v>
      </c>
      <c r="O38" s="13">
        <v>165.97</v>
      </c>
      <c r="P38" s="13">
        <v>195.47</v>
      </c>
      <c r="Q38" s="13">
        <v>229.25</v>
      </c>
      <c r="R38" s="13">
        <v>282.94</v>
      </c>
      <c r="S38" s="13">
        <v>202.02</v>
      </c>
      <c r="T38" s="13">
        <v>226.16</v>
      </c>
      <c r="U38" s="13">
        <v>231.64</v>
      </c>
      <c r="V38" s="13">
        <v>229.33</v>
      </c>
      <c r="W38" s="13">
        <v>279.32</v>
      </c>
      <c r="X38" s="13">
        <v>207.77</v>
      </c>
      <c r="Y38" s="13">
        <v>288.11</v>
      </c>
      <c r="Z38" s="13">
        <v>210.77</v>
      </c>
      <c r="AA38" s="13">
        <v>256.38209999999998</v>
      </c>
      <c r="AB38" s="13">
        <v>292.88</v>
      </c>
      <c r="AC38" s="13">
        <v>251.25</v>
      </c>
      <c r="AD38" s="13">
        <v>251.28</v>
      </c>
      <c r="AE38" s="13">
        <v>89.15</v>
      </c>
      <c r="AF38" s="13">
        <v>60.79</v>
      </c>
      <c r="AG38" s="13">
        <v>87.02</v>
      </c>
      <c r="AH38" s="13">
        <v>129.05000000000001</v>
      </c>
      <c r="AI38" s="13">
        <v>154.58000000000001</v>
      </c>
      <c r="AJ38" s="13">
        <v>166.28</v>
      </c>
      <c r="AK38" s="13">
        <v>181.08</v>
      </c>
      <c r="AL38" s="13">
        <v>226.02</v>
      </c>
      <c r="AM38" s="13">
        <v>172.5</v>
      </c>
      <c r="AN38" s="13">
        <v>176.9</v>
      </c>
      <c r="AO38" s="13">
        <v>118.4</v>
      </c>
      <c r="AP38" s="13">
        <v>153.5</v>
      </c>
      <c r="AQ38" s="13">
        <v>187.3</v>
      </c>
      <c r="AR38" s="13">
        <v>58.9</v>
      </c>
      <c r="AS38" s="13">
        <v>300.60000000000002</v>
      </c>
      <c r="AT38" s="13">
        <v>136.30000000000001</v>
      </c>
      <c r="AU38" s="13">
        <v>414.9</v>
      </c>
    </row>
    <row r="39" spans="1:47" ht="14.4">
      <c r="A39" s="1" t="s">
        <v>289</v>
      </c>
      <c r="B39" s="1" t="s">
        <v>18</v>
      </c>
      <c r="C39" s="13">
        <v>69.38</v>
      </c>
      <c r="D39" s="13">
        <v>70.91</v>
      </c>
      <c r="E39" s="13">
        <v>41.95</v>
      </c>
      <c r="F39" s="13">
        <v>-35.729999999999997</v>
      </c>
      <c r="G39" s="13">
        <v>80.86</v>
      </c>
      <c r="H39" s="13">
        <v>40.82</v>
      </c>
      <c r="I39" s="13">
        <v>174.44</v>
      </c>
      <c r="J39" s="13">
        <v>-27.62</v>
      </c>
      <c r="K39" s="13">
        <v>184.45</v>
      </c>
      <c r="L39" s="13">
        <v>202.69</v>
      </c>
      <c r="M39" s="13">
        <v>49.63</v>
      </c>
      <c r="N39" s="13">
        <v>149.54</v>
      </c>
      <c r="O39" s="13">
        <v>20.63</v>
      </c>
      <c r="P39" s="13">
        <v>35.67</v>
      </c>
      <c r="Q39" s="13">
        <v>-240.89</v>
      </c>
      <c r="R39" s="13">
        <v>-58.5</v>
      </c>
      <c r="S39" s="13">
        <v>79.83</v>
      </c>
      <c r="T39" s="13">
        <v>137.91999999999999</v>
      </c>
      <c r="U39" s="13">
        <v>102.1</v>
      </c>
      <c r="V39" s="13">
        <v>44.5</v>
      </c>
      <c r="W39" s="13">
        <v>-87.63</v>
      </c>
      <c r="X39" s="13">
        <v>-50.59</v>
      </c>
      <c r="Y39" s="13">
        <v>-1.74</v>
      </c>
      <c r="Z39" s="13">
        <v>173.77</v>
      </c>
      <c r="AA39" s="13">
        <v>109.03173</v>
      </c>
      <c r="AB39" s="13">
        <v>10.33</v>
      </c>
      <c r="AC39" s="13">
        <v>29.89</v>
      </c>
      <c r="AD39" s="13">
        <v>120.16</v>
      </c>
      <c r="AE39" s="13">
        <v>41.8</v>
      </c>
      <c r="AF39" s="13">
        <v>-91.32</v>
      </c>
      <c r="AG39" s="13">
        <v>105.37</v>
      </c>
      <c r="AH39" s="13">
        <v>-189.09</v>
      </c>
      <c r="AI39" s="13">
        <v>-64.09</v>
      </c>
      <c r="AJ39" s="13">
        <v>83.7</v>
      </c>
      <c r="AK39" s="13">
        <v>80.900000000000006</v>
      </c>
      <c r="AL39" s="13">
        <v>-15.54</v>
      </c>
      <c r="AM39" s="13">
        <v>-7.3</v>
      </c>
      <c r="AN39" s="13">
        <v>106</v>
      </c>
      <c r="AO39" s="13">
        <v>144.69999999999999</v>
      </c>
      <c r="AP39" s="13">
        <v>-154.30000000000001</v>
      </c>
      <c r="AQ39" s="13">
        <v>188.7</v>
      </c>
      <c r="AR39" s="13">
        <v>272</v>
      </c>
      <c r="AS39" s="13">
        <v>-78.2</v>
      </c>
      <c r="AT39" s="13">
        <v>11.9</v>
      </c>
      <c r="AU39" s="13">
        <v>-1052.7</v>
      </c>
    </row>
    <row r="40" spans="1:47" ht="14.4">
      <c r="A40" s="1" t="s">
        <v>233</v>
      </c>
      <c r="B40" s="1" t="s">
        <v>18</v>
      </c>
      <c r="C40" s="13">
        <v>940.1</v>
      </c>
      <c r="D40" s="13">
        <v>963.83</v>
      </c>
      <c r="E40" s="13">
        <v>1024.44</v>
      </c>
      <c r="F40" s="13">
        <v>1027.9000000000001</v>
      </c>
      <c r="G40" s="13">
        <v>968</v>
      </c>
      <c r="H40" s="13">
        <v>984.44</v>
      </c>
      <c r="I40" s="13">
        <v>1117.79</v>
      </c>
      <c r="J40" s="13">
        <v>936.5</v>
      </c>
      <c r="K40" s="13">
        <v>1019.4</v>
      </c>
      <c r="L40" s="13">
        <v>1114.56</v>
      </c>
      <c r="M40" s="13">
        <v>1175.1600000000001</v>
      </c>
      <c r="N40" s="13">
        <v>983.49</v>
      </c>
      <c r="O40" s="13">
        <v>1186.25</v>
      </c>
      <c r="P40" s="13">
        <v>1268.79</v>
      </c>
      <c r="Q40" s="13">
        <v>1295.21</v>
      </c>
      <c r="R40" s="13">
        <v>1113.1400000000001</v>
      </c>
      <c r="S40" s="13">
        <v>1097.6099999999999</v>
      </c>
      <c r="T40" s="13">
        <v>1155.6300000000001</v>
      </c>
      <c r="U40" s="13">
        <v>1139.75</v>
      </c>
      <c r="V40" s="13">
        <v>1130.43</v>
      </c>
      <c r="W40" s="13">
        <v>1220.44</v>
      </c>
      <c r="X40" s="13">
        <v>1375.11</v>
      </c>
      <c r="Y40" s="13">
        <v>1650.1</v>
      </c>
      <c r="Z40" s="13">
        <v>1848.78</v>
      </c>
      <c r="AA40" s="13">
        <v>2030.521</v>
      </c>
      <c r="AB40" s="13">
        <v>2176.3200000000002</v>
      </c>
      <c r="AC40" s="13">
        <v>2364.12</v>
      </c>
      <c r="AD40" s="13">
        <v>2671.83</v>
      </c>
      <c r="AE40" s="13">
        <v>2818.75</v>
      </c>
      <c r="AF40" s="13">
        <v>2956.04</v>
      </c>
      <c r="AG40" s="13">
        <v>3227.88</v>
      </c>
      <c r="AH40" s="13">
        <v>3405.85</v>
      </c>
      <c r="AI40" s="13">
        <v>3070.49</v>
      </c>
      <c r="AJ40" s="13">
        <v>3557.63</v>
      </c>
      <c r="AK40" s="13">
        <v>3893.01</v>
      </c>
      <c r="AL40" s="13">
        <v>3954.93</v>
      </c>
      <c r="AM40" s="13">
        <v>4005.4</v>
      </c>
      <c r="AN40" s="13">
        <v>4345.2</v>
      </c>
      <c r="AO40" s="13">
        <v>4820.3999999999996</v>
      </c>
      <c r="AP40" s="13">
        <v>5052.1000000000004</v>
      </c>
      <c r="AQ40" s="13">
        <v>5554.1</v>
      </c>
      <c r="AR40" s="13">
        <v>6168.3</v>
      </c>
      <c r="AS40" s="13">
        <v>5649.9</v>
      </c>
      <c r="AT40" s="13">
        <v>6739.8</v>
      </c>
      <c r="AU40" s="13">
        <v>6231</v>
      </c>
    </row>
    <row r="41" spans="1:47" ht="14.4">
      <c r="A41" s="1" t="s">
        <v>234</v>
      </c>
      <c r="B41" s="1" t="s">
        <v>18</v>
      </c>
      <c r="C41" s="13">
        <v>267.94</v>
      </c>
      <c r="D41" s="13">
        <v>245.34</v>
      </c>
      <c r="E41" s="13">
        <v>249.55</v>
      </c>
      <c r="F41" s="13">
        <v>219.83</v>
      </c>
      <c r="G41" s="13">
        <v>235.14</v>
      </c>
      <c r="H41" s="13">
        <v>249.51</v>
      </c>
      <c r="I41" s="13">
        <v>298.88</v>
      </c>
      <c r="J41" s="13">
        <v>208.55</v>
      </c>
      <c r="K41" s="13">
        <v>268.51</v>
      </c>
      <c r="L41" s="13">
        <v>288.33</v>
      </c>
      <c r="M41" s="13">
        <v>258.45999999999998</v>
      </c>
      <c r="N41" s="13">
        <v>246.43</v>
      </c>
      <c r="O41" s="13">
        <v>312.77</v>
      </c>
      <c r="P41" s="13">
        <v>387.38</v>
      </c>
      <c r="Q41" s="13">
        <v>378.04</v>
      </c>
      <c r="R41" s="13">
        <v>268.41000000000003</v>
      </c>
      <c r="S41" s="13">
        <v>272.91000000000003</v>
      </c>
      <c r="T41" s="13">
        <v>294.91000000000003</v>
      </c>
      <c r="U41" s="13">
        <v>260.49</v>
      </c>
      <c r="V41" s="13">
        <v>292.22000000000003</v>
      </c>
      <c r="W41" s="13">
        <v>320.36</v>
      </c>
      <c r="X41" s="13">
        <v>355.25</v>
      </c>
      <c r="Y41" s="13">
        <v>440.86</v>
      </c>
      <c r="Z41" s="13">
        <v>471.19</v>
      </c>
      <c r="AA41" s="13">
        <v>518.04471000000001</v>
      </c>
      <c r="AB41" s="13">
        <v>558.79</v>
      </c>
      <c r="AC41" s="13">
        <v>600.16999999999996</v>
      </c>
      <c r="AD41" s="13">
        <v>661.93</v>
      </c>
      <c r="AE41" s="13">
        <v>702.63</v>
      </c>
      <c r="AF41" s="13">
        <v>755.9</v>
      </c>
      <c r="AG41" s="13">
        <v>848.34</v>
      </c>
      <c r="AH41" s="13">
        <v>890.72</v>
      </c>
      <c r="AI41" s="13">
        <v>782.81</v>
      </c>
      <c r="AJ41" s="13">
        <v>924.95</v>
      </c>
      <c r="AK41" s="13">
        <v>1031.67</v>
      </c>
      <c r="AL41" s="13">
        <v>801.71</v>
      </c>
      <c r="AM41" s="13">
        <v>941.3</v>
      </c>
      <c r="AN41" s="13">
        <v>1095.2</v>
      </c>
      <c r="AO41" s="13">
        <v>1090.5</v>
      </c>
      <c r="AP41" s="13">
        <v>1094.5</v>
      </c>
      <c r="AQ41" s="13">
        <v>1304.7</v>
      </c>
      <c r="AR41" s="13">
        <v>1453.6</v>
      </c>
      <c r="AS41" s="13">
        <v>1255.4000000000001</v>
      </c>
      <c r="AT41" s="13">
        <v>1447.2</v>
      </c>
      <c r="AU41" s="13">
        <v>1400.6</v>
      </c>
    </row>
    <row r="42" spans="1:47" ht="14.4">
      <c r="A42" s="1" t="s">
        <v>290</v>
      </c>
      <c r="B42" s="1" t="s">
        <v>18</v>
      </c>
      <c r="C42" s="13">
        <v>672.16</v>
      </c>
      <c r="D42" s="13">
        <v>718.49</v>
      </c>
      <c r="E42" s="13">
        <v>774.89</v>
      </c>
      <c r="F42" s="13">
        <v>808.07</v>
      </c>
      <c r="G42" s="13">
        <v>732.86</v>
      </c>
      <c r="H42" s="13">
        <v>734.93</v>
      </c>
      <c r="I42" s="13">
        <v>818.91</v>
      </c>
      <c r="J42" s="13">
        <v>727.95</v>
      </c>
      <c r="K42" s="13">
        <v>750.89</v>
      </c>
      <c r="L42" s="13">
        <v>826.23</v>
      </c>
      <c r="M42" s="13">
        <v>916.7</v>
      </c>
      <c r="N42" s="13">
        <v>737.06</v>
      </c>
      <c r="O42" s="13">
        <v>873.48</v>
      </c>
      <c r="P42" s="13">
        <v>881.41</v>
      </c>
      <c r="Q42" s="13">
        <v>917.17</v>
      </c>
      <c r="R42" s="13">
        <v>844.73</v>
      </c>
      <c r="S42" s="13">
        <v>824.7</v>
      </c>
      <c r="T42" s="13">
        <v>860.72</v>
      </c>
      <c r="U42" s="13">
        <v>879.26</v>
      </c>
      <c r="V42" s="13">
        <v>838.21</v>
      </c>
      <c r="W42" s="13">
        <v>900.08</v>
      </c>
      <c r="X42" s="13">
        <v>1019.86</v>
      </c>
      <c r="Y42" s="13">
        <v>1209.24</v>
      </c>
      <c r="Z42" s="13">
        <v>1377.59</v>
      </c>
      <c r="AA42" s="13">
        <v>1512.481</v>
      </c>
      <c r="AB42" s="13">
        <v>1617.53</v>
      </c>
      <c r="AC42" s="13">
        <v>1763.95</v>
      </c>
      <c r="AD42" s="13">
        <v>2009.9</v>
      </c>
      <c r="AE42" s="13">
        <v>2116.12</v>
      </c>
      <c r="AF42" s="13">
        <v>2200.14</v>
      </c>
      <c r="AG42" s="13">
        <v>2379.54</v>
      </c>
      <c r="AH42" s="13">
        <v>2515.13</v>
      </c>
      <c r="AI42" s="13">
        <v>2287.6799999999998</v>
      </c>
      <c r="AJ42" s="13">
        <v>2632.68</v>
      </c>
      <c r="AK42" s="13">
        <v>2861.34</v>
      </c>
      <c r="AL42" s="13">
        <v>3153.22</v>
      </c>
      <c r="AM42" s="13">
        <v>3064.2</v>
      </c>
      <c r="AN42" s="13">
        <v>3250</v>
      </c>
      <c r="AO42" s="13">
        <v>3729.9</v>
      </c>
      <c r="AP42" s="13">
        <v>3957.6</v>
      </c>
      <c r="AQ42" s="13">
        <v>4249.3999999999996</v>
      </c>
      <c r="AR42" s="13">
        <v>4714.7</v>
      </c>
      <c r="AS42" s="13">
        <v>4394.5</v>
      </c>
      <c r="AT42" s="13">
        <v>5292.6</v>
      </c>
      <c r="AU42" s="13">
        <v>4830.3999999999996</v>
      </c>
    </row>
    <row r="43" spans="1:47" ht="14.4">
      <c r="A43" s="1" t="s">
        <v>291</v>
      </c>
      <c r="B43" s="1" t="s">
        <v>30</v>
      </c>
      <c r="C43" s="11">
        <v>8.4499999999999993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>
        <v>29.61</v>
      </c>
      <c r="AG43" s="11">
        <v>31.9</v>
      </c>
      <c r="AH43" s="11">
        <v>33.65</v>
      </c>
      <c r="AI43" s="11">
        <v>30.5</v>
      </c>
      <c r="AJ43" s="11">
        <v>35</v>
      </c>
      <c r="AK43" s="11">
        <v>37.83</v>
      </c>
      <c r="AL43" s="11">
        <v>41.46</v>
      </c>
      <c r="AM43" s="11">
        <v>20.100000000000001</v>
      </c>
      <c r="AN43" s="11">
        <v>21.2</v>
      </c>
      <c r="AO43" s="11">
        <v>24.3</v>
      </c>
      <c r="AP43" s="11">
        <v>25.6</v>
      </c>
      <c r="AQ43" s="11">
        <v>27.4</v>
      </c>
      <c r="AR43" s="11">
        <v>30.3</v>
      </c>
      <c r="AS43" s="11">
        <v>28.2</v>
      </c>
      <c r="AT43" s="11">
        <v>33.799999999999997</v>
      </c>
      <c r="AU43" s="11">
        <v>30.9</v>
      </c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8" customHeight="1">
      <c r="A48" s="39" t="s">
        <v>292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9.95" customHeight="1">
      <c r="A49" s="3" t="s">
        <v>0</v>
      </c>
      <c r="B49" s="3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3" t="s">
        <v>8</v>
      </c>
      <c r="J49" s="3" t="s">
        <v>9</v>
      </c>
      <c r="K49" s="3" t="s">
        <v>10</v>
      </c>
      <c r="L49" s="3" t="s">
        <v>11</v>
      </c>
      <c r="M49" s="3" t="s">
        <v>12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293</v>
      </c>
      <c r="B50" s="1" t="s">
        <v>294</v>
      </c>
      <c r="C50" s="10">
        <v>3007.45</v>
      </c>
      <c r="D50" s="10">
        <v>2768.36</v>
      </c>
      <c r="E50" s="10">
        <v>2581.3000000000002</v>
      </c>
      <c r="F50" s="10">
        <v>2331.2399999999998</v>
      </c>
      <c r="G50" s="10">
        <v>2224.6</v>
      </c>
      <c r="H50" s="10">
        <v>2401.4</v>
      </c>
      <c r="I50" s="10">
        <v>2917.67</v>
      </c>
      <c r="J50" s="10">
        <v>4859.95</v>
      </c>
      <c r="K50" s="10">
        <v>4420.03</v>
      </c>
      <c r="L50" s="10">
        <v>4350.88</v>
      </c>
      <c r="M50" s="10">
        <v>3968.88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295</v>
      </c>
      <c r="B51" s="1" t="s">
        <v>296</v>
      </c>
      <c r="C51" s="10">
        <v>23.64</v>
      </c>
      <c r="D51" s="10">
        <v>48.47</v>
      </c>
      <c r="E51" s="10">
        <v>7.71</v>
      </c>
      <c r="F51" s="10">
        <v>12.1</v>
      </c>
      <c r="G51" s="10">
        <v>166.18</v>
      </c>
      <c r="H51" s="10">
        <v>121.81</v>
      </c>
      <c r="I51" s="10">
        <v>1071.2</v>
      </c>
      <c r="J51" s="10">
        <v>161.38</v>
      </c>
      <c r="K51" s="10">
        <v>218.73</v>
      </c>
      <c r="L51" s="10">
        <v>41.84</v>
      </c>
      <c r="M51" s="10">
        <v>106.85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297</v>
      </c>
      <c r="B52" s="1" t="s">
        <v>298</v>
      </c>
      <c r="C52" s="10">
        <v>0</v>
      </c>
      <c r="D52" s="10">
        <v>0</v>
      </c>
      <c r="E52" s="10">
        <v>0</v>
      </c>
      <c r="F52" s="10">
        <v>0</v>
      </c>
      <c r="G52" s="10">
        <v>566.80999999999995</v>
      </c>
      <c r="H52" s="10">
        <v>852.58</v>
      </c>
      <c r="I52" s="10">
        <v>1358.21</v>
      </c>
      <c r="J52" s="10">
        <v>2198.21</v>
      </c>
      <c r="K52" s="10">
        <v>2307.1799999999998</v>
      </c>
      <c r="L52" s="10">
        <v>3798.67</v>
      </c>
      <c r="M52" s="10">
        <v>5471.81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299</v>
      </c>
      <c r="B53" s="1" t="s">
        <v>300</v>
      </c>
      <c r="C53" s="10">
        <v>174.88</v>
      </c>
      <c r="D53" s="10">
        <v>76.23</v>
      </c>
      <c r="E53" s="10">
        <v>76.61</v>
      </c>
      <c r="F53" s="10">
        <v>81.239999999999995</v>
      </c>
      <c r="G53" s="10">
        <v>88.94</v>
      </c>
      <c r="H53" s="10">
        <v>85.94</v>
      </c>
      <c r="I53" s="10">
        <v>2790.22</v>
      </c>
      <c r="J53" s="10">
        <v>7183.71</v>
      </c>
      <c r="K53" s="10">
        <v>10912.56</v>
      </c>
      <c r="L53" s="10">
        <v>12337.94</v>
      </c>
      <c r="M53" s="10">
        <v>13596.88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301</v>
      </c>
      <c r="B54" s="1" t="s">
        <v>302</v>
      </c>
      <c r="C54" s="10">
        <v>1422.01</v>
      </c>
      <c r="D54" s="10">
        <v>2756.18</v>
      </c>
      <c r="E54" s="10">
        <v>2508.2600000000002</v>
      </c>
      <c r="F54" s="10">
        <v>1898.95</v>
      </c>
      <c r="G54" s="10">
        <v>1572.13</v>
      </c>
      <c r="H54" s="10">
        <v>1229.5</v>
      </c>
      <c r="I54" s="10">
        <v>8269.6299999999992</v>
      </c>
      <c r="J54" s="10">
        <v>9171.42</v>
      </c>
      <c r="K54" s="10">
        <v>4691.4799999999996</v>
      </c>
      <c r="L54" s="10">
        <v>5655.1</v>
      </c>
      <c r="M54" s="10">
        <v>5791.2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303</v>
      </c>
      <c r="B55" s="1" t="s">
        <v>304</v>
      </c>
      <c r="C55" s="10">
        <v>1347.92</v>
      </c>
      <c r="D55" s="10">
        <v>2339.44</v>
      </c>
      <c r="E55" s="10">
        <v>2881.04</v>
      </c>
      <c r="F55" s="10">
        <v>4345.71</v>
      </c>
      <c r="G55" s="10">
        <v>4620.97</v>
      </c>
      <c r="H55" s="10">
        <v>3621.27</v>
      </c>
      <c r="I55" s="10">
        <v>3877.72</v>
      </c>
      <c r="J55" s="10">
        <v>4516</v>
      </c>
      <c r="K55" s="10">
        <v>5539.14</v>
      </c>
      <c r="L55" s="10">
        <v>6415.04</v>
      </c>
      <c r="M55" s="10">
        <v>7001.38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305</v>
      </c>
      <c r="B56" s="1" t="s">
        <v>306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709.45</v>
      </c>
      <c r="K56" s="10">
        <v>730.18</v>
      </c>
      <c r="L56" s="10">
        <v>664.4</v>
      </c>
      <c r="M56" s="10"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307</v>
      </c>
      <c r="B57" s="1" t="s">
        <v>308</v>
      </c>
      <c r="C57" s="10">
        <v>851.05</v>
      </c>
      <c r="D57" s="10">
        <v>1058.07</v>
      </c>
      <c r="E57" s="10">
        <v>180.16</v>
      </c>
      <c r="F57" s="10">
        <v>513.29</v>
      </c>
      <c r="G57" s="10">
        <v>535.05999999999995</v>
      </c>
      <c r="H57" s="10">
        <v>160.52000000000001</v>
      </c>
      <c r="I57" s="10">
        <v>3862.74</v>
      </c>
      <c r="J57" s="10">
        <v>919.6</v>
      </c>
      <c r="K57" s="10">
        <v>691.06</v>
      </c>
      <c r="L57" s="10">
        <v>773.81</v>
      </c>
      <c r="M57" s="10">
        <v>1012.99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309</v>
      </c>
      <c r="B58" s="1" t="s">
        <v>310</v>
      </c>
      <c r="C58" s="10">
        <v>232.75</v>
      </c>
      <c r="D58" s="10">
        <v>306.39</v>
      </c>
      <c r="E58" s="10">
        <v>642.01</v>
      </c>
      <c r="F58" s="10">
        <v>405.05</v>
      </c>
      <c r="G58" s="10">
        <v>960.08</v>
      </c>
      <c r="H58" s="10">
        <v>1037.57</v>
      </c>
      <c r="I58" s="10">
        <v>1122.72</v>
      </c>
      <c r="J58" s="10">
        <v>1133.97</v>
      </c>
      <c r="K58" s="10">
        <v>1462.8</v>
      </c>
      <c r="L58" s="10">
        <v>2024.24</v>
      </c>
      <c r="M58" s="10">
        <v>3459.97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311</v>
      </c>
      <c r="B59" s="1" t="s">
        <v>312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451.71</v>
      </c>
      <c r="K59" s="10">
        <v>387.05</v>
      </c>
      <c r="L59" s="10">
        <v>787.55</v>
      </c>
      <c r="M59" s="10">
        <v>1032.97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313</v>
      </c>
      <c r="B60" s="1" t="s">
        <v>314</v>
      </c>
      <c r="C60" s="10">
        <v>870.1</v>
      </c>
      <c r="D60" s="10">
        <v>71.849999999999994</v>
      </c>
      <c r="E60" s="10">
        <v>91.57</v>
      </c>
      <c r="F60" s="10">
        <v>68.31</v>
      </c>
      <c r="G60" s="10">
        <v>331.31</v>
      </c>
      <c r="H60" s="10">
        <v>441.52</v>
      </c>
      <c r="I60" s="10">
        <v>531.61</v>
      </c>
      <c r="J60" s="10">
        <v>959.29</v>
      </c>
      <c r="K60" s="10">
        <v>1247.28</v>
      </c>
      <c r="L60" s="10">
        <v>257.02</v>
      </c>
      <c r="M60" s="10">
        <v>450.32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315</v>
      </c>
      <c r="B61" s="1" t="s">
        <v>316</v>
      </c>
      <c r="C61" s="10">
        <v>7929.8</v>
      </c>
      <c r="D61" s="10">
        <v>9424.99</v>
      </c>
      <c r="E61" s="10">
        <v>8968.66</v>
      </c>
      <c r="F61" s="10">
        <v>9655.89</v>
      </c>
      <c r="G61" s="10">
        <v>11066.08</v>
      </c>
      <c r="H61" s="10">
        <v>9952.11</v>
      </c>
      <c r="I61" s="10">
        <v>25801.72</v>
      </c>
      <c r="J61" s="10">
        <v>32264.69</v>
      </c>
      <c r="K61" s="10">
        <v>32607.49</v>
      </c>
      <c r="L61" s="10">
        <v>37106.49</v>
      </c>
      <c r="M61" s="10">
        <v>42792.61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317</v>
      </c>
      <c r="B62" s="1" t="s">
        <v>318</v>
      </c>
      <c r="C62" s="10">
        <v>4827.55</v>
      </c>
      <c r="D62" s="10">
        <v>4499.66</v>
      </c>
      <c r="E62" s="10">
        <v>5916.31</v>
      </c>
      <c r="F62" s="10">
        <v>3295.53</v>
      </c>
      <c r="G62" s="10">
        <v>5164.7700000000004</v>
      </c>
      <c r="H62" s="10">
        <v>6374.95</v>
      </c>
      <c r="I62" s="10">
        <v>4346.91</v>
      </c>
      <c r="J62" s="10">
        <v>1879.66</v>
      </c>
      <c r="K62" s="10">
        <v>2726.54</v>
      </c>
      <c r="L62" s="10">
        <v>3388.17</v>
      </c>
      <c r="M62" s="10">
        <v>9146.2800000000007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319</v>
      </c>
      <c r="B63" s="1" t="s">
        <v>320</v>
      </c>
      <c r="C63" s="10">
        <v>4275.49</v>
      </c>
      <c r="D63" s="10">
        <v>4753.83</v>
      </c>
      <c r="E63" s="10">
        <v>4847.3999999999996</v>
      </c>
      <c r="F63" s="10">
        <v>4923.01</v>
      </c>
      <c r="G63" s="10">
        <v>5921.96</v>
      </c>
      <c r="H63" s="10">
        <v>5708.97</v>
      </c>
      <c r="I63" s="10">
        <v>9484.2900000000009</v>
      </c>
      <c r="J63" s="10">
        <v>15253.22</v>
      </c>
      <c r="K63" s="10">
        <v>16761.13</v>
      </c>
      <c r="L63" s="10">
        <v>18477.95</v>
      </c>
      <c r="M63" s="10">
        <v>21331.89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 t="s">
        <v>321</v>
      </c>
      <c r="B64" s="1" t="s">
        <v>322</v>
      </c>
      <c r="C64" s="10">
        <v>1401.4</v>
      </c>
      <c r="D64" s="10">
        <v>1461.38</v>
      </c>
      <c r="E64" s="10">
        <v>1343.72</v>
      </c>
      <c r="F64" s="10">
        <v>1739.45</v>
      </c>
      <c r="G64" s="10">
        <v>1899.99</v>
      </c>
      <c r="H64" s="10">
        <v>2419.3000000000002</v>
      </c>
      <c r="I64" s="10">
        <v>2977.99</v>
      </c>
      <c r="J64" s="10">
        <v>4670.12</v>
      </c>
      <c r="K64" s="10">
        <v>6625.15</v>
      </c>
      <c r="L64" s="10">
        <v>6744.06</v>
      </c>
      <c r="M64" s="10">
        <v>10749.15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 t="s">
        <v>323</v>
      </c>
      <c r="B65" s="1" t="s">
        <v>324</v>
      </c>
      <c r="C65" s="10">
        <v>30.98</v>
      </c>
      <c r="D65" s="10">
        <v>48.25</v>
      </c>
      <c r="E65" s="10">
        <v>1070.25</v>
      </c>
      <c r="F65" s="10">
        <v>4984.3900000000003</v>
      </c>
      <c r="G65" s="10">
        <v>2672.19</v>
      </c>
      <c r="H65" s="10">
        <v>7389.7</v>
      </c>
      <c r="I65" s="10">
        <v>6166.59</v>
      </c>
      <c r="J65" s="10">
        <v>4362.68</v>
      </c>
      <c r="K65" s="10">
        <v>3603.71</v>
      </c>
      <c r="L65" s="10">
        <v>3510.65</v>
      </c>
      <c r="M65" s="10">
        <v>1433.36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 t="s">
        <v>325</v>
      </c>
      <c r="B66" s="1" t="s">
        <v>326</v>
      </c>
      <c r="C66" s="10">
        <v>812.44</v>
      </c>
      <c r="D66" s="10">
        <v>2325.81</v>
      </c>
      <c r="E66" s="10">
        <v>2764.88</v>
      </c>
      <c r="F66" s="10">
        <v>2384.87</v>
      </c>
      <c r="G66" s="10">
        <v>2082.25</v>
      </c>
      <c r="H66" s="10">
        <v>2537.96</v>
      </c>
      <c r="I66" s="10">
        <v>3231</v>
      </c>
      <c r="J66" s="10">
        <v>4882.17</v>
      </c>
      <c r="K66" s="10">
        <v>6621.83</v>
      </c>
      <c r="L66" s="10">
        <v>9375.16</v>
      </c>
      <c r="M66" s="10">
        <v>12085.43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 t="s">
        <v>327</v>
      </c>
      <c r="B67" s="1" t="s">
        <v>328</v>
      </c>
      <c r="C67" s="10">
        <v>0</v>
      </c>
      <c r="D67" s="10">
        <v>94.42</v>
      </c>
      <c r="E67" s="10">
        <v>113.99</v>
      </c>
      <c r="F67" s="10">
        <v>185.06</v>
      </c>
      <c r="G67" s="10">
        <v>163.93</v>
      </c>
      <c r="H67" s="10">
        <v>188</v>
      </c>
      <c r="I67" s="10">
        <v>179.57</v>
      </c>
      <c r="J67" s="10">
        <v>0</v>
      </c>
      <c r="K67" s="10">
        <v>0</v>
      </c>
      <c r="L67" s="10">
        <v>0</v>
      </c>
      <c r="M67" s="10">
        <v>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 t="s">
        <v>329</v>
      </c>
      <c r="B68" s="1" t="s">
        <v>330</v>
      </c>
      <c r="C68" s="10">
        <v>1787.77</v>
      </c>
      <c r="D68" s="10">
        <v>855.39</v>
      </c>
      <c r="E68" s="10">
        <v>1563.41</v>
      </c>
      <c r="F68" s="10">
        <v>1387.79</v>
      </c>
      <c r="G68" s="10">
        <v>1950.52</v>
      </c>
      <c r="H68" s="10">
        <v>2083.7199999999998</v>
      </c>
      <c r="I68" s="10">
        <v>2002.94</v>
      </c>
      <c r="J68" s="10">
        <v>3418.26</v>
      </c>
      <c r="K68" s="10">
        <v>5230.49</v>
      </c>
      <c r="L68" s="10">
        <v>8763.5400000000009</v>
      </c>
      <c r="M68" s="10">
        <v>16226.72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 t="s">
        <v>331</v>
      </c>
      <c r="B69" s="1" t="s">
        <v>332</v>
      </c>
      <c r="C69" s="10">
        <v>13135.63</v>
      </c>
      <c r="D69" s="10">
        <v>14038.74</v>
      </c>
      <c r="E69" s="10">
        <v>17619.96</v>
      </c>
      <c r="F69" s="10">
        <v>18900.099999999999</v>
      </c>
      <c r="G69" s="10">
        <v>19855.61</v>
      </c>
      <c r="H69" s="10">
        <v>26703.13</v>
      </c>
      <c r="I69" s="10">
        <v>28389.29</v>
      </c>
      <c r="J69" s="10">
        <v>34466.11</v>
      </c>
      <c r="K69" s="10">
        <v>41568.85</v>
      </c>
      <c r="L69" s="10">
        <v>50259.53</v>
      </c>
      <c r="M69" s="10">
        <v>70972.83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 t="s">
        <v>333</v>
      </c>
      <c r="B70" s="1" t="s">
        <v>334</v>
      </c>
      <c r="C70" s="10">
        <v>21065.43</v>
      </c>
      <c r="D70" s="10">
        <v>23463.73</v>
      </c>
      <c r="E70" s="10">
        <v>26588.62</v>
      </c>
      <c r="F70" s="10">
        <v>28555.99</v>
      </c>
      <c r="G70" s="10">
        <v>30921.69</v>
      </c>
      <c r="H70" s="10">
        <v>36655.24</v>
      </c>
      <c r="I70" s="10">
        <v>54191.01</v>
      </c>
      <c r="J70" s="10">
        <v>66730.8</v>
      </c>
      <c r="K70" s="10">
        <v>74176.34</v>
      </c>
      <c r="L70" s="10">
        <v>87366.02</v>
      </c>
      <c r="M70" s="10">
        <v>113765.44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 t="s">
        <v>335</v>
      </c>
      <c r="B71" s="1" t="s">
        <v>336</v>
      </c>
      <c r="C71" s="10">
        <v>800</v>
      </c>
      <c r="D71" s="10">
        <v>800</v>
      </c>
      <c r="E71" s="10">
        <v>800</v>
      </c>
      <c r="F71" s="10">
        <v>791.19</v>
      </c>
      <c r="G71" s="10">
        <v>764.25</v>
      </c>
      <c r="H71" s="10">
        <v>764.25</v>
      </c>
      <c r="I71" s="10">
        <v>764.25</v>
      </c>
      <c r="J71" s="10">
        <v>764.25</v>
      </c>
      <c r="K71" s="10">
        <v>770.25</v>
      </c>
      <c r="L71" s="10">
        <v>779.25</v>
      </c>
      <c r="M71" s="10">
        <v>788.75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 t="s">
        <v>337</v>
      </c>
      <c r="B72" s="1" t="s">
        <v>338</v>
      </c>
      <c r="C72" s="10">
        <v>15592.96</v>
      </c>
      <c r="D72" s="10">
        <v>18192.63</v>
      </c>
      <c r="E72" s="10">
        <v>20471.990000000002</v>
      </c>
      <c r="F72" s="10">
        <v>22655.61</v>
      </c>
      <c r="G72" s="10">
        <v>23093.3</v>
      </c>
      <c r="H72" s="10">
        <v>27192.41</v>
      </c>
      <c r="I72" s="10">
        <v>32917.949999999997</v>
      </c>
      <c r="J72" s="10">
        <v>38886.53</v>
      </c>
      <c r="K72" s="10">
        <v>48806.82</v>
      </c>
      <c r="L72" s="10">
        <v>62411.4</v>
      </c>
      <c r="M72" s="10">
        <v>77589.8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 t="s">
        <v>339</v>
      </c>
      <c r="B73" s="1" t="s">
        <v>340</v>
      </c>
      <c r="C73" s="10">
        <v>16392.96</v>
      </c>
      <c r="D73" s="10">
        <v>18992.63</v>
      </c>
      <c r="E73" s="10">
        <v>21271.99</v>
      </c>
      <c r="F73" s="10">
        <v>23446.799999999999</v>
      </c>
      <c r="G73" s="10">
        <v>23857.55</v>
      </c>
      <c r="H73" s="10">
        <v>27956.66</v>
      </c>
      <c r="I73" s="10">
        <v>33682.199999999997</v>
      </c>
      <c r="J73" s="10">
        <v>39650.78</v>
      </c>
      <c r="K73" s="10">
        <v>49577.07</v>
      </c>
      <c r="L73" s="10">
        <v>63190.65</v>
      </c>
      <c r="M73" s="10">
        <v>78378.55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 t="s">
        <v>341</v>
      </c>
      <c r="B74" s="1" t="s">
        <v>342</v>
      </c>
      <c r="C74" s="10">
        <v>25.7</v>
      </c>
      <c r="D74" s="10">
        <v>21.71</v>
      </c>
      <c r="E74" s="10">
        <v>16.55</v>
      </c>
      <c r="F74" s="10">
        <v>11.97</v>
      </c>
      <c r="G74" s="10">
        <v>46.22</v>
      </c>
      <c r="H74" s="10">
        <v>44.27</v>
      </c>
      <c r="I74" s="10">
        <v>2800.79</v>
      </c>
      <c r="J74" s="10">
        <v>2057.59</v>
      </c>
      <c r="K74" s="10">
        <v>99.15</v>
      </c>
      <c r="L74" s="10">
        <v>0</v>
      </c>
      <c r="M74" s="10">
        <v>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 t="s">
        <v>343</v>
      </c>
      <c r="B75" s="1" t="s">
        <v>344</v>
      </c>
      <c r="C75" s="10">
        <v>0</v>
      </c>
      <c r="D75" s="10">
        <v>0</v>
      </c>
      <c r="E75" s="10">
        <v>0</v>
      </c>
      <c r="F75" s="10">
        <v>0</v>
      </c>
      <c r="G75" s="10">
        <v>353.36</v>
      </c>
      <c r="H75" s="10">
        <v>716.17</v>
      </c>
      <c r="I75" s="10">
        <v>1114.29</v>
      </c>
      <c r="J75" s="10">
        <v>1592.2</v>
      </c>
      <c r="K75" s="10">
        <v>1608.09</v>
      </c>
      <c r="L75" s="10">
        <v>2156.67</v>
      </c>
      <c r="M75" s="10">
        <v>2996.7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 t="s">
        <v>345</v>
      </c>
      <c r="B76" s="1" t="s">
        <v>346</v>
      </c>
      <c r="C76" s="10">
        <v>1.21</v>
      </c>
      <c r="D76" s="10">
        <v>19.739999999999998</v>
      </c>
      <c r="E76" s="10">
        <v>0</v>
      </c>
      <c r="F76" s="10">
        <v>0</v>
      </c>
      <c r="G76" s="10">
        <v>7.96</v>
      </c>
      <c r="H76" s="10">
        <v>0</v>
      </c>
      <c r="I76" s="10">
        <v>2088.6</v>
      </c>
      <c r="J76" s="10">
        <v>2888.92</v>
      </c>
      <c r="K76" s="10">
        <v>0</v>
      </c>
      <c r="L76" s="10">
        <v>425.9</v>
      </c>
      <c r="M76" s="10">
        <v>157.13999999999999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 t="s">
        <v>347</v>
      </c>
      <c r="B77" s="1" t="s">
        <v>348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34.83</v>
      </c>
      <c r="K77" s="10">
        <v>44.44</v>
      </c>
      <c r="L77" s="10">
        <v>47.63</v>
      </c>
      <c r="M77" s="10">
        <v>31.44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 t="s">
        <v>349</v>
      </c>
      <c r="B78" s="1" t="s">
        <v>350</v>
      </c>
      <c r="C78" s="10">
        <v>0</v>
      </c>
      <c r="D78" s="10">
        <v>110.75</v>
      </c>
      <c r="E78" s="10">
        <v>270.41000000000003</v>
      </c>
      <c r="F78" s="10">
        <v>0</v>
      </c>
      <c r="G78" s="10">
        <v>0</v>
      </c>
      <c r="H78" s="10">
        <v>0</v>
      </c>
      <c r="I78" s="10">
        <v>0</v>
      </c>
      <c r="J78" s="10">
        <v>4.68</v>
      </c>
      <c r="K78" s="10">
        <v>121.92</v>
      </c>
      <c r="L78" s="10">
        <v>150.49</v>
      </c>
      <c r="M78" s="10">
        <v>326.27999999999997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 t="s">
        <v>351</v>
      </c>
      <c r="B79" s="1" t="s">
        <v>352</v>
      </c>
      <c r="C79" s="10">
        <v>124.41</v>
      </c>
      <c r="D79" s="10">
        <v>146.13999999999999</v>
      </c>
      <c r="E79" s="10">
        <v>159.75</v>
      </c>
      <c r="F79" s="10">
        <v>252.8</v>
      </c>
      <c r="G79" s="10">
        <v>182.79</v>
      </c>
      <c r="H79" s="10">
        <v>240.94</v>
      </c>
      <c r="I79" s="10">
        <v>245.54</v>
      </c>
      <c r="J79" s="10">
        <v>373.03</v>
      </c>
      <c r="K79" s="10">
        <v>546.96</v>
      </c>
      <c r="L79" s="10">
        <v>66.95</v>
      </c>
      <c r="M79" s="10">
        <v>2632.77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 t="s">
        <v>353</v>
      </c>
      <c r="B80" s="1" t="s">
        <v>354</v>
      </c>
      <c r="C80" s="10">
        <v>151.32</v>
      </c>
      <c r="D80" s="10">
        <v>298.33999999999997</v>
      </c>
      <c r="E80" s="10">
        <v>446.71</v>
      </c>
      <c r="F80" s="10">
        <v>264.77</v>
      </c>
      <c r="G80" s="10">
        <v>590.33000000000004</v>
      </c>
      <c r="H80" s="10">
        <v>1001.38</v>
      </c>
      <c r="I80" s="10">
        <v>6249.22</v>
      </c>
      <c r="J80" s="10">
        <v>6951.25</v>
      </c>
      <c r="K80" s="10">
        <v>2420.56</v>
      </c>
      <c r="L80" s="10">
        <v>2847.64</v>
      </c>
      <c r="M80" s="10">
        <v>6144.33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 t="s">
        <v>355</v>
      </c>
      <c r="B81" s="1" t="s">
        <v>356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1.96</v>
      </c>
      <c r="I81" s="10">
        <v>1524.56</v>
      </c>
      <c r="J81" s="10">
        <v>2249.36</v>
      </c>
      <c r="K81" s="10">
        <v>1974.04</v>
      </c>
      <c r="L81" s="10">
        <v>0</v>
      </c>
      <c r="M81" s="10">
        <v>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 t="s">
        <v>357</v>
      </c>
      <c r="B82" s="1" t="s">
        <v>358</v>
      </c>
      <c r="C82" s="10">
        <v>0</v>
      </c>
      <c r="D82" s="10">
        <v>0</v>
      </c>
      <c r="E82" s="10">
        <v>0</v>
      </c>
      <c r="F82" s="10">
        <v>0</v>
      </c>
      <c r="G82" s="10">
        <v>309.06</v>
      </c>
      <c r="H82" s="10">
        <v>222</v>
      </c>
      <c r="I82" s="10">
        <v>342.58</v>
      </c>
      <c r="J82" s="10">
        <v>676.39</v>
      </c>
      <c r="K82" s="10">
        <v>830.01</v>
      </c>
      <c r="L82" s="10">
        <v>952.3</v>
      </c>
      <c r="M82" s="10">
        <v>1777.78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 t="s">
        <v>359</v>
      </c>
      <c r="B83" s="1" t="s">
        <v>360</v>
      </c>
      <c r="C83" s="10">
        <v>1651.02</v>
      </c>
      <c r="D83" s="10">
        <v>1209.3599999999999</v>
      </c>
      <c r="E83" s="10">
        <v>1673.08</v>
      </c>
      <c r="F83" s="10">
        <v>1517.07</v>
      </c>
      <c r="G83" s="10">
        <v>2247.09</v>
      </c>
      <c r="H83" s="10">
        <v>2733.44</v>
      </c>
      <c r="I83" s="10">
        <v>4298.71</v>
      </c>
      <c r="J83" s="10">
        <v>5689.08</v>
      </c>
      <c r="K83" s="10">
        <v>8138.62</v>
      </c>
      <c r="L83" s="10">
        <v>8886.17</v>
      </c>
      <c r="M83" s="10">
        <v>11341.88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 t="s">
        <v>361</v>
      </c>
      <c r="B84" s="1" t="s">
        <v>362</v>
      </c>
      <c r="C84" s="10">
        <v>1646.5</v>
      </c>
      <c r="D84" s="10">
        <v>453.58</v>
      </c>
      <c r="E84" s="10">
        <v>396.33</v>
      </c>
      <c r="F84" s="10">
        <v>441.93</v>
      </c>
      <c r="G84" s="10">
        <v>854.38</v>
      </c>
      <c r="H84" s="10">
        <v>388.21</v>
      </c>
      <c r="I84" s="10">
        <v>2173.6</v>
      </c>
      <c r="J84" s="10">
        <v>3922.85</v>
      </c>
      <c r="K84" s="10">
        <v>3718.27</v>
      </c>
      <c r="L84" s="10">
        <v>2438.4</v>
      </c>
      <c r="M84" s="10">
        <v>8272.69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 t="s">
        <v>363</v>
      </c>
      <c r="B85" s="1" t="s">
        <v>364</v>
      </c>
      <c r="C85" s="10">
        <v>0</v>
      </c>
      <c r="D85" s="10">
        <v>1118.75</v>
      </c>
      <c r="E85" s="10">
        <v>1201.02</v>
      </c>
      <c r="F85" s="10">
        <v>1124.27</v>
      </c>
      <c r="G85" s="10">
        <v>1320.13</v>
      </c>
      <c r="H85" s="10">
        <v>1514.95</v>
      </c>
      <c r="I85" s="10">
        <v>1621.76</v>
      </c>
      <c r="J85" s="10">
        <v>2647.71</v>
      </c>
      <c r="K85" s="10">
        <v>3639.82</v>
      </c>
      <c r="L85" s="10">
        <v>4516.47</v>
      </c>
      <c r="M85" s="10">
        <v>6805.36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 t="s">
        <v>365</v>
      </c>
      <c r="B86" s="1" t="s">
        <v>366</v>
      </c>
      <c r="C86" s="10">
        <v>1223.6300000000001</v>
      </c>
      <c r="D86" s="10">
        <v>1391.07</v>
      </c>
      <c r="E86" s="10">
        <v>1599.49</v>
      </c>
      <c r="F86" s="10">
        <v>1686.35</v>
      </c>
      <c r="G86" s="10">
        <v>1610.99</v>
      </c>
      <c r="H86" s="10">
        <v>2477.79</v>
      </c>
      <c r="I86" s="10">
        <v>3949.66</v>
      </c>
      <c r="J86" s="10">
        <v>4649.24</v>
      </c>
      <c r="K86" s="10">
        <v>3330.66</v>
      </c>
      <c r="L86" s="10">
        <v>4028.54</v>
      </c>
      <c r="M86" s="10">
        <v>570.25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 t="s">
        <v>367</v>
      </c>
      <c r="B87" s="1" t="s">
        <v>368</v>
      </c>
      <c r="C87" s="10">
        <v>0</v>
      </c>
      <c r="D87" s="10">
        <v>0</v>
      </c>
      <c r="E87" s="10">
        <v>0</v>
      </c>
      <c r="F87" s="10">
        <v>74.8</v>
      </c>
      <c r="G87" s="10">
        <v>132.16</v>
      </c>
      <c r="H87" s="10">
        <v>358.85</v>
      </c>
      <c r="I87" s="10">
        <v>348.72</v>
      </c>
      <c r="J87" s="10">
        <v>294.14</v>
      </c>
      <c r="K87" s="10">
        <v>547.29</v>
      </c>
      <c r="L87" s="10">
        <v>505.85</v>
      </c>
      <c r="M87" s="10">
        <v>474.6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 t="s">
        <v>369</v>
      </c>
      <c r="B88" s="1" t="s">
        <v>370</v>
      </c>
      <c r="C88" s="10">
        <v>4521.1499999999996</v>
      </c>
      <c r="D88" s="10">
        <v>4172.76</v>
      </c>
      <c r="E88" s="10">
        <v>4869.92</v>
      </c>
      <c r="F88" s="10">
        <v>4844.42</v>
      </c>
      <c r="G88" s="10">
        <v>6473.81</v>
      </c>
      <c r="H88" s="10">
        <v>7697.2</v>
      </c>
      <c r="I88" s="10">
        <v>14259.59</v>
      </c>
      <c r="J88" s="10">
        <v>20128.77</v>
      </c>
      <c r="K88" s="10">
        <v>22178.71</v>
      </c>
      <c r="L88" s="10">
        <v>21327.73</v>
      </c>
      <c r="M88" s="10">
        <v>29242.560000000001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 t="s">
        <v>371</v>
      </c>
      <c r="B89" s="1" t="s">
        <v>372</v>
      </c>
      <c r="C89" s="10">
        <v>4672.4699999999993</v>
      </c>
      <c r="D89" s="10">
        <v>4471.1000000000004</v>
      </c>
      <c r="E89" s="10">
        <v>5316.63</v>
      </c>
      <c r="F89" s="10">
        <v>5109.1900000000005</v>
      </c>
      <c r="G89" s="10">
        <v>7064.14</v>
      </c>
      <c r="H89" s="10">
        <v>8698.58</v>
      </c>
      <c r="I89" s="10">
        <v>20508.810000000001</v>
      </c>
      <c r="J89" s="10">
        <v>27080.02</v>
      </c>
      <c r="K89" s="10">
        <v>24599.27</v>
      </c>
      <c r="L89" s="10">
        <v>24175.37</v>
      </c>
      <c r="M89" s="10">
        <v>35386.89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 t="s">
        <v>373</v>
      </c>
      <c r="B90" s="1" t="s">
        <v>374</v>
      </c>
      <c r="C90" s="10">
        <v>21065.43</v>
      </c>
      <c r="D90" s="10">
        <v>23463.730000000003</v>
      </c>
      <c r="E90" s="10">
        <v>26588.620000000003</v>
      </c>
      <c r="F90" s="10">
        <v>28555.989999999998</v>
      </c>
      <c r="G90" s="10">
        <v>30921.69</v>
      </c>
      <c r="H90" s="10">
        <v>36655.24</v>
      </c>
      <c r="I90" s="10">
        <v>54191.009999999995</v>
      </c>
      <c r="J90" s="10">
        <v>66730.8</v>
      </c>
      <c r="K90" s="10">
        <v>74176.34</v>
      </c>
      <c r="L90" s="10">
        <v>87366.02</v>
      </c>
      <c r="M90" s="10">
        <v>113765.44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8" customHeight="1">
      <c r="A95" s="39" t="s">
        <v>375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9.95" customHeight="1">
      <c r="A96" s="3" t="s">
        <v>0</v>
      </c>
      <c r="B96" s="3" t="s">
        <v>1</v>
      </c>
      <c r="C96" s="3" t="s">
        <v>2</v>
      </c>
      <c r="D96" s="3" t="s">
        <v>3</v>
      </c>
      <c r="E96" s="3" t="s">
        <v>4</v>
      </c>
      <c r="F96" s="3" t="s">
        <v>5</v>
      </c>
      <c r="G96" s="3" t="s">
        <v>6</v>
      </c>
      <c r="H96" s="3" t="s">
        <v>7</v>
      </c>
      <c r="I96" s="3" t="s">
        <v>8</v>
      </c>
      <c r="J96" s="3" t="s">
        <v>9</v>
      </c>
      <c r="K96" s="3" t="s">
        <v>10</v>
      </c>
      <c r="L96" s="3" t="s">
        <v>11</v>
      </c>
      <c r="M96" s="3" t="s">
        <v>12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 t="s">
        <v>376</v>
      </c>
      <c r="B97" s="1" t="s">
        <v>377</v>
      </c>
      <c r="C97" s="10">
        <v>2540.6</v>
      </c>
      <c r="D97" s="10">
        <v>2864.1</v>
      </c>
      <c r="E97" s="10">
        <v>4211.93</v>
      </c>
      <c r="F97" s="10">
        <v>4323.1400000000003</v>
      </c>
      <c r="G97" s="10">
        <v>3228.18</v>
      </c>
      <c r="H97" s="10">
        <v>7359.25</v>
      </c>
      <c r="I97" s="10">
        <v>8449.86</v>
      </c>
      <c r="J97" s="10">
        <v>9557.6200000000008</v>
      </c>
      <c r="K97" s="10">
        <v>13021.09</v>
      </c>
      <c r="L97" s="10">
        <v>11569.16</v>
      </c>
      <c r="M97" s="10">
        <v>17671.3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 t="s">
        <v>378</v>
      </c>
      <c r="B98" s="1" t="s">
        <v>379</v>
      </c>
      <c r="C98" s="10">
        <v>-369.93</v>
      </c>
      <c r="D98" s="10">
        <v>-2219.35</v>
      </c>
      <c r="E98" s="10">
        <v>-3473.9</v>
      </c>
      <c r="F98" s="10">
        <v>-2258.9899999999998</v>
      </c>
      <c r="G98" s="10">
        <v>-148.44</v>
      </c>
      <c r="H98" s="10">
        <v>-5416.73</v>
      </c>
      <c r="I98" s="10">
        <v>-9773.43</v>
      </c>
      <c r="J98" s="10">
        <v>-4213.1000000000004</v>
      </c>
      <c r="K98" s="10">
        <v>-5620.9</v>
      </c>
      <c r="L98" s="10">
        <v>-4344.34</v>
      </c>
      <c r="M98" s="10">
        <v>-6099.03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 t="s">
        <v>380</v>
      </c>
      <c r="B99" s="1" t="s">
        <v>381</v>
      </c>
      <c r="C99" s="10">
        <v>-1266.29</v>
      </c>
      <c r="D99" s="10">
        <v>-584.08000000000004</v>
      </c>
      <c r="E99" s="10">
        <v>-956.14</v>
      </c>
      <c r="F99" s="10">
        <v>-1596.2</v>
      </c>
      <c r="G99" s="10">
        <v>-3003.32</v>
      </c>
      <c r="H99" s="10">
        <v>-1442.61</v>
      </c>
      <c r="I99" s="10">
        <v>1822.89</v>
      </c>
      <c r="J99" s="10">
        <v>-4039.45</v>
      </c>
      <c r="K99" s="10">
        <v>-5818.83</v>
      </c>
      <c r="L99" s="10">
        <v>-6281.99</v>
      </c>
      <c r="M99" s="10">
        <v>-7481.76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 t="s">
        <v>382</v>
      </c>
      <c r="B100" s="1" t="s">
        <v>383</v>
      </c>
      <c r="C100" s="10">
        <v>-1659.35</v>
      </c>
      <c r="D100" s="10">
        <v>-2175.7399999999998</v>
      </c>
      <c r="E100" s="10">
        <v>-654.55999999999995</v>
      </c>
      <c r="F100" s="10">
        <v>-379.06</v>
      </c>
      <c r="G100" s="10">
        <v>-758.39</v>
      </c>
      <c r="H100" s="10">
        <v>-1281.04</v>
      </c>
      <c r="I100" s="10">
        <v>-3853.97</v>
      </c>
      <c r="J100" s="10">
        <v>-4332.99</v>
      </c>
      <c r="K100" s="10">
        <v>-3580.33</v>
      </c>
      <c r="L100" s="10">
        <v>-2366.91</v>
      </c>
      <c r="M100" s="10">
        <v>-2085.81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 t="s">
        <v>384</v>
      </c>
      <c r="B101" s="1" t="s">
        <v>385</v>
      </c>
      <c r="C101" s="10">
        <v>-307.01</v>
      </c>
      <c r="D101" s="10">
        <v>0</v>
      </c>
      <c r="E101" s="10">
        <v>-408.35</v>
      </c>
      <c r="F101" s="10">
        <v>-148.16999999999999</v>
      </c>
      <c r="G101" s="10">
        <v>-435.48</v>
      </c>
      <c r="H101" s="10">
        <v>-448.47</v>
      </c>
      <c r="I101" s="10">
        <v>-6154.02</v>
      </c>
      <c r="J101" s="10">
        <v>-4310.57</v>
      </c>
      <c r="K101" s="10">
        <v>0</v>
      </c>
      <c r="L101" s="10">
        <v>0</v>
      </c>
      <c r="M101" s="10">
        <v>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 t="s">
        <v>386</v>
      </c>
      <c r="B102" s="1" t="s">
        <v>387</v>
      </c>
      <c r="C102" s="10">
        <v>-1039.51</v>
      </c>
      <c r="D102" s="10">
        <v>-480.01</v>
      </c>
      <c r="E102" s="10">
        <v>-799.79</v>
      </c>
      <c r="F102" s="10">
        <v>-879.14</v>
      </c>
      <c r="G102" s="10">
        <v>-1146.3800000000001</v>
      </c>
      <c r="H102" s="10">
        <v>-1069.95</v>
      </c>
      <c r="I102" s="10">
        <v>-1987.05</v>
      </c>
      <c r="J102" s="10">
        <v>-2980.58</v>
      </c>
      <c r="K102" s="10">
        <v>-4083.62</v>
      </c>
      <c r="L102" s="10">
        <v>-4600.0600000000004</v>
      </c>
      <c r="M102" s="10">
        <v>-5790.41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 t="s">
        <v>388</v>
      </c>
      <c r="B103" s="1" t="s">
        <v>389</v>
      </c>
      <c r="C103" s="10">
        <v>1596.4299999999998</v>
      </c>
      <c r="D103" s="10">
        <v>-43.610000000000127</v>
      </c>
      <c r="E103" s="10">
        <v>-2410.9900000000002</v>
      </c>
      <c r="F103" s="10">
        <v>-1731.7599999999998</v>
      </c>
      <c r="G103" s="10">
        <v>1045.43</v>
      </c>
      <c r="H103" s="10">
        <v>-3687.2199999999993</v>
      </c>
      <c r="I103" s="10">
        <v>234.55999999999949</v>
      </c>
      <c r="J103" s="10">
        <v>4430.4599999999991</v>
      </c>
      <c r="K103" s="10">
        <v>-2040.5699999999997</v>
      </c>
      <c r="L103" s="10">
        <v>-1977.4300000000003</v>
      </c>
      <c r="M103" s="10">
        <v>-4013.22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 t="s">
        <v>390</v>
      </c>
      <c r="B104" s="1" t="s">
        <v>391</v>
      </c>
      <c r="C104" s="10">
        <v>-226.77999999999997</v>
      </c>
      <c r="D104" s="10">
        <v>-104.07000000000005</v>
      </c>
      <c r="E104" s="10">
        <v>-156.35000000000002</v>
      </c>
      <c r="F104" s="10">
        <v>-717.06000000000006</v>
      </c>
      <c r="G104" s="10">
        <v>-1856.94</v>
      </c>
      <c r="H104" s="10">
        <v>-372.65999999999985</v>
      </c>
      <c r="I104" s="10">
        <v>3809.94</v>
      </c>
      <c r="J104" s="10">
        <v>-1058.8699999999999</v>
      </c>
      <c r="K104" s="10">
        <v>-1735.21</v>
      </c>
      <c r="L104" s="10">
        <v>-1681.9299999999994</v>
      </c>
      <c r="M104" s="10">
        <v>-1691.3500000000004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 t="s">
        <v>392</v>
      </c>
      <c r="B105" s="1" t="s">
        <v>393</v>
      </c>
      <c r="C105" s="10">
        <v>904.38000000000011</v>
      </c>
      <c r="D105" s="10">
        <v>60.669999999999959</v>
      </c>
      <c r="E105" s="10">
        <v>-218.10999999999979</v>
      </c>
      <c r="F105" s="10">
        <v>467.9500000000005</v>
      </c>
      <c r="G105" s="10">
        <v>76.419999999999618</v>
      </c>
      <c r="H105" s="10">
        <v>499.91000000000054</v>
      </c>
      <c r="I105" s="10">
        <v>499.32000000000039</v>
      </c>
      <c r="J105" s="10">
        <v>1305.0700000000006</v>
      </c>
      <c r="K105" s="10">
        <v>1581.3600000000006</v>
      </c>
      <c r="L105" s="10">
        <v>942.82999999999993</v>
      </c>
      <c r="M105" s="10">
        <v>4090.51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 t="s">
        <v>394</v>
      </c>
      <c r="B106" s="1" t="s">
        <v>395</v>
      </c>
      <c r="C106" s="10">
        <v>-491.11</v>
      </c>
      <c r="D106" s="10">
        <v>-0.68999999999994088</v>
      </c>
      <c r="E106" s="10">
        <v>100.4499999999997</v>
      </c>
      <c r="F106" s="10">
        <v>-72.220000000000482</v>
      </c>
      <c r="G106" s="10">
        <v>84.120000000000346</v>
      </c>
      <c r="H106" s="10">
        <v>19.399999999999636</v>
      </c>
      <c r="I106" s="10">
        <v>59.369999999999209</v>
      </c>
      <c r="J106" s="10">
        <v>387.05999999999949</v>
      </c>
      <c r="K106" s="10">
        <v>373.66999999999916</v>
      </c>
      <c r="L106" s="10">
        <v>-823.91999999999916</v>
      </c>
      <c r="M106" s="10">
        <v>-85.420000000000982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 t="s">
        <v>396</v>
      </c>
      <c r="B107" s="1" t="s">
        <v>397</v>
      </c>
      <c r="C107" s="10">
        <v>988.13</v>
      </c>
      <c r="D107" s="10">
        <v>1401.4</v>
      </c>
      <c r="E107" s="10">
        <v>1461.38</v>
      </c>
      <c r="F107" s="10">
        <v>1343.72</v>
      </c>
      <c r="G107" s="10">
        <v>1739.45</v>
      </c>
      <c r="H107" s="10">
        <v>1899.99</v>
      </c>
      <c r="I107" s="10">
        <v>2419.3000000000002</v>
      </c>
      <c r="J107" s="10">
        <v>2977.99</v>
      </c>
      <c r="K107" s="10">
        <v>4670.12</v>
      </c>
      <c r="L107" s="10">
        <v>6625.15</v>
      </c>
      <c r="M107" s="10">
        <v>6744.06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 t="s">
        <v>398</v>
      </c>
      <c r="B108" s="1" t="s">
        <v>399</v>
      </c>
      <c r="C108" s="10">
        <v>1401.4</v>
      </c>
      <c r="D108" s="10">
        <v>1461.38</v>
      </c>
      <c r="E108" s="10">
        <v>1343.72</v>
      </c>
      <c r="F108" s="10">
        <v>1739.45</v>
      </c>
      <c r="G108" s="10">
        <v>1899.99</v>
      </c>
      <c r="H108" s="10">
        <v>2419.3000000000002</v>
      </c>
      <c r="I108" s="10">
        <v>2977.99</v>
      </c>
      <c r="J108" s="10">
        <v>4670.12</v>
      </c>
      <c r="K108" s="10">
        <v>6625.15</v>
      </c>
      <c r="L108" s="10">
        <v>6744.06</v>
      </c>
      <c r="M108" s="10">
        <v>10749.15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6">
    <mergeCell ref="A95:M95"/>
    <mergeCell ref="A1:AU1"/>
    <mergeCell ref="A2:AU2"/>
    <mergeCell ref="A4:M4"/>
    <mergeCell ref="A24:AU24"/>
    <mergeCell ref="A48:M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260"/>
  <sheetViews>
    <sheetView showGridLines="0" workbookViewId="0"/>
  </sheetViews>
  <sheetFormatPr defaultRowHeight="13.8"/>
  <cols>
    <col min="1" max="1" width="43" customWidth="1"/>
    <col min="2" max="2" width="13" customWidth="1"/>
    <col min="3" max="17" width="11.5" customWidth="1"/>
  </cols>
  <sheetData>
    <row r="1" spans="1:47" ht="25.95" customHeight="1">
      <c r="A1" s="37" t="s">
        <v>400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>
      <c r="A2" s="38" t="s">
        <v>401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15" t="s">
        <v>13</v>
      </c>
      <c r="O5" s="15" t="s">
        <v>14</v>
      </c>
      <c r="P5" s="15" t="s">
        <v>15</v>
      </c>
      <c r="Q5" s="15" t="s">
        <v>16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6"/>
      <c r="O6" s="16"/>
      <c r="P6" s="16"/>
      <c r="Q6" s="1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17</v>
      </c>
      <c r="B7" s="1" t="s">
        <v>21</v>
      </c>
      <c r="C7" s="12">
        <v>352</v>
      </c>
      <c r="D7" s="12">
        <v>429</v>
      </c>
      <c r="E7" s="12">
        <v>471</v>
      </c>
      <c r="F7" s="12">
        <v>481</v>
      </c>
      <c r="G7" s="12">
        <v>502</v>
      </c>
      <c r="H7" s="12">
        <v>566</v>
      </c>
      <c r="I7" s="12">
        <v>766</v>
      </c>
      <c r="J7" s="12">
        <v>1036</v>
      </c>
      <c r="K7" s="12">
        <v>1186</v>
      </c>
      <c r="L7" s="12">
        <v>1409.1</v>
      </c>
      <c r="M7" s="12">
        <v>1654.4</v>
      </c>
      <c r="N7" s="16"/>
      <c r="O7" s="16"/>
      <c r="P7" s="16"/>
      <c r="Q7" s="16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33</v>
      </c>
      <c r="B8" s="1" t="s">
        <v>34</v>
      </c>
      <c r="C8" s="13">
        <v>9264</v>
      </c>
      <c r="D8" s="13">
        <v>9460</v>
      </c>
      <c r="E8" s="13">
        <v>8976</v>
      </c>
      <c r="F8" s="13">
        <v>9962</v>
      </c>
      <c r="G8" s="13">
        <v>10632</v>
      </c>
      <c r="H8" s="13">
        <v>13680</v>
      </c>
      <c r="I8" s="13">
        <v>18599</v>
      </c>
      <c r="J8" s="13">
        <v>22889</v>
      </c>
      <c r="K8" s="13">
        <v>23850</v>
      </c>
      <c r="L8" s="13">
        <v>24594</v>
      </c>
      <c r="M8" s="13">
        <v>27502</v>
      </c>
      <c r="N8" s="16"/>
      <c r="O8" s="16"/>
      <c r="P8" s="16"/>
      <c r="Q8" s="16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402</v>
      </c>
      <c r="B9" s="1" t="s">
        <v>34</v>
      </c>
      <c r="C9" s="13"/>
      <c r="D9" s="13"/>
      <c r="E9" s="13"/>
      <c r="F9" s="13"/>
      <c r="G9" s="13"/>
      <c r="H9" s="13"/>
      <c r="I9" s="13"/>
      <c r="J9" s="13"/>
      <c r="K9" s="13"/>
      <c r="L9" s="13">
        <v>23072</v>
      </c>
      <c r="M9" s="13">
        <v>25849</v>
      </c>
      <c r="N9" s="16"/>
      <c r="O9" s="16"/>
      <c r="P9" s="16"/>
      <c r="Q9" s="16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403</v>
      </c>
      <c r="B10" s="1" t="s">
        <v>20</v>
      </c>
      <c r="C10" s="14">
        <v>0.16400000000000001</v>
      </c>
      <c r="D10" s="14">
        <v>0.157</v>
      </c>
      <c r="E10" s="14">
        <v>0.14699999999999999</v>
      </c>
      <c r="F10" s="14">
        <v>0.16700000000000001</v>
      </c>
      <c r="G10" s="14">
        <v>0.14299999999999999</v>
      </c>
      <c r="H10" s="14">
        <v>0.11700000000000001</v>
      </c>
      <c r="I10" s="14">
        <v>0.26600000000000001</v>
      </c>
      <c r="J10" s="14">
        <v>0.19800000000000001</v>
      </c>
      <c r="K10" s="14">
        <v>0.115</v>
      </c>
      <c r="L10" s="14">
        <v>0.129</v>
      </c>
      <c r="M10" s="14">
        <v>0.13</v>
      </c>
      <c r="N10" s="16"/>
      <c r="O10" s="16"/>
      <c r="P10" s="16"/>
      <c r="Q10" s="16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404</v>
      </c>
      <c r="B11" s="1" t="s">
        <v>20</v>
      </c>
      <c r="C11" s="14"/>
      <c r="D11" s="14"/>
      <c r="E11" s="14"/>
      <c r="F11" s="14"/>
      <c r="G11" s="14"/>
      <c r="H11" s="14"/>
      <c r="I11" s="14"/>
      <c r="J11" s="14"/>
      <c r="K11" s="14"/>
      <c r="L11" s="14">
        <v>0.85599999999999998</v>
      </c>
      <c r="M11" s="14">
        <v>0.88300000000000001</v>
      </c>
      <c r="N11" s="16"/>
      <c r="O11" s="16"/>
      <c r="P11" s="16"/>
      <c r="Q11" s="16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22</v>
      </c>
      <c r="B12" s="1" t="s">
        <v>21</v>
      </c>
      <c r="C12" s="12"/>
      <c r="D12" s="12"/>
      <c r="E12" s="12"/>
      <c r="F12" s="12"/>
      <c r="G12" s="12"/>
      <c r="H12" s="12"/>
      <c r="I12" s="12">
        <v>1222.5999999999999</v>
      </c>
      <c r="J12" s="12">
        <v>1623.6</v>
      </c>
      <c r="K12" s="12">
        <v>1828.7</v>
      </c>
      <c r="L12" s="12">
        <v>2103.4</v>
      </c>
      <c r="M12" s="12">
        <v>2405.3000000000002</v>
      </c>
      <c r="N12" s="16"/>
      <c r="O12" s="16"/>
      <c r="P12" s="16"/>
      <c r="Q12" s="16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23</v>
      </c>
      <c r="B13" s="1" t="s">
        <v>21</v>
      </c>
      <c r="C13" s="12"/>
      <c r="D13" s="12"/>
      <c r="E13" s="12"/>
      <c r="F13" s="12"/>
      <c r="G13" s="12"/>
      <c r="H13" s="12"/>
      <c r="I13" s="12">
        <v>943.1</v>
      </c>
      <c r="J13" s="12">
        <v>1170.9000000000001</v>
      </c>
      <c r="K13" s="12">
        <v>1296.7</v>
      </c>
      <c r="L13" s="12">
        <v>1464.1</v>
      </c>
      <c r="M13" s="12">
        <v>1780.1</v>
      </c>
      <c r="N13" s="16"/>
      <c r="O13" s="16"/>
      <c r="P13" s="16"/>
      <c r="Q13" s="16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405</v>
      </c>
      <c r="B14" s="1" t="s">
        <v>20</v>
      </c>
      <c r="C14" s="14">
        <v>0.85499999999999998</v>
      </c>
      <c r="D14" s="14">
        <v>0.86399999999999999</v>
      </c>
      <c r="E14" s="14">
        <v>0.83499999999999996</v>
      </c>
      <c r="F14" s="14">
        <v>0.81699999999999995</v>
      </c>
      <c r="G14" s="14">
        <v>0.81</v>
      </c>
      <c r="H14" s="14">
        <v>0.80800000000000005</v>
      </c>
      <c r="I14" s="14">
        <v>0.78800000000000003</v>
      </c>
      <c r="J14" s="14">
        <v>0.78</v>
      </c>
      <c r="K14" s="14">
        <v>0.79600000000000004</v>
      </c>
      <c r="L14" s="14">
        <v>0.80800000000000005</v>
      </c>
      <c r="M14" s="14">
        <v>0.80600000000000005</v>
      </c>
      <c r="N14" s="16"/>
      <c r="O14" s="16"/>
      <c r="P14" s="16"/>
      <c r="Q14" s="16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406</v>
      </c>
      <c r="B15" s="1" t="s">
        <v>20</v>
      </c>
      <c r="C15" s="14">
        <v>6.5000000000000002E-2</v>
      </c>
      <c r="D15" s="14">
        <v>5.5E-2</v>
      </c>
      <c r="E15" s="14">
        <v>7.4999999999999997E-2</v>
      </c>
      <c r="F15" s="14">
        <v>8.7999999999999995E-2</v>
      </c>
      <c r="G15" s="14">
        <v>9.5000000000000001E-2</v>
      </c>
      <c r="H15" s="14">
        <v>9.1999999999999998E-2</v>
      </c>
      <c r="I15" s="14">
        <v>8.6999999999999994E-2</v>
      </c>
      <c r="J15" s="14">
        <v>0.09</v>
      </c>
      <c r="K15" s="14">
        <v>0.09</v>
      </c>
      <c r="L15" s="14">
        <v>8.1000000000000003E-2</v>
      </c>
      <c r="M15" s="14">
        <v>8.6999999999999994E-2</v>
      </c>
      <c r="N15" s="16"/>
      <c r="O15" s="16"/>
      <c r="P15" s="16"/>
      <c r="Q15" s="16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407</v>
      </c>
      <c r="B16" s="1" t="s">
        <v>20</v>
      </c>
      <c r="C16" s="14"/>
      <c r="D16" s="14"/>
      <c r="E16" s="14"/>
      <c r="F16" s="14"/>
      <c r="G16" s="14"/>
      <c r="H16" s="14"/>
      <c r="I16" s="14"/>
      <c r="J16" s="14"/>
      <c r="K16" s="14"/>
      <c r="L16" s="14">
        <v>9.4E-2</v>
      </c>
      <c r="M16" s="14">
        <v>8.7999999999999995E-2</v>
      </c>
      <c r="N16" s="16"/>
      <c r="O16" s="16"/>
      <c r="P16" s="16"/>
      <c r="Q16" s="16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408</v>
      </c>
      <c r="B17" s="1" t="s">
        <v>20</v>
      </c>
      <c r="C17" s="14">
        <v>0.08</v>
      </c>
      <c r="D17" s="14">
        <v>8.1000000000000003E-2</v>
      </c>
      <c r="E17" s="14">
        <v>0.09</v>
      </c>
      <c r="F17" s="14">
        <v>9.5000000000000001E-2</v>
      </c>
      <c r="G17" s="14">
        <v>9.5000000000000001E-2</v>
      </c>
      <c r="H17" s="14">
        <v>0.1</v>
      </c>
      <c r="I17" s="14">
        <v>0.125</v>
      </c>
      <c r="J17" s="14">
        <v>0.13</v>
      </c>
      <c r="K17" s="14">
        <v>0.114</v>
      </c>
      <c r="L17" s="14">
        <v>1.7000000000000001E-2</v>
      </c>
      <c r="M17" s="14">
        <v>1.9E-2</v>
      </c>
      <c r="N17" s="16"/>
      <c r="O17" s="16"/>
      <c r="P17" s="16"/>
      <c r="Q17" s="16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409</v>
      </c>
      <c r="B18" s="1" t="s">
        <v>20</v>
      </c>
      <c r="C18" s="14"/>
      <c r="D18" s="14"/>
      <c r="E18" s="14"/>
      <c r="F18" s="14"/>
      <c r="G18" s="14"/>
      <c r="H18" s="14">
        <v>0.308</v>
      </c>
      <c r="I18" s="14">
        <v>0.316</v>
      </c>
      <c r="J18" s="14">
        <v>0.32900000000000001</v>
      </c>
      <c r="K18" s="14">
        <v>0.31900000000000001</v>
      </c>
      <c r="L18" s="14">
        <v>0.316</v>
      </c>
      <c r="M18" s="14">
        <v>0.34599999999999997</v>
      </c>
      <c r="N18" s="16"/>
      <c r="O18" s="16"/>
      <c r="P18" s="16"/>
      <c r="Q18" s="16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410</v>
      </c>
      <c r="B19" s="1" t="s">
        <v>20</v>
      </c>
      <c r="C19" s="14"/>
      <c r="D19" s="14"/>
      <c r="E19" s="14"/>
      <c r="F19" s="14"/>
      <c r="G19" s="14"/>
      <c r="H19" s="14">
        <v>0.193</v>
      </c>
      <c r="I19" s="14">
        <v>0.20799999999999999</v>
      </c>
      <c r="J19" s="14">
        <v>0.19700000000000001</v>
      </c>
      <c r="K19" s="14">
        <v>0.21</v>
      </c>
      <c r="L19" s="14">
        <v>0.27300000000000002</v>
      </c>
      <c r="M19" s="14">
        <v>0.25600000000000001</v>
      </c>
      <c r="N19" s="16"/>
      <c r="O19" s="16"/>
      <c r="P19" s="16"/>
      <c r="Q19" s="16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411</v>
      </c>
      <c r="B20" s="1" t="s">
        <v>20</v>
      </c>
      <c r="C20" s="14"/>
      <c r="D20" s="14"/>
      <c r="E20" s="14"/>
      <c r="F20" s="14"/>
      <c r="G20" s="14"/>
      <c r="H20" s="14">
        <v>0.499</v>
      </c>
      <c r="I20" s="14">
        <v>0.47599999999999998</v>
      </c>
      <c r="J20" s="14">
        <v>0.47399999999999998</v>
      </c>
      <c r="K20" s="14">
        <v>0.47099999999999997</v>
      </c>
      <c r="L20" s="14">
        <v>0.41099999999999998</v>
      </c>
      <c r="M20" s="14">
        <v>0.39800000000000002</v>
      </c>
      <c r="N20" s="16"/>
      <c r="O20" s="16"/>
      <c r="P20" s="16"/>
      <c r="Q20" s="16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38</v>
      </c>
      <c r="B21" s="1" t="s">
        <v>20</v>
      </c>
      <c r="C21" s="14">
        <v>0.45500000000000002</v>
      </c>
      <c r="D21" s="14">
        <v>0.53100000000000003</v>
      </c>
      <c r="E21" s="14">
        <v>0.53500000000000003</v>
      </c>
      <c r="F21" s="14">
        <v>0.51800000000000002</v>
      </c>
      <c r="G21" s="14">
        <v>0.51700000000000002</v>
      </c>
      <c r="H21" s="14">
        <v>0.47699999999999998</v>
      </c>
      <c r="I21" s="14">
        <v>0.44600000000000001</v>
      </c>
      <c r="J21" s="14">
        <v>0.36699999999999999</v>
      </c>
      <c r="K21" s="14">
        <v>0.39</v>
      </c>
      <c r="L21" s="14">
        <v>0.40899999999999997</v>
      </c>
      <c r="M21" s="14">
        <v>0.41599999999999998</v>
      </c>
      <c r="N21" s="16"/>
      <c r="O21" s="16"/>
      <c r="P21" s="16"/>
      <c r="Q21" s="16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412</v>
      </c>
      <c r="B22" s="1" t="s">
        <v>34</v>
      </c>
      <c r="C22" s="13"/>
      <c r="D22" s="13"/>
      <c r="E22" s="13"/>
      <c r="F22" s="13"/>
      <c r="G22" s="13"/>
      <c r="H22" s="13"/>
      <c r="I22" s="13"/>
      <c r="J22" s="13"/>
      <c r="K22" s="13"/>
      <c r="L22" s="13">
        <v>4</v>
      </c>
      <c r="M22" s="13">
        <v>4</v>
      </c>
      <c r="N22" s="16"/>
      <c r="O22" s="16"/>
      <c r="P22" s="16"/>
      <c r="Q22" s="16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413</v>
      </c>
      <c r="B23" s="1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>
        <v>6</v>
      </c>
      <c r="M23" s="13">
        <v>8</v>
      </c>
      <c r="N23" s="16"/>
      <c r="O23" s="16"/>
      <c r="P23" s="16"/>
      <c r="Q23" s="1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414</v>
      </c>
      <c r="B24" s="1" t="s">
        <v>34</v>
      </c>
      <c r="C24" s="13"/>
      <c r="D24" s="13"/>
      <c r="E24" s="13"/>
      <c r="F24" s="13"/>
      <c r="G24" s="13"/>
      <c r="H24" s="13"/>
      <c r="I24" s="13"/>
      <c r="J24" s="13"/>
      <c r="K24" s="13"/>
      <c r="L24" s="13">
        <v>11</v>
      </c>
      <c r="M24" s="13">
        <v>17</v>
      </c>
      <c r="N24" s="16"/>
      <c r="O24" s="16"/>
      <c r="P24" s="16"/>
      <c r="Q24" s="16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415</v>
      </c>
      <c r="B25" s="1" t="s">
        <v>34</v>
      </c>
      <c r="C25" s="13"/>
      <c r="D25" s="13"/>
      <c r="E25" s="13"/>
      <c r="F25" s="13"/>
      <c r="G25" s="13"/>
      <c r="H25" s="13"/>
      <c r="I25" s="13"/>
      <c r="J25" s="13"/>
      <c r="K25" s="13"/>
      <c r="L25" s="13">
        <v>34</v>
      </c>
      <c r="M25" s="13">
        <v>33</v>
      </c>
      <c r="N25" s="16"/>
      <c r="O25" s="16"/>
      <c r="P25" s="16"/>
      <c r="Q25" s="16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416</v>
      </c>
      <c r="B26" s="1" t="s">
        <v>34</v>
      </c>
      <c r="C26" s="13"/>
      <c r="D26" s="13"/>
      <c r="E26" s="13"/>
      <c r="F26" s="13"/>
      <c r="G26" s="13"/>
      <c r="H26" s="13"/>
      <c r="I26" s="13"/>
      <c r="J26" s="13"/>
      <c r="K26" s="13"/>
      <c r="L26" s="13">
        <v>136</v>
      </c>
      <c r="M26" s="13">
        <v>139</v>
      </c>
      <c r="N26" s="16"/>
      <c r="O26" s="16"/>
      <c r="P26" s="16"/>
      <c r="Q26" s="1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37</v>
      </c>
      <c r="B27" s="1" t="s">
        <v>34</v>
      </c>
      <c r="C27" s="13"/>
      <c r="D27" s="13"/>
      <c r="E27" s="13"/>
      <c r="F27" s="13"/>
      <c r="G27" s="13"/>
      <c r="H27" s="13"/>
      <c r="I27" s="13"/>
      <c r="J27" s="13"/>
      <c r="K27" s="13"/>
      <c r="L27" s="13">
        <v>191</v>
      </c>
      <c r="M27" s="13">
        <v>201</v>
      </c>
      <c r="N27" s="16"/>
      <c r="O27" s="16"/>
      <c r="P27" s="16"/>
      <c r="Q27" s="1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259"/>
  <sheetViews>
    <sheetView showGridLines="0" topLeftCell="X1" workbookViewId="0">
      <selection sqref="A1:AT1"/>
    </sheetView>
  </sheetViews>
  <sheetFormatPr defaultRowHeight="13.8"/>
  <cols>
    <col min="1" max="1" width="39" customWidth="1"/>
    <col min="2" max="46" width="10.5" customWidth="1"/>
  </cols>
  <sheetData>
    <row r="1" spans="1:46" ht="25.95" customHeight="1">
      <c r="A1" s="80" t="s">
        <v>417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</row>
    <row r="2" spans="1:4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9.95" customHeight="1">
      <c r="A4" s="3" t="s">
        <v>0</v>
      </c>
      <c r="B4" s="3" t="s">
        <v>237</v>
      </c>
      <c r="C4" s="3" t="s">
        <v>238</v>
      </c>
      <c r="D4" s="3" t="s">
        <v>239</v>
      </c>
      <c r="E4" s="3" t="s">
        <v>240</v>
      </c>
      <c r="F4" s="3" t="s">
        <v>241</v>
      </c>
      <c r="G4" s="3" t="s">
        <v>242</v>
      </c>
      <c r="H4" s="3" t="s">
        <v>243</v>
      </c>
      <c r="I4" s="3" t="s">
        <v>244</v>
      </c>
      <c r="J4" s="3" t="s">
        <v>245</v>
      </c>
      <c r="K4" s="3" t="s">
        <v>246</v>
      </c>
      <c r="L4" s="3" t="s">
        <v>247</v>
      </c>
      <c r="M4" s="3" t="s">
        <v>248</v>
      </c>
      <c r="N4" s="3" t="s">
        <v>249</v>
      </c>
      <c r="O4" s="3" t="s">
        <v>250</v>
      </c>
      <c r="P4" s="3" t="s">
        <v>251</v>
      </c>
      <c r="Q4" s="3" t="s">
        <v>252</v>
      </c>
      <c r="R4" s="3" t="s">
        <v>253</v>
      </c>
      <c r="S4" s="3" t="s">
        <v>254</v>
      </c>
      <c r="T4" s="3" t="s">
        <v>255</v>
      </c>
      <c r="U4" s="3" t="s">
        <v>256</v>
      </c>
      <c r="V4" s="3" t="s">
        <v>257</v>
      </c>
      <c r="W4" s="3" t="s">
        <v>258</v>
      </c>
      <c r="X4" s="3" t="s">
        <v>259</v>
      </c>
      <c r="Y4" s="3" t="s">
        <v>260</v>
      </c>
      <c r="Z4" s="3" t="s">
        <v>261</v>
      </c>
      <c r="AA4" s="3" t="s">
        <v>262</v>
      </c>
      <c r="AB4" s="3" t="s">
        <v>263</v>
      </c>
      <c r="AC4" s="3" t="s">
        <v>264</v>
      </c>
      <c r="AD4" s="3" t="s">
        <v>265</v>
      </c>
      <c r="AE4" s="3" t="s">
        <v>266</v>
      </c>
      <c r="AF4" s="3" t="s">
        <v>267</v>
      </c>
      <c r="AG4" s="3" t="s">
        <v>268</v>
      </c>
      <c r="AH4" s="3" t="s">
        <v>269</v>
      </c>
      <c r="AI4" s="3" t="s">
        <v>270</v>
      </c>
      <c r="AJ4" s="3" t="s">
        <v>271</v>
      </c>
      <c r="AK4" s="3" t="s">
        <v>272</v>
      </c>
      <c r="AL4" s="3" t="s">
        <v>273</v>
      </c>
      <c r="AM4" s="3" t="s">
        <v>274</v>
      </c>
      <c r="AN4" s="3" t="s">
        <v>275</v>
      </c>
      <c r="AO4" s="3" t="s">
        <v>276</v>
      </c>
      <c r="AP4" s="3" t="s">
        <v>277</v>
      </c>
      <c r="AQ4" s="3" t="s">
        <v>278</v>
      </c>
      <c r="AR4" s="3" t="s">
        <v>279</v>
      </c>
      <c r="AS4" s="3" t="s">
        <v>280</v>
      </c>
      <c r="AT4" s="3" t="s">
        <v>281</v>
      </c>
    </row>
    <row r="5" spans="1:46" ht="14.4">
      <c r="A5" s="1" t="s">
        <v>17</v>
      </c>
      <c r="B5" s="12">
        <v>78.61</v>
      </c>
      <c r="C5" s="12">
        <v>82.96</v>
      </c>
      <c r="D5" s="12">
        <v>89.65</v>
      </c>
      <c r="E5" s="12">
        <v>100.43</v>
      </c>
      <c r="F5" s="12">
        <v>104.76</v>
      </c>
      <c r="G5" s="12">
        <v>105.18</v>
      </c>
      <c r="H5" s="12">
        <v>110.03</v>
      </c>
      <c r="I5" s="12">
        <v>109.03</v>
      </c>
      <c r="J5" s="12">
        <v>112.97</v>
      </c>
      <c r="K5" s="12">
        <v>118.1</v>
      </c>
      <c r="L5" s="12">
        <v>122.53</v>
      </c>
      <c r="M5" s="12">
        <v>116.95</v>
      </c>
      <c r="N5" s="12">
        <v>123.6</v>
      </c>
      <c r="O5" s="12">
        <v>118.23</v>
      </c>
      <c r="P5" s="12">
        <v>120.84</v>
      </c>
      <c r="Q5" s="12">
        <v>118.3</v>
      </c>
      <c r="R5" s="12">
        <v>119.62</v>
      </c>
      <c r="S5" s="12">
        <v>125.51</v>
      </c>
      <c r="T5" s="12">
        <v>129.43</v>
      </c>
      <c r="U5" s="12">
        <v>127.05</v>
      </c>
      <c r="V5" s="12">
        <v>131.02000000000001</v>
      </c>
      <c r="W5" s="12">
        <v>136.09</v>
      </c>
      <c r="X5" s="12">
        <v>146.15</v>
      </c>
      <c r="Y5" s="12">
        <v>152.82</v>
      </c>
      <c r="Z5" s="12">
        <v>144.93128999999999</v>
      </c>
      <c r="AA5" s="12">
        <v>182.32</v>
      </c>
      <c r="AB5" s="12">
        <v>172.68</v>
      </c>
      <c r="AC5" s="12">
        <v>217.32</v>
      </c>
      <c r="AD5" s="12">
        <v>241.52</v>
      </c>
      <c r="AE5" s="12">
        <v>255.56</v>
      </c>
      <c r="AF5" s="12">
        <v>242.65</v>
      </c>
      <c r="AG5" s="12">
        <v>274.55</v>
      </c>
      <c r="AH5" s="12">
        <v>282.89999999999998</v>
      </c>
      <c r="AI5" s="12">
        <v>291.70999999999998</v>
      </c>
      <c r="AJ5" s="12">
        <v>300.55</v>
      </c>
      <c r="AK5" s="12">
        <v>310.89</v>
      </c>
      <c r="AL5" s="12">
        <v>328.2</v>
      </c>
      <c r="AM5" s="12">
        <v>345.5</v>
      </c>
      <c r="AN5" s="12">
        <v>360.2</v>
      </c>
      <c r="AO5" s="12">
        <v>375.2</v>
      </c>
      <c r="AP5" s="12">
        <v>389.7</v>
      </c>
      <c r="AQ5" s="12">
        <v>406.2</v>
      </c>
      <c r="AR5" s="12">
        <v>422.5</v>
      </c>
      <c r="AS5" s="12">
        <v>436</v>
      </c>
      <c r="AT5" s="12">
        <v>452.4</v>
      </c>
    </row>
    <row r="6" spans="1:46" ht="14.4">
      <c r="A6" s="1" t="s">
        <v>282</v>
      </c>
      <c r="B6" s="13">
        <v>63.66</v>
      </c>
      <c r="C6" s="13">
        <v>65.42</v>
      </c>
      <c r="D6" s="13">
        <v>66.040000000000006</v>
      </c>
      <c r="E6" s="13">
        <v>67.42</v>
      </c>
      <c r="F6" s="13">
        <v>66.989999999999995</v>
      </c>
      <c r="G6" s="13">
        <v>66.930000000000007</v>
      </c>
      <c r="H6" s="13">
        <v>67.760000000000005</v>
      </c>
      <c r="I6" s="13">
        <v>66.69</v>
      </c>
      <c r="J6" s="13">
        <v>64.44</v>
      </c>
      <c r="K6" s="13">
        <v>64.459999999999994</v>
      </c>
      <c r="L6" s="13">
        <v>64.63</v>
      </c>
      <c r="M6" s="13">
        <v>64.349999999999994</v>
      </c>
      <c r="N6" s="13">
        <v>67.5</v>
      </c>
      <c r="O6" s="13">
        <v>70.67</v>
      </c>
      <c r="P6" s="13">
        <v>71.52</v>
      </c>
      <c r="Q6" s="13">
        <v>70.319999999999993</v>
      </c>
      <c r="R6" s="13">
        <v>69.56</v>
      </c>
      <c r="S6" s="13">
        <v>70.48</v>
      </c>
      <c r="T6" s="13">
        <v>71.290000000000006</v>
      </c>
      <c r="U6" s="13">
        <v>72.91</v>
      </c>
      <c r="V6" s="13">
        <v>75.69</v>
      </c>
      <c r="W6" s="13">
        <v>74.05</v>
      </c>
      <c r="X6" s="13">
        <v>73.58</v>
      </c>
      <c r="Y6" s="13">
        <v>72.849999999999994</v>
      </c>
      <c r="Z6" s="13">
        <v>73.737200000000001</v>
      </c>
      <c r="AA6" s="13">
        <v>74.11</v>
      </c>
      <c r="AB6" s="13">
        <v>74.92</v>
      </c>
      <c r="AC6" s="13"/>
      <c r="AD6" s="13">
        <v>77.760000000000005</v>
      </c>
      <c r="AE6" s="13">
        <v>80.16</v>
      </c>
      <c r="AF6" s="13">
        <v>82.06</v>
      </c>
      <c r="AG6" s="13">
        <v>82.12</v>
      </c>
      <c r="AH6" s="13">
        <v>82.05</v>
      </c>
      <c r="AI6" s="13">
        <v>82.67</v>
      </c>
      <c r="AJ6" s="13">
        <v>83.12</v>
      </c>
      <c r="AK6" s="13">
        <v>83.33</v>
      </c>
      <c r="AL6" s="13">
        <v>83.4</v>
      </c>
      <c r="AM6" s="13">
        <v>83.9</v>
      </c>
      <c r="AN6" s="13">
        <v>85</v>
      </c>
      <c r="AO6" s="13">
        <v>86.4</v>
      </c>
      <c r="AP6" s="13">
        <v>85.5</v>
      </c>
      <c r="AQ6" s="13">
        <v>88.2</v>
      </c>
      <c r="AR6" s="13">
        <v>89.4</v>
      </c>
      <c r="AS6" s="13">
        <v>93</v>
      </c>
      <c r="AT6" s="13">
        <v>95.1</v>
      </c>
    </row>
    <row r="7" spans="1:46" ht="14.4">
      <c r="A7" s="1" t="s">
        <v>17</v>
      </c>
      <c r="B7" s="10">
        <v>5004.16</v>
      </c>
      <c r="C7" s="10">
        <v>5427.31</v>
      </c>
      <c r="D7" s="10">
        <v>5920.74</v>
      </c>
      <c r="E7" s="10">
        <v>6771.1</v>
      </c>
      <c r="F7" s="10">
        <v>7017.77</v>
      </c>
      <c r="G7" s="10">
        <v>7040.19</v>
      </c>
      <c r="H7" s="10">
        <v>7455.35</v>
      </c>
      <c r="I7" s="10">
        <v>7271.08</v>
      </c>
      <c r="J7" s="10">
        <v>7280.15</v>
      </c>
      <c r="K7" s="10">
        <v>7612.52</v>
      </c>
      <c r="L7" s="10">
        <v>7918.9</v>
      </c>
      <c r="M7" s="10">
        <v>7525.46</v>
      </c>
      <c r="N7" s="10">
        <v>8342.81</v>
      </c>
      <c r="O7" s="10">
        <v>8355.57</v>
      </c>
      <c r="P7" s="10">
        <v>8642.49</v>
      </c>
      <c r="Q7" s="10">
        <v>8318.5400000000009</v>
      </c>
      <c r="R7" s="10">
        <v>8321.14</v>
      </c>
      <c r="S7" s="10">
        <v>8846</v>
      </c>
      <c r="T7" s="10">
        <v>9227.2900000000009</v>
      </c>
      <c r="U7" s="10">
        <v>9263.65</v>
      </c>
      <c r="V7" s="10">
        <v>9913.85</v>
      </c>
      <c r="W7" s="10">
        <v>10077.469999999999</v>
      </c>
      <c r="X7" s="10">
        <v>10753.98</v>
      </c>
      <c r="Y7" s="10">
        <v>11133.58</v>
      </c>
      <c r="Z7" s="10">
        <v>12299.2611</v>
      </c>
      <c r="AA7" s="10">
        <v>13512.49</v>
      </c>
      <c r="AB7" s="10">
        <v>14917.17</v>
      </c>
      <c r="AC7" s="10">
        <v>16378.54</v>
      </c>
      <c r="AD7" s="10">
        <v>18781.11</v>
      </c>
      <c r="AE7" s="10">
        <v>20486.41</v>
      </c>
      <c r="AF7" s="10">
        <v>21693.68</v>
      </c>
      <c r="AG7" s="10">
        <v>22544.720000000001</v>
      </c>
      <c r="AH7" s="10">
        <v>23211.75</v>
      </c>
      <c r="AI7" s="10">
        <v>24116.7</v>
      </c>
      <c r="AJ7" s="10">
        <v>24982.16</v>
      </c>
      <c r="AK7" s="10">
        <v>25905.26</v>
      </c>
      <c r="AL7" s="10">
        <v>27371.7</v>
      </c>
      <c r="AM7" s="10">
        <v>28971.5</v>
      </c>
      <c r="AN7" s="10">
        <v>30622.799999999999</v>
      </c>
      <c r="AO7" s="10">
        <v>32421.1</v>
      </c>
      <c r="AP7" s="10">
        <v>33335.9</v>
      </c>
      <c r="AQ7" s="10">
        <v>35807.199999999997</v>
      </c>
      <c r="AR7" s="10">
        <v>37782.1</v>
      </c>
      <c r="AS7" s="10">
        <v>40559.4</v>
      </c>
      <c r="AT7" s="10">
        <v>43032.3</v>
      </c>
    </row>
    <row r="8" spans="1:46" ht="14.4">
      <c r="A8" s="1" t="s">
        <v>418</v>
      </c>
      <c r="B8" s="17"/>
      <c r="C8" s="17">
        <v>8.4559646374216868E-2</v>
      </c>
      <c r="D8" s="17">
        <v>9.0916126036655331E-2</v>
      </c>
      <c r="E8" s="17">
        <v>0.14362393889952951</v>
      </c>
      <c r="F8" s="17">
        <v>3.6429826763745954E-2</v>
      </c>
      <c r="G8" s="17">
        <v>3.1947470492761365E-3</v>
      </c>
      <c r="H8" s="17">
        <v>5.8969999389221206E-2</v>
      </c>
      <c r="I8" s="17">
        <v>-2.471647877027916E-2</v>
      </c>
      <c r="J8" s="17">
        <v>1.2474075378072769E-3</v>
      </c>
      <c r="K8" s="17">
        <v>4.5654279101392303E-2</v>
      </c>
      <c r="L8" s="17">
        <v>4.0246856494301486E-2</v>
      </c>
      <c r="M8" s="17">
        <v>-4.9683668186237928E-2</v>
      </c>
      <c r="N8" s="17">
        <v>0.10861130083742387</v>
      </c>
      <c r="O8" s="17">
        <v>1.529460697295093E-3</v>
      </c>
      <c r="P8" s="17">
        <v>3.4338770424998E-2</v>
      </c>
      <c r="Q8" s="17">
        <v>-3.7483410452311627E-2</v>
      </c>
      <c r="R8" s="17">
        <v>3.1255484736480987E-4</v>
      </c>
      <c r="S8" s="17">
        <v>6.3075492059982308E-2</v>
      </c>
      <c r="T8" s="17">
        <v>4.3103097445173155E-2</v>
      </c>
      <c r="U8" s="17">
        <v>3.9404852345594765E-3</v>
      </c>
      <c r="V8" s="17">
        <v>7.0188316700220854E-2</v>
      </c>
      <c r="W8" s="17">
        <v>1.6504183541207418E-2</v>
      </c>
      <c r="X8" s="17">
        <v>6.7130936633897242E-2</v>
      </c>
      <c r="Y8" s="17">
        <v>3.5298559231093929E-2</v>
      </c>
      <c r="Z8" s="17">
        <v>0.1046995755183866</v>
      </c>
      <c r="AA8" s="17">
        <v>9.8642421697999305E-2</v>
      </c>
      <c r="AB8" s="17">
        <v>0.10395419349061497</v>
      </c>
      <c r="AC8" s="17">
        <v>9.7965632891493515E-2</v>
      </c>
      <c r="AD8" s="17">
        <v>0.14669012012059679</v>
      </c>
      <c r="AE8" s="17">
        <v>9.079868016320658E-2</v>
      </c>
      <c r="AF8" s="17">
        <v>5.8930285979827524E-2</v>
      </c>
      <c r="AG8" s="17">
        <v>3.9229858650076999E-2</v>
      </c>
      <c r="AH8" s="17">
        <v>2.9586972027153102E-2</v>
      </c>
      <c r="AI8" s="17">
        <v>3.8986720087886617E-2</v>
      </c>
      <c r="AJ8" s="17">
        <v>3.58863360244146E-2</v>
      </c>
      <c r="AK8" s="17">
        <v>3.6950367782449423E-2</v>
      </c>
      <c r="AL8" s="17">
        <v>5.6607808607209487E-2</v>
      </c>
      <c r="AM8" s="17">
        <v>5.8447228341681257E-2</v>
      </c>
      <c r="AN8" s="17">
        <v>5.699739399064585E-2</v>
      </c>
      <c r="AO8" s="17">
        <v>5.8724218556108543E-2</v>
      </c>
      <c r="AP8" s="17">
        <v>2.8216192541277163E-2</v>
      </c>
      <c r="AQ8" s="17">
        <v>7.4133291736536044E-2</v>
      </c>
      <c r="AR8" s="17">
        <v>5.515371210259401E-2</v>
      </c>
      <c r="AS8" s="17">
        <v>7.3508354485325222E-2</v>
      </c>
      <c r="AT8" s="17">
        <v>6.0969836831905821E-2</v>
      </c>
    </row>
    <row r="9" spans="1:46" ht="14.4">
      <c r="A9" s="1" t="s">
        <v>419</v>
      </c>
      <c r="B9" s="17"/>
      <c r="C9" s="17"/>
      <c r="D9" s="17"/>
      <c r="E9" s="17"/>
      <c r="F9" s="17">
        <v>0.40238721383808684</v>
      </c>
      <c r="G9" s="17">
        <v>0.29717852858966953</v>
      </c>
      <c r="H9" s="17">
        <v>0.25919226312927113</v>
      </c>
      <c r="I9" s="17">
        <v>7.3840291828506377E-2</v>
      </c>
      <c r="J9" s="17">
        <v>3.7387945173466663E-2</v>
      </c>
      <c r="K9" s="17">
        <v>8.1294680967417099E-2</v>
      </c>
      <c r="L9" s="17">
        <v>6.2176826037677602E-2</v>
      </c>
      <c r="M9" s="17">
        <v>3.4985174141943132E-2</v>
      </c>
      <c r="N9" s="17">
        <v>0.14596677266265123</v>
      </c>
      <c r="O9" s="17">
        <v>9.7608938958452462E-2</v>
      </c>
      <c r="P9" s="17">
        <v>9.1375064718584698E-2</v>
      </c>
      <c r="Q9" s="17">
        <v>0.10538624881402603</v>
      </c>
      <c r="R9" s="17">
        <v>-2.5974461841993257E-3</v>
      </c>
      <c r="S9" s="17">
        <v>5.8694978319851376E-2</v>
      </c>
      <c r="T9" s="17">
        <v>6.7665684310887375E-2</v>
      </c>
      <c r="U9" s="17">
        <v>0.11361488915122098</v>
      </c>
      <c r="V9" s="17">
        <v>0.1914052641825521</v>
      </c>
      <c r="W9" s="17">
        <v>0.13921207325344787</v>
      </c>
      <c r="X9" s="17">
        <v>0.16545377895351709</v>
      </c>
      <c r="Y9" s="17">
        <v>0.20185671954359252</v>
      </c>
      <c r="Z9" s="17">
        <v>0.24061399960661078</v>
      </c>
      <c r="AA9" s="17">
        <v>0.34086134714367788</v>
      </c>
      <c r="AB9" s="17">
        <v>0.38713016018255564</v>
      </c>
      <c r="AC9" s="17">
        <v>0.47109375421023625</v>
      </c>
      <c r="AD9" s="17">
        <v>0.52701124460232829</v>
      </c>
      <c r="AE9" s="17">
        <v>0.51610917010854407</v>
      </c>
      <c r="AF9" s="17">
        <v>0.45427584454692149</v>
      </c>
      <c r="AG9" s="17">
        <v>0.3764792222017348</v>
      </c>
      <c r="AH9" s="17">
        <v>0.23590937915810084</v>
      </c>
      <c r="AI9" s="17">
        <v>0.17720479088332231</v>
      </c>
      <c r="AJ9" s="17">
        <v>0.15158700598515318</v>
      </c>
      <c r="AK9" s="17">
        <v>0.14906106618312398</v>
      </c>
      <c r="AL9" s="17">
        <v>0.17921742221073389</v>
      </c>
      <c r="AM9" s="17">
        <v>0.20130449024949515</v>
      </c>
      <c r="AN9" s="17">
        <v>0.22578672140439426</v>
      </c>
      <c r="AO9" s="17">
        <v>0.25152575191293192</v>
      </c>
      <c r="AP9" s="17">
        <v>0.21789658662048761</v>
      </c>
      <c r="AQ9" s="17">
        <v>0.23594567074538753</v>
      </c>
      <c r="AR9" s="17">
        <v>0.23378985592434387</v>
      </c>
      <c r="AS9" s="17">
        <v>0.25101862675849995</v>
      </c>
      <c r="AT9" s="17">
        <v>0.29086960304056597</v>
      </c>
    </row>
    <row r="10" spans="1:46" ht="14.4">
      <c r="A10" s="1" t="s">
        <v>283</v>
      </c>
      <c r="B10" s="10">
        <v>3015.2</v>
      </c>
      <c r="C10" s="10">
        <v>3313.74</v>
      </c>
      <c r="D10" s="10">
        <v>3622.39</v>
      </c>
      <c r="E10" s="10">
        <v>4353.47</v>
      </c>
      <c r="F10" s="10">
        <v>4584.5200000000004</v>
      </c>
      <c r="G10" s="10">
        <v>4538.51</v>
      </c>
      <c r="H10" s="10">
        <v>4751.0200000000004</v>
      </c>
      <c r="I10" s="10">
        <v>4643.97</v>
      </c>
      <c r="J10" s="10">
        <v>4783.17</v>
      </c>
      <c r="K10" s="10">
        <v>4994.0600000000004</v>
      </c>
      <c r="L10" s="10">
        <v>5008.8999999999996</v>
      </c>
      <c r="M10" s="10">
        <v>4917.99</v>
      </c>
      <c r="N10" s="10">
        <v>5372.82</v>
      </c>
      <c r="O10" s="10">
        <v>5409.62</v>
      </c>
      <c r="P10" s="10">
        <v>5341.15</v>
      </c>
      <c r="Q10" s="10">
        <v>5254.56</v>
      </c>
      <c r="R10" s="10">
        <v>5434.02</v>
      </c>
      <c r="S10" s="10">
        <v>5773.25</v>
      </c>
      <c r="T10" s="10">
        <v>6157.43</v>
      </c>
      <c r="U10" s="10">
        <v>6129.63</v>
      </c>
      <c r="V10" s="10">
        <v>6646.37</v>
      </c>
      <c r="W10" s="10">
        <v>6576.62</v>
      </c>
      <c r="X10" s="10">
        <v>7064.21</v>
      </c>
      <c r="Y10" s="10">
        <v>7363.04</v>
      </c>
      <c r="Z10" s="10">
        <v>8173.0870000000004</v>
      </c>
      <c r="AA10" s="10">
        <v>8982.0300000000007</v>
      </c>
      <c r="AB10" s="10">
        <v>9880.34</v>
      </c>
      <c r="AC10" s="10">
        <v>10859.49</v>
      </c>
      <c r="AD10" s="10">
        <v>12433.14</v>
      </c>
      <c r="AE10" s="10">
        <v>13628.38</v>
      </c>
      <c r="AF10" s="10">
        <v>14360.05</v>
      </c>
      <c r="AG10" s="10">
        <v>14893.75</v>
      </c>
      <c r="AH10" s="10">
        <v>15278.46</v>
      </c>
      <c r="AI10" s="10">
        <v>16127.2</v>
      </c>
      <c r="AJ10" s="10">
        <v>16539.12</v>
      </c>
      <c r="AK10" s="10"/>
      <c r="AL10" s="10">
        <v>18328.7</v>
      </c>
      <c r="AM10" s="10">
        <v>19294</v>
      </c>
      <c r="AN10" s="10">
        <v>20000.400000000001</v>
      </c>
      <c r="AO10" s="10">
        <v>21117</v>
      </c>
      <c r="AP10" s="10">
        <v>21576.2</v>
      </c>
      <c r="AQ10" s="10">
        <v>22923.8</v>
      </c>
      <c r="AR10" s="10">
        <v>25017.8</v>
      </c>
      <c r="AS10" s="10">
        <v>26246.9</v>
      </c>
      <c r="AT10" s="10">
        <v>27915.4</v>
      </c>
    </row>
    <row r="11" spans="1:46" ht="14.4">
      <c r="A11" s="1" t="s">
        <v>284</v>
      </c>
      <c r="B11" s="10">
        <v>1988.96</v>
      </c>
      <c r="C11" s="10">
        <v>2113.5700000000002</v>
      </c>
      <c r="D11" s="10">
        <v>2298.35</v>
      </c>
      <c r="E11" s="10">
        <v>2417.63</v>
      </c>
      <c r="F11" s="10">
        <v>2433.25</v>
      </c>
      <c r="G11" s="10">
        <v>2501.6799999999998</v>
      </c>
      <c r="H11" s="10">
        <v>2704.33</v>
      </c>
      <c r="I11" s="10">
        <v>2627.11</v>
      </c>
      <c r="J11" s="10">
        <v>2496.98</v>
      </c>
      <c r="K11" s="10">
        <v>2618.46</v>
      </c>
      <c r="L11" s="10">
        <v>2910</v>
      </c>
      <c r="M11" s="10">
        <v>2607.4699999999998</v>
      </c>
      <c r="N11" s="10">
        <v>2969.99</v>
      </c>
      <c r="O11" s="10">
        <v>2945.95</v>
      </c>
      <c r="P11" s="10">
        <v>3301.34</v>
      </c>
      <c r="Q11" s="10">
        <v>3063.98</v>
      </c>
      <c r="R11" s="10">
        <v>2887.12</v>
      </c>
      <c r="S11" s="10">
        <v>3072.75</v>
      </c>
      <c r="T11" s="10">
        <v>3069.86</v>
      </c>
      <c r="U11" s="10">
        <v>3134.02</v>
      </c>
      <c r="V11" s="10">
        <v>3267.48</v>
      </c>
      <c r="W11" s="10">
        <v>3500.85</v>
      </c>
      <c r="X11" s="10">
        <v>3689.77</v>
      </c>
      <c r="Y11" s="10">
        <v>3770.54</v>
      </c>
      <c r="Z11" s="10">
        <v>4126.183</v>
      </c>
      <c r="AA11" s="10">
        <v>4530.46</v>
      </c>
      <c r="AB11" s="10">
        <v>5036.83</v>
      </c>
      <c r="AC11" s="10">
        <v>5519.05</v>
      </c>
      <c r="AD11" s="10">
        <v>6347.97</v>
      </c>
      <c r="AE11" s="10">
        <v>6858.03</v>
      </c>
      <c r="AF11" s="10">
        <v>7333.63</v>
      </c>
      <c r="AG11" s="10">
        <v>7650.97</v>
      </c>
      <c r="AH11" s="10">
        <v>7933.29</v>
      </c>
      <c r="AI11" s="10">
        <v>7989.5</v>
      </c>
      <c r="AJ11" s="10">
        <v>8443.0400000000009</v>
      </c>
      <c r="AK11" s="10">
        <v>8618.9500000000007</v>
      </c>
      <c r="AL11" s="10">
        <v>9043</v>
      </c>
      <c r="AM11" s="10">
        <v>9677.5</v>
      </c>
      <c r="AN11" s="10">
        <v>10622.5</v>
      </c>
      <c r="AO11" s="10">
        <v>11304.1</v>
      </c>
      <c r="AP11" s="10">
        <v>11759.7</v>
      </c>
      <c r="AQ11" s="10">
        <v>12883.4</v>
      </c>
      <c r="AR11" s="10">
        <v>12764.3</v>
      </c>
      <c r="AS11" s="10">
        <v>14312.4</v>
      </c>
      <c r="AT11" s="10">
        <v>15116.9</v>
      </c>
    </row>
    <row r="12" spans="1:46" ht="14.4">
      <c r="A12" s="1" t="s">
        <v>24</v>
      </c>
      <c r="B12" s="17">
        <v>0.39746131218825936</v>
      </c>
      <c r="C12" s="17">
        <v>0.3894323338817941</v>
      </c>
      <c r="D12" s="17">
        <v>0.38818627401304567</v>
      </c>
      <c r="E12" s="17">
        <v>0.35705129151836479</v>
      </c>
      <c r="F12" s="17">
        <v>0.34672695172398066</v>
      </c>
      <c r="G12" s="17">
        <v>0.35534268251282991</v>
      </c>
      <c r="H12" s="17">
        <v>0.36273682657420508</v>
      </c>
      <c r="I12" s="17">
        <v>0.36130946159305083</v>
      </c>
      <c r="J12" s="17">
        <v>0.34298469124949349</v>
      </c>
      <c r="K12" s="17">
        <v>0.34396756921492488</v>
      </c>
      <c r="L12" s="17">
        <v>0.3674752806576671</v>
      </c>
      <c r="M12" s="17">
        <v>0.34648646062832039</v>
      </c>
      <c r="N12" s="17">
        <v>0.35599396366452069</v>
      </c>
      <c r="O12" s="17">
        <v>0.35257319368995771</v>
      </c>
      <c r="P12" s="17">
        <v>0.3819894497997684</v>
      </c>
      <c r="Q12" s="17">
        <v>0.36833146201136252</v>
      </c>
      <c r="R12" s="17">
        <v>0.3469620749080054</v>
      </c>
      <c r="S12" s="17">
        <v>0.34736038887632831</v>
      </c>
      <c r="T12" s="17">
        <v>0.3326935644159878</v>
      </c>
      <c r="U12" s="17">
        <v>0.33831373162846179</v>
      </c>
      <c r="V12" s="17">
        <v>0.32958739541146981</v>
      </c>
      <c r="W12" s="17">
        <v>0.34739374069086787</v>
      </c>
      <c r="X12" s="17">
        <v>0.34310738907827615</v>
      </c>
      <c r="Y12" s="17">
        <v>0.33866375415634503</v>
      </c>
      <c r="Z12" s="17">
        <v>0.33548218599896218</v>
      </c>
      <c r="AA12" s="17">
        <v>0.33527943406433602</v>
      </c>
      <c r="AB12" s="17">
        <v>0.3376531875684195</v>
      </c>
      <c r="AC12" s="17">
        <v>0.33696837447049616</v>
      </c>
      <c r="AD12" s="17">
        <v>0.33799759439138582</v>
      </c>
      <c r="AE12" s="17">
        <v>0.33475997014606268</v>
      </c>
      <c r="AF12" s="17">
        <v>0.33805375574821789</v>
      </c>
      <c r="AG12" s="17">
        <v>0.33936859717042395</v>
      </c>
      <c r="AH12" s="17">
        <v>0.3417790558661023</v>
      </c>
      <c r="AI12" s="17">
        <v>0.33128496021429132</v>
      </c>
      <c r="AJ12" s="17">
        <v>0.33796277023283822</v>
      </c>
      <c r="AK12" s="17">
        <v>0.33271042251650829</v>
      </c>
      <c r="AL12" s="17">
        <v>0.33037772589937781</v>
      </c>
      <c r="AM12" s="17">
        <v>0.33403517249710923</v>
      </c>
      <c r="AN12" s="17">
        <v>0.34688206173178154</v>
      </c>
      <c r="AO12" s="17">
        <v>0.34866491266490035</v>
      </c>
      <c r="AP12" s="17">
        <v>0.3527638371845368</v>
      </c>
      <c r="AQ12" s="17">
        <v>0.3597991465403606</v>
      </c>
      <c r="AR12" s="17">
        <v>0.33783987655530001</v>
      </c>
      <c r="AS12" s="17">
        <v>0.3528750425302149</v>
      </c>
      <c r="AT12" s="17">
        <v>0.35129193652210083</v>
      </c>
    </row>
    <row r="13" spans="1:46" ht="14.4">
      <c r="A13" s="1" t="s">
        <v>285</v>
      </c>
      <c r="B13" s="10">
        <v>1019.88</v>
      </c>
      <c r="C13" s="10">
        <v>1096.06</v>
      </c>
      <c r="D13" s="10">
        <v>1187.9000000000001</v>
      </c>
      <c r="E13" s="10">
        <v>1343.61</v>
      </c>
      <c r="F13" s="10">
        <v>1375.74</v>
      </c>
      <c r="G13" s="10">
        <v>1393.89</v>
      </c>
      <c r="H13" s="10">
        <v>1517.78</v>
      </c>
      <c r="I13" s="10">
        <v>1439.61</v>
      </c>
      <c r="J13" s="10">
        <v>1453.4</v>
      </c>
      <c r="K13" s="10">
        <v>1460.64</v>
      </c>
      <c r="L13" s="10">
        <v>1534.83</v>
      </c>
      <c r="M13" s="10">
        <v>1496.84</v>
      </c>
      <c r="N13" s="10">
        <v>1569.53</v>
      </c>
      <c r="O13" s="10">
        <v>1509.72</v>
      </c>
      <c r="P13" s="10">
        <v>1598.17</v>
      </c>
      <c r="Q13" s="10">
        <v>1798.48</v>
      </c>
      <c r="R13" s="10">
        <v>1685.19</v>
      </c>
      <c r="S13" s="10">
        <v>1856.3</v>
      </c>
      <c r="T13" s="10">
        <v>1835.55</v>
      </c>
      <c r="U13" s="10">
        <v>1857.17</v>
      </c>
      <c r="V13" s="10">
        <v>1803.12</v>
      </c>
      <c r="W13" s="10">
        <v>1843.13</v>
      </c>
      <c r="X13" s="10">
        <v>1864.99</v>
      </c>
      <c r="Y13" s="10">
        <v>1887.25</v>
      </c>
      <c r="Z13" s="10">
        <v>2110.9810000000002</v>
      </c>
      <c r="AA13" s="10">
        <v>2286.52</v>
      </c>
      <c r="AB13" s="10">
        <v>2526</v>
      </c>
      <c r="AC13" s="10">
        <v>2707.31</v>
      </c>
      <c r="AD13" s="10">
        <v>3015.05</v>
      </c>
      <c r="AE13" s="10">
        <v>3178.39</v>
      </c>
      <c r="AF13" s="10">
        <v>3318.08</v>
      </c>
      <c r="AG13" s="10">
        <v>3487.83</v>
      </c>
      <c r="AH13" s="10">
        <v>3703.85</v>
      </c>
      <c r="AI13" s="10">
        <v>3937.88</v>
      </c>
      <c r="AJ13" s="10">
        <v>4024.7</v>
      </c>
      <c r="AK13" s="10"/>
      <c r="AL13" s="10">
        <v>4490.8999999999996</v>
      </c>
      <c r="AM13" s="10">
        <v>4870.3</v>
      </c>
      <c r="AN13" s="10">
        <v>5244.1</v>
      </c>
      <c r="AO13" s="10">
        <v>5460.2</v>
      </c>
      <c r="AP13" s="10">
        <v>5643.7</v>
      </c>
      <c r="AQ13" s="10">
        <v>6045.5</v>
      </c>
      <c r="AR13" s="10">
        <v>6331</v>
      </c>
      <c r="AS13" s="10">
        <v>6635.4</v>
      </c>
      <c r="AT13" s="10">
        <v>7095.3</v>
      </c>
    </row>
    <row r="14" spans="1:46" ht="14.4">
      <c r="A14" s="1" t="s">
        <v>26</v>
      </c>
      <c r="B14" s="10">
        <v>969.08</v>
      </c>
      <c r="C14" s="10">
        <v>1017.51</v>
      </c>
      <c r="D14" s="10">
        <v>1110.45</v>
      </c>
      <c r="E14" s="10">
        <v>1074.02</v>
      </c>
      <c r="F14" s="10">
        <v>1057.51</v>
      </c>
      <c r="G14" s="10">
        <v>1107.79</v>
      </c>
      <c r="H14" s="10">
        <v>1186.55</v>
      </c>
      <c r="I14" s="10">
        <v>1187.5</v>
      </c>
      <c r="J14" s="10">
        <v>1043.58</v>
      </c>
      <c r="K14" s="10">
        <v>1157.82</v>
      </c>
      <c r="L14" s="10">
        <v>1375.17</v>
      </c>
      <c r="M14" s="10">
        <v>1110.6300000000001</v>
      </c>
      <c r="N14" s="10">
        <v>1400.46</v>
      </c>
      <c r="O14" s="10">
        <v>1436.23</v>
      </c>
      <c r="P14" s="10">
        <v>1703.17</v>
      </c>
      <c r="Q14" s="10">
        <v>1265.5</v>
      </c>
      <c r="R14" s="10">
        <v>1201.93</v>
      </c>
      <c r="S14" s="10">
        <v>1216.45</v>
      </c>
      <c r="T14" s="10">
        <v>1234.31</v>
      </c>
      <c r="U14" s="10">
        <v>1276.8499999999999</v>
      </c>
      <c r="V14" s="10">
        <v>1464.36</v>
      </c>
      <c r="W14" s="10">
        <v>1657.72</v>
      </c>
      <c r="X14" s="10">
        <v>1824.78</v>
      </c>
      <c r="Y14" s="10">
        <v>1883.29</v>
      </c>
      <c r="Z14" s="10">
        <v>2015.201</v>
      </c>
      <c r="AA14" s="10">
        <v>2243.94</v>
      </c>
      <c r="AB14" s="10">
        <v>2510.83</v>
      </c>
      <c r="AC14" s="10">
        <v>2811.74</v>
      </c>
      <c r="AD14" s="10">
        <v>3332.92</v>
      </c>
      <c r="AE14" s="10">
        <v>3679.64</v>
      </c>
      <c r="AF14" s="10">
        <v>4015.55</v>
      </c>
      <c r="AG14" s="10">
        <v>4163.1400000000003</v>
      </c>
      <c r="AH14" s="10">
        <v>4229.4399999999996</v>
      </c>
      <c r="AI14" s="10">
        <v>4051.62</v>
      </c>
      <c r="AJ14" s="10">
        <v>4418.34</v>
      </c>
      <c r="AK14" s="10">
        <v>4543.62</v>
      </c>
      <c r="AL14" s="10">
        <v>4552.1000000000004</v>
      </c>
      <c r="AM14" s="10">
        <v>4807.3</v>
      </c>
      <c r="AN14" s="10">
        <v>5378.4</v>
      </c>
      <c r="AO14" s="10">
        <v>5843.9</v>
      </c>
      <c r="AP14" s="10">
        <v>6115.9</v>
      </c>
      <c r="AQ14" s="10">
        <v>6837.9</v>
      </c>
      <c r="AR14" s="10">
        <v>6433.3</v>
      </c>
      <c r="AS14" s="10">
        <v>7677</v>
      </c>
      <c r="AT14" s="10">
        <v>8021.6</v>
      </c>
    </row>
    <row r="15" spans="1:46" ht="14.4">
      <c r="A15" s="1" t="s">
        <v>25</v>
      </c>
      <c r="B15" s="17">
        <v>0.19365487914055507</v>
      </c>
      <c r="C15" s="17">
        <v>0.18747961697415477</v>
      </c>
      <c r="D15" s="17">
        <v>0.18755256944233323</v>
      </c>
      <c r="E15" s="17">
        <v>0.15861824518911255</v>
      </c>
      <c r="F15" s="17">
        <v>0.15069031900447008</v>
      </c>
      <c r="G15" s="17">
        <v>0.15735228736724435</v>
      </c>
      <c r="H15" s="17">
        <v>0.15915416445907971</v>
      </c>
      <c r="I15" s="17">
        <v>0.16331824158171826</v>
      </c>
      <c r="J15" s="17">
        <v>0.14334594754228966</v>
      </c>
      <c r="K15" s="17">
        <v>0.15209418169016303</v>
      </c>
      <c r="L15" s="17">
        <v>0.17365669474295675</v>
      </c>
      <c r="M15" s="17">
        <v>0.14758300489272419</v>
      </c>
      <c r="N15" s="17">
        <v>0.16786430471268077</v>
      </c>
      <c r="O15" s="17">
        <v>0.1718889315749853</v>
      </c>
      <c r="P15" s="17">
        <v>0.19706936311178841</v>
      </c>
      <c r="Q15" s="17">
        <v>0.15213006128479276</v>
      </c>
      <c r="R15" s="17">
        <v>0.14444294892286394</v>
      </c>
      <c r="S15" s="17">
        <v>0.13751413068053359</v>
      </c>
      <c r="T15" s="17">
        <v>0.13376733580498715</v>
      </c>
      <c r="U15" s="17">
        <v>0.13783443890906932</v>
      </c>
      <c r="V15" s="17">
        <v>0.14770850880334077</v>
      </c>
      <c r="W15" s="17">
        <v>0.16449763680765114</v>
      </c>
      <c r="X15" s="17">
        <v>0.16968415414572094</v>
      </c>
      <c r="Y15" s="17">
        <v>0.16915403670697116</v>
      </c>
      <c r="Z15" s="17">
        <v>0.1638473225029754</v>
      </c>
      <c r="AA15" s="17">
        <v>0.16606413769778924</v>
      </c>
      <c r="AB15" s="17">
        <v>0.16831811932156032</v>
      </c>
      <c r="AC15" s="17">
        <v>0.17167220033043237</v>
      </c>
      <c r="AD15" s="17">
        <v>0.17746128956169258</v>
      </c>
      <c r="AE15" s="17">
        <v>0.17961370489021747</v>
      </c>
      <c r="AF15" s="17">
        <v>0.18510229707453968</v>
      </c>
      <c r="AG15" s="17">
        <v>0.18466141961399388</v>
      </c>
      <c r="AH15" s="17">
        <v>0.18221116460413367</v>
      </c>
      <c r="AI15" s="17">
        <v>0.16800059709661769</v>
      </c>
      <c r="AJ15" s="17">
        <v>0.17685980715838823</v>
      </c>
      <c r="AK15" s="17">
        <v>0.17539372312804427</v>
      </c>
      <c r="AL15" s="17">
        <v>0.16630680593459668</v>
      </c>
      <c r="AM15" s="17">
        <v>0.16593203665671435</v>
      </c>
      <c r="AN15" s="17">
        <v>0.17563384145146752</v>
      </c>
      <c r="AO15" s="17">
        <v>0.1802498989855372</v>
      </c>
      <c r="AP15" s="17">
        <v>0.18346287335875136</v>
      </c>
      <c r="AQ15" s="17">
        <v>0.19096438705064903</v>
      </c>
      <c r="AR15" s="17">
        <v>0.17027375397344247</v>
      </c>
      <c r="AS15" s="17">
        <v>0.18927794789863756</v>
      </c>
      <c r="AT15" s="17">
        <v>0.18640881384448427</v>
      </c>
    </row>
    <row r="16" spans="1:46" ht="14.4">
      <c r="A16" s="1" t="s">
        <v>286</v>
      </c>
      <c r="B16" s="10">
        <v>132.76</v>
      </c>
      <c r="C16" s="10">
        <v>141.30000000000001</v>
      </c>
      <c r="D16" s="10">
        <v>150.13999999999999</v>
      </c>
      <c r="E16" s="10">
        <v>144.33000000000001</v>
      </c>
      <c r="F16" s="10">
        <v>147.83000000000001</v>
      </c>
      <c r="G16" s="10">
        <v>139.26</v>
      </c>
      <c r="H16" s="10">
        <v>143.19</v>
      </c>
      <c r="I16" s="10">
        <v>142.09</v>
      </c>
      <c r="J16" s="10">
        <v>132.76</v>
      </c>
      <c r="K16" s="10">
        <v>130.01</v>
      </c>
      <c r="L16" s="10">
        <v>124.37</v>
      </c>
      <c r="M16" s="10">
        <v>133.77000000000001</v>
      </c>
      <c r="N16" s="10">
        <v>122.86</v>
      </c>
      <c r="O16" s="10">
        <v>119.72</v>
      </c>
      <c r="P16" s="10">
        <v>115.83</v>
      </c>
      <c r="Q16" s="10">
        <v>115.98</v>
      </c>
      <c r="R16" s="10">
        <v>110.2</v>
      </c>
      <c r="S16" s="10">
        <v>115.91</v>
      </c>
      <c r="T16" s="10">
        <v>116.24</v>
      </c>
      <c r="U16" s="10">
        <v>111.14</v>
      </c>
      <c r="V16" s="10">
        <v>109.8</v>
      </c>
      <c r="W16" s="10">
        <v>115.08</v>
      </c>
      <c r="X16" s="10">
        <v>117.22</v>
      </c>
      <c r="Y16" s="10">
        <v>124.68</v>
      </c>
      <c r="Z16" s="10"/>
      <c r="AA16" s="10">
        <v>168.12</v>
      </c>
      <c r="AB16" s="10"/>
      <c r="AC16" s="10">
        <v>231.18</v>
      </c>
      <c r="AD16" s="10">
        <v>222.08</v>
      </c>
      <c r="AE16" s="10">
        <v>243.95</v>
      </c>
      <c r="AF16" s="10"/>
      <c r="AG16" s="10">
        <v>293.22000000000003</v>
      </c>
      <c r="AH16" s="10">
        <v>287.56</v>
      </c>
      <c r="AI16" s="10">
        <v>297.08999999999997</v>
      </c>
      <c r="AJ16" s="10">
        <v>303.20999999999998</v>
      </c>
      <c r="AK16" s="10">
        <v>299.64999999999998</v>
      </c>
      <c r="AL16" s="10">
        <v>211.5</v>
      </c>
      <c r="AM16" s="10">
        <v>226.9</v>
      </c>
      <c r="AN16" s="10">
        <v>242.4</v>
      </c>
      <c r="AO16" s="10">
        <v>239.9</v>
      </c>
      <c r="AP16" s="10">
        <v>252.8</v>
      </c>
      <c r="AQ16" s="10">
        <v>254.2</v>
      </c>
      <c r="AR16" s="10">
        <v>246.8</v>
      </c>
      <c r="AS16" s="10">
        <v>257.89999999999998</v>
      </c>
      <c r="AT16" s="10">
        <v>244.2</v>
      </c>
    </row>
    <row r="17" spans="1:46" ht="14.4">
      <c r="A17" s="1" t="s">
        <v>287</v>
      </c>
      <c r="B17" s="10">
        <v>93.96</v>
      </c>
      <c r="C17" s="10">
        <v>94.75</v>
      </c>
      <c r="D17" s="10">
        <v>96.33</v>
      </c>
      <c r="E17" s="10">
        <v>111.59</v>
      </c>
      <c r="F17" s="10">
        <v>194.98</v>
      </c>
      <c r="G17" s="10">
        <v>227.45</v>
      </c>
      <c r="H17" s="10">
        <v>243.34</v>
      </c>
      <c r="I17" s="10">
        <v>252.03</v>
      </c>
      <c r="J17" s="10">
        <v>259.14999999999998</v>
      </c>
      <c r="K17" s="10">
        <v>249.43</v>
      </c>
      <c r="L17" s="10">
        <v>268.26</v>
      </c>
      <c r="M17" s="10">
        <v>287.12</v>
      </c>
      <c r="N17" s="10">
        <v>277.95</v>
      </c>
      <c r="O17" s="10">
        <v>278.86</v>
      </c>
      <c r="P17" s="10">
        <v>280.49</v>
      </c>
      <c r="Q17" s="10">
        <v>260.82</v>
      </c>
      <c r="R17" s="10">
        <v>275.97000000000003</v>
      </c>
      <c r="S17" s="10">
        <v>308.99</v>
      </c>
      <c r="T17" s="10">
        <v>312.06</v>
      </c>
      <c r="U17" s="10">
        <v>309.11</v>
      </c>
      <c r="V17" s="10">
        <v>325.81</v>
      </c>
      <c r="W17" s="10">
        <v>324.70999999999998</v>
      </c>
      <c r="X17" s="10">
        <v>343.83</v>
      </c>
      <c r="Y17" s="10">
        <v>294.37</v>
      </c>
      <c r="Z17" s="10"/>
      <c r="AA17" s="10">
        <v>202.71</v>
      </c>
      <c r="AB17" s="10"/>
      <c r="AC17" s="10">
        <v>280.17</v>
      </c>
      <c r="AD17" s="10">
        <v>423.04</v>
      </c>
      <c r="AE17" s="10">
        <v>449.12</v>
      </c>
      <c r="AF17" s="10"/>
      <c r="AG17" s="10">
        <v>404.03</v>
      </c>
      <c r="AH17" s="10">
        <v>475.72</v>
      </c>
      <c r="AI17" s="10">
        <v>446.88</v>
      </c>
      <c r="AJ17" s="10">
        <v>484.1</v>
      </c>
      <c r="AK17" s="10">
        <v>499.52</v>
      </c>
      <c r="AL17" s="10">
        <v>500.5</v>
      </c>
      <c r="AM17" s="10">
        <v>518.1</v>
      </c>
      <c r="AN17" s="10">
        <v>578.79999999999995</v>
      </c>
      <c r="AO17" s="10">
        <v>551.20000000000005</v>
      </c>
      <c r="AP17" s="10">
        <v>685.1</v>
      </c>
      <c r="AQ17" s="10">
        <v>746.3</v>
      </c>
      <c r="AR17" s="10">
        <v>759.1</v>
      </c>
      <c r="AS17" s="10">
        <v>827.5</v>
      </c>
      <c r="AT17" s="10">
        <v>908.6</v>
      </c>
    </row>
    <row r="18" spans="1:46" ht="14.4">
      <c r="A18" s="1" t="s">
        <v>229</v>
      </c>
      <c r="B18" s="10">
        <v>226.71999999999997</v>
      </c>
      <c r="C18" s="10">
        <v>236.05</v>
      </c>
      <c r="D18" s="10">
        <v>246.46999999999997</v>
      </c>
      <c r="E18" s="10">
        <v>255.92000000000002</v>
      </c>
      <c r="F18" s="10">
        <v>342.81</v>
      </c>
      <c r="G18" s="10">
        <v>366.71</v>
      </c>
      <c r="H18" s="10">
        <v>386.53</v>
      </c>
      <c r="I18" s="10">
        <v>394.12</v>
      </c>
      <c r="J18" s="10">
        <v>391.90999999999997</v>
      </c>
      <c r="K18" s="10">
        <v>379.44</v>
      </c>
      <c r="L18" s="10">
        <v>392.63</v>
      </c>
      <c r="M18" s="10">
        <v>420.89</v>
      </c>
      <c r="N18" s="10">
        <v>400.81</v>
      </c>
      <c r="O18" s="10">
        <v>398.58000000000004</v>
      </c>
      <c r="P18" s="10">
        <v>396.32</v>
      </c>
      <c r="Q18" s="10">
        <v>376.8</v>
      </c>
      <c r="R18" s="10">
        <v>386.17</v>
      </c>
      <c r="S18" s="10">
        <v>424.9</v>
      </c>
      <c r="T18" s="10">
        <v>428.3</v>
      </c>
      <c r="U18" s="10">
        <v>420.25</v>
      </c>
      <c r="V18" s="10">
        <v>435.61</v>
      </c>
      <c r="W18" s="10">
        <v>439.78999999999996</v>
      </c>
      <c r="X18" s="10">
        <v>461.04999999999995</v>
      </c>
      <c r="Y18" s="10">
        <v>419.05</v>
      </c>
      <c r="Z18" s="10"/>
      <c r="AA18" s="10">
        <v>370.83000000000004</v>
      </c>
      <c r="AB18" s="10"/>
      <c r="AC18" s="10">
        <v>511.35</v>
      </c>
      <c r="AD18" s="10">
        <v>645.12</v>
      </c>
      <c r="AE18" s="10">
        <v>693.07</v>
      </c>
      <c r="AF18" s="10"/>
      <c r="AG18" s="10">
        <v>697.25</v>
      </c>
      <c r="AH18" s="10">
        <v>763.28</v>
      </c>
      <c r="AI18" s="10">
        <v>743.97</v>
      </c>
      <c r="AJ18" s="10">
        <v>787.31</v>
      </c>
      <c r="AK18" s="10">
        <v>799.17</v>
      </c>
      <c r="AL18" s="10">
        <v>712</v>
      </c>
      <c r="AM18" s="10">
        <v>745</v>
      </c>
      <c r="AN18" s="10">
        <v>821.19999999999993</v>
      </c>
      <c r="AO18" s="10">
        <v>791.1</v>
      </c>
      <c r="AP18" s="10">
        <v>937.90000000000009</v>
      </c>
      <c r="AQ18" s="10">
        <v>1000.5</v>
      </c>
      <c r="AR18" s="10">
        <v>1005.9000000000001</v>
      </c>
      <c r="AS18" s="10">
        <v>1085.4000000000001</v>
      </c>
      <c r="AT18" s="10">
        <v>1152.8</v>
      </c>
    </row>
    <row r="19" spans="1:46" ht="14.4">
      <c r="A19" s="1" t="s">
        <v>288</v>
      </c>
      <c r="B19" s="10">
        <v>742.36</v>
      </c>
      <c r="C19" s="10">
        <v>781.46</v>
      </c>
      <c r="D19" s="10">
        <v>863.98</v>
      </c>
      <c r="E19" s="10">
        <v>818.1</v>
      </c>
      <c r="F19" s="10">
        <v>714.7</v>
      </c>
      <c r="G19" s="10">
        <v>741.08</v>
      </c>
      <c r="H19" s="10">
        <v>800.02</v>
      </c>
      <c r="I19" s="10">
        <v>793.38</v>
      </c>
      <c r="J19" s="10">
        <v>651.66999999999996</v>
      </c>
      <c r="K19" s="10">
        <v>778.38</v>
      </c>
      <c r="L19" s="10">
        <v>982.54</v>
      </c>
      <c r="M19" s="10">
        <v>689.74</v>
      </c>
      <c r="N19" s="10">
        <v>999.65</v>
      </c>
      <c r="O19" s="10">
        <v>1037.6500000000001</v>
      </c>
      <c r="P19" s="10">
        <v>1306.8499999999999</v>
      </c>
      <c r="Q19" s="10">
        <v>888.7</v>
      </c>
      <c r="R19" s="10">
        <v>815.76</v>
      </c>
      <c r="S19" s="10">
        <v>791.55</v>
      </c>
      <c r="T19" s="10">
        <v>806.01</v>
      </c>
      <c r="U19" s="10">
        <v>856.6</v>
      </c>
      <c r="V19" s="10">
        <v>1028.75</v>
      </c>
      <c r="W19" s="10">
        <v>1217.93</v>
      </c>
      <c r="X19" s="10">
        <v>1363.73</v>
      </c>
      <c r="Y19" s="10">
        <v>1464.24</v>
      </c>
      <c r="Z19" s="10">
        <v>1665.1110000000001</v>
      </c>
      <c r="AA19" s="10">
        <v>1873.11</v>
      </c>
      <c r="AB19" s="10">
        <v>2082.98</v>
      </c>
      <c r="AC19" s="10">
        <v>2300.39</v>
      </c>
      <c r="AD19" s="10">
        <v>2687.8</v>
      </c>
      <c r="AE19" s="10">
        <v>2986.57</v>
      </c>
      <c r="AF19" s="10">
        <v>3332.04</v>
      </c>
      <c r="AG19" s="10">
        <v>3465.89</v>
      </c>
      <c r="AH19" s="10">
        <v>3466.16</v>
      </c>
      <c r="AI19" s="10">
        <v>3307.65</v>
      </c>
      <c r="AJ19" s="10">
        <v>3631.03</v>
      </c>
      <c r="AK19" s="10">
        <v>3744.45</v>
      </c>
      <c r="AL19" s="10">
        <v>3840.2</v>
      </c>
      <c r="AM19" s="10">
        <v>4062.3</v>
      </c>
      <c r="AN19" s="10">
        <v>4557.3</v>
      </c>
      <c r="AO19" s="10">
        <v>5052.8999999999996</v>
      </c>
      <c r="AP19" s="10">
        <v>5178.1000000000004</v>
      </c>
      <c r="AQ19" s="10">
        <v>5837.4</v>
      </c>
      <c r="AR19" s="10">
        <v>5427.5</v>
      </c>
      <c r="AS19" s="10">
        <v>6591.6</v>
      </c>
      <c r="AT19" s="10">
        <v>6868.8</v>
      </c>
    </row>
    <row r="20" spans="1:46" ht="14.4">
      <c r="A20" s="1" t="s">
        <v>27</v>
      </c>
      <c r="B20" s="17">
        <v>0.1483485739864433</v>
      </c>
      <c r="C20" s="17">
        <v>0.14398661583731168</v>
      </c>
      <c r="D20" s="17">
        <v>0.14592432702668923</v>
      </c>
      <c r="E20" s="17">
        <v>0.12082231838253754</v>
      </c>
      <c r="F20" s="17">
        <v>0.10184146815868858</v>
      </c>
      <c r="G20" s="17">
        <v>0.10526420451720764</v>
      </c>
      <c r="H20" s="17">
        <v>0.10730817466651464</v>
      </c>
      <c r="I20" s="17">
        <v>0.10911446442619253</v>
      </c>
      <c r="J20" s="17">
        <v>8.9513265523375199E-2</v>
      </c>
      <c r="K20" s="17">
        <v>0.10224997766836737</v>
      </c>
      <c r="L20" s="17">
        <v>0.12407531349051004</v>
      </c>
      <c r="M20" s="17">
        <v>9.1654197882920119E-2</v>
      </c>
      <c r="N20" s="17">
        <v>0.11982173871872906</v>
      </c>
      <c r="O20" s="17">
        <v>0.12418662042206577</v>
      </c>
      <c r="P20" s="17">
        <v>0.15121220851860978</v>
      </c>
      <c r="Q20" s="17">
        <v>0.10683365109742815</v>
      </c>
      <c r="R20" s="17">
        <v>9.8034644291527362E-2</v>
      </c>
      <c r="S20" s="17">
        <v>8.9481121410807135E-2</v>
      </c>
      <c r="T20" s="17">
        <v>8.7350673924846828E-2</v>
      </c>
      <c r="U20" s="17">
        <v>9.2468951223329904E-2</v>
      </c>
      <c r="V20" s="17">
        <v>0.10376896967373926</v>
      </c>
      <c r="W20" s="17">
        <v>0.12085672296717333</v>
      </c>
      <c r="X20" s="17">
        <v>0.12681165484778659</v>
      </c>
      <c r="Y20" s="17">
        <v>0.13151564905448201</v>
      </c>
      <c r="Z20" s="17">
        <v>0.13538301093551061</v>
      </c>
      <c r="AA20" s="17">
        <v>0.13862063912720748</v>
      </c>
      <c r="AB20" s="17">
        <v>0.13963640556486251</v>
      </c>
      <c r="AC20" s="17">
        <v>0.14045146881223844</v>
      </c>
      <c r="AD20" s="17">
        <v>0.14311188209855541</v>
      </c>
      <c r="AE20" s="17">
        <v>0.14578298491536584</v>
      </c>
      <c r="AF20" s="17">
        <v>0.15359496406326634</v>
      </c>
      <c r="AG20" s="17">
        <v>0.15373400068840951</v>
      </c>
      <c r="AH20" s="17">
        <v>0.14932781888483204</v>
      </c>
      <c r="AI20" s="17">
        <v>0.13715184913358794</v>
      </c>
      <c r="AJ20" s="17">
        <v>0.14534491813358014</v>
      </c>
      <c r="AK20" s="17">
        <v>0.14454400380463273</v>
      </c>
      <c r="AL20" s="17">
        <v>0.14029819119747769</v>
      </c>
      <c r="AM20" s="17">
        <v>0.14021710991836805</v>
      </c>
      <c r="AN20" s="17">
        <v>0.14882048669618717</v>
      </c>
      <c r="AO20" s="17">
        <v>0.15585220735878794</v>
      </c>
      <c r="AP20" s="17">
        <v>0.15533103950995775</v>
      </c>
      <c r="AQ20" s="17">
        <v>0.16302307915726447</v>
      </c>
      <c r="AR20" s="17">
        <v>0.14365268209019616</v>
      </c>
      <c r="AS20" s="17">
        <v>0.16251719699995562</v>
      </c>
      <c r="AT20" s="17">
        <v>0.15961963455357953</v>
      </c>
    </row>
    <row r="21" spans="1:46" ht="14.4">
      <c r="A21" s="1" t="s">
        <v>224</v>
      </c>
      <c r="B21" s="10">
        <v>128.36000000000001</v>
      </c>
      <c r="C21" s="10">
        <v>111.46</v>
      </c>
      <c r="D21" s="10">
        <v>118.51</v>
      </c>
      <c r="E21" s="10">
        <v>245.53</v>
      </c>
      <c r="F21" s="10">
        <v>172.44</v>
      </c>
      <c r="G21" s="10">
        <v>202.54</v>
      </c>
      <c r="H21" s="10">
        <v>143.33000000000001</v>
      </c>
      <c r="I21" s="10">
        <v>170.74</v>
      </c>
      <c r="J21" s="10">
        <v>183.28</v>
      </c>
      <c r="K21" s="10">
        <v>133.49</v>
      </c>
      <c r="L21" s="10">
        <v>142.99</v>
      </c>
      <c r="M21" s="10">
        <v>144.21</v>
      </c>
      <c r="N21" s="10">
        <v>165.97</v>
      </c>
      <c r="O21" s="10">
        <v>195.47</v>
      </c>
      <c r="P21" s="10">
        <v>229.25</v>
      </c>
      <c r="Q21" s="10">
        <v>282.94</v>
      </c>
      <c r="R21" s="10">
        <v>202.02</v>
      </c>
      <c r="S21" s="10">
        <v>226.16</v>
      </c>
      <c r="T21" s="10">
        <v>231.64</v>
      </c>
      <c r="U21" s="10">
        <v>229.33</v>
      </c>
      <c r="V21" s="10">
        <v>279.32</v>
      </c>
      <c r="W21" s="10">
        <v>207.77</v>
      </c>
      <c r="X21" s="10">
        <v>288.11</v>
      </c>
      <c r="Y21" s="10">
        <v>210.77</v>
      </c>
      <c r="Z21" s="10">
        <v>256.38209999999998</v>
      </c>
      <c r="AA21" s="10">
        <v>292.88</v>
      </c>
      <c r="AB21" s="10">
        <v>251.25</v>
      </c>
      <c r="AC21" s="10">
        <v>251.28</v>
      </c>
      <c r="AD21" s="10">
        <v>89.15</v>
      </c>
      <c r="AE21" s="10">
        <v>60.79</v>
      </c>
      <c r="AF21" s="10">
        <v>87.02</v>
      </c>
      <c r="AG21" s="10">
        <v>129.05000000000001</v>
      </c>
      <c r="AH21" s="10">
        <v>154.58000000000001</v>
      </c>
      <c r="AI21" s="10">
        <v>166.28</v>
      </c>
      <c r="AJ21" s="10">
        <v>181.08</v>
      </c>
      <c r="AK21" s="10">
        <v>226.02</v>
      </c>
      <c r="AL21" s="10">
        <v>172.5</v>
      </c>
      <c r="AM21" s="10">
        <v>176.9</v>
      </c>
      <c r="AN21" s="10">
        <v>118.4</v>
      </c>
      <c r="AO21" s="10">
        <v>153.5</v>
      </c>
      <c r="AP21" s="10">
        <v>187.3</v>
      </c>
      <c r="AQ21" s="10">
        <v>58.9</v>
      </c>
      <c r="AR21" s="10">
        <v>300.60000000000002</v>
      </c>
      <c r="AS21" s="10">
        <v>136.30000000000001</v>
      </c>
      <c r="AT21" s="10">
        <v>414.9</v>
      </c>
    </row>
    <row r="22" spans="1:46" ht="14.4">
      <c r="A22" s="1" t="s">
        <v>289</v>
      </c>
      <c r="B22" s="10">
        <v>69.38</v>
      </c>
      <c r="C22" s="10">
        <v>70.91</v>
      </c>
      <c r="D22" s="10">
        <v>41.95</v>
      </c>
      <c r="E22" s="10">
        <v>-35.729999999999997</v>
      </c>
      <c r="F22" s="10">
        <v>80.86</v>
      </c>
      <c r="G22" s="10">
        <v>40.82</v>
      </c>
      <c r="H22" s="10">
        <v>174.44</v>
      </c>
      <c r="I22" s="10">
        <v>-27.62</v>
      </c>
      <c r="J22" s="10">
        <v>184.45</v>
      </c>
      <c r="K22" s="10">
        <v>202.69</v>
      </c>
      <c r="L22" s="10">
        <v>49.63</v>
      </c>
      <c r="M22" s="10">
        <v>149.54</v>
      </c>
      <c r="N22" s="10">
        <v>20.63</v>
      </c>
      <c r="O22" s="10">
        <v>35.67</v>
      </c>
      <c r="P22" s="10">
        <v>-240.89</v>
      </c>
      <c r="Q22" s="10">
        <v>-58.5</v>
      </c>
      <c r="R22" s="10">
        <v>79.83</v>
      </c>
      <c r="S22" s="10">
        <v>137.91999999999999</v>
      </c>
      <c r="T22" s="10">
        <v>102.1</v>
      </c>
      <c r="U22" s="10">
        <v>44.5</v>
      </c>
      <c r="V22" s="10">
        <v>-87.63</v>
      </c>
      <c r="W22" s="10">
        <v>-50.59</v>
      </c>
      <c r="X22" s="10">
        <v>-1.74</v>
      </c>
      <c r="Y22" s="10">
        <v>173.77</v>
      </c>
      <c r="Z22" s="10">
        <v>109.03173</v>
      </c>
      <c r="AA22" s="10">
        <v>10.33</v>
      </c>
      <c r="AB22" s="10">
        <v>29.89</v>
      </c>
      <c r="AC22" s="10">
        <v>120.16</v>
      </c>
      <c r="AD22" s="10">
        <v>41.8</v>
      </c>
      <c r="AE22" s="10">
        <v>-91.32</v>
      </c>
      <c r="AF22" s="10">
        <v>105.37</v>
      </c>
      <c r="AG22" s="10">
        <v>-189.09</v>
      </c>
      <c r="AH22" s="10">
        <v>-64.09</v>
      </c>
      <c r="AI22" s="10">
        <v>83.7</v>
      </c>
      <c r="AJ22" s="10">
        <v>80.900000000000006</v>
      </c>
      <c r="AK22" s="10">
        <v>-15.54</v>
      </c>
      <c r="AL22" s="10">
        <v>-7.3</v>
      </c>
      <c r="AM22" s="10">
        <v>106</v>
      </c>
      <c r="AN22" s="10">
        <v>144.69999999999999</v>
      </c>
      <c r="AO22" s="10">
        <v>-154.30000000000001</v>
      </c>
      <c r="AP22" s="10">
        <v>188.7</v>
      </c>
      <c r="AQ22" s="10">
        <v>272</v>
      </c>
      <c r="AR22" s="10">
        <v>-78.2</v>
      </c>
      <c r="AS22" s="10">
        <v>11.9</v>
      </c>
      <c r="AT22" s="10">
        <v>-1052.7</v>
      </c>
    </row>
    <row r="23" spans="1:46" ht="14.4">
      <c r="A23" s="1" t="s">
        <v>233</v>
      </c>
      <c r="B23" s="10">
        <v>940.1</v>
      </c>
      <c r="C23" s="10">
        <v>963.83</v>
      </c>
      <c r="D23" s="10">
        <v>1024.44</v>
      </c>
      <c r="E23" s="10">
        <v>1027.9000000000001</v>
      </c>
      <c r="F23" s="10">
        <v>968</v>
      </c>
      <c r="G23" s="10">
        <v>984.44</v>
      </c>
      <c r="H23" s="10">
        <v>1117.79</v>
      </c>
      <c r="I23" s="10">
        <v>936.5</v>
      </c>
      <c r="J23" s="10">
        <v>1019.4</v>
      </c>
      <c r="K23" s="10">
        <v>1114.56</v>
      </c>
      <c r="L23" s="10">
        <v>1175.1600000000001</v>
      </c>
      <c r="M23" s="10">
        <v>983.49</v>
      </c>
      <c r="N23" s="10">
        <v>1186.25</v>
      </c>
      <c r="O23" s="10">
        <v>1268.79</v>
      </c>
      <c r="P23" s="10">
        <v>1295.21</v>
      </c>
      <c r="Q23" s="10">
        <v>1113.1400000000001</v>
      </c>
      <c r="R23" s="10">
        <v>1097.6099999999999</v>
      </c>
      <c r="S23" s="10">
        <v>1155.6300000000001</v>
      </c>
      <c r="T23" s="10">
        <v>1139.75</v>
      </c>
      <c r="U23" s="10">
        <v>1130.43</v>
      </c>
      <c r="V23" s="10">
        <v>1220.44</v>
      </c>
      <c r="W23" s="10">
        <v>1375.11</v>
      </c>
      <c r="X23" s="10">
        <v>1650.1</v>
      </c>
      <c r="Y23" s="10">
        <v>1848.78</v>
      </c>
      <c r="Z23" s="10">
        <v>2030.521</v>
      </c>
      <c r="AA23" s="10">
        <v>2176.3200000000002</v>
      </c>
      <c r="AB23" s="10">
        <v>2364.12</v>
      </c>
      <c r="AC23" s="10">
        <v>2671.83</v>
      </c>
      <c r="AD23" s="10">
        <v>2818.75</v>
      </c>
      <c r="AE23" s="10">
        <v>2956.04</v>
      </c>
      <c r="AF23" s="10">
        <v>3227.88</v>
      </c>
      <c r="AG23" s="10">
        <v>3405.85</v>
      </c>
      <c r="AH23" s="10">
        <v>3070.49</v>
      </c>
      <c r="AI23" s="10">
        <v>3557.63</v>
      </c>
      <c r="AJ23" s="10">
        <v>3893.01</v>
      </c>
      <c r="AK23" s="10">
        <v>3954.93</v>
      </c>
      <c r="AL23" s="10">
        <v>4005.4</v>
      </c>
      <c r="AM23" s="10">
        <v>4345.2</v>
      </c>
      <c r="AN23" s="10">
        <v>4820.3999999999996</v>
      </c>
      <c r="AO23" s="10">
        <v>5052.1000000000004</v>
      </c>
      <c r="AP23" s="10">
        <v>5554.1</v>
      </c>
      <c r="AQ23" s="10">
        <v>6168.3</v>
      </c>
      <c r="AR23" s="10">
        <v>5649.9</v>
      </c>
      <c r="AS23" s="10">
        <v>6739.8</v>
      </c>
      <c r="AT23" s="10">
        <v>6231</v>
      </c>
    </row>
    <row r="24" spans="1:46" ht="14.4">
      <c r="A24" s="1" t="s">
        <v>420</v>
      </c>
      <c r="B24" s="17">
        <v>0.18786369740376008</v>
      </c>
      <c r="C24" s="17">
        <v>0.17758889763068628</v>
      </c>
      <c r="D24" s="17">
        <v>0.17302566908866124</v>
      </c>
      <c r="E24" s="17">
        <v>0.1518069442188123</v>
      </c>
      <c r="F24" s="17">
        <v>0.13793555502673926</v>
      </c>
      <c r="G24" s="17">
        <v>0.13983145341247893</v>
      </c>
      <c r="H24" s="17">
        <v>0.14993125741916877</v>
      </c>
      <c r="I24" s="17">
        <v>0.12879792272949822</v>
      </c>
      <c r="J24" s="17">
        <v>0.14002458740547929</v>
      </c>
      <c r="K24" s="17">
        <v>0.14641143799950607</v>
      </c>
      <c r="L24" s="17">
        <v>0.14839939890641379</v>
      </c>
      <c r="M24" s="17">
        <v>0.13068835659215516</v>
      </c>
      <c r="N24" s="17">
        <v>0.14218830346130382</v>
      </c>
      <c r="O24" s="17">
        <v>0.15184960451531135</v>
      </c>
      <c r="P24" s="17">
        <v>0.14986537444648476</v>
      </c>
      <c r="Q24" s="17">
        <v>0.13381434722920127</v>
      </c>
      <c r="R24" s="17">
        <v>0.13190620515938922</v>
      </c>
      <c r="S24" s="17">
        <v>0.13063870676011757</v>
      </c>
      <c r="T24" s="17">
        <v>0.1235194732147792</v>
      </c>
      <c r="U24" s="17">
        <v>0.12202857405018541</v>
      </c>
      <c r="V24" s="17">
        <v>0.12310454566086838</v>
      </c>
      <c r="W24" s="17">
        <v>0.13645389170099242</v>
      </c>
      <c r="X24" s="17">
        <v>0.15344086561440509</v>
      </c>
      <c r="Y24" s="17">
        <v>0.16605440478264852</v>
      </c>
      <c r="Z24" s="17">
        <v>0.16509292578559862</v>
      </c>
      <c r="AA24" s="17">
        <v>0.16105987867521088</v>
      </c>
      <c r="AB24" s="17">
        <v>0.15848314392073026</v>
      </c>
      <c r="AC24" s="17">
        <v>0.16312992488952005</v>
      </c>
      <c r="AD24" s="17">
        <v>0.15008431344047291</v>
      </c>
      <c r="AE24" s="17">
        <v>0.14429272869184986</v>
      </c>
      <c r="AF24" s="17">
        <v>0.14879356568364613</v>
      </c>
      <c r="AG24" s="17">
        <v>0.15107084940509352</v>
      </c>
      <c r="AH24" s="17">
        <v>0.13228171077148426</v>
      </c>
      <c r="AI24" s="17">
        <v>0.14751728055662675</v>
      </c>
      <c r="AJ24" s="17">
        <v>0.15583160143078101</v>
      </c>
      <c r="AK24" s="17">
        <v>0.15266899463661049</v>
      </c>
      <c r="AL24" s="17">
        <v>0.14633362195260069</v>
      </c>
      <c r="AM24" s="17">
        <v>0.1499818787429025</v>
      </c>
      <c r="AN24" s="17">
        <v>0.15741212429954152</v>
      </c>
      <c r="AO24" s="17">
        <v>0.1558275320701642</v>
      </c>
      <c r="AP24" s="17">
        <v>0.1666101710168317</v>
      </c>
      <c r="AQ24" s="17">
        <v>0.17226423736008403</v>
      </c>
      <c r="AR24" s="17">
        <v>0.14953906744198972</v>
      </c>
      <c r="AS24" s="17">
        <v>0.16617109720557996</v>
      </c>
      <c r="AT24" s="17">
        <v>0.14479820971688706</v>
      </c>
    </row>
    <row r="25" spans="1:46" ht="14.4">
      <c r="A25" s="1" t="s">
        <v>234</v>
      </c>
      <c r="B25" s="10">
        <v>267.94</v>
      </c>
      <c r="C25" s="10">
        <v>245.34</v>
      </c>
      <c r="D25" s="10">
        <v>249.55</v>
      </c>
      <c r="E25" s="10">
        <v>219.83</v>
      </c>
      <c r="F25" s="10">
        <v>235.14</v>
      </c>
      <c r="G25" s="10">
        <v>249.51</v>
      </c>
      <c r="H25" s="10">
        <v>298.88</v>
      </c>
      <c r="I25" s="10">
        <v>208.55</v>
      </c>
      <c r="J25" s="10">
        <v>268.51</v>
      </c>
      <c r="K25" s="10">
        <v>288.33</v>
      </c>
      <c r="L25" s="10">
        <v>258.45999999999998</v>
      </c>
      <c r="M25" s="10">
        <v>246.43</v>
      </c>
      <c r="N25" s="10">
        <v>312.77</v>
      </c>
      <c r="O25" s="10">
        <v>387.38</v>
      </c>
      <c r="P25" s="10">
        <v>378.04</v>
      </c>
      <c r="Q25" s="10">
        <v>268.41000000000003</v>
      </c>
      <c r="R25" s="10">
        <v>272.91000000000003</v>
      </c>
      <c r="S25" s="10">
        <v>294.91000000000003</v>
      </c>
      <c r="T25" s="10">
        <v>260.49</v>
      </c>
      <c r="U25" s="10">
        <v>292.22000000000003</v>
      </c>
      <c r="V25" s="10">
        <v>320.36</v>
      </c>
      <c r="W25" s="10">
        <v>355.25</v>
      </c>
      <c r="X25" s="10">
        <v>440.86</v>
      </c>
      <c r="Y25" s="10">
        <v>471.19</v>
      </c>
      <c r="Z25" s="10">
        <v>518.04471000000001</v>
      </c>
      <c r="AA25" s="10">
        <v>558.79</v>
      </c>
      <c r="AB25" s="10">
        <v>600.16999999999996</v>
      </c>
      <c r="AC25" s="10">
        <v>661.93</v>
      </c>
      <c r="AD25" s="10">
        <v>702.63</v>
      </c>
      <c r="AE25" s="10">
        <v>755.9</v>
      </c>
      <c r="AF25" s="10">
        <v>848.34</v>
      </c>
      <c r="AG25" s="10">
        <v>890.72</v>
      </c>
      <c r="AH25" s="10">
        <v>782.81</v>
      </c>
      <c r="AI25" s="10">
        <v>924.95</v>
      </c>
      <c r="AJ25" s="10">
        <v>1031.67</v>
      </c>
      <c r="AK25" s="10">
        <v>801.71</v>
      </c>
      <c r="AL25" s="10">
        <v>941.3</v>
      </c>
      <c r="AM25" s="10">
        <v>1095.2</v>
      </c>
      <c r="AN25" s="10">
        <v>1090.5</v>
      </c>
      <c r="AO25" s="10">
        <v>1094.5</v>
      </c>
      <c r="AP25" s="10">
        <v>1304.7</v>
      </c>
      <c r="AQ25" s="10">
        <v>1453.6</v>
      </c>
      <c r="AR25" s="10">
        <v>1255.4000000000001</v>
      </c>
      <c r="AS25" s="10">
        <v>1447.2</v>
      </c>
      <c r="AT25" s="10">
        <v>1400.6</v>
      </c>
    </row>
    <row r="26" spans="1:46" ht="14.4">
      <c r="A26" s="1" t="s">
        <v>143</v>
      </c>
      <c r="B26" s="17">
        <v>0.28501223274119775</v>
      </c>
      <c r="C26" s="17">
        <v>0.25454696367616697</v>
      </c>
      <c r="D26" s="17">
        <v>0.24359650150326032</v>
      </c>
      <c r="E26" s="17">
        <v>0.21386321626617374</v>
      </c>
      <c r="F26" s="17">
        <v>0.24291322314049585</v>
      </c>
      <c r="G26" s="17">
        <v>0.25345374019747263</v>
      </c>
      <c r="H26" s="17">
        <v>0.26738475026615016</v>
      </c>
      <c r="I26" s="17">
        <v>0.22269087026161241</v>
      </c>
      <c r="J26" s="17">
        <v>0.26340003923876792</v>
      </c>
      <c r="K26" s="17">
        <v>0.25869401378122309</v>
      </c>
      <c r="L26" s="17">
        <v>0.21993600871370703</v>
      </c>
      <c r="M26" s="17">
        <v>0.25056685883943913</v>
      </c>
      <c r="N26" s="17">
        <v>0.26366280295047417</v>
      </c>
      <c r="O26" s="17">
        <v>0.30531451225183048</v>
      </c>
      <c r="P26" s="17">
        <v>0.29187544876892552</v>
      </c>
      <c r="Q26" s="17">
        <v>0.24112869899563397</v>
      </c>
      <c r="R26" s="17">
        <v>0.24864022740317604</v>
      </c>
      <c r="S26" s="17">
        <v>0.25519413653158884</v>
      </c>
      <c r="T26" s="17">
        <v>0.22855012064049135</v>
      </c>
      <c r="U26" s="17">
        <v>0.25850340136054423</v>
      </c>
      <c r="V26" s="17">
        <v>0.26249549342859951</v>
      </c>
      <c r="W26" s="17">
        <v>0.2583429689261223</v>
      </c>
      <c r="X26" s="17">
        <v>0.26717168656445067</v>
      </c>
      <c r="Y26" s="17">
        <v>0.25486537067687881</v>
      </c>
      <c r="Z26" s="17">
        <v>0.25512895951334658</v>
      </c>
      <c r="AA26" s="17">
        <v>0.25675911630642551</v>
      </c>
      <c r="AB26" s="17">
        <v>0.2538661320068355</v>
      </c>
      <c r="AC26" s="17">
        <v>0.24774405557239793</v>
      </c>
      <c r="AD26" s="17">
        <v>0.24927006651884701</v>
      </c>
      <c r="AE26" s="17">
        <v>0.25571372511873991</v>
      </c>
      <c r="AF26" s="17">
        <v>0.26281646157849736</v>
      </c>
      <c r="AG26" s="17">
        <v>0.26152649118428589</v>
      </c>
      <c r="AH26" s="17">
        <v>0.25494627893267852</v>
      </c>
      <c r="AI26" s="17">
        <v>0.25999049929306872</v>
      </c>
      <c r="AJ26" s="17">
        <v>0.26500574105897495</v>
      </c>
      <c r="AK26" s="17">
        <v>0.20271155241685695</v>
      </c>
      <c r="AL26" s="17">
        <v>0.23500773955160531</v>
      </c>
      <c r="AM26" s="17">
        <v>0.25204823713522972</v>
      </c>
      <c r="AN26" s="17">
        <v>0.22622603933283547</v>
      </c>
      <c r="AO26" s="17">
        <v>0.21664258427188693</v>
      </c>
      <c r="AP26" s="17">
        <v>0.23490754577699358</v>
      </c>
      <c r="AQ26" s="17">
        <v>0.23565650179141739</v>
      </c>
      <c r="AR26" s="17">
        <v>0.22219862298447762</v>
      </c>
      <c r="AS26" s="17">
        <v>0.21472447253627705</v>
      </c>
      <c r="AT26" s="17">
        <v>0.22477932916064836</v>
      </c>
    </row>
    <row r="27" spans="1:46" ht="14.4">
      <c r="A27" s="1" t="s">
        <v>290</v>
      </c>
      <c r="B27" s="10">
        <v>672.16</v>
      </c>
      <c r="C27" s="10">
        <v>718.49</v>
      </c>
      <c r="D27" s="10">
        <v>774.89</v>
      </c>
      <c r="E27" s="10">
        <v>808.07</v>
      </c>
      <c r="F27" s="10">
        <v>732.86</v>
      </c>
      <c r="G27" s="10">
        <v>734.93</v>
      </c>
      <c r="H27" s="10">
        <v>818.91</v>
      </c>
      <c r="I27" s="10">
        <v>727.95</v>
      </c>
      <c r="J27" s="10">
        <v>750.89</v>
      </c>
      <c r="K27" s="10">
        <v>826.23</v>
      </c>
      <c r="L27" s="10">
        <v>916.7</v>
      </c>
      <c r="M27" s="10">
        <v>737.06</v>
      </c>
      <c r="N27" s="10">
        <v>873.48</v>
      </c>
      <c r="O27" s="10">
        <v>881.41</v>
      </c>
      <c r="P27" s="10">
        <v>917.17</v>
      </c>
      <c r="Q27" s="10">
        <v>844.73</v>
      </c>
      <c r="R27" s="10">
        <v>824.7</v>
      </c>
      <c r="S27" s="10">
        <v>860.72</v>
      </c>
      <c r="T27" s="10">
        <v>879.26</v>
      </c>
      <c r="U27" s="10">
        <v>838.21</v>
      </c>
      <c r="V27" s="10">
        <v>900.08</v>
      </c>
      <c r="W27" s="10">
        <v>1019.86</v>
      </c>
      <c r="X27" s="10">
        <v>1209.24</v>
      </c>
      <c r="Y27" s="10">
        <v>1377.59</v>
      </c>
      <c r="Z27" s="10">
        <v>1512.481</v>
      </c>
      <c r="AA27" s="10">
        <v>1617.53</v>
      </c>
      <c r="AB27" s="10">
        <v>1763.95</v>
      </c>
      <c r="AC27" s="10">
        <v>2009.9</v>
      </c>
      <c r="AD27" s="10">
        <v>2116.12</v>
      </c>
      <c r="AE27" s="10">
        <v>2200.14</v>
      </c>
      <c r="AF27" s="10">
        <v>2379.54</v>
      </c>
      <c r="AG27" s="10">
        <v>2515.13</v>
      </c>
      <c r="AH27" s="10">
        <v>2287.6799999999998</v>
      </c>
      <c r="AI27" s="10">
        <v>2632.68</v>
      </c>
      <c r="AJ27" s="10">
        <v>2861.34</v>
      </c>
      <c r="AK27" s="10">
        <v>3153.22</v>
      </c>
      <c r="AL27" s="10">
        <v>3064.2</v>
      </c>
      <c r="AM27" s="10">
        <v>3250</v>
      </c>
      <c r="AN27" s="10">
        <v>3729.9</v>
      </c>
      <c r="AO27" s="10">
        <v>3957.6</v>
      </c>
      <c r="AP27" s="10">
        <v>4249.3999999999996</v>
      </c>
      <c r="AQ27" s="10">
        <v>4714.7</v>
      </c>
      <c r="AR27" s="10">
        <v>4394.5</v>
      </c>
      <c r="AS27" s="10">
        <v>5292.6</v>
      </c>
      <c r="AT27" s="10">
        <v>4830.3999999999996</v>
      </c>
    </row>
    <row r="28" spans="1:46" ht="14.4">
      <c r="A28" s="1" t="s">
        <v>421</v>
      </c>
      <c r="B28" s="17">
        <v>0.13432024555569766</v>
      </c>
      <c r="C28" s="17">
        <v>0.13238418295619744</v>
      </c>
      <c r="D28" s="17">
        <v>0.13087722142840252</v>
      </c>
      <c r="E28" s="17">
        <v>0.11934102287663748</v>
      </c>
      <c r="F28" s="17">
        <v>0.1044291847695208</v>
      </c>
      <c r="G28" s="17">
        <v>0.10439064854783749</v>
      </c>
      <c r="H28" s="17">
        <v>0.10984192559705445</v>
      </c>
      <c r="I28" s="17">
        <v>0.10011580122897837</v>
      </c>
      <c r="J28" s="17">
        <v>0.10314210558848376</v>
      </c>
      <c r="K28" s="17">
        <v>0.10853567543993316</v>
      </c>
      <c r="L28" s="17">
        <v>0.11576102741542386</v>
      </c>
      <c r="M28" s="17">
        <v>9.7942185593970332E-2</v>
      </c>
      <c r="N28" s="17">
        <v>0.10469853682392384</v>
      </c>
      <c r="O28" s="17">
        <v>0.10548771657708571</v>
      </c>
      <c r="P28" s="17">
        <v>0.10612335102499396</v>
      </c>
      <c r="Q28" s="17">
        <v>0.10154786777487394</v>
      </c>
      <c r="R28" s="17">
        <v>9.9109016312668705E-2</v>
      </c>
      <c r="S28" s="17">
        <v>9.7300474790865926E-2</v>
      </c>
      <c r="T28" s="17">
        <v>9.5289082710091469E-2</v>
      </c>
      <c r="U28" s="17">
        <v>9.0483772595035442E-2</v>
      </c>
      <c r="V28" s="17">
        <v>9.0790157204315172E-2</v>
      </c>
      <c r="W28" s="17">
        <v>0.10120198819743448</v>
      </c>
      <c r="X28" s="17">
        <v>0.11244581076029526</v>
      </c>
      <c r="Y28" s="17">
        <v>0.12373288735519032</v>
      </c>
      <c r="Z28" s="17">
        <v>0.12297332235673898</v>
      </c>
      <c r="AA28" s="17">
        <v>0.11970628655414361</v>
      </c>
      <c r="AB28" s="17">
        <v>0.11824964118529185</v>
      </c>
      <c r="AC28" s="17">
        <v>0.1227154557121697</v>
      </c>
      <c r="AD28" s="17">
        <v>0.11267278664573073</v>
      </c>
      <c r="AE28" s="17">
        <v>0.10739509753050924</v>
      </c>
      <c r="AF28" s="17">
        <v>0.10968816724502251</v>
      </c>
      <c r="AG28" s="17">
        <v>0.11156182023994975</v>
      </c>
      <c r="AH28" s="17">
        <v>9.8556980839445529E-2</v>
      </c>
      <c r="AI28" s="17">
        <v>0.10916418913035364</v>
      </c>
      <c r="AJ28" s="17">
        <v>0.11453533241321007</v>
      </c>
      <c r="AK28" s="17">
        <v>0.12172122572790237</v>
      </c>
      <c r="AL28" s="17">
        <v>0.11194774164556823</v>
      </c>
      <c r="AM28" s="17">
        <v>0.11217921060352415</v>
      </c>
      <c r="AN28" s="17">
        <v>0.12180140287628827</v>
      </c>
      <c r="AO28" s="17">
        <v>0.12206865282177348</v>
      </c>
      <c r="AP28" s="17">
        <v>0.12747218464178256</v>
      </c>
      <c r="AQ28" s="17">
        <v>0.13166904980004021</v>
      </c>
      <c r="AR28" s="17">
        <v>0.11631169257399669</v>
      </c>
      <c r="AS28" s="17">
        <v>0.13049009600733738</v>
      </c>
      <c r="AT28" s="17">
        <v>0.11225056527306231</v>
      </c>
    </row>
    <row r="29" spans="1:46" ht="14.4">
      <c r="A29" s="1" t="s">
        <v>291</v>
      </c>
      <c r="B29" s="11">
        <v>8.4499999999999993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>
        <v>29.61</v>
      </c>
      <c r="AF29" s="11">
        <v>31.9</v>
      </c>
      <c r="AG29" s="11">
        <v>33.65</v>
      </c>
      <c r="AH29" s="11">
        <v>30.5</v>
      </c>
      <c r="AI29" s="11">
        <v>35</v>
      </c>
      <c r="AJ29" s="11">
        <v>37.83</v>
      </c>
      <c r="AK29" s="11">
        <v>41.46</v>
      </c>
      <c r="AL29" s="11">
        <v>20.100000000000001</v>
      </c>
      <c r="AM29" s="11">
        <v>21.2</v>
      </c>
      <c r="AN29" s="11">
        <v>24.3</v>
      </c>
      <c r="AO29" s="11">
        <v>25.6</v>
      </c>
      <c r="AP29" s="11">
        <v>27.4</v>
      </c>
      <c r="AQ29" s="11">
        <v>30.3</v>
      </c>
      <c r="AR29" s="11">
        <v>28.2</v>
      </c>
      <c r="AS29" s="11">
        <v>33.799999999999997</v>
      </c>
      <c r="AT29" s="11">
        <v>30.9</v>
      </c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</sheetData>
  <mergeCells count="1">
    <mergeCell ref="A1:A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258"/>
  <sheetViews>
    <sheetView showGridLines="0" topLeftCell="D2" workbookViewId="0">
      <selection activeCell="M6" sqref="M6"/>
    </sheetView>
  </sheetViews>
  <sheetFormatPr defaultRowHeight="13.8"/>
  <cols>
    <col min="1" max="1" width="43" customWidth="1"/>
    <col min="2" max="16" width="11.5" customWidth="1"/>
  </cols>
  <sheetData>
    <row r="1" spans="1:46" ht="25.95" customHeight="1">
      <c r="A1" s="37" t="s">
        <v>422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9.95" customHeight="1">
      <c r="A4" s="3" t="s">
        <v>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15" t="s">
        <v>13</v>
      </c>
      <c r="N4" s="15" t="s">
        <v>14</v>
      </c>
      <c r="O4" s="15" t="s">
        <v>15</v>
      </c>
      <c r="P4" s="15" t="s">
        <v>16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4.4">
      <c r="A5" s="27" t="s">
        <v>17</v>
      </c>
      <c r="B5" s="26">
        <f>'Raw Financials'!C6</f>
        <v>23123.31</v>
      </c>
      <c r="C5" s="26">
        <f>'Raw Financials'!D6</f>
        <v>28784.39</v>
      </c>
      <c r="D5" s="26">
        <f>'Raw Financials'!E6</f>
        <v>30337.03</v>
      </c>
      <c r="E5" s="26">
        <f>'Raw Financials'!F6</f>
        <v>33659.410000000003</v>
      </c>
      <c r="F5" s="26">
        <f>'Raw Financials'!G6</f>
        <v>35658.080000000002</v>
      </c>
      <c r="G5" s="26">
        <f>'Raw Financials'!H6</f>
        <v>41878.879999999997</v>
      </c>
      <c r="H5" s="26">
        <f>'Raw Financials'!I6</f>
        <v>57107.46</v>
      </c>
      <c r="I5" s="26">
        <f>'Raw Financials'!J6</f>
        <v>83505.919999999998</v>
      </c>
      <c r="J5" s="26">
        <f>'Raw Financials'!K6</f>
        <v>98215.87</v>
      </c>
      <c r="K5" s="26">
        <f>'Raw Financials'!L6</f>
        <v>119387.17</v>
      </c>
      <c r="L5" s="26">
        <f>'Raw Financials'!M6</f>
        <v>147484.49</v>
      </c>
      <c r="M5" s="28">
        <f>'Bookings &amp; Revenue'!M27</f>
        <v>181518.89013355385</v>
      </c>
      <c r="N5" s="28">
        <f>'Bookings &amp; Revenue'!N27</f>
        <v>216842.08862184468</v>
      </c>
      <c r="O5" s="28">
        <f>'Bookings &amp; Revenue'!O27</f>
        <v>247270.92469272984</v>
      </c>
      <c r="P5" s="28">
        <f>'Bookings &amp; Revenue'!P27</f>
        <v>281990.34232471167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19</v>
      </c>
      <c r="B6" s="1"/>
      <c r="C6" s="17">
        <f t="shared" ref="C6:L6" si="0">IFERROR(C5/B5-1,"")</f>
        <v>0.24482135126848181</v>
      </c>
      <c r="D6" s="17">
        <f t="shared" si="0"/>
        <v>5.3940347528643073E-2</v>
      </c>
      <c r="E6" s="17">
        <f t="shared" si="0"/>
        <v>0.10951566451956585</v>
      </c>
      <c r="F6" s="17">
        <f t="shared" si="0"/>
        <v>5.9379234514211676E-2</v>
      </c>
      <c r="G6" s="17">
        <f t="shared" si="0"/>
        <v>0.17445695337494316</v>
      </c>
      <c r="H6" s="17">
        <f t="shared" si="0"/>
        <v>0.36363388896742221</v>
      </c>
      <c r="I6" s="17">
        <f t="shared" si="0"/>
        <v>0.46225939658321336</v>
      </c>
      <c r="J6" s="17">
        <f t="shared" si="0"/>
        <v>0.17615457682521196</v>
      </c>
      <c r="K6" s="17">
        <f t="shared" si="0"/>
        <v>0.2155588501125123</v>
      </c>
      <c r="L6" s="17">
        <f t="shared" si="0"/>
        <v>0.23534622690193596</v>
      </c>
      <c r="M6" s="22">
        <f>'Bookings &amp; Revenue'!M8</f>
        <v>0.20570181237348972</v>
      </c>
      <c r="N6" s="22">
        <f>'Bookings &amp; Revenue'!N8</f>
        <v>0.14429906035613627</v>
      </c>
      <c r="O6" s="22">
        <f>'Bookings &amp; Revenue'!O8</f>
        <v>0.12844875941301281</v>
      </c>
      <c r="P6" s="22">
        <f>'Bookings &amp; Revenue'!P8</f>
        <v>0.12865362452269968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17</v>
      </c>
      <c r="B7" s="19">
        <f>'Raw Operating'!C7</f>
        <v>352</v>
      </c>
      <c r="C7" s="19">
        <f>'Raw Operating'!D7</f>
        <v>429</v>
      </c>
      <c r="D7" s="19">
        <f>'Raw Operating'!E7</f>
        <v>471</v>
      </c>
      <c r="E7" s="19">
        <f>'Raw Operating'!F7</f>
        <v>481</v>
      </c>
      <c r="F7" s="19">
        <f>'Raw Operating'!G7</f>
        <v>502</v>
      </c>
      <c r="G7" s="19">
        <f>'Raw Operating'!H7</f>
        <v>566</v>
      </c>
      <c r="H7" s="19">
        <f>'Raw Operating'!I7</f>
        <v>766</v>
      </c>
      <c r="I7" s="19">
        <f>'Raw Operating'!J7</f>
        <v>1036</v>
      </c>
      <c r="J7" s="19">
        <f>'Raw Operating'!K7</f>
        <v>1186</v>
      </c>
      <c r="K7" s="19">
        <f>'Raw Operating'!L7</f>
        <v>1409.1</v>
      </c>
      <c r="L7" s="19">
        <f>'Raw Operating'!M7</f>
        <v>1654.4</v>
      </c>
      <c r="M7" s="21">
        <f>'Bookings &amp; Revenue'!M7</f>
        <v>1994.7130783907016</v>
      </c>
      <c r="N7" s="21">
        <f>'Bookings &amp; Revenue'!N7</f>
        <v>2282.5483012825757</v>
      </c>
      <c r="O7" s="21">
        <f>'Bookings &amp; Revenue'!O7</f>
        <v>2575.7387988826026</v>
      </c>
      <c r="P7" s="21">
        <f>'Bookings &amp; Revenue'!P7</f>
        <v>2907.1169311825947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131</v>
      </c>
      <c r="B8" s="18">
        <f t="shared" ref="B8:L8" si="1">IFERROR(B5/B7,"")</f>
        <v>65.691221590909095</v>
      </c>
      <c r="C8" s="18">
        <f t="shared" si="1"/>
        <v>67.096480186480179</v>
      </c>
      <c r="D8" s="18">
        <f t="shared" si="1"/>
        <v>64.40983014861996</v>
      </c>
      <c r="E8" s="18">
        <f t="shared" si="1"/>
        <v>69.97798336798337</v>
      </c>
      <c r="F8" s="18">
        <f t="shared" si="1"/>
        <v>71.032031872509961</v>
      </c>
      <c r="G8" s="18">
        <f t="shared" si="1"/>
        <v>73.990954063604235</v>
      </c>
      <c r="H8" s="18">
        <f t="shared" si="1"/>
        <v>74.552819843342036</v>
      </c>
      <c r="I8" s="18">
        <f t="shared" si="1"/>
        <v>80.604169884169877</v>
      </c>
      <c r="J8" s="18">
        <f t="shared" si="1"/>
        <v>82.812706576728502</v>
      </c>
      <c r="K8" s="18">
        <f t="shared" si="1"/>
        <v>84.725832091405863</v>
      </c>
      <c r="L8" s="18">
        <f t="shared" si="1"/>
        <v>89.146814555125715</v>
      </c>
      <c r="M8" s="23">
        <f>'Bookings &amp; Revenue'!M26</f>
        <v>91</v>
      </c>
      <c r="N8" s="23">
        <f>'Bookings &amp; Revenue'!N26</f>
        <v>95</v>
      </c>
      <c r="O8" s="23">
        <f>'Bookings &amp; Revenue'!O26</f>
        <v>96</v>
      </c>
      <c r="P8" s="23">
        <f>'Bookings &amp; Revenue'!P26</f>
        <v>97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283</v>
      </c>
      <c r="B9" s="20">
        <f t="shared" ref="B9:P9" si="2">B5-B10</f>
        <v>14304.8</v>
      </c>
      <c r="C9" s="20">
        <f t="shared" si="2"/>
        <v>18518.019999999997</v>
      </c>
      <c r="D9" s="20">
        <f t="shared" si="2"/>
        <v>19704.12</v>
      </c>
      <c r="E9" s="20">
        <f t="shared" si="2"/>
        <v>21378.150000000005</v>
      </c>
      <c r="F9" s="20">
        <f t="shared" si="2"/>
        <v>23494.33</v>
      </c>
      <c r="G9" s="20">
        <f t="shared" si="2"/>
        <v>27650.239999999998</v>
      </c>
      <c r="H9" s="20">
        <f t="shared" si="2"/>
        <v>37894.936999999998</v>
      </c>
      <c r="I9" s="20">
        <f t="shared" si="2"/>
        <v>55315.319999999992</v>
      </c>
      <c r="J9" s="20">
        <f t="shared" si="2"/>
        <v>65231.09</v>
      </c>
      <c r="K9" s="20">
        <f t="shared" si="2"/>
        <v>78740.070000000007</v>
      </c>
      <c r="L9" s="20">
        <f t="shared" si="2"/>
        <v>95764.69</v>
      </c>
      <c r="M9" s="24">
        <f t="shared" si="2"/>
        <v>117624.2408065429</v>
      </c>
      <c r="N9" s="24">
        <f t="shared" si="2"/>
        <v>139646.30507246798</v>
      </c>
      <c r="O9" s="24">
        <f t="shared" si="2"/>
        <v>158500.66272803984</v>
      </c>
      <c r="P9" s="24">
        <f t="shared" si="2"/>
        <v>179909.83840316604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27" t="s">
        <v>284</v>
      </c>
      <c r="B10" s="26">
        <f>SUM('Quarterly P&amp;L'!B11:E11)</f>
        <v>8818.510000000002</v>
      </c>
      <c r="C10" s="26">
        <f>SUM('Quarterly P&amp;L'!F11:I11)</f>
        <v>10266.370000000001</v>
      </c>
      <c r="D10" s="26">
        <f>SUM('Quarterly P&amp;L'!J11:M11)</f>
        <v>10632.91</v>
      </c>
      <c r="E10" s="26">
        <f>SUM('Quarterly P&amp;L'!N11:Q11)</f>
        <v>12281.259999999998</v>
      </c>
      <c r="F10" s="26">
        <f>SUM('Quarterly P&amp;L'!R11:U11)</f>
        <v>12163.75</v>
      </c>
      <c r="G10" s="26">
        <f>SUM('Quarterly P&amp;L'!V11:Y11)</f>
        <v>14228.64</v>
      </c>
      <c r="H10" s="26">
        <f>SUM('Quarterly P&amp;L'!Z11:AC11)</f>
        <v>19212.523000000001</v>
      </c>
      <c r="I10" s="26">
        <f>SUM('Quarterly P&amp;L'!AD11:AG11)</f>
        <v>28190.600000000002</v>
      </c>
      <c r="J10" s="26">
        <f>SUM('Quarterly P&amp;L'!AH11:AK11)</f>
        <v>32984.78</v>
      </c>
      <c r="K10" s="26">
        <f>SUM('Quarterly P&amp;L'!AL11:AO11)</f>
        <v>40647.1</v>
      </c>
      <c r="L10" s="26">
        <f>SUM('Quarterly P&amp;L'!AP11:AS11)</f>
        <v>51719.799999999996</v>
      </c>
      <c r="M10" s="28">
        <f>M5*Assumptions!B17</f>
        <v>63894.649327010949</v>
      </c>
      <c r="N10" s="28">
        <f>N5*Assumptions!C17</f>
        <v>77195.783549376705</v>
      </c>
      <c r="O10" s="28">
        <f>O5*Assumptions!D17</f>
        <v>88770.261964690013</v>
      </c>
      <c r="P10" s="28">
        <f>P5*Assumptions!E17</f>
        <v>102080.50392154562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24</v>
      </c>
      <c r="B11" s="17">
        <f t="shared" ref="B11:P11" si="3">IFERROR(B10/B5,"")</f>
        <v>0.38136884382037006</v>
      </c>
      <c r="C11" s="17">
        <f t="shared" si="3"/>
        <v>0.35666449766696467</v>
      </c>
      <c r="D11" s="17">
        <f t="shared" si="3"/>
        <v>0.35049278060508893</v>
      </c>
      <c r="E11" s="17">
        <f t="shared" si="3"/>
        <v>0.36486854641837146</v>
      </c>
      <c r="F11" s="17">
        <f t="shared" si="3"/>
        <v>0.34112184391307665</v>
      </c>
      <c r="G11" s="17">
        <f t="shared" si="3"/>
        <v>0.33975693714827138</v>
      </c>
      <c r="H11" s="17">
        <f t="shared" si="3"/>
        <v>0.33642755254742551</v>
      </c>
      <c r="I11" s="17">
        <f t="shared" si="3"/>
        <v>0.33758804166219597</v>
      </c>
      <c r="J11" s="17">
        <f t="shared" si="3"/>
        <v>0.33583961532896872</v>
      </c>
      <c r="K11" s="17">
        <f t="shared" si="3"/>
        <v>0.34046455745621579</v>
      </c>
      <c r="L11" s="17">
        <f t="shared" si="3"/>
        <v>0.35067958671450805</v>
      </c>
      <c r="M11" s="22">
        <f t="shared" si="3"/>
        <v>0.35199999999999998</v>
      </c>
      <c r="N11" s="22">
        <f t="shared" si="3"/>
        <v>0.35599999999999998</v>
      </c>
      <c r="O11" s="22">
        <f t="shared" si="3"/>
        <v>0.35899999999999999</v>
      </c>
      <c r="P11" s="22">
        <f t="shared" si="3"/>
        <v>0.36199999999999999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285</v>
      </c>
      <c r="B12" s="20">
        <f t="shared" ref="B12:L12" si="4">B10-B13</f>
        <v>4647.4500000000025</v>
      </c>
      <c r="C12" s="20">
        <f t="shared" si="4"/>
        <v>5727.02</v>
      </c>
      <c r="D12" s="20">
        <f t="shared" si="4"/>
        <v>5945.71</v>
      </c>
      <c r="E12" s="20">
        <f t="shared" si="4"/>
        <v>6475.8999999999978</v>
      </c>
      <c r="F12" s="20">
        <f t="shared" si="4"/>
        <v>7234.21</v>
      </c>
      <c r="G12" s="20">
        <f t="shared" si="4"/>
        <v>7398.49</v>
      </c>
      <c r="H12" s="20">
        <f t="shared" si="4"/>
        <v>9630.8120000000017</v>
      </c>
      <c r="I12" s="20">
        <f t="shared" si="4"/>
        <v>12999.350000000002</v>
      </c>
      <c r="J12" s="20">
        <f t="shared" si="4"/>
        <v>15741.759999999998</v>
      </c>
      <c r="K12" s="20">
        <f t="shared" si="4"/>
        <v>20065.399999999998</v>
      </c>
      <c r="L12" s="20">
        <f t="shared" si="4"/>
        <v>24655.699999999997</v>
      </c>
      <c r="M12" s="24">
        <f>M5*Assumptions!B18</f>
        <v>29769.097981902833</v>
      </c>
      <c r="N12" s="24">
        <f>N5*Assumptions!C18</f>
        <v>34911.576268116994</v>
      </c>
      <c r="O12" s="24">
        <f>O5*Assumptions!D18</f>
        <v>39068.806101451315</v>
      </c>
      <c r="P12" s="24">
        <f>P5*Assumptions!E18</f>
        <v>43990.493402655018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27" t="s">
        <v>26</v>
      </c>
      <c r="B13" s="26">
        <f>SUM('Quarterly P&amp;L'!B14:E14)</f>
        <v>4171.0599999999995</v>
      </c>
      <c r="C13" s="26">
        <f>SUM('Quarterly P&amp;L'!F14:I14)</f>
        <v>4539.3500000000004</v>
      </c>
      <c r="D13" s="26">
        <f>SUM('Quarterly P&amp;L'!J14:M14)</f>
        <v>4687.2</v>
      </c>
      <c r="E13" s="26">
        <f>SUM('Quarterly P&amp;L'!N14:Q14)</f>
        <v>5805.3600000000006</v>
      </c>
      <c r="F13" s="26">
        <f>SUM('Quarterly P&amp;L'!R14:U14)</f>
        <v>4929.54</v>
      </c>
      <c r="G13" s="26">
        <f>SUM('Quarterly P&amp;L'!V14:Y14)</f>
        <v>6830.15</v>
      </c>
      <c r="H13" s="26">
        <f>SUM('Quarterly P&amp;L'!Z14:AC14)</f>
        <v>9581.7109999999993</v>
      </c>
      <c r="I13" s="26">
        <f>SUM('Quarterly P&amp;L'!AD14:AG14)</f>
        <v>15191.25</v>
      </c>
      <c r="J13" s="26">
        <f>SUM('Quarterly P&amp;L'!AH14:AK14)</f>
        <v>17243.02</v>
      </c>
      <c r="K13" s="26">
        <f>SUM('Quarterly P&amp;L'!AL14:AO14)</f>
        <v>20581.7</v>
      </c>
      <c r="L13" s="26">
        <f>SUM('Quarterly P&amp;L'!AP14:AS14)</f>
        <v>27064.1</v>
      </c>
      <c r="M13" s="28">
        <f>M10-M12</f>
        <v>34125.551345108121</v>
      </c>
      <c r="N13" s="28">
        <f>N10-N12</f>
        <v>42284.207281259711</v>
      </c>
      <c r="O13" s="28">
        <f>O10-O12</f>
        <v>49701.455863238698</v>
      </c>
      <c r="P13" s="28">
        <f>P10-P12</f>
        <v>58090.010518890602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25</v>
      </c>
      <c r="B14" s="17">
        <f t="shared" ref="B14:P14" si="5">IFERROR(B13/B5,"")</f>
        <v>0.1803833447720071</v>
      </c>
      <c r="C14" s="17">
        <f t="shared" si="5"/>
        <v>0.15770179600818363</v>
      </c>
      <c r="D14" s="17">
        <f t="shared" si="5"/>
        <v>0.1545042477790344</v>
      </c>
      <c r="E14" s="17">
        <f t="shared" si="5"/>
        <v>0.172473611391287</v>
      </c>
      <c r="F14" s="17">
        <f t="shared" si="5"/>
        <v>0.13824468395381914</v>
      </c>
      <c r="G14" s="17">
        <f t="shared" si="5"/>
        <v>0.16309294804445582</v>
      </c>
      <c r="H14" s="17">
        <f t="shared" si="5"/>
        <v>0.16778387622212579</v>
      </c>
      <c r="I14" s="17">
        <f t="shared" si="5"/>
        <v>0.18191824004813073</v>
      </c>
      <c r="J14" s="17">
        <f t="shared" si="5"/>
        <v>0.17556246256333116</v>
      </c>
      <c r="K14" s="17">
        <f t="shared" si="5"/>
        <v>0.17239457137647204</v>
      </c>
      <c r="L14" s="17">
        <f t="shared" si="5"/>
        <v>0.18350471971662918</v>
      </c>
      <c r="M14" s="22">
        <f t="shared" si="5"/>
        <v>0.18799999999999997</v>
      </c>
      <c r="N14" s="22">
        <f t="shared" si="5"/>
        <v>0.19499999999999998</v>
      </c>
      <c r="O14" s="22">
        <f t="shared" si="5"/>
        <v>0.20100000000000001</v>
      </c>
      <c r="P14" s="22">
        <f t="shared" si="5"/>
        <v>0.20599999999999999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229</v>
      </c>
      <c r="B15" s="20">
        <f>'Raw Financials'!C12</f>
        <v>965.16</v>
      </c>
      <c r="C15" s="20">
        <f>'Raw Financials'!D12</f>
        <v>1490.17</v>
      </c>
      <c r="D15" s="20">
        <f>'Raw Financials'!E12</f>
        <v>1584.87</v>
      </c>
      <c r="E15" s="20">
        <f>'Raw Financials'!F12</f>
        <v>1572.51</v>
      </c>
      <c r="F15" s="20">
        <f>'Raw Financials'!G12</f>
        <v>1659.62</v>
      </c>
      <c r="G15" s="20">
        <f>'Raw Financials'!H12</f>
        <v>1755.5</v>
      </c>
      <c r="H15" s="20">
        <f>'Raw Financials'!I12</f>
        <v>1660.12</v>
      </c>
      <c r="I15" s="20">
        <f>'Raw Financials'!J12</f>
        <v>2718.95</v>
      </c>
      <c r="J15" s="20">
        <f>'Raw Financials'!K12</f>
        <v>3093.73</v>
      </c>
      <c r="K15" s="20">
        <f>'Raw Financials'!L12</f>
        <v>3069.1</v>
      </c>
      <c r="L15" s="20">
        <f>'Raw Financials'!M12</f>
        <v>4029.5</v>
      </c>
      <c r="M15" s="24">
        <f>M5*Assumptions!B19</f>
        <v>4901.010033605954</v>
      </c>
      <c r="N15" s="24">
        <f>N5*Assumptions!C19</f>
        <v>5637.8943041679613</v>
      </c>
      <c r="O15" s="24">
        <f>O5*Assumptions!D19</f>
        <v>6181.7731173182465</v>
      </c>
      <c r="P15" s="24">
        <f>P5*Assumptions!E19</f>
        <v>6767.7682157930803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27" t="s">
        <v>288</v>
      </c>
      <c r="B16" s="26">
        <f t="shared" ref="B16:P16" si="6">B13-B15</f>
        <v>3205.8999999999996</v>
      </c>
      <c r="C16" s="26">
        <f t="shared" si="6"/>
        <v>3049.1800000000003</v>
      </c>
      <c r="D16" s="26">
        <f t="shared" si="6"/>
        <v>3102.33</v>
      </c>
      <c r="E16" s="26">
        <f t="shared" si="6"/>
        <v>4232.8500000000004</v>
      </c>
      <c r="F16" s="26">
        <f t="shared" si="6"/>
        <v>3269.92</v>
      </c>
      <c r="G16" s="26">
        <f t="shared" si="6"/>
        <v>5074.6499999999996</v>
      </c>
      <c r="H16" s="26">
        <f t="shared" si="6"/>
        <v>7921.5909999999994</v>
      </c>
      <c r="I16" s="26">
        <f t="shared" si="6"/>
        <v>12472.3</v>
      </c>
      <c r="J16" s="26">
        <f t="shared" si="6"/>
        <v>14149.29</v>
      </c>
      <c r="K16" s="26">
        <f t="shared" si="6"/>
        <v>17512.600000000002</v>
      </c>
      <c r="L16" s="26">
        <f t="shared" si="6"/>
        <v>23034.6</v>
      </c>
      <c r="M16" s="28">
        <f t="shared" si="6"/>
        <v>29224.541311502166</v>
      </c>
      <c r="N16" s="28">
        <f t="shared" si="6"/>
        <v>36646.312977091751</v>
      </c>
      <c r="O16" s="28">
        <f t="shared" si="6"/>
        <v>43519.682745920451</v>
      </c>
      <c r="P16" s="28">
        <f t="shared" si="6"/>
        <v>51322.242303097519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27</v>
      </c>
      <c r="B17" s="17">
        <f t="shared" ref="B17:P17" si="7">IFERROR(B16/B5,"")</f>
        <v>0.13864364574102928</v>
      </c>
      <c r="C17" s="17">
        <f t="shared" si="7"/>
        <v>0.10593172202016442</v>
      </c>
      <c r="D17" s="17">
        <f t="shared" si="7"/>
        <v>0.10226215288708222</v>
      </c>
      <c r="E17" s="17">
        <f t="shared" si="7"/>
        <v>0.12575532369699885</v>
      </c>
      <c r="F17" s="17">
        <f t="shared" si="7"/>
        <v>9.1702077060795195E-2</v>
      </c>
      <c r="G17" s="17">
        <f t="shared" si="7"/>
        <v>0.12117444401569478</v>
      </c>
      <c r="H17" s="17">
        <f t="shared" si="7"/>
        <v>0.1387137687440485</v>
      </c>
      <c r="I17" s="17">
        <f t="shared" si="7"/>
        <v>0.14935827304219867</v>
      </c>
      <c r="J17" s="17">
        <f t="shared" si="7"/>
        <v>0.14406317431185003</v>
      </c>
      <c r="K17" s="17">
        <f t="shared" si="7"/>
        <v>0.14668745393663324</v>
      </c>
      <c r="L17" s="17">
        <f t="shared" si="7"/>
        <v>0.15618320272185909</v>
      </c>
      <c r="M17" s="22">
        <f t="shared" si="7"/>
        <v>0.16099999999999998</v>
      </c>
      <c r="N17" s="22">
        <f t="shared" si="7"/>
        <v>0.16900000000000001</v>
      </c>
      <c r="O17" s="22">
        <f t="shared" si="7"/>
        <v>0.17599999999999999</v>
      </c>
      <c r="P17" s="22">
        <f t="shared" si="7"/>
        <v>0.18199999999999997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224</v>
      </c>
      <c r="B18" s="20">
        <f>'Raw Financials'!C7</f>
        <v>784.49</v>
      </c>
      <c r="C18" s="20">
        <f>'Raw Financials'!D7</f>
        <v>958.45</v>
      </c>
      <c r="D18" s="20">
        <f>'Raw Financials'!E7</f>
        <v>1191.01</v>
      </c>
      <c r="E18" s="20">
        <f>'Raw Financials'!F7</f>
        <v>876.55</v>
      </c>
      <c r="F18" s="20">
        <f>'Raw Financials'!G7</f>
        <v>1323.77</v>
      </c>
      <c r="G18" s="20">
        <f>'Raw Financials'!H7</f>
        <v>1077.72</v>
      </c>
      <c r="H18" s="20">
        <f>'Raw Financials'!I7</f>
        <v>1439.55</v>
      </c>
      <c r="I18" s="20">
        <f>'Raw Financials'!J7</f>
        <v>706.17</v>
      </c>
      <c r="J18" s="20">
        <f>'Raw Financials'!K7</f>
        <v>1280.2</v>
      </c>
      <c r="K18" s="20">
        <f>'Raw Financials'!L7</f>
        <v>1381.54</v>
      </c>
      <c r="L18" s="20">
        <f>'Raw Financials'!M7</f>
        <v>1804.26</v>
      </c>
      <c r="M18" s="24">
        <f>M5*Assumptions!B20</f>
        <v>1089.1133408013231</v>
      </c>
      <c r="N18" s="24">
        <f>N5*Assumptions!C20</f>
        <v>1301.052531731068</v>
      </c>
      <c r="O18" s="24">
        <f>O5*Assumptions!D20</f>
        <v>1483.625548156379</v>
      </c>
      <c r="P18" s="24">
        <f>P5*Assumptions!E20</f>
        <v>1691.9420539482701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228</v>
      </c>
      <c r="B19" s="20">
        <f>'Raw Financials'!C11</f>
        <v>0.92</v>
      </c>
      <c r="C19" s="20">
        <f>'Raw Financials'!D11</f>
        <v>0.91</v>
      </c>
      <c r="D19" s="20">
        <f>'Raw Financials'!E11</f>
        <v>0.79</v>
      </c>
      <c r="E19" s="20">
        <f>'Raw Financials'!F11</f>
        <v>3.05</v>
      </c>
      <c r="F19" s="20">
        <f>'Raw Financials'!G11</f>
        <v>63.32</v>
      </c>
      <c r="G19" s="20">
        <f>'Raw Financials'!H11</f>
        <v>57.94</v>
      </c>
      <c r="H19" s="20">
        <f>'Raw Financials'!I11</f>
        <v>118.35</v>
      </c>
      <c r="I19" s="20">
        <f>'Raw Financials'!J11</f>
        <v>473.4</v>
      </c>
      <c r="J19" s="20">
        <f>'Raw Financials'!K11</f>
        <v>467.27</v>
      </c>
      <c r="K19" s="20">
        <f>'Raw Financials'!L11</f>
        <v>671.29</v>
      </c>
      <c r="L19" s="20">
        <f>'Raw Financials'!M11</f>
        <v>726.82</v>
      </c>
      <c r="M19" s="24">
        <f>M5*Assumptions!B21</f>
        <v>1089.1133408013231</v>
      </c>
      <c r="N19" s="24">
        <f>N5*Assumptions!C21</f>
        <v>1301.052531731068</v>
      </c>
      <c r="O19" s="24">
        <f>O5*Assumptions!D21</f>
        <v>1236.3546234636492</v>
      </c>
      <c r="P19" s="24">
        <f>P5*Assumptions!E21</f>
        <v>1409.9517116235584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232</v>
      </c>
      <c r="B20" s="20">
        <f>'Raw Financials'!C15</f>
        <v>0</v>
      </c>
      <c r="C20" s="20">
        <f>'Raw Financials'!D15</f>
        <v>-114.11</v>
      </c>
      <c r="D20" s="20">
        <f>'Raw Financials'!E15</f>
        <v>0</v>
      </c>
      <c r="E20" s="20">
        <f>'Raw Financials'!F15</f>
        <v>0</v>
      </c>
      <c r="F20" s="20">
        <f>'Raw Financials'!G15</f>
        <v>0</v>
      </c>
      <c r="G20" s="20">
        <f>'Raw Financials'!H15</f>
        <v>0</v>
      </c>
      <c r="H20" s="20">
        <f>'Raw Financials'!I15</f>
        <v>0</v>
      </c>
      <c r="I20" s="20">
        <f>'Raw Financials'!J15</f>
        <v>-296.55</v>
      </c>
      <c r="J20" s="20">
        <f>'Raw Financials'!K15</f>
        <v>0</v>
      </c>
      <c r="K20" s="20">
        <f>'Raw Financials'!L15</f>
        <v>0</v>
      </c>
      <c r="L20" s="20">
        <f>'Raw Financials'!M15</f>
        <v>-890.25</v>
      </c>
      <c r="M20" s="24">
        <f>0</f>
        <v>0</v>
      </c>
      <c r="N20" s="24">
        <f>0</f>
        <v>0</v>
      </c>
      <c r="O20" s="24">
        <f>0</f>
        <v>0</v>
      </c>
      <c r="P20" s="24">
        <f>0</f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27" t="s">
        <v>233</v>
      </c>
      <c r="B21" s="26">
        <f>'Raw Financials'!C16</f>
        <v>3956.27</v>
      </c>
      <c r="C21" s="26">
        <f>'Raw Financials'!D16</f>
        <v>4006.73</v>
      </c>
      <c r="D21" s="26">
        <f>'Raw Financials'!E16</f>
        <v>4292.6099999999997</v>
      </c>
      <c r="E21" s="26">
        <f>'Raw Financials'!F16</f>
        <v>4863.3900000000003</v>
      </c>
      <c r="F21" s="26">
        <f>'Raw Financials'!G16</f>
        <v>4523.42</v>
      </c>
      <c r="G21" s="26">
        <f>'Raw Financials'!H16</f>
        <v>6094.43</v>
      </c>
      <c r="H21" s="26">
        <f>'Raw Financials'!I16</f>
        <v>9242.7900000000009</v>
      </c>
      <c r="I21" s="26">
        <f>'Raw Financials'!J16</f>
        <v>12408.52</v>
      </c>
      <c r="J21" s="26">
        <f>'Raw Financials'!K16</f>
        <v>14476.06</v>
      </c>
      <c r="K21" s="26">
        <f>'Raw Financials'!L16</f>
        <v>18223.080000000002</v>
      </c>
      <c r="L21" s="26">
        <f>'Raw Financials'!M16</f>
        <v>24112.12</v>
      </c>
      <c r="M21" s="28">
        <f>M16+M18-M19+M20</f>
        <v>29224.541311502166</v>
      </c>
      <c r="N21" s="28">
        <f>N16+N18-N19+N20</f>
        <v>36646.312977091751</v>
      </c>
      <c r="O21" s="28">
        <f>O16+O18-O19+O20</f>
        <v>43766.953670613177</v>
      </c>
      <c r="P21" s="28">
        <f>P16+P18-P19+P20</f>
        <v>51604.232645422228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420</v>
      </c>
      <c r="B22" s="17">
        <f t="shared" ref="B22:P22" si="8">IFERROR(B21/B5,"")</f>
        <v>0.17109444971329796</v>
      </c>
      <c r="C22" s="17">
        <f t="shared" si="8"/>
        <v>0.13919801670280316</v>
      </c>
      <c r="D22" s="17">
        <f t="shared" si="8"/>
        <v>0.14149737136430296</v>
      </c>
      <c r="E22" s="17">
        <f t="shared" si="8"/>
        <v>0.144488272373164</v>
      </c>
      <c r="F22" s="17">
        <f t="shared" si="8"/>
        <v>0.12685539995423198</v>
      </c>
      <c r="G22" s="17">
        <f t="shared" si="8"/>
        <v>0.14552514298376654</v>
      </c>
      <c r="H22" s="17">
        <f t="shared" si="8"/>
        <v>0.16184908241410143</v>
      </c>
      <c r="I22" s="17">
        <f t="shared" si="8"/>
        <v>0.14859449485737061</v>
      </c>
      <c r="J22" s="17">
        <f t="shared" si="8"/>
        <v>0.14739023337063553</v>
      </c>
      <c r="K22" s="17">
        <f t="shared" si="8"/>
        <v>0.15263851216173399</v>
      </c>
      <c r="L22" s="17">
        <f t="shared" si="8"/>
        <v>0.16348919130411613</v>
      </c>
      <c r="M22" s="22">
        <f t="shared" si="8"/>
        <v>0.16099999999999998</v>
      </c>
      <c r="N22" s="22">
        <f t="shared" si="8"/>
        <v>0.16900000000000001</v>
      </c>
      <c r="O22" s="22">
        <f t="shared" si="8"/>
        <v>0.17699999999999999</v>
      </c>
      <c r="P22" s="22">
        <f t="shared" si="8"/>
        <v>0.18299999999999997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234</v>
      </c>
      <c r="B23" s="20">
        <f>'Raw Financials'!C17</f>
        <v>982.66</v>
      </c>
      <c r="C23" s="20">
        <f>'Raw Financials'!D17</f>
        <v>992.08</v>
      </c>
      <c r="D23" s="20">
        <f>'Raw Financials'!E17</f>
        <v>1061.73</v>
      </c>
      <c r="E23" s="20">
        <f>'Raw Financials'!F17</f>
        <v>1346.6</v>
      </c>
      <c r="F23" s="20">
        <f>'Raw Financials'!G17</f>
        <v>1120.53</v>
      </c>
      <c r="G23" s="20">
        <f>'Raw Financials'!H17</f>
        <v>1587.66</v>
      </c>
      <c r="H23" s="20">
        <f>'Raw Financials'!I17</f>
        <v>2338.9299999999998</v>
      </c>
      <c r="I23" s="20">
        <f>'Raw Financials'!J17</f>
        <v>3197.59</v>
      </c>
      <c r="J23" s="20">
        <f>'Raw Financials'!K17</f>
        <v>3541.15</v>
      </c>
      <c r="K23" s="20">
        <f>'Raw Financials'!L17</f>
        <v>4221.47</v>
      </c>
      <c r="L23" s="20">
        <f>'Raw Financials'!M17</f>
        <v>5460.92</v>
      </c>
      <c r="M23" s="24">
        <f>M21*Assumptions!B22</f>
        <v>6721.6445016454982</v>
      </c>
      <c r="N23" s="24">
        <f>N21*Assumptions!C22</f>
        <v>8428.6519847311029</v>
      </c>
      <c r="O23" s="24">
        <f>O21*Assumptions!D22</f>
        <v>10066.399344241032</v>
      </c>
      <c r="P23" s="24">
        <f>P21*Assumptions!E22</f>
        <v>11868.973508447112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143</v>
      </c>
      <c r="B24" s="17">
        <f t="shared" ref="B24:P24" si="9">IFERROR(B23/B21,"")</f>
        <v>0.24838041892995169</v>
      </c>
      <c r="C24" s="17">
        <f t="shared" si="9"/>
        <v>0.24760340726727281</v>
      </c>
      <c r="D24" s="17">
        <f t="shared" si="9"/>
        <v>0.24733903149831923</v>
      </c>
      <c r="E24" s="17">
        <f t="shared" si="9"/>
        <v>0.27688505342980924</v>
      </c>
      <c r="F24" s="17">
        <f t="shared" si="9"/>
        <v>0.24771743503809063</v>
      </c>
      <c r="G24" s="17">
        <f t="shared" si="9"/>
        <v>0.26051000667822916</v>
      </c>
      <c r="H24" s="17">
        <f t="shared" si="9"/>
        <v>0.25305454305464037</v>
      </c>
      <c r="I24" s="17">
        <f t="shared" si="9"/>
        <v>0.25769310119176181</v>
      </c>
      <c r="J24" s="17">
        <f t="shared" si="9"/>
        <v>0.24462111928245669</v>
      </c>
      <c r="K24" s="17">
        <f t="shared" si="9"/>
        <v>0.23165513184379369</v>
      </c>
      <c r="L24" s="17">
        <f t="shared" si="9"/>
        <v>0.22648029289834326</v>
      </c>
      <c r="M24" s="22">
        <f t="shared" si="9"/>
        <v>0.23</v>
      </c>
      <c r="N24" s="22">
        <f t="shared" si="9"/>
        <v>0.23</v>
      </c>
      <c r="O24" s="22">
        <f t="shared" si="9"/>
        <v>0.23000000000000004</v>
      </c>
      <c r="P24" s="22">
        <f t="shared" si="9"/>
        <v>0.23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27" t="s">
        <v>28</v>
      </c>
      <c r="B25" s="26">
        <f>'Raw Financials'!C18</f>
        <v>2973.61</v>
      </c>
      <c r="C25" s="26">
        <f>'Raw Financials'!D18</f>
        <v>3014.65</v>
      </c>
      <c r="D25" s="26">
        <f>'Raw Financials'!E18</f>
        <v>3230.88</v>
      </c>
      <c r="E25" s="26">
        <f>'Raw Financials'!F18</f>
        <v>3516.79</v>
      </c>
      <c r="F25" s="26">
        <f>'Raw Financials'!G18</f>
        <v>3402.89</v>
      </c>
      <c r="G25" s="26">
        <f>'Raw Financials'!H18</f>
        <v>4506.7700000000004</v>
      </c>
      <c r="H25" s="26">
        <f>'Raw Financials'!I18</f>
        <v>6903.86</v>
      </c>
      <c r="I25" s="26">
        <f>'Raw Financials'!J18</f>
        <v>9210.93</v>
      </c>
      <c r="J25" s="26">
        <f>'Raw Financials'!K18</f>
        <v>10934.91</v>
      </c>
      <c r="K25" s="26">
        <f>'Raw Financials'!L18</f>
        <v>14001.61</v>
      </c>
      <c r="L25" s="26">
        <f>'Raw Financials'!M18</f>
        <v>18651.2</v>
      </c>
      <c r="M25" s="28">
        <f>M21-M23</f>
        <v>22502.896809856669</v>
      </c>
      <c r="N25" s="28">
        <f>N21-N23</f>
        <v>28217.660992360648</v>
      </c>
      <c r="O25" s="28">
        <f>O21-O23</f>
        <v>33700.554326372148</v>
      </c>
      <c r="P25" s="28">
        <f>P21-P23</f>
        <v>39735.259136975117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423</v>
      </c>
      <c r="B26" s="17">
        <f t="shared" ref="B26:P26" si="10">IFERROR(B25/B5,"")</f>
        <v>0.12859793861691945</v>
      </c>
      <c r="C26" s="17">
        <f t="shared" si="10"/>
        <v>0.10473211348234235</v>
      </c>
      <c r="D26" s="17">
        <f t="shared" si="10"/>
        <v>0.10649954857149828</v>
      </c>
      <c r="E26" s="17">
        <f t="shared" si="10"/>
        <v>0.10448162935713964</v>
      </c>
      <c r="F26" s="17">
        <f t="shared" si="10"/>
        <v>9.5431105656838502E-2</v>
      </c>
      <c r="G26" s="17">
        <f t="shared" si="10"/>
        <v>0.10761438701321527</v>
      </c>
      <c r="H26" s="17">
        <f t="shared" si="10"/>
        <v>0.12089243681998814</v>
      </c>
      <c r="I26" s="17">
        <f t="shared" si="10"/>
        <v>0.11030271865755147</v>
      </c>
      <c r="J26" s="17">
        <f t="shared" si="10"/>
        <v>0.11133546951220816</v>
      </c>
      <c r="K26" s="17">
        <f t="shared" si="10"/>
        <v>0.11727901750246698</v>
      </c>
      <c r="L26" s="17">
        <f t="shared" si="10"/>
        <v>0.12646211137184665</v>
      </c>
      <c r="M26" s="22">
        <f t="shared" si="10"/>
        <v>0.12396999999999998</v>
      </c>
      <c r="N26" s="22">
        <f t="shared" si="10"/>
        <v>0.13013</v>
      </c>
      <c r="O26" s="22">
        <f t="shared" si="10"/>
        <v>0.13628999999999999</v>
      </c>
      <c r="P26" s="22">
        <f t="shared" si="10"/>
        <v>0.14090999999999998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424</v>
      </c>
      <c r="B27" s="18">
        <f>IFERROR(B25/'Raw Financials'!C19,"")</f>
        <v>79.807031669350522</v>
      </c>
      <c r="C27" s="18">
        <f>IFERROR(C25/'Raw Financials'!D19,"")</f>
        <v>80.006634819532906</v>
      </c>
      <c r="D27" s="18">
        <f>IFERROR(D25/'Raw Financials'!E19,"")</f>
        <v>79.99207724684328</v>
      </c>
      <c r="E27" s="18">
        <f>IFERROR(E25/'Raw Financials'!F19,"")</f>
        <v>79.945214821550351</v>
      </c>
      <c r="F27" s="18">
        <f>IFERROR(F25/'Raw Financials'!G19,"")</f>
        <v>76.676205497972049</v>
      </c>
      <c r="G27" s="18">
        <f>IFERROR(G25/'Raw Financials'!H19,"")</f>
        <v>76.424792267254546</v>
      </c>
      <c r="H27" s="18">
        <f>IFERROR(H25/'Raw Financials'!I19,"")</f>
        <v>76.420854549479742</v>
      </c>
      <c r="I27" s="18">
        <f>IFERROR(I25/'Raw Financials'!J19,"")</f>
        <v>74.443788895174976</v>
      </c>
      <c r="J27" s="18">
        <f>IFERROR(J25/'Raw Financials'!K19,"")</f>
        <v>150.95127001656545</v>
      </c>
      <c r="K27" s="18">
        <f>IFERROR(K25/'Raw Financials'!L19,"")</f>
        <v>153.49276474457358</v>
      </c>
      <c r="L27" s="18">
        <f>IFERROR(L25/'Raw Financials'!M19,"")</f>
        <v>155.76415567061969</v>
      </c>
      <c r="M27" s="23">
        <f t="shared" ref="M27:P28" si="11">L27</f>
        <v>155.76415567061969</v>
      </c>
      <c r="N27" s="23">
        <f t="shared" si="11"/>
        <v>155.76415567061969</v>
      </c>
      <c r="O27" s="23">
        <f t="shared" si="11"/>
        <v>155.76415567061969</v>
      </c>
      <c r="P27" s="23">
        <f t="shared" si="11"/>
        <v>155.76415567061969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426</v>
      </c>
      <c r="B28" s="18">
        <f>IFERROR(B25/'Raw Financials'!C20,"")</f>
        <v>80.000269034167346</v>
      </c>
      <c r="C28" s="18">
        <f>IFERROR(C25/'Raw Financials'!D20,"")</f>
        <v>80.006634819532906</v>
      </c>
      <c r="D28" s="18">
        <f>IFERROR(D25/'Raw Financials'!E20,"")</f>
        <v>79.99207724684328</v>
      </c>
      <c r="E28" s="18">
        <f>IFERROR(E25/'Raw Financials'!F20,"")</f>
        <v>79.945214821550351</v>
      </c>
      <c r="F28" s="18">
        <f>IFERROR(F25/'Raw Financials'!G20,"")</f>
        <v>76.676205497972049</v>
      </c>
      <c r="G28" s="18">
        <f>IFERROR(G25/'Raw Financials'!H20,"")</f>
        <v>76.424792267254546</v>
      </c>
      <c r="H28" s="18">
        <f>IFERROR(H25/'Raw Financials'!I20,"")</f>
        <v>76.420854549479742</v>
      </c>
      <c r="I28" s="18">
        <f>IFERROR(I25/'Raw Financials'!J20,"")</f>
        <v>76.426568204447406</v>
      </c>
      <c r="J28" s="18">
        <f>IFERROR(J25/'Raw Financials'!K20,"")</f>
        <v>153.86112283663994</v>
      </c>
      <c r="K28" s="18">
        <f>IFERROR(K25/'Raw Financials'!L20,"")</f>
        <v>155.15968528368796</v>
      </c>
      <c r="L28" s="18">
        <f>IFERROR(L25/'Raw Financials'!M20,"")</f>
        <v>156.90418103810885</v>
      </c>
      <c r="M28" s="23">
        <f t="shared" si="11"/>
        <v>156.90418103810885</v>
      </c>
      <c r="N28" s="23">
        <f t="shared" si="11"/>
        <v>156.90418103810885</v>
      </c>
      <c r="O28" s="23">
        <f t="shared" si="11"/>
        <v>156.90418103810885</v>
      </c>
      <c r="P28" s="23">
        <f t="shared" si="11"/>
        <v>156.90418103810885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 t="s">
        <v>235</v>
      </c>
      <c r="B29" s="25">
        <f>'Raw Financials'!C19</f>
        <v>37.26</v>
      </c>
      <c r="C29" s="25">
        <f>'Raw Financials'!D19</f>
        <v>37.68</v>
      </c>
      <c r="D29" s="25">
        <f>'Raw Financials'!E19</f>
        <v>40.39</v>
      </c>
      <c r="E29" s="25">
        <f>'Raw Financials'!F19</f>
        <v>43.99</v>
      </c>
      <c r="F29" s="25">
        <f>'Raw Financials'!G19</f>
        <v>44.38</v>
      </c>
      <c r="G29" s="25">
        <f>'Raw Financials'!H19</f>
        <v>58.97</v>
      </c>
      <c r="H29" s="25">
        <f>'Raw Financials'!I19</f>
        <v>90.34</v>
      </c>
      <c r="I29" s="25">
        <f>'Raw Financials'!J19</f>
        <v>123.73</v>
      </c>
      <c r="J29" s="25">
        <f>'Raw Financials'!K19</f>
        <v>72.44</v>
      </c>
      <c r="K29" s="25">
        <f>'Raw Financials'!L19</f>
        <v>91.22</v>
      </c>
      <c r="L29" s="25">
        <f>'Raw Financials'!M19</f>
        <v>119.74</v>
      </c>
      <c r="M29" s="29">
        <f>M25/M27</f>
        <v>144.46774813482443</v>
      </c>
      <c r="N29" s="29">
        <f>N25/N27</f>
        <v>181.15631847952216</v>
      </c>
      <c r="O29" s="29">
        <f>O25/O27</f>
        <v>216.35628672899335</v>
      </c>
      <c r="P29" s="29">
        <f>P25/P27</f>
        <v>255.09886382974824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 t="s">
        <v>29</v>
      </c>
      <c r="B30" s="25">
        <f>'Raw Financials'!C20</f>
        <v>37.17</v>
      </c>
      <c r="C30" s="25">
        <f>'Raw Financials'!D20</f>
        <v>37.68</v>
      </c>
      <c r="D30" s="25">
        <f>'Raw Financials'!E20</f>
        <v>40.39</v>
      </c>
      <c r="E30" s="25">
        <f>'Raw Financials'!F20</f>
        <v>43.99</v>
      </c>
      <c r="F30" s="25">
        <f>'Raw Financials'!G20</f>
        <v>44.38</v>
      </c>
      <c r="G30" s="25">
        <f>'Raw Financials'!H20</f>
        <v>58.97</v>
      </c>
      <c r="H30" s="25">
        <f>'Raw Financials'!I20</f>
        <v>90.34</v>
      </c>
      <c r="I30" s="25">
        <f>'Raw Financials'!J20</f>
        <v>120.52</v>
      </c>
      <c r="J30" s="25">
        <f>'Raw Financials'!K20</f>
        <v>71.069999999999993</v>
      </c>
      <c r="K30" s="25">
        <f>'Raw Financials'!L20</f>
        <v>90.24</v>
      </c>
      <c r="L30" s="25">
        <f>'Raw Financials'!M20</f>
        <v>118.87</v>
      </c>
      <c r="M30" s="29">
        <f>M25/M28</f>
        <v>143.41808268570722</v>
      </c>
      <c r="N30" s="29">
        <f>N25/N28</f>
        <v>179.84008332771674</v>
      </c>
      <c r="O30" s="29">
        <f>O25/O28</f>
        <v>214.7842976739222</v>
      </c>
      <c r="P30" s="29">
        <f>P25/P28</f>
        <v>253.24538118792532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27" t="s">
        <v>386</v>
      </c>
      <c r="B31" s="26">
        <f>-'Raw Financials'!C102</f>
        <v>1039.51</v>
      </c>
      <c r="C31" s="26">
        <f>-'Raw Financials'!D102</f>
        <v>480.01</v>
      </c>
      <c r="D31" s="26">
        <f>-'Raw Financials'!E102</f>
        <v>799.79</v>
      </c>
      <c r="E31" s="26">
        <f>-'Raw Financials'!F102</f>
        <v>879.14</v>
      </c>
      <c r="F31" s="26">
        <f>-'Raw Financials'!G102</f>
        <v>1146.3800000000001</v>
      </c>
      <c r="G31" s="26">
        <f>-'Raw Financials'!H102</f>
        <v>1069.95</v>
      </c>
      <c r="H31" s="26">
        <f>-'Raw Financials'!I102</f>
        <v>1987.05</v>
      </c>
      <c r="I31" s="26">
        <f>-'Raw Financials'!J102</f>
        <v>2980.58</v>
      </c>
      <c r="J31" s="26">
        <f>-'Raw Financials'!K102</f>
        <v>4083.62</v>
      </c>
      <c r="K31" s="26">
        <f>-'Raw Financials'!L102</f>
        <v>4600.0600000000004</v>
      </c>
      <c r="L31" s="26">
        <f>-'Raw Financials'!M102</f>
        <v>5790.41</v>
      </c>
      <c r="M31" s="28">
        <f>M25*Assumptions!B44</f>
        <v>8101.0428515484009</v>
      </c>
      <c r="N31" s="28">
        <f>N25*Assumptions!C44</f>
        <v>10440.534567173439</v>
      </c>
      <c r="O31" s="28">
        <f>O25*Assumptions!D44</f>
        <v>12806.210644021416</v>
      </c>
      <c r="P31" s="28">
        <f>P25*Assumptions!E44</f>
        <v>15496.751063420295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 t="s">
        <v>427</v>
      </c>
      <c r="B32" s="25">
        <f t="shared" ref="B32:P32" si="12">IFERROR(B31/B28,"")</f>
        <v>12.993831302692685</v>
      </c>
      <c r="C32" s="25">
        <f t="shared" si="12"/>
        <v>5.9996274194350923</v>
      </c>
      <c r="D32" s="25">
        <f t="shared" si="12"/>
        <v>9.9983651822413702</v>
      </c>
      <c r="E32" s="25">
        <f t="shared" si="12"/>
        <v>10.996780757452107</v>
      </c>
      <c r="F32" s="25">
        <f t="shared" si="12"/>
        <v>14.950922421823806</v>
      </c>
      <c r="G32" s="25">
        <f t="shared" si="12"/>
        <v>14.000038053861189</v>
      </c>
      <c r="H32" s="25">
        <f t="shared" si="12"/>
        <v>26.001410370430456</v>
      </c>
      <c r="I32" s="25">
        <f t="shared" si="12"/>
        <v>38.999265177349081</v>
      </c>
      <c r="J32" s="25">
        <f t="shared" si="12"/>
        <v>26.540947607250537</v>
      </c>
      <c r="K32" s="25">
        <f t="shared" si="12"/>
        <v>29.647263021895338</v>
      </c>
      <c r="L32" s="25">
        <f t="shared" si="12"/>
        <v>36.904115375954362</v>
      </c>
      <c r="M32" s="29">
        <f t="shared" si="12"/>
        <v>51.630509766854601</v>
      </c>
      <c r="N32" s="29">
        <f t="shared" si="12"/>
        <v>66.540830831255192</v>
      </c>
      <c r="O32" s="29">
        <f t="shared" si="12"/>
        <v>81.61803311609043</v>
      </c>
      <c r="P32" s="29">
        <f t="shared" si="12"/>
        <v>98.765698663290863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 t="s">
        <v>186</v>
      </c>
      <c r="B33" s="17">
        <f t="shared" ref="B33:P33" si="13">IFERROR(B31/B25,"")</f>
        <v>0.34957845850666358</v>
      </c>
      <c r="C33" s="17">
        <f t="shared" si="13"/>
        <v>0.15922578077057037</v>
      </c>
      <c r="D33" s="17">
        <f t="shared" si="13"/>
        <v>0.24754556034269298</v>
      </c>
      <c r="E33" s="17">
        <f t="shared" si="13"/>
        <v>0.24998364986251667</v>
      </c>
      <c r="F33" s="17">
        <f t="shared" si="13"/>
        <v>0.33688423663415512</v>
      </c>
      <c r="G33" s="17">
        <f t="shared" si="13"/>
        <v>0.23740949726744429</v>
      </c>
      <c r="H33" s="17">
        <f t="shared" si="13"/>
        <v>0.28781725006011133</v>
      </c>
      <c r="I33" s="17">
        <f t="shared" si="13"/>
        <v>0.32359164601185764</v>
      </c>
      <c r="J33" s="17">
        <f t="shared" si="13"/>
        <v>0.3734479753377028</v>
      </c>
      <c r="K33" s="17">
        <f t="shared" si="13"/>
        <v>0.32853793242348561</v>
      </c>
      <c r="L33" s="17">
        <f t="shared" si="13"/>
        <v>0.3104577721540705</v>
      </c>
      <c r="M33" s="22">
        <f t="shared" si="13"/>
        <v>0.36</v>
      </c>
      <c r="N33" s="22">
        <f t="shared" si="13"/>
        <v>0.37</v>
      </c>
      <c r="O33" s="22">
        <f t="shared" si="13"/>
        <v>0.38</v>
      </c>
      <c r="P33" s="22">
        <f t="shared" si="13"/>
        <v>0.39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6"/>
      <c r="N34" s="16"/>
      <c r="O34" s="16"/>
      <c r="P34" s="16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25.95" customHeight="1">
      <c r="A35" s="37" t="s">
        <v>428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9.95" customHeight="1">
      <c r="A38" s="3" t="s">
        <v>0</v>
      </c>
      <c r="B38" s="3" t="s">
        <v>2</v>
      </c>
      <c r="C38" s="3" t="s">
        <v>3</v>
      </c>
      <c r="D38" s="3" t="s">
        <v>4</v>
      </c>
      <c r="E38" s="3" t="s">
        <v>5</v>
      </c>
      <c r="F38" s="3" t="s">
        <v>6</v>
      </c>
      <c r="G38" s="3" t="s">
        <v>7</v>
      </c>
      <c r="H38" s="3" t="s">
        <v>8</v>
      </c>
      <c r="I38" s="3" t="s">
        <v>9</v>
      </c>
      <c r="J38" s="3" t="s">
        <v>10</v>
      </c>
      <c r="K38" s="3" t="s">
        <v>11</v>
      </c>
      <c r="L38" s="3" t="s">
        <v>12</v>
      </c>
      <c r="M38" s="15" t="s">
        <v>13</v>
      </c>
      <c r="N38" s="15" t="s">
        <v>14</v>
      </c>
      <c r="O38" s="15" t="s">
        <v>15</v>
      </c>
      <c r="P38" s="15" t="s">
        <v>16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 t="s">
        <v>293</v>
      </c>
      <c r="B39" s="20">
        <f>'Raw Financials'!C50</f>
        <v>3007.45</v>
      </c>
      <c r="C39" s="20">
        <f>'Raw Financials'!D50</f>
        <v>2768.36</v>
      </c>
      <c r="D39" s="20">
        <f>'Raw Financials'!E50</f>
        <v>2581.3000000000002</v>
      </c>
      <c r="E39" s="20">
        <f>'Raw Financials'!F50</f>
        <v>2331.2399999999998</v>
      </c>
      <c r="F39" s="20">
        <f>'Raw Financials'!G50</f>
        <v>2224.6</v>
      </c>
      <c r="G39" s="20">
        <f>'Raw Financials'!H50</f>
        <v>2401.4</v>
      </c>
      <c r="H39" s="20">
        <f>'Raw Financials'!I50</f>
        <v>2917.67</v>
      </c>
      <c r="I39" s="20">
        <f>'Raw Financials'!J50</f>
        <v>4859.95</v>
      </c>
      <c r="J39" s="20">
        <f>'Raw Financials'!K50</f>
        <v>4420.03</v>
      </c>
      <c r="K39" s="20">
        <f>'Raw Financials'!L50</f>
        <v>4350.88</v>
      </c>
      <c r="L39" s="20">
        <f>'Raw Financials'!M50</f>
        <v>3968.88</v>
      </c>
      <c r="M39" s="24">
        <f>L39-'Annual P&amp;L'!M111-'Annual P&amp;L'!M15*Assumptions!B32</f>
        <v>4976.3098402412243</v>
      </c>
      <c r="N39" s="24">
        <f>M39-'Annual P&amp;L'!N111-'Annual P&amp;L'!N15*Assumptions!C32</f>
        <v>6038.836074488263</v>
      </c>
      <c r="O39" s="24">
        <f>N39-'Annual P&amp;L'!O111-'Annual P&amp;L'!O15*Assumptions!D32</f>
        <v>7337.0084291250951</v>
      </c>
      <c r="P39" s="24">
        <f>O39-'Annual P&amp;L'!P111-'Annual P&amp;L'!P15*Assumptions!E32</f>
        <v>8916.1543461434812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 t="s">
        <v>295</v>
      </c>
      <c r="B40" s="20">
        <f>'Raw Financials'!C51</f>
        <v>23.64</v>
      </c>
      <c r="C40" s="20">
        <f>'Raw Financials'!D51</f>
        <v>48.47</v>
      </c>
      <c r="D40" s="20">
        <f>'Raw Financials'!E51</f>
        <v>7.71</v>
      </c>
      <c r="E40" s="20">
        <f>'Raw Financials'!F51</f>
        <v>12.1</v>
      </c>
      <c r="F40" s="20">
        <f>'Raw Financials'!G51</f>
        <v>166.18</v>
      </c>
      <c r="G40" s="20">
        <f>'Raw Financials'!H51</f>
        <v>121.81</v>
      </c>
      <c r="H40" s="20">
        <f>'Raw Financials'!I51</f>
        <v>1071.2</v>
      </c>
      <c r="I40" s="20">
        <f>'Raw Financials'!J51</f>
        <v>161.38</v>
      </c>
      <c r="J40" s="20">
        <f>'Raw Financials'!K51</f>
        <v>218.73</v>
      </c>
      <c r="K40" s="20">
        <f>'Raw Financials'!L51</f>
        <v>41.84</v>
      </c>
      <c r="L40" s="20">
        <f>'Raw Financials'!M51</f>
        <v>106.85</v>
      </c>
      <c r="M40" s="24">
        <f>L40</f>
        <v>106.85</v>
      </c>
      <c r="N40" s="24">
        <f>M40</f>
        <v>106.85</v>
      </c>
      <c r="O40" s="24">
        <f>N40</f>
        <v>106.85</v>
      </c>
      <c r="P40" s="24">
        <f>O40</f>
        <v>106.85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 t="s">
        <v>297</v>
      </c>
      <c r="B41" s="20">
        <f>'Raw Financials'!C52</f>
        <v>0</v>
      </c>
      <c r="C41" s="20">
        <f>'Raw Financials'!D52</f>
        <v>0</v>
      </c>
      <c r="D41" s="20">
        <f>'Raw Financials'!E52</f>
        <v>0</v>
      </c>
      <c r="E41" s="20">
        <f>'Raw Financials'!F52</f>
        <v>0</v>
      </c>
      <c r="F41" s="20">
        <f>'Raw Financials'!G52</f>
        <v>566.80999999999995</v>
      </c>
      <c r="G41" s="20">
        <f>'Raw Financials'!H52</f>
        <v>852.58</v>
      </c>
      <c r="H41" s="20">
        <f>'Raw Financials'!I52</f>
        <v>1358.21</v>
      </c>
      <c r="I41" s="20">
        <f>'Raw Financials'!J52</f>
        <v>2198.21</v>
      </c>
      <c r="J41" s="20">
        <f>'Raw Financials'!K52</f>
        <v>2307.1799999999998</v>
      </c>
      <c r="K41" s="20">
        <f>'Raw Financials'!L52</f>
        <v>3798.67</v>
      </c>
      <c r="L41" s="20">
        <f>'Raw Financials'!M52</f>
        <v>5471.81</v>
      </c>
      <c r="M41" s="24">
        <f>L41+'Annual P&amp;L'!M120-'Annual P&amp;L'!M15*Assumptions!B33</f>
        <v>6061.7463929340502</v>
      </c>
      <c r="N41" s="24">
        <f>M41+'Annual P&amp;L'!N120-'Annual P&amp;L'!N15*Assumptions!C33</f>
        <v>6820.6937031105081</v>
      </c>
      <c r="O41" s="24">
        <f>N41+'Annual P&amp;L'!O120-'Annual P&amp;L'!O15*Assumptions!D33</f>
        <v>7747.9596707082437</v>
      </c>
      <c r="P41" s="24">
        <f>O41+'Annual P&amp;L'!P120-'Annual P&amp;L'!P15*Assumptions!E33</f>
        <v>8875.9210400070897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 t="s">
        <v>299</v>
      </c>
      <c r="B42" s="20">
        <f>'Raw Financials'!C53</f>
        <v>174.88</v>
      </c>
      <c r="C42" s="20">
        <f>'Raw Financials'!D53</f>
        <v>76.23</v>
      </c>
      <c r="D42" s="20">
        <f>'Raw Financials'!E53</f>
        <v>76.61</v>
      </c>
      <c r="E42" s="20">
        <f>'Raw Financials'!F53</f>
        <v>81.239999999999995</v>
      </c>
      <c r="F42" s="20">
        <f>'Raw Financials'!G53</f>
        <v>88.94</v>
      </c>
      <c r="G42" s="20">
        <f>'Raw Financials'!H53</f>
        <v>85.94</v>
      </c>
      <c r="H42" s="20">
        <f>'Raw Financials'!I53</f>
        <v>2790.22</v>
      </c>
      <c r="I42" s="20">
        <f>'Raw Financials'!J53</f>
        <v>7183.71</v>
      </c>
      <c r="J42" s="20">
        <f>'Raw Financials'!K53</f>
        <v>10912.56</v>
      </c>
      <c r="K42" s="20">
        <f>'Raw Financials'!L53</f>
        <v>12337.94</v>
      </c>
      <c r="L42" s="20">
        <f>'Raw Financials'!M53</f>
        <v>13596.88</v>
      </c>
      <c r="M42" s="24">
        <f>L42+'Nagarro Scenario'!C16</f>
        <v>13596.88</v>
      </c>
      <c r="N42" s="24">
        <f>M42+'Nagarro Scenario'!D16</f>
        <v>13596.88</v>
      </c>
      <c r="O42" s="24">
        <f>N42+'Nagarro Scenario'!E16</f>
        <v>13596.88</v>
      </c>
      <c r="P42" s="24">
        <f>O42+'Nagarro Scenario'!F16</f>
        <v>13596.88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 t="s">
        <v>301</v>
      </c>
      <c r="B43" s="20">
        <f>'Raw Financials'!C54</f>
        <v>1422.01</v>
      </c>
      <c r="C43" s="20">
        <f>'Raw Financials'!D54</f>
        <v>2756.18</v>
      </c>
      <c r="D43" s="20">
        <f>'Raw Financials'!E54</f>
        <v>2508.2600000000002</v>
      </c>
      <c r="E43" s="20">
        <f>'Raw Financials'!F54</f>
        <v>1898.95</v>
      </c>
      <c r="F43" s="20">
        <f>'Raw Financials'!G54</f>
        <v>1572.13</v>
      </c>
      <c r="G43" s="20">
        <f>'Raw Financials'!H54</f>
        <v>1229.5</v>
      </c>
      <c r="H43" s="20">
        <f>'Raw Financials'!I54</f>
        <v>8269.6299999999992</v>
      </c>
      <c r="I43" s="20">
        <f>'Raw Financials'!J54</f>
        <v>9171.42</v>
      </c>
      <c r="J43" s="20">
        <f>'Raw Financials'!K54</f>
        <v>4691.4799999999996</v>
      </c>
      <c r="K43" s="20">
        <f>'Raw Financials'!L54</f>
        <v>5655.1</v>
      </c>
      <c r="L43" s="20">
        <f>'Raw Financials'!M54</f>
        <v>5791.2</v>
      </c>
      <c r="M43" s="24">
        <f>L43-'Annual P&amp;L'!M112-'Annual P&amp;L'!M15*(1-Assumptions!B32-Assumptions!B33)</f>
        <v>4919.9093273589406</v>
      </c>
      <c r="N43" s="24">
        <f>M43-'Annual P&amp;L'!N112-'Annual P&amp;L'!N15*(1-Assumptions!C32-Assumptions!C33)</f>
        <v>3965.8041374228237</v>
      </c>
      <c r="O43" s="24">
        <f>N43-'Annual P&amp;L'!O112-'Annual P&amp;L'!O15*(1-Assumptions!D32-Assumptions!D33)</f>
        <v>2976.7204386519038</v>
      </c>
      <c r="P43" s="24">
        <f>O43-'Annual P&amp;L'!P112-'Annual P&amp;L'!P15*(1-Assumptions!E32-Assumptions!E33)</f>
        <v>1961.555206282942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 t="s">
        <v>303</v>
      </c>
      <c r="B44" s="20">
        <f>'Raw Financials'!C55</f>
        <v>1347.92</v>
      </c>
      <c r="C44" s="20">
        <f>'Raw Financials'!D55</f>
        <v>2339.44</v>
      </c>
      <c r="D44" s="20">
        <f>'Raw Financials'!E55</f>
        <v>2881.04</v>
      </c>
      <c r="E44" s="20">
        <f>'Raw Financials'!F55</f>
        <v>4345.71</v>
      </c>
      <c r="F44" s="20">
        <f>'Raw Financials'!G55</f>
        <v>4620.97</v>
      </c>
      <c r="G44" s="20">
        <f>'Raw Financials'!H55</f>
        <v>3621.27</v>
      </c>
      <c r="H44" s="20">
        <f>'Raw Financials'!I55</f>
        <v>3877.72</v>
      </c>
      <c r="I44" s="20">
        <f>'Raw Financials'!J55</f>
        <v>4516</v>
      </c>
      <c r="J44" s="20">
        <f>'Raw Financials'!K55</f>
        <v>5539.14</v>
      </c>
      <c r="K44" s="20">
        <f>'Raw Financials'!L55</f>
        <v>6415.04</v>
      </c>
      <c r="L44" s="20">
        <f>'Raw Financials'!M55</f>
        <v>7001.38</v>
      </c>
      <c r="M44" s="24">
        <f>L44</f>
        <v>7001.38</v>
      </c>
      <c r="N44" s="24">
        <f>M44</f>
        <v>7001.38</v>
      </c>
      <c r="O44" s="24">
        <f>N44</f>
        <v>7001.38</v>
      </c>
      <c r="P44" s="24">
        <f>O44</f>
        <v>7001.38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 t="s">
        <v>305</v>
      </c>
      <c r="B45" s="20">
        <f>'Raw Financials'!C56</f>
        <v>0</v>
      </c>
      <c r="C45" s="20">
        <f>'Raw Financials'!D56</f>
        <v>0</v>
      </c>
      <c r="D45" s="20">
        <f>'Raw Financials'!E56</f>
        <v>0</v>
      </c>
      <c r="E45" s="20">
        <f>'Raw Financials'!F56</f>
        <v>0</v>
      </c>
      <c r="F45" s="20">
        <f>'Raw Financials'!G56</f>
        <v>0</v>
      </c>
      <c r="G45" s="20">
        <f>'Raw Financials'!H56</f>
        <v>0</v>
      </c>
      <c r="H45" s="20">
        <f>'Raw Financials'!I56</f>
        <v>0</v>
      </c>
      <c r="I45" s="20">
        <f>'Raw Financials'!J56</f>
        <v>709.45</v>
      </c>
      <c r="J45" s="20">
        <f>'Raw Financials'!K56</f>
        <v>730.18</v>
      </c>
      <c r="K45" s="20">
        <f>'Raw Financials'!L56</f>
        <v>664.4</v>
      </c>
      <c r="L45" s="20">
        <f>'Raw Financials'!M56</f>
        <v>0</v>
      </c>
      <c r="M45" s="24">
        <f>L45</f>
        <v>0</v>
      </c>
      <c r="N45" s="24">
        <f>M45</f>
        <v>0</v>
      </c>
      <c r="O45" s="24">
        <f>N45</f>
        <v>0</v>
      </c>
      <c r="P45" s="24">
        <f>O45</f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 t="s">
        <v>307</v>
      </c>
      <c r="B46" s="20">
        <f>'Raw Financials'!C57</f>
        <v>851.05</v>
      </c>
      <c r="C46" s="20">
        <f>'Raw Financials'!D57</f>
        <v>1058.07</v>
      </c>
      <c r="D46" s="20">
        <f>'Raw Financials'!E57</f>
        <v>180.16</v>
      </c>
      <c r="E46" s="20">
        <f>'Raw Financials'!F57</f>
        <v>513.29</v>
      </c>
      <c r="F46" s="20">
        <f>'Raw Financials'!G57</f>
        <v>535.05999999999995</v>
      </c>
      <c r="G46" s="20">
        <f>'Raw Financials'!H57</f>
        <v>160.52000000000001</v>
      </c>
      <c r="H46" s="20">
        <f>'Raw Financials'!I57</f>
        <v>3862.74</v>
      </c>
      <c r="I46" s="20">
        <f>'Raw Financials'!J57</f>
        <v>919.6</v>
      </c>
      <c r="J46" s="20">
        <f>'Raw Financials'!K57</f>
        <v>691.06</v>
      </c>
      <c r="K46" s="20">
        <f>'Raw Financials'!L57</f>
        <v>773.81</v>
      </c>
      <c r="L46" s="20">
        <f>'Raw Financials'!M57</f>
        <v>1012.99</v>
      </c>
      <c r="M46" s="24">
        <f>L46</f>
        <v>1012.99</v>
      </c>
      <c r="N46" s="24">
        <f>M46</f>
        <v>1012.99</v>
      </c>
      <c r="O46" s="24">
        <f>N46</f>
        <v>1012.99</v>
      </c>
      <c r="P46" s="24">
        <f>O46</f>
        <v>1012.99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 t="s">
        <v>309</v>
      </c>
      <c r="B47" s="20">
        <f>'Raw Financials'!C58</f>
        <v>232.75</v>
      </c>
      <c r="C47" s="20">
        <f>'Raw Financials'!D58</f>
        <v>306.39</v>
      </c>
      <c r="D47" s="20">
        <f>'Raw Financials'!E58</f>
        <v>642.01</v>
      </c>
      <c r="E47" s="20">
        <f>'Raw Financials'!F58</f>
        <v>405.05</v>
      </c>
      <c r="F47" s="20">
        <f>'Raw Financials'!G58</f>
        <v>960.08</v>
      </c>
      <c r="G47" s="20">
        <f>'Raw Financials'!H58</f>
        <v>1037.57</v>
      </c>
      <c r="H47" s="20">
        <f>'Raw Financials'!I58</f>
        <v>1122.72</v>
      </c>
      <c r="I47" s="20">
        <f>'Raw Financials'!J58</f>
        <v>1133.97</v>
      </c>
      <c r="J47" s="20">
        <f>'Raw Financials'!K58</f>
        <v>1462.8</v>
      </c>
      <c r="K47" s="20">
        <f>'Raw Financials'!L58</f>
        <v>2024.24</v>
      </c>
      <c r="L47" s="20">
        <f>'Raw Financials'!M58</f>
        <v>3459.97</v>
      </c>
      <c r="M47" s="24">
        <f>'Annual P&amp;L'!M5*Assumptions!B29</f>
        <v>4356.4533632052926</v>
      </c>
      <c r="N47" s="24">
        <f>'Annual P&amp;L'!N5*Assumptions!C29</f>
        <v>4987.3680383024275</v>
      </c>
      <c r="O47" s="24">
        <f>'Annual P&amp;L'!O5*Assumptions!D29</f>
        <v>5439.9603432400563</v>
      </c>
      <c r="P47" s="24">
        <f>'Annual P&amp;L'!P5*Assumptions!E29</f>
        <v>5921.7971888189459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 t="s">
        <v>311</v>
      </c>
      <c r="B48" s="20">
        <f>'Raw Financials'!C59</f>
        <v>0</v>
      </c>
      <c r="C48" s="20">
        <f>'Raw Financials'!D59</f>
        <v>0</v>
      </c>
      <c r="D48" s="20">
        <f>'Raw Financials'!E59</f>
        <v>0</v>
      </c>
      <c r="E48" s="20">
        <f>'Raw Financials'!F59</f>
        <v>0</v>
      </c>
      <c r="F48" s="20">
        <f>'Raw Financials'!G59</f>
        <v>0</v>
      </c>
      <c r="G48" s="20">
        <f>'Raw Financials'!H59</f>
        <v>0</v>
      </c>
      <c r="H48" s="20">
        <f>'Raw Financials'!I59</f>
        <v>0</v>
      </c>
      <c r="I48" s="20">
        <f>'Raw Financials'!J59</f>
        <v>451.71</v>
      </c>
      <c r="J48" s="20">
        <f>'Raw Financials'!K59</f>
        <v>387.05</v>
      </c>
      <c r="K48" s="20">
        <f>'Raw Financials'!L59</f>
        <v>787.55</v>
      </c>
      <c r="L48" s="20">
        <f>'Raw Financials'!M59</f>
        <v>1032.97</v>
      </c>
      <c r="M48" s="24">
        <f>L48</f>
        <v>1032.97</v>
      </c>
      <c r="N48" s="24">
        <f>M48</f>
        <v>1032.97</v>
      </c>
      <c r="O48" s="24">
        <f>N48</f>
        <v>1032.97</v>
      </c>
      <c r="P48" s="24">
        <f>O48</f>
        <v>1032.97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 t="s">
        <v>313</v>
      </c>
      <c r="B49" s="20">
        <f>'Raw Financials'!C60</f>
        <v>870.1</v>
      </c>
      <c r="C49" s="20">
        <f>'Raw Financials'!D60</f>
        <v>71.849999999999994</v>
      </c>
      <c r="D49" s="20">
        <f>'Raw Financials'!E60</f>
        <v>91.57</v>
      </c>
      <c r="E49" s="20">
        <f>'Raw Financials'!F60</f>
        <v>68.31</v>
      </c>
      <c r="F49" s="20">
        <f>'Raw Financials'!G60</f>
        <v>331.31</v>
      </c>
      <c r="G49" s="20">
        <f>'Raw Financials'!H60</f>
        <v>441.52</v>
      </c>
      <c r="H49" s="20">
        <f>'Raw Financials'!I60</f>
        <v>531.61</v>
      </c>
      <c r="I49" s="20">
        <f>'Raw Financials'!J60</f>
        <v>959.29</v>
      </c>
      <c r="J49" s="20">
        <f>'Raw Financials'!K60</f>
        <v>1247.28</v>
      </c>
      <c r="K49" s="20">
        <f>'Raw Financials'!L60</f>
        <v>257.02</v>
      </c>
      <c r="L49" s="20">
        <f>'Raw Financials'!M60</f>
        <v>450.32</v>
      </c>
      <c r="M49" s="24">
        <f>'Annual P&amp;L'!M5*Assumptions!B28+'Nagarro Scenario'!C15</f>
        <v>5445.5667040066155</v>
      </c>
      <c r="N49" s="24">
        <f>'Annual P&amp;L'!N5*Assumptions!C28+'Nagarro Scenario'!D15</f>
        <v>6071.5784814116514</v>
      </c>
      <c r="O49" s="24">
        <f>'Annual P&amp;L'!O5*Assumptions!D28+'Nagarro Scenario'!E15</f>
        <v>6429.0440420109753</v>
      </c>
      <c r="P49" s="24">
        <f>'Annual P&amp;L'!P5*Assumptions!E28+'Nagarro Scenario'!F15</f>
        <v>6767.7682157930803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 t="s">
        <v>429</v>
      </c>
      <c r="B50" s="20">
        <f>B51-SUM(B39:B49)</f>
        <v>0</v>
      </c>
      <c r="C50" s="20">
        <f>C51-SUM(C39:C49)</f>
        <v>0</v>
      </c>
      <c r="D50" s="20">
        <f>D51-SUM(D39:D49)</f>
        <v>0</v>
      </c>
      <c r="E50" s="20">
        <f>E51-SUM(E39:E49)</f>
        <v>0</v>
      </c>
      <c r="F50" s="20">
        <f>F51-SUM(F39:F49)</f>
        <v>0</v>
      </c>
      <c r="G50" s="20">
        <f>G51-SUM(G39:G49)</f>
        <v>0</v>
      </c>
      <c r="H50" s="20">
        <f>H51-SUM(H39:H49)</f>
        <v>0</v>
      </c>
      <c r="I50" s="20">
        <f>I51-SUM(I39:I49)</f>
        <v>0</v>
      </c>
      <c r="J50" s="20">
        <f>J51-SUM(J39:J49)</f>
        <v>0</v>
      </c>
      <c r="K50" s="20">
        <f>K51-SUM(K39:K49)</f>
        <v>0</v>
      </c>
      <c r="L50" s="20">
        <f>L51-SUM(L39:L49)</f>
        <v>899.36000000000058</v>
      </c>
      <c r="M50" s="24">
        <f>L50</f>
        <v>899.36000000000058</v>
      </c>
      <c r="N50" s="24">
        <f>M50</f>
        <v>899.36000000000058</v>
      </c>
      <c r="O50" s="24">
        <f>N50</f>
        <v>899.36000000000058</v>
      </c>
      <c r="P50" s="24">
        <f>O50</f>
        <v>899.36000000000058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27" t="s">
        <v>315</v>
      </c>
      <c r="B51" s="26">
        <f>'Raw Financials'!C61</f>
        <v>7929.8</v>
      </c>
      <c r="C51" s="26">
        <f>'Raw Financials'!D61</f>
        <v>9424.99</v>
      </c>
      <c r="D51" s="26">
        <f>'Raw Financials'!E61</f>
        <v>8968.66</v>
      </c>
      <c r="E51" s="26">
        <f>'Raw Financials'!F61</f>
        <v>9655.89</v>
      </c>
      <c r="F51" s="26">
        <f>'Raw Financials'!G61</f>
        <v>11066.08</v>
      </c>
      <c r="G51" s="26">
        <f>'Raw Financials'!H61</f>
        <v>9952.11</v>
      </c>
      <c r="H51" s="26">
        <f>'Raw Financials'!I61</f>
        <v>25801.72</v>
      </c>
      <c r="I51" s="26">
        <f>'Raw Financials'!J61</f>
        <v>32264.69</v>
      </c>
      <c r="J51" s="26">
        <f>'Raw Financials'!K61</f>
        <v>32607.49</v>
      </c>
      <c r="K51" s="26">
        <f>'Raw Financials'!L61</f>
        <v>37106.49</v>
      </c>
      <c r="L51" s="26">
        <f>'Raw Financials'!M61</f>
        <v>42792.61</v>
      </c>
      <c r="M51" s="28">
        <f>SUM(M39:M50)</f>
        <v>49410.415627746122</v>
      </c>
      <c r="N51" s="28">
        <f>SUM(N39:N50)</f>
        <v>51534.710434735665</v>
      </c>
      <c r="O51" s="28">
        <f>SUM(O39:O50)</f>
        <v>53581.122923736271</v>
      </c>
      <c r="P51" s="28">
        <f>SUM(P39:P50)</f>
        <v>56093.625997045543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6"/>
      <c r="N52" s="16"/>
      <c r="O52" s="16"/>
      <c r="P52" s="16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 t="s">
        <v>317</v>
      </c>
      <c r="B53" s="20">
        <f>'Raw Financials'!C62</f>
        <v>4827.55</v>
      </c>
      <c r="C53" s="20">
        <f>'Raw Financials'!D62</f>
        <v>4499.66</v>
      </c>
      <c r="D53" s="20">
        <f>'Raw Financials'!E62</f>
        <v>5916.31</v>
      </c>
      <c r="E53" s="20">
        <f>'Raw Financials'!F62</f>
        <v>3295.53</v>
      </c>
      <c r="F53" s="20">
        <f>'Raw Financials'!G62</f>
        <v>5164.7700000000004</v>
      </c>
      <c r="G53" s="20">
        <f>'Raw Financials'!H62</f>
        <v>6374.95</v>
      </c>
      <c r="H53" s="20">
        <f>'Raw Financials'!I62</f>
        <v>4346.91</v>
      </c>
      <c r="I53" s="20">
        <f>'Raw Financials'!J62</f>
        <v>1879.66</v>
      </c>
      <c r="J53" s="20">
        <f>'Raw Financials'!K62</f>
        <v>2726.54</v>
      </c>
      <c r="K53" s="20">
        <f>'Raw Financials'!L62</f>
        <v>3388.17</v>
      </c>
      <c r="L53" s="20">
        <f>'Raw Financials'!M62</f>
        <v>9146.2800000000007</v>
      </c>
      <c r="M53" s="24">
        <f>'Annual P&amp;L'!M5*Assumptions!B26</f>
        <v>9983.5389573454613</v>
      </c>
      <c r="N53" s="24">
        <f>'Annual P&amp;L'!N5*Assumptions!C26</f>
        <v>11926.314874201458</v>
      </c>
      <c r="O53" s="24">
        <f>'Annual P&amp;L'!O5*Assumptions!D26</f>
        <v>13599.900858100142</v>
      </c>
      <c r="P53" s="24">
        <f>'Annual P&amp;L'!P5*Assumptions!E26</f>
        <v>15509.468827859142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 t="s">
        <v>319</v>
      </c>
      <c r="B54" s="20">
        <f>'Raw Financials'!C63</f>
        <v>4275.49</v>
      </c>
      <c r="C54" s="20">
        <f>'Raw Financials'!D63</f>
        <v>4753.83</v>
      </c>
      <c r="D54" s="20">
        <f>'Raw Financials'!E63</f>
        <v>4847.3999999999996</v>
      </c>
      <c r="E54" s="20">
        <f>'Raw Financials'!F63</f>
        <v>4923.01</v>
      </c>
      <c r="F54" s="20">
        <f>'Raw Financials'!G63</f>
        <v>5921.96</v>
      </c>
      <c r="G54" s="20">
        <f>'Raw Financials'!H63</f>
        <v>5708.97</v>
      </c>
      <c r="H54" s="20">
        <f>'Raw Financials'!I63</f>
        <v>9484.2900000000009</v>
      </c>
      <c r="I54" s="20">
        <f>'Raw Financials'!J63</f>
        <v>15253.22</v>
      </c>
      <c r="J54" s="20">
        <f>'Raw Financials'!K63</f>
        <v>16761.13</v>
      </c>
      <c r="K54" s="20">
        <f>'Raw Financials'!L63</f>
        <v>18477.95</v>
      </c>
      <c r="L54" s="20">
        <f>'Raw Financials'!M63</f>
        <v>21331.89</v>
      </c>
      <c r="M54" s="24">
        <f>'Annual P&amp;L'!M5/365*Assumptions!B23</f>
        <v>29838.721665789675</v>
      </c>
      <c r="N54" s="24">
        <f>'Annual P&amp;L'!N5/365*Assumptions!C23</f>
        <v>35051.186927914619</v>
      </c>
      <c r="O54" s="24">
        <f>'Annual P&amp;L'!O5/365*Assumptions!D23</f>
        <v>39292.366115557066</v>
      </c>
      <c r="P54" s="24">
        <f>'Annual P&amp;L'!P5/365*Assumptions!E23</f>
        <v>44036.847979475519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 t="s">
        <v>321</v>
      </c>
      <c r="B55" s="20">
        <f>'Raw Financials'!C64</f>
        <v>1401.4</v>
      </c>
      <c r="C55" s="20">
        <f>'Raw Financials'!D64</f>
        <v>1461.38</v>
      </c>
      <c r="D55" s="20">
        <f>'Raw Financials'!E64</f>
        <v>1343.72</v>
      </c>
      <c r="E55" s="20">
        <f>'Raw Financials'!F64</f>
        <v>1739.45</v>
      </c>
      <c r="F55" s="20">
        <f>'Raw Financials'!G64</f>
        <v>1899.99</v>
      </c>
      <c r="G55" s="20">
        <f>'Raw Financials'!H64</f>
        <v>2419.3000000000002</v>
      </c>
      <c r="H55" s="20">
        <f>'Raw Financials'!I64</f>
        <v>2977.99</v>
      </c>
      <c r="I55" s="20">
        <f>'Raw Financials'!J64</f>
        <v>4670.12</v>
      </c>
      <c r="J55" s="20">
        <f>'Raw Financials'!K64</f>
        <v>6625.15</v>
      </c>
      <c r="K55" s="20">
        <f>'Raw Financials'!L64</f>
        <v>6744.06</v>
      </c>
      <c r="L55" s="20">
        <f>'Raw Financials'!M64</f>
        <v>10749.15</v>
      </c>
      <c r="M55" s="24">
        <f>'Annual P&amp;L'!M130</f>
        <v>14138.685223329685</v>
      </c>
      <c r="N55" s="24">
        <f>'Annual P&amp;L'!N130</f>
        <v>26234.741469805653</v>
      </c>
      <c r="O55" s="24">
        <f>'Annual P&amp;L'!O130</f>
        <v>42898.030438670357</v>
      </c>
      <c r="P55" s="24">
        <f>'Annual P&amp;L'!P130</f>
        <v>62560.401681812684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 t="s">
        <v>323</v>
      </c>
      <c r="B56" s="20">
        <f>'Raw Financials'!C65</f>
        <v>30.98</v>
      </c>
      <c r="C56" s="20">
        <f>'Raw Financials'!D65</f>
        <v>48.25</v>
      </c>
      <c r="D56" s="20">
        <f>'Raw Financials'!E65</f>
        <v>1070.25</v>
      </c>
      <c r="E56" s="20">
        <f>'Raw Financials'!F65</f>
        <v>4984.3900000000003</v>
      </c>
      <c r="F56" s="20">
        <f>'Raw Financials'!G65</f>
        <v>2672.19</v>
      </c>
      <c r="G56" s="20">
        <f>'Raw Financials'!H65</f>
        <v>7389.7</v>
      </c>
      <c r="H56" s="20">
        <f>'Raw Financials'!I65</f>
        <v>6166.59</v>
      </c>
      <c r="I56" s="20">
        <f>'Raw Financials'!J65</f>
        <v>4362.68</v>
      </c>
      <c r="J56" s="20">
        <f>'Raw Financials'!K65</f>
        <v>3603.71</v>
      </c>
      <c r="K56" s="20">
        <f>'Raw Financials'!L65</f>
        <v>3510.65</v>
      </c>
      <c r="L56" s="20">
        <f>'Raw Financials'!M65</f>
        <v>1433.36</v>
      </c>
      <c r="M56" s="24">
        <f>'Annual P&amp;L'!M5*Assumptions!B27</f>
        <v>1815.1889013355385</v>
      </c>
      <c r="N56" s="24">
        <f>'Annual P&amp;L'!N5*Assumptions!C27</f>
        <v>2168.4208862184469</v>
      </c>
      <c r="O56" s="24">
        <f>'Annual P&amp;L'!O5*Assumptions!D27</f>
        <v>2472.7092469272984</v>
      </c>
      <c r="P56" s="24">
        <f>'Annual P&amp;L'!P5*Assumptions!E27</f>
        <v>2819.9034232471167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 t="s">
        <v>325</v>
      </c>
      <c r="B57" s="20">
        <f>'Raw Financials'!C66</f>
        <v>812.44</v>
      </c>
      <c r="C57" s="20">
        <f>'Raw Financials'!D66</f>
        <v>2325.81</v>
      </c>
      <c r="D57" s="20">
        <f>'Raw Financials'!E66</f>
        <v>2764.88</v>
      </c>
      <c r="E57" s="20">
        <f>'Raw Financials'!F66</f>
        <v>2384.87</v>
      </c>
      <c r="F57" s="20">
        <f>'Raw Financials'!G66</f>
        <v>2082.25</v>
      </c>
      <c r="G57" s="20">
        <f>'Raw Financials'!H66</f>
        <v>2537.96</v>
      </c>
      <c r="H57" s="20">
        <f>'Raw Financials'!I66</f>
        <v>3231</v>
      </c>
      <c r="I57" s="20">
        <f>'Raw Financials'!J66</f>
        <v>4882.17</v>
      </c>
      <c r="J57" s="20">
        <f>'Raw Financials'!K66</f>
        <v>6621.83</v>
      </c>
      <c r="K57" s="20">
        <f>'Raw Financials'!L66</f>
        <v>9375.16</v>
      </c>
      <c r="L57" s="20">
        <f>'Raw Financials'!M66</f>
        <v>12085.43</v>
      </c>
      <c r="M57" s="24">
        <f>'Annual P&amp;L'!M5/365*Assumptions!B24</f>
        <v>15416.672860658</v>
      </c>
      <c r="N57" s="24">
        <f>'Annual P&amp;L'!N5/365*Assumptions!C24</f>
        <v>17822.637420973537</v>
      </c>
      <c r="O57" s="24">
        <f>'Annual P&amp;L'!O5/365*Assumptions!D24</f>
        <v>19646.183057778533</v>
      </c>
      <c r="P57" s="24">
        <f>'Annual P&amp;L'!P5/365*Assumptions!E24</f>
        <v>21632.135849566923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 t="s">
        <v>327</v>
      </c>
      <c r="B58" s="20">
        <f>'Raw Financials'!C67</f>
        <v>0</v>
      </c>
      <c r="C58" s="20">
        <f>'Raw Financials'!D67</f>
        <v>94.42</v>
      </c>
      <c r="D58" s="20">
        <f>'Raw Financials'!E67</f>
        <v>113.99</v>
      </c>
      <c r="E58" s="20">
        <f>'Raw Financials'!F67</f>
        <v>185.06</v>
      </c>
      <c r="F58" s="20">
        <f>'Raw Financials'!G67</f>
        <v>163.93</v>
      </c>
      <c r="G58" s="20">
        <f>'Raw Financials'!H67</f>
        <v>188</v>
      </c>
      <c r="H58" s="20">
        <f>'Raw Financials'!I67</f>
        <v>179.57</v>
      </c>
      <c r="I58" s="20">
        <f>'Raw Financials'!J67</f>
        <v>0</v>
      </c>
      <c r="J58" s="20">
        <f>'Raw Financials'!K67</f>
        <v>0</v>
      </c>
      <c r="K58" s="20">
        <f>'Raw Financials'!L67</f>
        <v>0</v>
      </c>
      <c r="L58" s="20">
        <f>'Raw Financials'!M67</f>
        <v>0</v>
      </c>
      <c r="M58" s="24">
        <f>0</f>
        <v>0</v>
      </c>
      <c r="N58" s="24">
        <f>0</f>
        <v>0</v>
      </c>
      <c r="O58" s="24">
        <f>0</f>
        <v>0</v>
      </c>
      <c r="P58" s="24">
        <f>0</f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 t="s">
        <v>329</v>
      </c>
      <c r="B59" s="20">
        <f>'Raw Financials'!C68</f>
        <v>1787.77</v>
      </c>
      <c r="C59" s="20">
        <f>'Raw Financials'!D68</f>
        <v>855.39</v>
      </c>
      <c r="D59" s="20">
        <f>'Raw Financials'!E68</f>
        <v>1563.41</v>
      </c>
      <c r="E59" s="20">
        <f>'Raw Financials'!F68</f>
        <v>1387.79</v>
      </c>
      <c r="F59" s="20">
        <f>'Raw Financials'!G68</f>
        <v>1950.52</v>
      </c>
      <c r="G59" s="20">
        <f>'Raw Financials'!H68</f>
        <v>2083.7199999999998</v>
      </c>
      <c r="H59" s="20">
        <f>'Raw Financials'!I68</f>
        <v>2002.94</v>
      </c>
      <c r="I59" s="20">
        <f>'Raw Financials'!J68</f>
        <v>3418.26</v>
      </c>
      <c r="J59" s="20">
        <f>'Raw Financials'!K68</f>
        <v>5230.49</v>
      </c>
      <c r="K59" s="20">
        <f>'Raw Financials'!L68</f>
        <v>8763.5400000000009</v>
      </c>
      <c r="L59" s="20">
        <f>'Raw Financials'!M68</f>
        <v>16226.72</v>
      </c>
      <c r="M59" s="24">
        <f>'Annual P&amp;L'!M5*Assumptions!B25</f>
        <v>18151.889013355387</v>
      </c>
      <c r="N59" s="24">
        <f>'Annual P&amp;L'!N5*Assumptions!C25</f>
        <v>20599.998419075244</v>
      </c>
      <c r="O59" s="24">
        <f>'Annual P&amp;L'!O5*Assumptions!D25</f>
        <v>22254.383222345685</v>
      </c>
      <c r="P59" s="24">
        <f>'Annual P&amp;L'!P5*Assumptions!E25</f>
        <v>23969.179097600492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 t="s">
        <v>429</v>
      </c>
      <c r="B60" s="20">
        <f>B61-SUM(B53:B59)</f>
        <v>0</v>
      </c>
      <c r="C60" s="20">
        <f>C61-SUM(C53:C59)</f>
        <v>0</v>
      </c>
      <c r="D60" s="20">
        <f>D61-SUM(D53:D59)</f>
        <v>0</v>
      </c>
      <c r="E60" s="20">
        <f>E61-SUM(E53:E59)</f>
        <v>0</v>
      </c>
      <c r="F60" s="20">
        <f>F61-SUM(F53:F59)</f>
        <v>0</v>
      </c>
      <c r="G60" s="20">
        <f>G61-SUM(G53:G59)</f>
        <v>0.52999999999883585</v>
      </c>
      <c r="H60" s="20">
        <f>H61-SUM(H53:H59)</f>
        <v>0</v>
      </c>
      <c r="I60" s="20">
        <f>I61-SUM(I53:I59)</f>
        <v>0</v>
      </c>
      <c r="J60" s="20">
        <f>J61-SUM(J53:J59)</f>
        <v>0</v>
      </c>
      <c r="K60" s="20">
        <f>K61-SUM(K53:K59)</f>
        <v>0</v>
      </c>
      <c r="L60" s="20">
        <f>L61-SUM(L53:L59)</f>
        <v>0</v>
      </c>
      <c r="M60" s="24">
        <f>0</f>
        <v>0</v>
      </c>
      <c r="N60" s="24">
        <f>0</f>
        <v>0</v>
      </c>
      <c r="O60" s="24">
        <f>0</f>
        <v>0</v>
      </c>
      <c r="P60" s="24">
        <f>0</f>
        <v>0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27" t="s">
        <v>331</v>
      </c>
      <c r="B61" s="26">
        <f>'Raw Financials'!C69</f>
        <v>13135.63</v>
      </c>
      <c r="C61" s="26">
        <f>'Raw Financials'!D69</f>
        <v>14038.74</v>
      </c>
      <c r="D61" s="26">
        <f>'Raw Financials'!E69</f>
        <v>17619.96</v>
      </c>
      <c r="E61" s="26">
        <f>'Raw Financials'!F69</f>
        <v>18900.099999999999</v>
      </c>
      <c r="F61" s="26">
        <f>'Raw Financials'!G69</f>
        <v>19855.61</v>
      </c>
      <c r="G61" s="26">
        <f>'Raw Financials'!H69</f>
        <v>26703.13</v>
      </c>
      <c r="H61" s="26">
        <f>'Raw Financials'!I69</f>
        <v>28389.29</v>
      </c>
      <c r="I61" s="26">
        <f>'Raw Financials'!J69</f>
        <v>34466.11</v>
      </c>
      <c r="J61" s="26">
        <f>'Raw Financials'!K69</f>
        <v>41568.85</v>
      </c>
      <c r="K61" s="26">
        <f>'Raw Financials'!L69</f>
        <v>50259.53</v>
      </c>
      <c r="L61" s="26">
        <f>'Raw Financials'!M69</f>
        <v>70972.83</v>
      </c>
      <c r="M61" s="28">
        <f>SUM(M53:M60)</f>
        <v>89344.696621813753</v>
      </c>
      <c r="N61" s="28">
        <f>SUM(N53:N60)</f>
        <v>113803.29999818896</v>
      </c>
      <c r="O61" s="28">
        <f>SUM(O53:O60)</f>
        <v>140163.57293937908</v>
      </c>
      <c r="P61" s="28">
        <f>SUM(P53:P60)</f>
        <v>170527.93685956186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27" t="s">
        <v>333</v>
      </c>
      <c r="B62" s="26">
        <f>'Raw Financials'!C70</f>
        <v>21065.43</v>
      </c>
      <c r="C62" s="26">
        <f>'Raw Financials'!D70</f>
        <v>23463.73</v>
      </c>
      <c r="D62" s="26">
        <f>'Raw Financials'!E70</f>
        <v>26588.62</v>
      </c>
      <c r="E62" s="26">
        <f>'Raw Financials'!F70</f>
        <v>28555.99</v>
      </c>
      <c r="F62" s="26">
        <f>'Raw Financials'!G70</f>
        <v>30921.69</v>
      </c>
      <c r="G62" s="26">
        <f>'Raw Financials'!H70</f>
        <v>36655.24</v>
      </c>
      <c r="H62" s="26">
        <f>'Raw Financials'!I70</f>
        <v>54191.01</v>
      </c>
      <c r="I62" s="26">
        <f>'Raw Financials'!J70</f>
        <v>66730.8</v>
      </c>
      <c r="J62" s="26">
        <f>'Raw Financials'!K70</f>
        <v>74176.34</v>
      </c>
      <c r="K62" s="26">
        <f>'Raw Financials'!L70</f>
        <v>87366.02</v>
      </c>
      <c r="L62" s="26">
        <f>'Raw Financials'!M70</f>
        <v>113765.44</v>
      </c>
      <c r="M62" s="28">
        <f>M51+M61</f>
        <v>138755.11224955987</v>
      </c>
      <c r="N62" s="28">
        <f>N51+N61</f>
        <v>165338.01043292461</v>
      </c>
      <c r="O62" s="28">
        <f>O51+O61</f>
        <v>193744.69586311537</v>
      </c>
      <c r="P62" s="28">
        <f>P51+P61</f>
        <v>226621.5628566074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6"/>
      <c r="N63" s="16"/>
      <c r="O63" s="16"/>
      <c r="P63" s="16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 t="s">
        <v>335</v>
      </c>
      <c r="B64" s="20">
        <f>'Raw Financials'!C71</f>
        <v>800</v>
      </c>
      <c r="C64" s="20">
        <f>'Raw Financials'!D71</f>
        <v>800</v>
      </c>
      <c r="D64" s="20">
        <f>'Raw Financials'!E71</f>
        <v>800</v>
      </c>
      <c r="E64" s="20">
        <f>'Raw Financials'!F71</f>
        <v>791.19</v>
      </c>
      <c r="F64" s="20">
        <f>'Raw Financials'!G71</f>
        <v>764.25</v>
      </c>
      <c r="G64" s="20">
        <f>'Raw Financials'!H71</f>
        <v>764.25</v>
      </c>
      <c r="H64" s="20">
        <f>'Raw Financials'!I71</f>
        <v>764.25</v>
      </c>
      <c r="I64" s="20">
        <f>'Raw Financials'!J71</f>
        <v>764.25</v>
      </c>
      <c r="J64" s="20">
        <f>'Raw Financials'!K71</f>
        <v>770.25</v>
      </c>
      <c r="K64" s="20">
        <f>'Raw Financials'!L71</f>
        <v>779.25</v>
      </c>
      <c r="L64" s="20">
        <f>'Raw Financials'!M71</f>
        <v>788.75</v>
      </c>
      <c r="M64" s="24">
        <f>L64</f>
        <v>788.75</v>
      </c>
      <c r="N64" s="24">
        <f>M64</f>
        <v>788.75</v>
      </c>
      <c r="O64" s="24">
        <f>N64</f>
        <v>788.75</v>
      </c>
      <c r="P64" s="24">
        <f>O64</f>
        <v>788.75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 t="s">
        <v>337</v>
      </c>
      <c r="B65" s="20">
        <f>'Raw Financials'!C72</f>
        <v>15592.96</v>
      </c>
      <c r="C65" s="20">
        <f>'Raw Financials'!D72</f>
        <v>18192.63</v>
      </c>
      <c r="D65" s="20">
        <f>'Raw Financials'!E72</f>
        <v>20471.990000000002</v>
      </c>
      <c r="E65" s="20">
        <f>'Raw Financials'!F72</f>
        <v>22655.61</v>
      </c>
      <c r="F65" s="20">
        <f>'Raw Financials'!G72</f>
        <v>23093.3</v>
      </c>
      <c r="G65" s="20">
        <f>'Raw Financials'!H72</f>
        <v>27192.41</v>
      </c>
      <c r="H65" s="20">
        <f>'Raw Financials'!I72</f>
        <v>32917.949999999997</v>
      </c>
      <c r="I65" s="20">
        <f>'Raw Financials'!J72</f>
        <v>38886.53</v>
      </c>
      <c r="J65" s="20">
        <f>'Raw Financials'!K72</f>
        <v>48806.82</v>
      </c>
      <c r="K65" s="20">
        <f>'Raw Financials'!L72</f>
        <v>62411.4</v>
      </c>
      <c r="L65" s="20">
        <f>'Raw Financials'!M72</f>
        <v>77589.8</v>
      </c>
      <c r="M65" s="24">
        <f>L65+'Annual P&amp;L'!M25+'Annual P&amp;L'!M96+Assumptions!B45-'Annual P&amp;L'!M31+'Nagarro Scenario'!C13</f>
        <v>93806.842859643817</v>
      </c>
      <c r="N65" s="24">
        <f>M65+'Annual P&amp;L'!N25+'Annual P&amp;L'!N96+Assumptions!C45-'Annual P&amp;L'!N31+'Nagarro Scenario'!D13</f>
        <v>113752.39017104947</v>
      </c>
      <c r="O65" s="24">
        <f>N65+'Annual P&amp;L'!O25+'Annual P&amp;L'!O96+Assumptions!D45-'Annual P&amp;L'!O31+'Nagarro Scenario'!E13</f>
        <v>136872.17217563477</v>
      </c>
      <c r="P65" s="24">
        <f>O65+'Annual P&amp;L'!P25+'Annual P&amp;L'!P96+Assumptions!E45-'Annual P&amp;L'!P31+'Nagarro Scenario'!F13</f>
        <v>163648.59333011199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27" t="s">
        <v>339</v>
      </c>
      <c r="B66" s="26">
        <f>'Raw Financials'!C73</f>
        <v>16392.96</v>
      </c>
      <c r="C66" s="26">
        <f>'Raw Financials'!D73</f>
        <v>18992.63</v>
      </c>
      <c r="D66" s="26">
        <f>'Raw Financials'!E73</f>
        <v>21271.99</v>
      </c>
      <c r="E66" s="26">
        <f>'Raw Financials'!F73</f>
        <v>23446.799999999999</v>
      </c>
      <c r="F66" s="26">
        <f>'Raw Financials'!G73</f>
        <v>23857.55</v>
      </c>
      <c r="G66" s="26">
        <f>'Raw Financials'!H73</f>
        <v>27956.66</v>
      </c>
      <c r="H66" s="26">
        <f>'Raw Financials'!I73</f>
        <v>33682.199999999997</v>
      </c>
      <c r="I66" s="26">
        <f>'Raw Financials'!J73</f>
        <v>39650.78</v>
      </c>
      <c r="J66" s="26">
        <f>'Raw Financials'!K73</f>
        <v>49577.07</v>
      </c>
      <c r="K66" s="26">
        <f>'Raw Financials'!L73</f>
        <v>63190.65</v>
      </c>
      <c r="L66" s="26">
        <f>'Raw Financials'!M73</f>
        <v>78378.55</v>
      </c>
      <c r="M66" s="28">
        <f>M64+M65</f>
        <v>94595.592859643817</v>
      </c>
      <c r="N66" s="28">
        <f>N64+N65</f>
        <v>114541.14017104947</v>
      </c>
      <c r="O66" s="28">
        <f>O64+O65</f>
        <v>137660.92217563477</v>
      </c>
      <c r="P66" s="28">
        <f>P64+P65</f>
        <v>164437.34333011199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6"/>
      <c r="N67" s="16"/>
      <c r="O67" s="16"/>
      <c r="P67" s="16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 t="s">
        <v>341</v>
      </c>
      <c r="B68" s="20">
        <f>'Raw Financials'!C74</f>
        <v>25.7</v>
      </c>
      <c r="C68" s="20">
        <f>'Raw Financials'!D74</f>
        <v>21.71</v>
      </c>
      <c r="D68" s="20">
        <f>'Raw Financials'!E74</f>
        <v>16.55</v>
      </c>
      <c r="E68" s="20">
        <f>'Raw Financials'!F74</f>
        <v>11.97</v>
      </c>
      <c r="F68" s="20">
        <f>'Raw Financials'!G74</f>
        <v>46.22</v>
      </c>
      <c r="G68" s="20">
        <f>'Raw Financials'!H74</f>
        <v>44.27</v>
      </c>
      <c r="H68" s="20">
        <f>'Raw Financials'!I74</f>
        <v>2800.79</v>
      </c>
      <c r="I68" s="20">
        <f>'Raw Financials'!J74</f>
        <v>2057.59</v>
      </c>
      <c r="J68" s="20">
        <f>'Raw Financials'!K74</f>
        <v>99.15</v>
      </c>
      <c r="K68" s="20">
        <f>'Raw Financials'!L74</f>
        <v>0</v>
      </c>
      <c r="L68" s="20">
        <f>'Raw Financials'!M74</f>
        <v>0</v>
      </c>
      <c r="M68" s="24">
        <f>L68+'Nagarro Scenario'!C14</f>
        <v>0</v>
      </c>
      <c r="N68" s="24">
        <f>M68+'Nagarro Scenario'!D14</f>
        <v>0</v>
      </c>
      <c r="O68" s="24">
        <f>N68+'Nagarro Scenario'!E14</f>
        <v>0</v>
      </c>
      <c r="P68" s="24">
        <f>O68+'Nagarro Scenario'!F14</f>
        <v>0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 t="s">
        <v>343</v>
      </c>
      <c r="B69" s="20">
        <f>'Raw Financials'!C75</f>
        <v>0</v>
      </c>
      <c r="C69" s="20">
        <f>'Raw Financials'!D75</f>
        <v>0</v>
      </c>
      <c r="D69" s="20">
        <f>'Raw Financials'!E75</f>
        <v>0</v>
      </c>
      <c r="E69" s="20">
        <f>'Raw Financials'!F75</f>
        <v>0</v>
      </c>
      <c r="F69" s="20">
        <f>'Raw Financials'!G75</f>
        <v>353.36</v>
      </c>
      <c r="G69" s="20">
        <f>'Raw Financials'!H75</f>
        <v>716.17</v>
      </c>
      <c r="H69" s="20">
        <f>'Raw Financials'!I75</f>
        <v>1114.29</v>
      </c>
      <c r="I69" s="20">
        <f>'Raw Financials'!J75</f>
        <v>1592.2</v>
      </c>
      <c r="J69" s="20">
        <f>'Raw Financials'!K75</f>
        <v>1608.09</v>
      </c>
      <c r="K69" s="20">
        <f>'Raw Financials'!L75</f>
        <v>2156.67</v>
      </c>
      <c r="L69" s="20">
        <f>'Raw Financials'!M75</f>
        <v>2996.7</v>
      </c>
      <c r="M69" s="24">
        <f>(L69+L78+'Annual P&amp;L'!M120+'Annual P&amp;L'!M119)*0.65</f>
        <v>3352.2611858680998</v>
      </c>
      <c r="N69" s="24">
        <f>(M69+M78+'Annual P&amp;L'!N120+'Annual P&amp;L'!N119)*0.65</f>
        <v>3756.0564061496602</v>
      </c>
      <c r="O69" s="24">
        <f>(N69+N78+'Annual P&amp;L'!O120+'Annual P&amp;L'!O119)*0.65</f>
        <v>4236.5004948075057</v>
      </c>
      <c r="P69" s="24">
        <f>(O69+O78+'Annual P&amp;L'!P120+'Annual P&amp;L'!P119)*0.65</f>
        <v>4798.4875714758791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 t="s">
        <v>345</v>
      </c>
      <c r="B70" s="20">
        <f>'Raw Financials'!C76</f>
        <v>1.21</v>
      </c>
      <c r="C70" s="20">
        <f>'Raw Financials'!D76</f>
        <v>19.739999999999998</v>
      </c>
      <c r="D70" s="20">
        <f>'Raw Financials'!E76</f>
        <v>0</v>
      </c>
      <c r="E70" s="20">
        <f>'Raw Financials'!F76</f>
        <v>0</v>
      </c>
      <c r="F70" s="20">
        <f>'Raw Financials'!G76</f>
        <v>7.96</v>
      </c>
      <c r="G70" s="20">
        <f>'Raw Financials'!H76</f>
        <v>0</v>
      </c>
      <c r="H70" s="20">
        <f>'Raw Financials'!I76</f>
        <v>2088.6</v>
      </c>
      <c r="I70" s="20">
        <f>'Raw Financials'!J76</f>
        <v>2888.92</v>
      </c>
      <c r="J70" s="20">
        <f>'Raw Financials'!K76</f>
        <v>0</v>
      </c>
      <c r="K70" s="20">
        <f>'Raw Financials'!L76</f>
        <v>425.9</v>
      </c>
      <c r="L70" s="20">
        <f>'Raw Financials'!M76</f>
        <v>157.13999999999999</v>
      </c>
      <c r="M70" s="24">
        <f>L70*0.8</f>
        <v>125.71199999999999</v>
      </c>
      <c r="N70" s="24">
        <f>M70*0.8</f>
        <v>100.56959999999999</v>
      </c>
      <c r="O70" s="24">
        <f>N70*0.8</f>
        <v>80.455680000000001</v>
      </c>
      <c r="P70" s="24">
        <f>O70*0.8</f>
        <v>64.364544000000009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 t="s">
        <v>347</v>
      </c>
      <c r="B71" s="20">
        <f>'Raw Financials'!C77</f>
        <v>0</v>
      </c>
      <c r="C71" s="20">
        <f>'Raw Financials'!D77</f>
        <v>0</v>
      </c>
      <c r="D71" s="20">
        <f>'Raw Financials'!E77</f>
        <v>0</v>
      </c>
      <c r="E71" s="20">
        <f>'Raw Financials'!F77</f>
        <v>0</v>
      </c>
      <c r="F71" s="20">
        <f>'Raw Financials'!G77</f>
        <v>0</v>
      </c>
      <c r="G71" s="20">
        <f>'Raw Financials'!H77</f>
        <v>0</v>
      </c>
      <c r="H71" s="20">
        <f>'Raw Financials'!I77</f>
        <v>0</v>
      </c>
      <c r="I71" s="20">
        <f>'Raw Financials'!J77</f>
        <v>34.83</v>
      </c>
      <c r="J71" s="20">
        <f>'Raw Financials'!K77</f>
        <v>44.44</v>
      </c>
      <c r="K71" s="20">
        <f>'Raw Financials'!L77</f>
        <v>47.63</v>
      </c>
      <c r="L71" s="20">
        <f>'Raw Financials'!M77</f>
        <v>31.44</v>
      </c>
      <c r="M71" s="24">
        <f>L71</f>
        <v>31.44</v>
      </c>
      <c r="N71" s="24">
        <f>M71</f>
        <v>31.44</v>
      </c>
      <c r="O71" s="24">
        <f>N71</f>
        <v>31.44</v>
      </c>
      <c r="P71" s="24">
        <f>O71</f>
        <v>31.44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 t="s">
        <v>349</v>
      </c>
      <c r="B72" s="20">
        <f>'Raw Financials'!C78</f>
        <v>0</v>
      </c>
      <c r="C72" s="20">
        <f>'Raw Financials'!D78</f>
        <v>110.75</v>
      </c>
      <c r="D72" s="20">
        <f>'Raw Financials'!E78</f>
        <v>270.41000000000003</v>
      </c>
      <c r="E72" s="20">
        <f>'Raw Financials'!F78</f>
        <v>0</v>
      </c>
      <c r="F72" s="20">
        <f>'Raw Financials'!G78</f>
        <v>0</v>
      </c>
      <c r="G72" s="20">
        <f>'Raw Financials'!H78</f>
        <v>0</v>
      </c>
      <c r="H72" s="20">
        <f>'Raw Financials'!I78</f>
        <v>0</v>
      </c>
      <c r="I72" s="20">
        <f>'Raw Financials'!J78</f>
        <v>4.68</v>
      </c>
      <c r="J72" s="20">
        <f>'Raw Financials'!K78</f>
        <v>121.92</v>
      </c>
      <c r="K72" s="20">
        <f>'Raw Financials'!L78</f>
        <v>150.49</v>
      </c>
      <c r="L72" s="20">
        <f>'Raw Financials'!M78</f>
        <v>326.27999999999997</v>
      </c>
      <c r="M72" s="24">
        <f>'Annual P&amp;L'!M5*Assumptions!B41</f>
        <v>544.55667040066157</v>
      </c>
      <c r="N72" s="24">
        <f>'Annual P&amp;L'!N5*Assumptions!C41</f>
        <v>650.52626586553401</v>
      </c>
      <c r="O72" s="24">
        <f>'Annual P&amp;L'!O5*Assumptions!D41</f>
        <v>741.81277407818948</v>
      </c>
      <c r="P72" s="24">
        <f>'Annual P&amp;L'!P5*Assumptions!E41</f>
        <v>845.97102697413504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 t="s">
        <v>351</v>
      </c>
      <c r="B73" s="20">
        <f>'Raw Financials'!C79</f>
        <v>124.41</v>
      </c>
      <c r="C73" s="20">
        <f>'Raw Financials'!D79</f>
        <v>146.13999999999999</v>
      </c>
      <c r="D73" s="20">
        <f>'Raw Financials'!E79</f>
        <v>159.75</v>
      </c>
      <c r="E73" s="20">
        <f>'Raw Financials'!F79</f>
        <v>252.8</v>
      </c>
      <c r="F73" s="20">
        <f>'Raw Financials'!G79</f>
        <v>182.79</v>
      </c>
      <c r="G73" s="20">
        <f>'Raw Financials'!H79</f>
        <v>240.94</v>
      </c>
      <c r="H73" s="20">
        <f>'Raw Financials'!I79</f>
        <v>245.54</v>
      </c>
      <c r="I73" s="20">
        <f>'Raw Financials'!J79</f>
        <v>373.03</v>
      </c>
      <c r="J73" s="20">
        <f>'Raw Financials'!K79</f>
        <v>546.96</v>
      </c>
      <c r="K73" s="20">
        <f>'Raw Financials'!L79</f>
        <v>66.95</v>
      </c>
      <c r="L73" s="20">
        <f>'Raw Financials'!M79</f>
        <v>2632.77</v>
      </c>
      <c r="M73" s="24">
        <f>'Annual P&amp;L'!M5*Assumptions!B42</f>
        <v>2178.2266816026463</v>
      </c>
      <c r="N73" s="24">
        <f>'Annual P&amp;L'!N5*Assumptions!C42</f>
        <v>2385.2629748402915</v>
      </c>
      <c r="O73" s="24">
        <f>'Annual P&amp;L'!O5*Assumptions!D42</f>
        <v>2472.7092469272984</v>
      </c>
      <c r="P73" s="24">
        <f>'Annual P&amp;L'!P5*Assumptions!E42</f>
        <v>2537.9130809224048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 t="s">
        <v>429</v>
      </c>
      <c r="B74" s="20">
        <f>B75-SUM(B68:B73)</f>
        <v>0</v>
      </c>
      <c r="C74" s="20">
        <f>C75-SUM(C68:C73)</f>
        <v>0</v>
      </c>
      <c r="D74" s="20">
        <f>D75-SUM(D68:D73)</f>
        <v>0</v>
      </c>
      <c r="E74" s="20">
        <f>E75-SUM(E68:E73)</f>
        <v>0</v>
      </c>
      <c r="F74" s="20">
        <f>F75-SUM(F68:F73)</f>
        <v>0</v>
      </c>
      <c r="G74" s="20">
        <f>G75-SUM(G68:G73)</f>
        <v>0</v>
      </c>
      <c r="H74" s="20">
        <f>H75-SUM(H68:H73)</f>
        <v>0</v>
      </c>
      <c r="I74" s="20">
        <f>I75-SUM(I68:I73)</f>
        <v>0</v>
      </c>
      <c r="J74" s="20">
        <f>J75-SUM(J68:J73)</f>
        <v>0</v>
      </c>
      <c r="K74" s="20">
        <f>K75-SUM(K68:K73)</f>
        <v>0</v>
      </c>
      <c r="L74" s="20">
        <f>L75-SUM(L68:L73)</f>
        <v>0</v>
      </c>
      <c r="M74" s="24">
        <f>0</f>
        <v>0</v>
      </c>
      <c r="N74" s="24">
        <f>0</f>
        <v>0</v>
      </c>
      <c r="O74" s="24">
        <f>0</f>
        <v>0</v>
      </c>
      <c r="P74" s="24">
        <f>0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27" t="s">
        <v>353</v>
      </c>
      <c r="B75" s="26">
        <f>'Raw Financials'!C80</f>
        <v>151.32</v>
      </c>
      <c r="C75" s="26">
        <f>'Raw Financials'!D80</f>
        <v>298.33999999999997</v>
      </c>
      <c r="D75" s="26">
        <f>'Raw Financials'!E80</f>
        <v>446.71</v>
      </c>
      <c r="E75" s="26">
        <f>'Raw Financials'!F80</f>
        <v>264.77</v>
      </c>
      <c r="F75" s="26">
        <f>'Raw Financials'!G80</f>
        <v>590.33000000000004</v>
      </c>
      <c r="G75" s="26">
        <f>'Raw Financials'!H80</f>
        <v>1001.38</v>
      </c>
      <c r="H75" s="26">
        <f>'Raw Financials'!I80</f>
        <v>6249.22</v>
      </c>
      <c r="I75" s="26">
        <f>'Raw Financials'!J80</f>
        <v>6951.25</v>
      </c>
      <c r="J75" s="26">
        <f>'Raw Financials'!K80</f>
        <v>2420.56</v>
      </c>
      <c r="K75" s="26">
        <f>'Raw Financials'!L80</f>
        <v>2847.64</v>
      </c>
      <c r="L75" s="26">
        <f>'Raw Financials'!M80</f>
        <v>6144.33</v>
      </c>
      <c r="M75" s="28">
        <f>SUM(M68:M74)</f>
        <v>6232.1965378714076</v>
      </c>
      <c r="N75" s="28">
        <f>SUM(N68:N74)</f>
        <v>6923.8552468554853</v>
      </c>
      <c r="O75" s="28">
        <f>SUM(O68:O74)</f>
        <v>7562.918195812993</v>
      </c>
      <c r="P75" s="28">
        <f>SUM(P68:P74)</f>
        <v>8278.1762233724185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6"/>
      <c r="N76" s="16"/>
      <c r="O76" s="16"/>
      <c r="P76" s="16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 t="s">
        <v>355</v>
      </c>
      <c r="B77" s="20">
        <f>'Raw Financials'!C81</f>
        <v>0</v>
      </c>
      <c r="C77" s="20">
        <f>'Raw Financials'!D81</f>
        <v>0</v>
      </c>
      <c r="D77" s="20">
        <f>'Raw Financials'!E81</f>
        <v>0</v>
      </c>
      <c r="E77" s="20">
        <f>'Raw Financials'!F81</f>
        <v>0</v>
      </c>
      <c r="F77" s="20">
        <f>'Raw Financials'!G81</f>
        <v>0</v>
      </c>
      <c r="G77" s="20">
        <f>'Raw Financials'!H81</f>
        <v>1.96</v>
      </c>
      <c r="H77" s="20">
        <f>'Raw Financials'!I81</f>
        <v>1524.56</v>
      </c>
      <c r="I77" s="20">
        <f>'Raw Financials'!J81</f>
        <v>2249.36</v>
      </c>
      <c r="J77" s="20">
        <f>'Raw Financials'!K81</f>
        <v>1974.04</v>
      </c>
      <c r="K77" s="20">
        <f>'Raw Financials'!L81</f>
        <v>0</v>
      </c>
      <c r="L77" s="20">
        <f>'Raw Financials'!M81</f>
        <v>0</v>
      </c>
      <c r="M77" s="24">
        <f>0</f>
        <v>0</v>
      </c>
      <c r="N77" s="24">
        <f>0</f>
        <v>0</v>
      </c>
      <c r="O77" s="24">
        <f>0</f>
        <v>0</v>
      </c>
      <c r="P77" s="24">
        <f>0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 t="s">
        <v>357</v>
      </c>
      <c r="B78" s="20">
        <f>'Raw Financials'!C82</f>
        <v>0</v>
      </c>
      <c r="C78" s="20">
        <f>'Raw Financials'!D82</f>
        <v>0</v>
      </c>
      <c r="D78" s="20">
        <f>'Raw Financials'!E82</f>
        <v>0</v>
      </c>
      <c r="E78" s="20">
        <f>'Raw Financials'!F82</f>
        <v>0</v>
      </c>
      <c r="F78" s="20">
        <f>'Raw Financials'!G82</f>
        <v>309.06</v>
      </c>
      <c r="G78" s="20">
        <f>'Raw Financials'!H82</f>
        <v>222</v>
      </c>
      <c r="H78" s="20">
        <f>'Raw Financials'!I82</f>
        <v>342.58</v>
      </c>
      <c r="I78" s="20">
        <f>'Raw Financials'!J82</f>
        <v>676.39</v>
      </c>
      <c r="J78" s="20">
        <f>'Raw Financials'!K82</f>
        <v>830.01</v>
      </c>
      <c r="K78" s="20">
        <f>'Raw Financials'!L82</f>
        <v>952.3</v>
      </c>
      <c r="L78" s="20">
        <f>'Raw Financials'!M82</f>
        <v>1777.78</v>
      </c>
      <c r="M78" s="24">
        <f>(L69+L78+'Annual P&amp;L'!M120+'Annual P&amp;L'!M119)*0.35</f>
        <v>1805.0637154674382</v>
      </c>
      <c r="N78" s="24">
        <f>(M69+M78+'Annual P&amp;L'!N120+'Annual P&amp;L'!N119)*0.35</f>
        <v>2022.4919110036631</v>
      </c>
      <c r="O78" s="24">
        <f>(N69+N78+'Annual P&amp;L'!O120+'Annual P&amp;L'!O119)*0.35</f>
        <v>2281.192574127118</v>
      </c>
      <c r="P78" s="24">
        <f>(O69+O78+'Annual P&amp;L'!P120+'Annual P&amp;L'!P119)*0.35</f>
        <v>2583.8010000254731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 t="s">
        <v>359</v>
      </c>
      <c r="B79" s="20">
        <f>'Raw Financials'!C83</f>
        <v>1651.02</v>
      </c>
      <c r="C79" s="20">
        <f>'Raw Financials'!D83</f>
        <v>1209.3599999999999</v>
      </c>
      <c r="D79" s="20">
        <f>'Raw Financials'!E83</f>
        <v>1673.08</v>
      </c>
      <c r="E79" s="20">
        <f>'Raw Financials'!F83</f>
        <v>1517.07</v>
      </c>
      <c r="F79" s="20">
        <f>'Raw Financials'!G83</f>
        <v>2247.09</v>
      </c>
      <c r="G79" s="20">
        <f>'Raw Financials'!H83</f>
        <v>2733.44</v>
      </c>
      <c r="H79" s="20">
        <f>'Raw Financials'!I83</f>
        <v>4298.71</v>
      </c>
      <c r="I79" s="20">
        <f>'Raw Financials'!J83</f>
        <v>5689.08</v>
      </c>
      <c r="J79" s="20">
        <f>'Raw Financials'!K83</f>
        <v>8138.62</v>
      </c>
      <c r="K79" s="20">
        <f>'Raw Financials'!L83</f>
        <v>8886.17</v>
      </c>
      <c r="L79" s="20">
        <f>'Raw Financials'!M83</f>
        <v>11341.88</v>
      </c>
      <c r="M79" s="24">
        <f>'Annual P&amp;L'!M5*Assumptions!B36</f>
        <v>13613.916760016538</v>
      </c>
      <c r="N79" s="24">
        <f>'Annual P&amp;L'!N5*Assumptions!C36</f>
        <v>15829.472469394661</v>
      </c>
      <c r="O79" s="24">
        <f>'Annual P&amp;L'!O5*Assumptions!D36</f>
        <v>17556.235653183816</v>
      </c>
      <c r="P79" s="24">
        <f>'Annual P&amp;L'!P5*Assumptions!E36</f>
        <v>19739.323962729821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 t="s">
        <v>361</v>
      </c>
      <c r="B80" s="20">
        <f>'Raw Financials'!C84</f>
        <v>1646.5</v>
      </c>
      <c r="C80" s="20">
        <f>'Raw Financials'!D84</f>
        <v>453.58</v>
      </c>
      <c r="D80" s="20">
        <f>'Raw Financials'!E84</f>
        <v>396.33</v>
      </c>
      <c r="E80" s="20">
        <f>'Raw Financials'!F84</f>
        <v>441.93</v>
      </c>
      <c r="F80" s="20">
        <f>'Raw Financials'!G84</f>
        <v>854.38</v>
      </c>
      <c r="G80" s="20">
        <f>'Raw Financials'!H84</f>
        <v>388.21</v>
      </c>
      <c r="H80" s="20">
        <f>'Raw Financials'!I84</f>
        <v>2173.6</v>
      </c>
      <c r="I80" s="20">
        <f>'Raw Financials'!J84</f>
        <v>3922.85</v>
      </c>
      <c r="J80" s="20">
        <f>'Raw Financials'!K84</f>
        <v>3718.27</v>
      </c>
      <c r="K80" s="20">
        <f>'Raw Financials'!L84</f>
        <v>2438.4</v>
      </c>
      <c r="L80" s="20">
        <f>'Raw Financials'!M84</f>
        <v>8272.69</v>
      </c>
      <c r="M80" s="24">
        <f>'Annual P&amp;L'!M5*Assumptions!B37</f>
        <v>9075.9445066776934</v>
      </c>
      <c r="N80" s="24">
        <f>'Annual P&amp;L'!N5*Assumptions!C37</f>
        <v>10408.420253848544</v>
      </c>
      <c r="O80" s="24">
        <f>'Annual P&amp;L'!O5*Assumptions!D37</f>
        <v>11374.462535865572</v>
      </c>
      <c r="P80" s="24">
        <f>'Annual P&amp;L'!P5*Assumptions!E37</f>
        <v>12407.575062287313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 t="s">
        <v>363</v>
      </c>
      <c r="B81" s="20">
        <f>'Raw Financials'!C85</f>
        <v>0</v>
      </c>
      <c r="C81" s="20">
        <f>'Raw Financials'!D85</f>
        <v>1118.75</v>
      </c>
      <c r="D81" s="20">
        <f>'Raw Financials'!E85</f>
        <v>1201.02</v>
      </c>
      <c r="E81" s="20">
        <f>'Raw Financials'!F85</f>
        <v>1124.27</v>
      </c>
      <c r="F81" s="20">
        <f>'Raw Financials'!G85</f>
        <v>1320.13</v>
      </c>
      <c r="G81" s="20">
        <f>'Raw Financials'!H85</f>
        <v>1514.95</v>
      </c>
      <c r="H81" s="20">
        <f>'Raw Financials'!I85</f>
        <v>1621.76</v>
      </c>
      <c r="I81" s="20">
        <f>'Raw Financials'!J85</f>
        <v>2647.71</v>
      </c>
      <c r="J81" s="20">
        <f>'Raw Financials'!K85</f>
        <v>3639.82</v>
      </c>
      <c r="K81" s="20">
        <f>'Raw Financials'!L85</f>
        <v>4516.47</v>
      </c>
      <c r="L81" s="20">
        <f>'Raw Financials'!M85</f>
        <v>6805.36</v>
      </c>
      <c r="M81" s="24">
        <f>'Annual P&amp;L'!M5*Assumptions!B38</f>
        <v>9075.9445066776934</v>
      </c>
      <c r="N81" s="24">
        <f>'Annual P&amp;L'!N5*Assumptions!C38</f>
        <v>10408.420253848544</v>
      </c>
      <c r="O81" s="24">
        <f>'Annual P&amp;L'!O5*Assumptions!D38</f>
        <v>11374.462535865572</v>
      </c>
      <c r="P81" s="24">
        <f>'Annual P&amp;L'!P5*Assumptions!E38</f>
        <v>12407.575062287313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 t="s">
        <v>365</v>
      </c>
      <c r="B82" s="20">
        <f>'Raw Financials'!C86</f>
        <v>1223.6300000000001</v>
      </c>
      <c r="C82" s="20">
        <f>'Raw Financials'!D86</f>
        <v>1391.07</v>
      </c>
      <c r="D82" s="20">
        <f>'Raw Financials'!E86</f>
        <v>1599.49</v>
      </c>
      <c r="E82" s="20">
        <f>'Raw Financials'!F86</f>
        <v>1686.35</v>
      </c>
      <c r="F82" s="20">
        <f>'Raw Financials'!G86</f>
        <v>1610.99</v>
      </c>
      <c r="G82" s="20">
        <f>'Raw Financials'!H86</f>
        <v>2477.79</v>
      </c>
      <c r="H82" s="20">
        <f>'Raw Financials'!I86</f>
        <v>3949.66</v>
      </c>
      <c r="I82" s="20">
        <f>'Raw Financials'!J86</f>
        <v>4649.24</v>
      </c>
      <c r="J82" s="20">
        <f>'Raw Financials'!K86</f>
        <v>3330.66</v>
      </c>
      <c r="K82" s="20">
        <f>'Raw Financials'!L86</f>
        <v>4028.54</v>
      </c>
      <c r="L82" s="20">
        <f>'Raw Financials'!M86</f>
        <v>570.25</v>
      </c>
      <c r="M82" s="24">
        <f>'Annual P&amp;L'!M5*Assumptions!B39</f>
        <v>3630.377802671077</v>
      </c>
      <c r="N82" s="24">
        <f>'Annual P&amp;L'!N5*Assumptions!C39</f>
        <v>4336.8417724368937</v>
      </c>
      <c r="O82" s="24">
        <f>'Annual P&amp;L'!O5*Assumptions!D39</f>
        <v>4945.4184938545968</v>
      </c>
      <c r="P82" s="24">
        <f>'Annual P&amp;L'!P5*Assumptions!E39</f>
        <v>5639.8068464942335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 t="s">
        <v>367</v>
      </c>
      <c r="B83" s="20">
        <f>'Raw Financials'!C87</f>
        <v>0</v>
      </c>
      <c r="C83" s="20">
        <f>'Raw Financials'!D87</f>
        <v>0</v>
      </c>
      <c r="D83" s="20">
        <f>'Raw Financials'!E87</f>
        <v>0</v>
      </c>
      <c r="E83" s="20">
        <f>'Raw Financials'!F87</f>
        <v>74.8</v>
      </c>
      <c r="F83" s="20">
        <f>'Raw Financials'!G87</f>
        <v>132.16</v>
      </c>
      <c r="G83" s="20">
        <f>'Raw Financials'!H87</f>
        <v>358.85</v>
      </c>
      <c r="H83" s="20">
        <f>'Raw Financials'!I87</f>
        <v>348.72</v>
      </c>
      <c r="I83" s="20">
        <f>'Raw Financials'!J87</f>
        <v>294.14</v>
      </c>
      <c r="J83" s="20">
        <f>'Raw Financials'!K87</f>
        <v>547.29</v>
      </c>
      <c r="K83" s="20">
        <f>'Raw Financials'!L87</f>
        <v>505.85</v>
      </c>
      <c r="L83" s="20">
        <f>'Raw Financials'!M87</f>
        <v>474.6</v>
      </c>
      <c r="M83" s="24">
        <f>'Annual P&amp;L'!M5*Assumptions!B40</f>
        <v>726.07556053421547</v>
      </c>
      <c r="N83" s="24">
        <f>'Annual P&amp;L'!N5*Assumptions!C40</f>
        <v>867.36835448737872</v>
      </c>
      <c r="O83" s="24">
        <f>'Annual P&amp;L'!O5*Assumptions!D40</f>
        <v>989.08369877091934</v>
      </c>
      <c r="P83" s="24">
        <f>'Annual P&amp;L'!P5*Assumptions!E40</f>
        <v>1127.9613692988466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 t="s">
        <v>429</v>
      </c>
      <c r="B84" s="20">
        <f>B85-SUM(B77:B83)</f>
        <v>0</v>
      </c>
      <c r="C84" s="20">
        <f>C85-SUM(C77:C83)</f>
        <v>0</v>
      </c>
      <c r="D84" s="20">
        <f>D85-SUM(D77:D83)</f>
        <v>0</v>
      </c>
      <c r="E84" s="20">
        <f>E85-SUM(E77:E83)</f>
        <v>0</v>
      </c>
      <c r="F84" s="20">
        <f>F85-SUM(F77:F83)</f>
        <v>0</v>
      </c>
      <c r="G84" s="20">
        <f>G85-SUM(G77:G83)</f>
        <v>0</v>
      </c>
      <c r="H84" s="20">
        <f>H85-SUM(H77:H83)</f>
        <v>0</v>
      </c>
      <c r="I84" s="20">
        <f>I85-SUM(I77:I83)</f>
        <v>0</v>
      </c>
      <c r="J84" s="20">
        <f>J85-SUM(J77:J83)</f>
        <v>0</v>
      </c>
      <c r="K84" s="20">
        <f>K85-SUM(K77:K83)</f>
        <v>0</v>
      </c>
      <c r="L84" s="20">
        <f>L85-SUM(L77:L83)</f>
        <v>0</v>
      </c>
      <c r="M84" s="24">
        <f>0</f>
        <v>0</v>
      </c>
      <c r="N84" s="24">
        <f>0</f>
        <v>0</v>
      </c>
      <c r="O84" s="24">
        <f>0</f>
        <v>0</v>
      </c>
      <c r="P84" s="24">
        <f>0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27" t="s">
        <v>369</v>
      </c>
      <c r="B85" s="26">
        <f>'Raw Financials'!C88</f>
        <v>4521.1499999999996</v>
      </c>
      <c r="C85" s="26">
        <f>'Raw Financials'!D88</f>
        <v>4172.76</v>
      </c>
      <c r="D85" s="26">
        <f>'Raw Financials'!E88</f>
        <v>4869.92</v>
      </c>
      <c r="E85" s="26">
        <f>'Raw Financials'!F88</f>
        <v>4844.42</v>
      </c>
      <c r="F85" s="26">
        <f>'Raw Financials'!G88</f>
        <v>6473.81</v>
      </c>
      <c r="G85" s="26">
        <f>'Raw Financials'!H88</f>
        <v>7697.2</v>
      </c>
      <c r="H85" s="26">
        <f>'Raw Financials'!I88</f>
        <v>14259.59</v>
      </c>
      <c r="I85" s="26">
        <f>'Raw Financials'!J88</f>
        <v>20128.77</v>
      </c>
      <c r="J85" s="26">
        <f>'Raw Financials'!K88</f>
        <v>22178.71</v>
      </c>
      <c r="K85" s="26">
        <f>'Raw Financials'!L88</f>
        <v>21327.73</v>
      </c>
      <c r="L85" s="26">
        <f>'Raw Financials'!M88</f>
        <v>29242.560000000001</v>
      </c>
      <c r="M85" s="28">
        <f>SUM(M77:M84)</f>
        <v>37927.322852044657</v>
      </c>
      <c r="N85" s="28">
        <f>SUM(N77:N84)</f>
        <v>43873.015015019686</v>
      </c>
      <c r="O85" s="28">
        <f>SUM(O77:O84)</f>
        <v>48520.855491667593</v>
      </c>
      <c r="P85" s="28">
        <f>SUM(P77:P84)</f>
        <v>53906.043303123006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27" t="s">
        <v>371</v>
      </c>
      <c r="B86" s="26">
        <f>'Raw Financials'!C89</f>
        <v>4672.4699999999993</v>
      </c>
      <c r="C86" s="26">
        <f>'Raw Financials'!D89</f>
        <v>4471.1000000000004</v>
      </c>
      <c r="D86" s="26">
        <f>'Raw Financials'!E89</f>
        <v>5316.63</v>
      </c>
      <c r="E86" s="26">
        <f>'Raw Financials'!F89</f>
        <v>5109.1900000000005</v>
      </c>
      <c r="F86" s="26">
        <f>'Raw Financials'!G89</f>
        <v>7064.14</v>
      </c>
      <c r="G86" s="26">
        <f>'Raw Financials'!H89</f>
        <v>8698.58</v>
      </c>
      <c r="H86" s="26">
        <f>'Raw Financials'!I89</f>
        <v>20508.810000000001</v>
      </c>
      <c r="I86" s="26">
        <f>'Raw Financials'!J89</f>
        <v>27080.02</v>
      </c>
      <c r="J86" s="26">
        <f>'Raw Financials'!K89</f>
        <v>24599.27</v>
      </c>
      <c r="K86" s="26">
        <f>'Raw Financials'!L89</f>
        <v>24175.37</v>
      </c>
      <c r="L86" s="26">
        <f>'Raw Financials'!M89</f>
        <v>35386.89</v>
      </c>
      <c r="M86" s="28">
        <f>M75+M85</f>
        <v>44159.519389916066</v>
      </c>
      <c r="N86" s="28">
        <f>N75+N85</f>
        <v>50796.87026187517</v>
      </c>
      <c r="O86" s="28">
        <f>O75+O85</f>
        <v>56083.773687480585</v>
      </c>
      <c r="P86" s="28">
        <f>P75+P85</f>
        <v>62184.219526495421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27" t="s">
        <v>373</v>
      </c>
      <c r="B87" s="26">
        <f>'Raw Financials'!C90</f>
        <v>21065.43</v>
      </c>
      <c r="C87" s="26">
        <f>'Raw Financials'!D90</f>
        <v>23463.730000000003</v>
      </c>
      <c r="D87" s="26">
        <f>'Raw Financials'!E90</f>
        <v>26588.620000000003</v>
      </c>
      <c r="E87" s="26">
        <f>'Raw Financials'!F90</f>
        <v>28555.989999999998</v>
      </c>
      <c r="F87" s="26">
        <f>'Raw Financials'!G90</f>
        <v>30921.69</v>
      </c>
      <c r="G87" s="26">
        <f>'Raw Financials'!H90</f>
        <v>36655.24</v>
      </c>
      <c r="H87" s="26">
        <f>'Raw Financials'!I90</f>
        <v>54191.009999999995</v>
      </c>
      <c r="I87" s="26">
        <f>'Raw Financials'!J90</f>
        <v>66730.8</v>
      </c>
      <c r="J87" s="26">
        <f>'Raw Financials'!K90</f>
        <v>74176.34</v>
      </c>
      <c r="K87" s="26">
        <f>'Raw Financials'!L90</f>
        <v>87366.02</v>
      </c>
      <c r="L87" s="26">
        <f>'Raw Financials'!M90</f>
        <v>113765.44</v>
      </c>
      <c r="M87" s="28">
        <f>M66+M86</f>
        <v>138755.1122495599</v>
      </c>
      <c r="N87" s="28">
        <f>N66+N86</f>
        <v>165338.01043292464</v>
      </c>
      <c r="O87" s="28">
        <f>O66+O86</f>
        <v>193744.69586311537</v>
      </c>
      <c r="P87" s="28">
        <f>P66+P86</f>
        <v>226621.56285660743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27" t="s">
        <v>430</v>
      </c>
      <c r="B88" s="26">
        <f>B62-B87</f>
        <v>0</v>
      </c>
      <c r="C88" s="26">
        <f>C62-C87</f>
        <v>0</v>
      </c>
      <c r="D88" s="26">
        <f>D62-D87</f>
        <v>0</v>
      </c>
      <c r="E88" s="26">
        <f>E62-E87</f>
        <v>0</v>
      </c>
      <c r="F88" s="26">
        <f>F62-F87</f>
        <v>0</v>
      </c>
      <c r="G88" s="26">
        <f>G62-G87</f>
        <v>0</v>
      </c>
      <c r="H88" s="26">
        <f>H62-H87</f>
        <v>0</v>
      </c>
      <c r="I88" s="26">
        <f>I62-I87</f>
        <v>0</v>
      </c>
      <c r="J88" s="26">
        <f>J62-J87</f>
        <v>0</v>
      </c>
      <c r="K88" s="26">
        <f>K62-K87</f>
        <v>0</v>
      </c>
      <c r="L88" s="26">
        <f>L62-L87</f>
        <v>0</v>
      </c>
      <c r="M88" s="28">
        <f>M62-M87</f>
        <v>0</v>
      </c>
      <c r="N88" s="28">
        <f>N62-N87</f>
        <v>0</v>
      </c>
      <c r="O88" s="28">
        <f>O62-O87</f>
        <v>0</v>
      </c>
      <c r="P88" s="28">
        <f>P62-P87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6"/>
      <c r="N89" s="16"/>
      <c r="O89" s="16"/>
      <c r="P89" s="16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25.95" customHeight="1">
      <c r="A90" s="37" t="s">
        <v>431</v>
      </c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9.95" customHeight="1">
      <c r="A93" s="3" t="s">
        <v>0</v>
      </c>
      <c r="B93" s="3" t="s">
        <v>2</v>
      </c>
      <c r="C93" s="3" t="s">
        <v>3</v>
      </c>
      <c r="D93" s="3" t="s">
        <v>4</v>
      </c>
      <c r="E93" s="3" t="s">
        <v>5</v>
      </c>
      <c r="F93" s="3" t="s">
        <v>6</v>
      </c>
      <c r="G93" s="3" t="s">
        <v>7</v>
      </c>
      <c r="H93" s="3" t="s">
        <v>8</v>
      </c>
      <c r="I93" s="3" t="s">
        <v>9</v>
      </c>
      <c r="J93" s="3" t="s">
        <v>10</v>
      </c>
      <c r="K93" s="3" t="s">
        <v>11</v>
      </c>
      <c r="L93" s="3" t="s">
        <v>12</v>
      </c>
      <c r="M93" s="15" t="s">
        <v>13</v>
      </c>
      <c r="N93" s="15" t="s">
        <v>14</v>
      </c>
      <c r="O93" s="15" t="s">
        <v>15</v>
      </c>
      <c r="P93" s="15" t="s">
        <v>16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 t="s">
        <v>28</v>
      </c>
      <c r="B94" s="20">
        <f>'Annual P&amp;L'!B25</f>
        <v>2973.61</v>
      </c>
      <c r="C94" s="20">
        <f>'Annual P&amp;L'!C25</f>
        <v>3014.65</v>
      </c>
      <c r="D94" s="20">
        <f>'Annual P&amp;L'!D25</f>
        <v>3230.88</v>
      </c>
      <c r="E94" s="20">
        <f>'Annual P&amp;L'!E25</f>
        <v>3516.79</v>
      </c>
      <c r="F94" s="20">
        <f>'Annual P&amp;L'!F25</f>
        <v>3402.89</v>
      </c>
      <c r="G94" s="20">
        <f>'Annual P&amp;L'!G25</f>
        <v>4506.7700000000004</v>
      </c>
      <c r="H94" s="20">
        <f>'Annual P&amp;L'!H25</f>
        <v>6903.86</v>
      </c>
      <c r="I94" s="20">
        <f>'Annual P&amp;L'!I25</f>
        <v>9210.93</v>
      </c>
      <c r="J94" s="20">
        <f>'Annual P&amp;L'!J25</f>
        <v>10934.91</v>
      </c>
      <c r="K94" s="20">
        <f>'Annual P&amp;L'!K25</f>
        <v>14001.61</v>
      </c>
      <c r="L94" s="20">
        <f>'Annual P&amp;L'!L25</f>
        <v>18651.2</v>
      </c>
      <c r="M94" s="24">
        <f>'Annual P&amp;L'!M25</f>
        <v>22502.896809856669</v>
      </c>
      <c r="N94" s="24">
        <f>'Annual P&amp;L'!N25</f>
        <v>28217.660992360648</v>
      </c>
      <c r="O94" s="24">
        <f>'Annual P&amp;L'!O25</f>
        <v>33700.554326372148</v>
      </c>
      <c r="P94" s="24">
        <f>'Annual P&amp;L'!P25</f>
        <v>39735.259136975117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 t="s">
        <v>229</v>
      </c>
      <c r="B95" s="20">
        <f>'Annual P&amp;L'!B15</f>
        <v>965.16</v>
      </c>
      <c r="C95" s="20">
        <f>'Annual P&amp;L'!C15</f>
        <v>1490.17</v>
      </c>
      <c r="D95" s="20">
        <f>'Annual P&amp;L'!D15</f>
        <v>1584.87</v>
      </c>
      <c r="E95" s="20">
        <f>'Annual P&amp;L'!E15</f>
        <v>1572.51</v>
      </c>
      <c r="F95" s="20">
        <f>'Annual P&amp;L'!F15</f>
        <v>1659.62</v>
      </c>
      <c r="G95" s="20">
        <f>'Annual P&amp;L'!G15</f>
        <v>1755.5</v>
      </c>
      <c r="H95" s="20">
        <f>'Annual P&amp;L'!H15</f>
        <v>1660.12</v>
      </c>
      <c r="I95" s="20">
        <f>'Annual P&amp;L'!I15</f>
        <v>2718.95</v>
      </c>
      <c r="J95" s="20">
        <f>'Annual P&amp;L'!J15</f>
        <v>3093.73</v>
      </c>
      <c r="K95" s="20">
        <f>'Annual P&amp;L'!K15</f>
        <v>3069.1</v>
      </c>
      <c r="L95" s="20">
        <f>'Annual P&amp;L'!L15</f>
        <v>4029.5</v>
      </c>
      <c r="M95" s="24">
        <f>'Annual P&amp;L'!M15</f>
        <v>4901.010033605954</v>
      </c>
      <c r="N95" s="24">
        <f>'Annual P&amp;L'!N15</f>
        <v>5637.8943041679613</v>
      </c>
      <c r="O95" s="24">
        <f>'Annual P&amp;L'!O15</f>
        <v>6181.7731173182465</v>
      </c>
      <c r="P95" s="24">
        <f>'Annual P&amp;L'!P15</f>
        <v>6767.7682157930803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 t="s">
        <v>432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4">
        <f>'Annual P&amp;L'!M5*Assumptions!B43</f>
        <v>1815.1889013355385</v>
      </c>
      <c r="N96" s="24">
        <f>'Annual P&amp;L'!N5*Assumptions!C43</f>
        <v>2168.4208862184469</v>
      </c>
      <c r="O96" s="24">
        <f>'Annual P&amp;L'!O5*Assumptions!D43</f>
        <v>2225.4383222345682</v>
      </c>
      <c r="P96" s="24">
        <f>'Annual P&amp;L'!P5*Assumptions!E43</f>
        <v>2537.9130809224048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 t="s">
        <v>433</v>
      </c>
      <c r="B97" s="20">
        <f>'Annual P&amp;L'!B19</f>
        <v>0.92</v>
      </c>
      <c r="C97" s="20">
        <f>'Annual P&amp;L'!C19</f>
        <v>0.91</v>
      </c>
      <c r="D97" s="20">
        <f>'Annual P&amp;L'!D19</f>
        <v>0.79</v>
      </c>
      <c r="E97" s="20">
        <f>'Annual P&amp;L'!E19</f>
        <v>3.05</v>
      </c>
      <c r="F97" s="20">
        <f>'Annual P&amp;L'!F19</f>
        <v>63.32</v>
      </c>
      <c r="G97" s="20">
        <f>'Annual P&amp;L'!G19</f>
        <v>57.94</v>
      </c>
      <c r="H97" s="20">
        <f>'Annual P&amp;L'!H19</f>
        <v>118.35</v>
      </c>
      <c r="I97" s="20">
        <f>'Annual P&amp;L'!I19</f>
        <v>473.4</v>
      </c>
      <c r="J97" s="20">
        <f>'Annual P&amp;L'!J19</f>
        <v>467.27</v>
      </c>
      <c r="K97" s="20">
        <f>'Annual P&amp;L'!K19</f>
        <v>671.29</v>
      </c>
      <c r="L97" s="20">
        <f>'Annual P&amp;L'!L19</f>
        <v>726.82</v>
      </c>
      <c r="M97" s="24">
        <f>'Annual P&amp;L'!M19</f>
        <v>1089.1133408013231</v>
      </c>
      <c r="N97" s="24">
        <f>'Annual P&amp;L'!N19</f>
        <v>1301.052531731068</v>
      </c>
      <c r="O97" s="24">
        <f>'Annual P&amp;L'!O19</f>
        <v>1236.3546234636492</v>
      </c>
      <c r="P97" s="24">
        <f>'Annual P&amp;L'!P19</f>
        <v>1409.9517116235584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 t="s">
        <v>434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4">
        <f>0</f>
        <v>0</v>
      </c>
      <c r="N98" s="24">
        <f>0</f>
        <v>0</v>
      </c>
      <c r="O98" s="24">
        <f>0</f>
        <v>0</v>
      </c>
      <c r="P98" s="24">
        <f>0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 t="s">
        <v>435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4">
        <f>-('Annual P&amp;L'!M54-'Annual P&amp;L'!L54)</f>
        <v>-8506.8316657896758</v>
      </c>
      <c r="N99" s="24">
        <f>-('Annual P&amp;L'!N54-'Annual P&amp;L'!M54)</f>
        <v>-5212.4652621249443</v>
      </c>
      <c r="O99" s="24">
        <f>-('Annual P&amp;L'!O54-'Annual P&amp;L'!N54)</f>
        <v>-4241.1791876424468</v>
      </c>
      <c r="P99" s="24">
        <f>-('Annual P&amp;L'!P54-'Annual P&amp;L'!O54)</f>
        <v>-4744.4818639184523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 t="s">
        <v>436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4">
        <f>-('Annual P&amp;L'!M57-'Annual P&amp;L'!L57)</f>
        <v>-3331.2428606579997</v>
      </c>
      <c r="N100" s="24">
        <f>-('Annual P&amp;L'!N57-'Annual P&amp;L'!M57)</f>
        <v>-2405.9645603155368</v>
      </c>
      <c r="O100" s="24">
        <f>-('Annual P&amp;L'!O57-'Annual P&amp;L'!N57)</f>
        <v>-1823.5456368049963</v>
      </c>
      <c r="P100" s="24">
        <f>-('Annual P&amp;L'!P57-'Annual P&amp;L'!O57)</f>
        <v>-1985.9527917883897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 t="s">
        <v>437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4">
        <f>-SUM('Annual P&amp;L'!M58-'Annual P&amp;L'!L58,'Annual P&amp;L'!M59-'Annual P&amp;L'!L59)</f>
        <v>-1925.1690133553875</v>
      </c>
      <c r="N101" s="24">
        <f>-SUM('Annual P&amp;L'!N58-'Annual P&amp;L'!M58,'Annual P&amp;L'!N59-'Annual P&amp;L'!M59)</f>
        <v>-2448.109405719857</v>
      </c>
      <c r="O101" s="24">
        <f>-SUM('Annual P&amp;L'!O58-'Annual P&amp;L'!N58,'Annual P&amp;L'!O59-'Annual P&amp;L'!N59)</f>
        <v>-1654.3848032704409</v>
      </c>
      <c r="P101" s="24">
        <f>-SUM('Annual P&amp;L'!P58-'Annual P&amp;L'!O58,'Annual P&amp;L'!P59-'Annual P&amp;L'!O59)</f>
        <v>-1714.7958752548075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 t="s">
        <v>438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4">
        <f>-SUM('Annual P&amp;L'!M45-'Annual P&amp;L'!L45,'Annual P&amp;L'!M46-'Annual P&amp;L'!L46,'Annual P&amp;L'!M47-'Annual P&amp;L'!L47,'Annual P&amp;L'!M48-'Annual P&amp;L'!L48,'Annual P&amp;L'!M49-'Annual P&amp;L'!L49)</f>
        <v>-5891.730067211909</v>
      </c>
      <c r="N102" s="24">
        <f>-SUM('Annual P&amp;L'!N45-'Annual P&amp;L'!M45,'Annual P&amp;L'!N46-'Annual P&amp;L'!M46,'Annual P&amp;L'!N47-'Annual P&amp;L'!M47,'Annual P&amp;L'!N48-'Annual P&amp;L'!M48,'Annual P&amp;L'!N49-'Annual P&amp;L'!M49)</f>
        <v>-1256.9264525021708</v>
      </c>
      <c r="O102" s="24">
        <f>-SUM('Annual P&amp;L'!O45-'Annual P&amp;L'!N45,'Annual P&amp;L'!O46-'Annual P&amp;L'!N46,'Annual P&amp;L'!O47-'Annual P&amp;L'!N47,'Annual P&amp;L'!O48-'Annual P&amp;L'!N48,'Annual P&amp;L'!O49-'Annual P&amp;L'!N49)</f>
        <v>-810.0578655369527</v>
      </c>
      <c r="P102" s="24">
        <f>-SUM('Annual P&amp;L'!P45-'Annual P&amp;L'!O45,'Annual P&amp;L'!P46-'Annual P&amp;L'!O46,'Annual P&amp;L'!P47-'Annual P&amp;L'!O47,'Annual P&amp;L'!P48-'Annual P&amp;L'!O48,'Annual P&amp;L'!P49-'Annual P&amp;L'!O49)</f>
        <v>-820.56101936099458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 t="s">
        <v>439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4">
        <f>'Annual P&amp;L'!M79-'Annual P&amp;L'!L79</f>
        <v>2272.0367600165391</v>
      </c>
      <c r="N103" s="24">
        <f>'Annual P&amp;L'!N79-'Annual P&amp;L'!M79</f>
        <v>2215.5557093781226</v>
      </c>
      <c r="O103" s="24">
        <f>'Annual P&amp;L'!O79-'Annual P&amp;L'!N79</f>
        <v>1726.7631837891549</v>
      </c>
      <c r="P103" s="24">
        <f>'Annual P&amp;L'!P79-'Annual P&amp;L'!O79</f>
        <v>2183.0883095460049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 t="s">
        <v>440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4">
        <f>SUM('Annual P&amp;L'!M80-'Annual P&amp;L'!L80,'Annual P&amp;L'!M81-'Annual P&amp;L'!L81)</f>
        <v>3073.8390133553867</v>
      </c>
      <c r="N104" s="24">
        <f>SUM('Annual P&amp;L'!N80-'Annual P&amp;L'!M80,'Annual P&amp;L'!N81-'Annual P&amp;L'!M81)</f>
        <v>2664.9514943417016</v>
      </c>
      <c r="O104" s="24">
        <f>SUM('Annual P&amp;L'!O80-'Annual P&amp;L'!N80,'Annual P&amp;L'!O81-'Annual P&amp;L'!N81)</f>
        <v>1932.0845640340558</v>
      </c>
      <c r="P104" s="24">
        <f>SUM('Annual P&amp;L'!P80-'Annual P&amp;L'!O80,'Annual P&amp;L'!P81-'Annual P&amp;L'!O81)</f>
        <v>2066.2250528434815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 t="s">
        <v>441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4">
        <f>SUM('Annual P&amp;L'!M82-'Annual P&amp;L'!L82,'Annual P&amp;L'!M83-'Annual P&amp;L'!L83)</f>
        <v>3311.6033632052922</v>
      </c>
      <c r="N105" s="24">
        <f>SUM('Annual P&amp;L'!N82-'Annual P&amp;L'!M82,'Annual P&amp;L'!N83-'Annual P&amp;L'!M83)</f>
        <v>847.75676371897998</v>
      </c>
      <c r="O105" s="24">
        <f>SUM('Annual P&amp;L'!O82-'Annual P&amp;L'!N82,'Annual P&amp;L'!O83-'Annual P&amp;L'!N83)</f>
        <v>730.2920657012437</v>
      </c>
      <c r="P105" s="24">
        <f>SUM('Annual P&amp;L'!P82-'Annual P&amp;L'!O82,'Annual P&amp;L'!P83-'Annual P&amp;L'!O83)</f>
        <v>833.26602316756396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 t="s">
        <v>442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4">
        <f>SUM('Annual P&amp;L'!M70-'Annual P&amp;L'!L70,'Annual P&amp;L'!M71-'Annual P&amp;L'!L71,'Annual P&amp;L'!M72-'Annual P&amp;L'!L72,'Annual P&amp;L'!M73-'Annual P&amp;L'!L73)</f>
        <v>-267.69464799669208</v>
      </c>
      <c r="N106" s="24">
        <f>SUM('Annual P&amp;L'!N70-'Annual P&amp;L'!M70,'Annual P&amp;L'!N71-'Annual P&amp;L'!M71,'Annual P&amp;L'!N72-'Annual P&amp;L'!M72,'Annual P&amp;L'!N73-'Annual P&amp;L'!M73)</f>
        <v>287.8634887025176</v>
      </c>
      <c r="O106" s="24">
        <f>SUM('Annual P&amp;L'!O70-'Annual P&amp;L'!N70,'Annual P&amp;L'!O71-'Annual P&amp;L'!N71,'Annual P&amp;L'!O72-'Annual P&amp;L'!N72,'Annual P&amp;L'!O73-'Annual P&amp;L'!N73)</f>
        <v>158.6188602996624</v>
      </c>
      <c r="P106" s="24">
        <f>SUM('Annual P&amp;L'!P70-'Annual P&amp;L'!O70,'Annual P&amp;L'!P71-'Annual P&amp;L'!O71,'Annual P&amp;L'!P72-'Annual P&amp;L'!O72,'Annual P&amp;L'!P73-'Annual P&amp;L'!O73)</f>
        <v>153.27095089105194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 t="s">
        <v>443</v>
      </c>
      <c r="B107" s="20">
        <f>B108-SUM(B94:B106)</f>
        <v>-1399.0900000000001</v>
      </c>
      <c r="C107" s="20">
        <f>C108-SUM(C94:C106)</f>
        <v>-1641.6299999999997</v>
      </c>
      <c r="D107" s="20">
        <f>D108-SUM(D94:D106)</f>
        <v>-604.60999999999967</v>
      </c>
      <c r="E107" s="20">
        <f>E108-SUM(E94:E106)</f>
        <v>-769.21</v>
      </c>
      <c r="F107" s="20">
        <f>F108-SUM(F94:F106)</f>
        <v>-1897.65</v>
      </c>
      <c r="G107" s="20">
        <f>G108-SUM(G94:G106)</f>
        <v>1039.04</v>
      </c>
      <c r="H107" s="20">
        <f>H108-SUM(H94:H106)</f>
        <v>-232.46999999999935</v>
      </c>
      <c r="I107" s="20">
        <f>I108-SUM(I94:I106)</f>
        <v>-2845.66</v>
      </c>
      <c r="J107" s="20">
        <f>J108-SUM(J94:J106)</f>
        <v>-1474.8199999999997</v>
      </c>
      <c r="K107" s="20">
        <f>K108-SUM(K94:K106)</f>
        <v>-6172.84</v>
      </c>
      <c r="L107" s="20">
        <f>L108-SUM(L94:L106)</f>
        <v>-5736.2200000000012</v>
      </c>
      <c r="M107" s="24">
        <f>0</f>
        <v>0</v>
      </c>
      <c r="N107" s="24">
        <f>0</f>
        <v>0</v>
      </c>
      <c r="O107" s="24">
        <f>0</f>
        <v>0</v>
      </c>
      <c r="P107" s="24">
        <f>0</f>
        <v>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27" t="s">
        <v>376</v>
      </c>
      <c r="B108" s="26">
        <f>'Raw Financials'!C97</f>
        <v>2540.6</v>
      </c>
      <c r="C108" s="26">
        <f>'Raw Financials'!D97</f>
        <v>2864.1</v>
      </c>
      <c r="D108" s="26">
        <f>'Raw Financials'!E97</f>
        <v>4211.93</v>
      </c>
      <c r="E108" s="26">
        <f>'Raw Financials'!F97</f>
        <v>4323.1400000000003</v>
      </c>
      <c r="F108" s="26">
        <f>'Raw Financials'!G97</f>
        <v>3228.18</v>
      </c>
      <c r="G108" s="26">
        <f>'Raw Financials'!H97</f>
        <v>7359.25</v>
      </c>
      <c r="H108" s="26">
        <f>'Raw Financials'!I97</f>
        <v>8449.86</v>
      </c>
      <c r="I108" s="26">
        <f>'Raw Financials'!J97</f>
        <v>9557.6200000000008</v>
      </c>
      <c r="J108" s="26">
        <f>'Raw Financials'!K97</f>
        <v>13021.09</v>
      </c>
      <c r="K108" s="26">
        <f>'Raw Financials'!L97</f>
        <v>11569.16</v>
      </c>
      <c r="L108" s="26">
        <f>'Raw Financials'!M97</f>
        <v>17671.3</v>
      </c>
      <c r="M108" s="28">
        <f>SUM(M94:M107)</f>
        <v>19043.019967165041</v>
      </c>
      <c r="N108" s="28">
        <f>SUM(N94:N107)</f>
        <v>32017.690489956934</v>
      </c>
      <c r="O108" s="28">
        <f>SUM(O94:O107)</f>
        <v>39362.711569957901</v>
      </c>
      <c r="P108" s="28">
        <f>SUM(P94:P107)</f>
        <v>46420.95093143962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 t="s">
        <v>444</v>
      </c>
      <c r="B109" s="30">
        <f>IFERROR(B108/B94,"")</f>
        <v>0.85438238370196484</v>
      </c>
      <c r="C109" s="30">
        <f>IFERROR(C108/C94,"")</f>
        <v>0.95006053770752819</v>
      </c>
      <c r="D109" s="30">
        <f>IFERROR(D108/D94,"")</f>
        <v>1.3036479225474176</v>
      </c>
      <c r="E109" s="30">
        <f>IFERROR(E108/E94,"")</f>
        <v>1.2292857975597065</v>
      </c>
      <c r="F109" s="30">
        <f>IFERROR(F108/F94,"")</f>
        <v>0.94865834628800816</v>
      </c>
      <c r="G109" s="30">
        <f>IFERROR(G108/G94,"")</f>
        <v>1.6329322330627032</v>
      </c>
      <c r="H109" s="30">
        <f>IFERROR(H108/H94,"")</f>
        <v>1.2239326985193792</v>
      </c>
      <c r="I109" s="30">
        <f>IFERROR(I108/I94,"")</f>
        <v>1.037638978908753</v>
      </c>
      <c r="J109" s="30">
        <f>IFERROR(J108/J94,"")</f>
        <v>1.1907816342338438</v>
      </c>
      <c r="K109" s="30">
        <f>IFERROR(K108/K94,"")</f>
        <v>0.82627354997032476</v>
      </c>
      <c r="L109" s="30">
        <f>IFERROR(L108/L94,"")</f>
        <v>0.94746182551256752</v>
      </c>
      <c r="M109" s="31">
        <f>IFERROR(M108/M94,"")</f>
        <v>0.84624749107074337</v>
      </c>
      <c r="N109" s="31">
        <f>IFERROR(N108/N94,"")</f>
        <v>1.1346684793833572</v>
      </c>
      <c r="O109" s="31">
        <f>IFERROR(O108/O94,"")</f>
        <v>1.1680137717840109</v>
      </c>
      <c r="P109" s="31">
        <f>IFERROR(P108/P94,"")</f>
        <v>1.1682559001670942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6"/>
      <c r="N110" s="16"/>
      <c r="O110" s="16"/>
      <c r="P110" s="16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 t="s">
        <v>445</v>
      </c>
      <c r="B111" s="20">
        <f>'Raw Financials'!C100</f>
        <v>-1659.35</v>
      </c>
      <c r="C111" s="20">
        <f>'Raw Financials'!D100</f>
        <v>-2175.7399999999998</v>
      </c>
      <c r="D111" s="20">
        <f>'Raw Financials'!E100</f>
        <v>-654.55999999999995</v>
      </c>
      <c r="E111" s="20">
        <f>'Raw Financials'!F100</f>
        <v>-379.06</v>
      </c>
      <c r="F111" s="20">
        <f>'Raw Financials'!G100</f>
        <v>-758.39</v>
      </c>
      <c r="G111" s="20">
        <f>'Raw Financials'!H100</f>
        <v>-1281.04</v>
      </c>
      <c r="H111" s="20">
        <f>'Raw Financials'!I100</f>
        <v>-3853.97</v>
      </c>
      <c r="I111" s="20">
        <f>'Raw Financials'!J100</f>
        <v>-4332.99</v>
      </c>
      <c r="J111" s="20">
        <f>'Raw Financials'!K100</f>
        <v>-3580.33</v>
      </c>
      <c r="K111" s="20">
        <f>'Raw Financials'!L100</f>
        <v>-2366.91</v>
      </c>
      <c r="L111" s="20">
        <f>'Raw Financials'!M100</f>
        <v>-2085.81</v>
      </c>
      <c r="M111" s="24">
        <f>-'Annual P&amp;L'!M5*Assumptions!B30</f>
        <v>-2722.7833520033078</v>
      </c>
      <c r="N111" s="24">
        <f>-'Annual P&amp;L'!N5*Assumptions!C30</f>
        <v>-3035.7892407058257</v>
      </c>
      <c r="O111" s="24">
        <f>-'Annual P&amp;L'!O5*Assumptions!D30</f>
        <v>-3461.7929456982179</v>
      </c>
      <c r="P111" s="24">
        <f>-'Annual P&amp;L'!P5*Assumptions!E30</f>
        <v>-3947.8647925459636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 t="s">
        <v>446</v>
      </c>
      <c r="B112" s="20">
        <f>0</f>
        <v>0</v>
      </c>
      <c r="C112" s="20">
        <f>0</f>
        <v>0</v>
      </c>
      <c r="D112" s="20">
        <f>0</f>
        <v>0</v>
      </c>
      <c r="E112" s="20">
        <f>0</f>
        <v>0</v>
      </c>
      <c r="F112" s="20">
        <f>0</f>
        <v>0</v>
      </c>
      <c r="G112" s="20">
        <f>0</f>
        <v>0</v>
      </c>
      <c r="H112" s="20">
        <f>0</f>
        <v>0</v>
      </c>
      <c r="I112" s="20">
        <f>0</f>
        <v>0</v>
      </c>
      <c r="J112" s="20">
        <f>0</f>
        <v>0</v>
      </c>
      <c r="K112" s="20">
        <f>0</f>
        <v>0</v>
      </c>
      <c r="L112" s="20">
        <f>0</f>
        <v>0</v>
      </c>
      <c r="M112" s="24">
        <f>-'Annual P&amp;L'!M5*Assumptions!B31</f>
        <v>-1089.1133408013231</v>
      </c>
      <c r="N112" s="24">
        <f>-'Annual P&amp;L'!N5*Assumptions!C31</f>
        <v>-1301.052531731068</v>
      </c>
      <c r="O112" s="24">
        <f>-'Annual P&amp;L'!O5*Assumptions!D31</f>
        <v>-1483.625548156379</v>
      </c>
      <c r="P112" s="24">
        <f>-'Annual P&amp;L'!P5*Assumptions!E31</f>
        <v>-1691.9420539482701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 t="s">
        <v>447</v>
      </c>
      <c r="B113" s="20">
        <f>'Raw Financials'!C101</f>
        <v>-307.01</v>
      </c>
      <c r="C113" s="20">
        <f>'Raw Financials'!D101</f>
        <v>0</v>
      </c>
      <c r="D113" s="20">
        <f>'Raw Financials'!E101</f>
        <v>-408.35</v>
      </c>
      <c r="E113" s="20">
        <f>'Raw Financials'!F101</f>
        <v>-148.16999999999999</v>
      </c>
      <c r="F113" s="20">
        <f>'Raw Financials'!G101</f>
        <v>-435.48</v>
      </c>
      <c r="G113" s="20">
        <f>'Raw Financials'!H101</f>
        <v>-448.47</v>
      </c>
      <c r="H113" s="20">
        <f>'Raw Financials'!I101</f>
        <v>-6154.02</v>
      </c>
      <c r="I113" s="20">
        <f>'Raw Financials'!J101</f>
        <v>-4310.57</v>
      </c>
      <c r="J113" s="20">
        <f>'Raw Financials'!K101</f>
        <v>0</v>
      </c>
      <c r="K113" s="20">
        <f>'Raw Financials'!L101</f>
        <v>0</v>
      </c>
      <c r="L113" s="20">
        <f>'Raw Financials'!M101</f>
        <v>0</v>
      </c>
      <c r="M113" s="24">
        <f>-'Nagarro Scenario'!C12</f>
        <v>0</v>
      </c>
      <c r="N113" s="24">
        <f>-'Nagarro Scenario'!D12</f>
        <v>0</v>
      </c>
      <c r="O113" s="24">
        <f>-'Nagarro Scenario'!E12</f>
        <v>0</v>
      </c>
      <c r="P113" s="24">
        <f>-'Nagarro Scenario'!F12</f>
        <v>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 t="s">
        <v>448</v>
      </c>
      <c r="B114" s="20">
        <f>0</f>
        <v>0</v>
      </c>
      <c r="C114" s="20">
        <f>0</f>
        <v>0</v>
      </c>
      <c r="D114" s="20">
        <f>0</f>
        <v>0</v>
      </c>
      <c r="E114" s="20">
        <f>0</f>
        <v>0</v>
      </c>
      <c r="F114" s="20">
        <f>0</f>
        <v>0</v>
      </c>
      <c r="G114" s="20">
        <f>0</f>
        <v>0</v>
      </c>
      <c r="H114" s="20">
        <f>0</f>
        <v>0</v>
      </c>
      <c r="I114" s="20">
        <f>0</f>
        <v>0</v>
      </c>
      <c r="J114" s="20">
        <f>0</f>
        <v>0</v>
      </c>
      <c r="K114" s="20">
        <f>0</f>
        <v>0</v>
      </c>
      <c r="L114" s="20">
        <f>0</f>
        <v>0</v>
      </c>
      <c r="M114" s="24">
        <f>-('Annual P&amp;L'!M53-'Annual P&amp;L'!L53)-('Annual P&amp;L'!M44-'Annual P&amp;L'!L44)-('Annual P&amp;L'!M56-'Annual P&amp;L'!L56)</f>
        <v>-1219.0878586809993</v>
      </c>
      <c r="N114" s="24">
        <f>-('Annual P&amp;L'!N53-'Annual P&amp;L'!M53)-('Annual P&amp;L'!N44-'Annual P&amp;L'!M44)-('Annual P&amp;L'!N56-'Annual P&amp;L'!M56)</f>
        <v>-2296.0079017389053</v>
      </c>
      <c r="O114" s="24">
        <f>-('Annual P&amp;L'!O53-'Annual P&amp;L'!N53)-('Annual P&amp;L'!O44-'Annual P&amp;L'!N44)-('Annual P&amp;L'!O56-'Annual P&amp;L'!N56)</f>
        <v>-1977.874344607535</v>
      </c>
      <c r="P114" s="24">
        <f>-('Annual P&amp;L'!P53-'Annual P&amp;L'!O53)-('Annual P&amp;L'!P44-'Annual P&amp;L'!O44)-('Annual P&amp;L'!P56-'Annual P&amp;L'!O56)</f>
        <v>-2256.7621460788187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 t="s">
        <v>449</v>
      </c>
      <c r="B115" s="20">
        <f>'Raw Financials'!C98-SUM(B111:B114)</f>
        <v>1596.4299999999998</v>
      </c>
      <c r="C115" s="20">
        <f>'Raw Financials'!D98-SUM(C111:C114)</f>
        <v>-43.610000000000127</v>
      </c>
      <c r="D115" s="20">
        <f>'Raw Financials'!E98-SUM(D111:D114)</f>
        <v>-2410.9900000000002</v>
      </c>
      <c r="E115" s="20">
        <f>'Raw Financials'!F98-SUM(E111:E114)</f>
        <v>-1731.7599999999998</v>
      </c>
      <c r="F115" s="20">
        <f>'Raw Financials'!G98-SUM(F111:F114)</f>
        <v>1045.4299999999998</v>
      </c>
      <c r="G115" s="20">
        <f>'Raw Financials'!H98-SUM(G111:G114)</f>
        <v>-3687.2199999999993</v>
      </c>
      <c r="H115" s="20">
        <f>'Raw Financials'!I98-SUM(H111:H114)</f>
        <v>234.55999999999949</v>
      </c>
      <c r="I115" s="20">
        <f>'Raw Financials'!J98-SUM(I111:I114)</f>
        <v>4430.4599999999991</v>
      </c>
      <c r="J115" s="20">
        <f>'Raw Financials'!K98-SUM(J111:J114)</f>
        <v>-2040.5699999999997</v>
      </c>
      <c r="K115" s="20">
        <f>'Raw Financials'!L98-SUM(K111:K114)</f>
        <v>-1977.4300000000003</v>
      </c>
      <c r="L115" s="20">
        <f>'Raw Financials'!M98-SUM(L111:L114)</f>
        <v>-4013.22</v>
      </c>
      <c r="M115" s="24">
        <f>0</f>
        <v>0</v>
      </c>
      <c r="N115" s="24">
        <f>0</f>
        <v>0</v>
      </c>
      <c r="O115" s="24">
        <f>0</f>
        <v>0</v>
      </c>
      <c r="P115" s="24">
        <f>0</f>
        <v>0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27" t="s">
        <v>378</v>
      </c>
      <c r="B116" s="26">
        <f>SUM(B111:B115)</f>
        <v>-369.93000000000006</v>
      </c>
      <c r="C116" s="26">
        <f>SUM(C111:C115)</f>
        <v>-2219.35</v>
      </c>
      <c r="D116" s="26">
        <f>SUM(D111:D115)</f>
        <v>-3473.9</v>
      </c>
      <c r="E116" s="26">
        <f>SUM(E111:E115)</f>
        <v>-2258.9899999999998</v>
      </c>
      <c r="F116" s="26">
        <f>SUM(F111:F115)</f>
        <v>-148.44000000000005</v>
      </c>
      <c r="G116" s="26">
        <f>SUM(G111:G115)</f>
        <v>-5416.73</v>
      </c>
      <c r="H116" s="26">
        <f>SUM(H111:H115)</f>
        <v>-9773.43</v>
      </c>
      <c r="I116" s="26">
        <f>SUM(I111:I115)</f>
        <v>-4213.1000000000004</v>
      </c>
      <c r="J116" s="26">
        <f>SUM(J111:J115)</f>
        <v>-5620.9</v>
      </c>
      <c r="K116" s="26">
        <f>SUM(K111:K115)</f>
        <v>-4344.34</v>
      </c>
      <c r="L116" s="26">
        <f>SUM(L111:L115)</f>
        <v>-6099.03</v>
      </c>
      <c r="M116" s="28">
        <f>SUM(M111:M115)</f>
        <v>-5030.9845514856306</v>
      </c>
      <c r="N116" s="28">
        <f>SUM(N111:N115)</f>
        <v>-6632.849674175799</v>
      </c>
      <c r="O116" s="28">
        <f>SUM(O111:O115)</f>
        <v>-6923.2928384621318</v>
      </c>
      <c r="P116" s="28">
        <f>SUM(P111:P115)</f>
        <v>-7896.5689925730521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6"/>
      <c r="N117" s="16"/>
      <c r="O117" s="16"/>
      <c r="P117" s="16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 t="s">
        <v>450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4">
        <f>('Annual P&amp;L'!M68+'Annual P&amp;L'!M77)-('Annual P&amp;L'!L68+'Annual P&amp;L'!L77)</f>
        <v>0</v>
      </c>
      <c r="N118" s="24">
        <f>('Annual P&amp;L'!N68+'Annual P&amp;L'!N77)-('Annual P&amp;L'!M68+'Annual P&amp;L'!M77)</f>
        <v>0</v>
      </c>
      <c r="O118" s="24">
        <f>('Annual P&amp;L'!O68+'Annual P&amp;L'!O77)-('Annual P&amp;L'!N68+'Annual P&amp;L'!N77)</f>
        <v>0</v>
      </c>
      <c r="P118" s="24">
        <f>('Annual P&amp;L'!P68+'Annual P&amp;L'!P77)-('Annual P&amp;L'!O68+'Annual P&amp;L'!O77)</f>
        <v>0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 t="s">
        <v>451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4">
        <f>-('Annual P&amp;L'!L69+'Annual P&amp;L'!L78)*Assumptions!B35</f>
        <v>-1432.3439999999998</v>
      </c>
      <c r="N119" s="24">
        <f>-('Annual P&amp;L'!M69+'Annual P&amp;L'!M78)*Assumptions!C35</f>
        <v>-1547.1974704006614</v>
      </c>
      <c r="O119" s="24">
        <f>-('Annual P&amp;L'!N69+'Annual P&amp;L'!N78)*Assumptions!D35</f>
        <v>-1733.5644951459969</v>
      </c>
      <c r="P119" s="24">
        <f>-('Annual P&amp;L'!O69+'Annual P&amp;L'!O78)*Assumptions!E35</f>
        <v>-1955.307920680387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 t="s">
        <v>452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4">
        <f>'Annual P&amp;L'!M5*Assumptions!B34</f>
        <v>1815.1889013355385</v>
      </c>
      <c r="N120" s="24">
        <f>'Annual P&amp;L'!N5*Assumptions!C34</f>
        <v>2168.4208862184469</v>
      </c>
      <c r="O120" s="24">
        <f>'Annual P&amp;L'!O5*Assumptions!D34</f>
        <v>2472.7092469272984</v>
      </c>
      <c r="P120" s="24">
        <f>'Annual P&amp;L'!P5*Assumptions!E34</f>
        <v>2819.9034232471167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 t="s">
        <v>453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4">
        <f>-'Annual P&amp;L'!M19</f>
        <v>-1089.1133408013231</v>
      </c>
      <c r="N121" s="24">
        <f>-'Annual P&amp;L'!N19</f>
        <v>-1301.052531731068</v>
      </c>
      <c r="O121" s="24">
        <f>-'Annual P&amp;L'!O19</f>
        <v>-1236.3546234636492</v>
      </c>
      <c r="P121" s="24">
        <f>-'Annual P&amp;L'!P19</f>
        <v>-1409.9517116235584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 t="s">
        <v>454</v>
      </c>
      <c r="B122" s="20">
        <f>'Raw Financials'!C102</f>
        <v>-1039.51</v>
      </c>
      <c r="C122" s="20">
        <f>'Raw Financials'!D102</f>
        <v>-480.01</v>
      </c>
      <c r="D122" s="20">
        <f>'Raw Financials'!E102</f>
        <v>-799.79</v>
      </c>
      <c r="E122" s="20">
        <f>'Raw Financials'!F102</f>
        <v>-879.14</v>
      </c>
      <c r="F122" s="20">
        <f>'Raw Financials'!G102</f>
        <v>-1146.3800000000001</v>
      </c>
      <c r="G122" s="20">
        <f>'Raw Financials'!H102</f>
        <v>-1069.95</v>
      </c>
      <c r="H122" s="20">
        <f>'Raw Financials'!I102</f>
        <v>-1987.05</v>
      </c>
      <c r="I122" s="20">
        <f>'Raw Financials'!J102</f>
        <v>-2980.58</v>
      </c>
      <c r="J122" s="20">
        <f>'Raw Financials'!K102</f>
        <v>-4083.62</v>
      </c>
      <c r="K122" s="20">
        <f>'Raw Financials'!L102</f>
        <v>-4600.0600000000004</v>
      </c>
      <c r="L122" s="20">
        <f>'Raw Financials'!M102</f>
        <v>-5790.41</v>
      </c>
      <c r="M122" s="24">
        <f>-'Annual P&amp;L'!M31</f>
        <v>-8101.0428515484009</v>
      </c>
      <c r="N122" s="24">
        <f>-'Annual P&amp;L'!N31</f>
        <v>-10440.534567173439</v>
      </c>
      <c r="O122" s="24">
        <f>-'Annual P&amp;L'!O31</f>
        <v>-12806.210644021416</v>
      </c>
      <c r="P122" s="24">
        <f>-'Annual P&amp;L'!P31</f>
        <v>-15496.751063420295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 t="s">
        <v>455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4">
        <f>0</f>
        <v>0</v>
      </c>
      <c r="N123" s="24">
        <f>0</f>
        <v>0</v>
      </c>
      <c r="O123" s="24">
        <f>0</f>
        <v>0</v>
      </c>
      <c r="P123" s="24">
        <f>0</f>
        <v>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 t="s">
        <v>456</v>
      </c>
      <c r="B124" s="20">
        <f>'Raw Financials'!C99-SUM(B118:B123)</f>
        <v>-226.77999999999997</v>
      </c>
      <c r="C124" s="20">
        <f>'Raw Financials'!D99-SUM(C118:C123)</f>
        <v>-104.07000000000005</v>
      </c>
      <c r="D124" s="20">
        <f>'Raw Financials'!E99-SUM(D118:D123)</f>
        <v>-156.35000000000002</v>
      </c>
      <c r="E124" s="20">
        <f>'Raw Financials'!F99-SUM(E118:E123)</f>
        <v>-717.06000000000006</v>
      </c>
      <c r="F124" s="20">
        <f>'Raw Financials'!G99-SUM(F118:F123)</f>
        <v>-1856.94</v>
      </c>
      <c r="G124" s="20">
        <f>'Raw Financials'!H99-SUM(G118:G123)</f>
        <v>-372.65999999999985</v>
      </c>
      <c r="H124" s="20">
        <f>'Raw Financials'!I99-SUM(H118:H123)</f>
        <v>3809.94</v>
      </c>
      <c r="I124" s="20">
        <f>'Raw Financials'!J99-SUM(I118:I123)</f>
        <v>-1058.8699999999999</v>
      </c>
      <c r="J124" s="20">
        <f>'Raw Financials'!K99-SUM(J118:J123)</f>
        <v>-1735.21</v>
      </c>
      <c r="K124" s="20">
        <f>'Raw Financials'!L99-SUM(K118:K123)</f>
        <v>-1681.9299999999994</v>
      </c>
      <c r="L124" s="20">
        <f>'Raw Financials'!M99-SUM(L118:L123)</f>
        <v>-1691.3500000000004</v>
      </c>
      <c r="M124" s="24">
        <f>0</f>
        <v>0</v>
      </c>
      <c r="N124" s="24">
        <f>0</f>
        <v>0</v>
      </c>
      <c r="O124" s="24">
        <f>0</f>
        <v>0</v>
      </c>
      <c r="P124" s="24">
        <f>0</f>
        <v>0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27" t="s">
        <v>380</v>
      </c>
      <c r="B125" s="26">
        <f>SUM(B118:B124)</f>
        <v>-1266.29</v>
      </c>
      <c r="C125" s="26">
        <f>SUM(C118:C124)</f>
        <v>-584.08000000000004</v>
      </c>
      <c r="D125" s="26">
        <f>SUM(D118:D124)</f>
        <v>-956.14</v>
      </c>
      <c r="E125" s="26">
        <f>SUM(E118:E124)</f>
        <v>-1596.2</v>
      </c>
      <c r="F125" s="26">
        <f>SUM(F118:F124)</f>
        <v>-3003.32</v>
      </c>
      <c r="G125" s="26">
        <f>SUM(G118:G124)</f>
        <v>-1442.61</v>
      </c>
      <c r="H125" s="26">
        <f>SUM(H118:H124)</f>
        <v>1822.89</v>
      </c>
      <c r="I125" s="26">
        <f>SUM(I118:I124)</f>
        <v>-4039.45</v>
      </c>
      <c r="J125" s="26">
        <f>SUM(J118:J124)</f>
        <v>-5818.83</v>
      </c>
      <c r="K125" s="26">
        <f>SUM(K118:K124)</f>
        <v>-6281.99</v>
      </c>
      <c r="L125" s="26">
        <f>SUM(L118:L124)</f>
        <v>-7481.76</v>
      </c>
      <c r="M125" s="28">
        <f>SUM(M118:M119,M121:M124)</f>
        <v>-10622.500192349724</v>
      </c>
      <c r="N125" s="28">
        <f>SUM(N118:N119,N121:N124)</f>
        <v>-13288.784569305168</v>
      </c>
      <c r="O125" s="28">
        <f>SUM(O118:O119,O121:O124)</f>
        <v>-15776.129762631062</v>
      </c>
      <c r="P125" s="28">
        <f>SUM(P118:P119,P121:P124)</f>
        <v>-18862.010695724239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6"/>
      <c r="N126" s="16"/>
      <c r="O126" s="16"/>
      <c r="P126" s="16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27" t="s">
        <v>392</v>
      </c>
      <c r="B127" s="26">
        <f>'Raw Financials'!C105</f>
        <v>904.38000000000011</v>
      </c>
      <c r="C127" s="26">
        <f>'Raw Financials'!D105</f>
        <v>60.669999999999959</v>
      </c>
      <c r="D127" s="26">
        <f>'Raw Financials'!E105</f>
        <v>-218.10999999999979</v>
      </c>
      <c r="E127" s="26">
        <f>'Raw Financials'!F105</f>
        <v>467.9500000000005</v>
      </c>
      <c r="F127" s="26">
        <f>'Raw Financials'!G105</f>
        <v>76.419999999999618</v>
      </c>
      <c r="G127" s="26">
        <f>'Raw Financials'!H105</f>
        <v>499.91000000000054</v>
      </c>
      <c r="H127" s="26">
        <f>'Raw Financials'!I105</f>
        <v>499.32000000000039</v>
      </c>
      <c r="I127" s="26">
        <f>'Raw Financials'!J105</f>
        <v>1305.0700000000006</v>
      </c>
      <c r="J127" s="26">
        <f>'Raw Financials'!K105</f>
        <v>1581.3600000000006</v>
      </c>
      <c r="K127" s="26">
        <f>'Raw Financials'!L105</f>
        <v>942.82999999999993</v>
      </c>
      <c r="L127" s="26">
        <f>'Raw Financials'!M105</f>
        <v>4090.51</v>
      </c>
      <c r="M127" s="28">
        <f>M108+M116+M125</f>
        <v>3389.5352233296853</v>
      </c>
      <c r="N127" s="28">
        <f>N108+N116+N125</f>
        <v>12096.056246475968</v>
      </c>
      <c r="O127" s="28">
        <f>O108+O116+O125</f>
        <v>16663.288968864705</v>
      </c>
      <c r="P127" s="28">
        <f>P108+P116+P125</f>
        <v>19662.371243142326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 t="s">
        <v>394</v>
      </c>
      <c r="B128" s="20">
        <f>'Raw Financials'!C106</f>
        <v>-491.11</v>
      </c>
      <c r="C128" s="20">
        <f>'Raw Financials'!D106</f>
        <v>-0.68999999999994088</v>
      </c>
      <c r="D128" s="20">
        <f>'Raw Financials'!E106</f>
        <v>100.4499999999997</v>
      </c>
      <c r="E128" s="20">
        <f>'Raw Financials'!F106</f>
        <v>-72.220000000000482</v>
      </c>
      <c r="F128" s="20">
        <f>'Raw Financials'!G106</f>
        <v>84.120000000000346</v>
      </c>
      <c r="G128" s="20">
        <f>'Raw Financials'!H106</f>
        <v>19.399999999999636</v>
      </c>
      <c r="H128" s="20">
        <f>'Raw Financials'!I106</f>
        <v>59.369999999999209</v>
      </c>
      <c r="I128" s="20">
        <f>'Raw Financials'!J106</f>
        <v>387.05999999999949</v>
      </c>
      <c r="J128" s="20">
        <f>'Raw Financials'!K106</f>
        <v>373.66999999999916</v>
      </c>
      <c r="K128" s="20">
        <f>'Raw Financials'!L106</f>
        <v>-823.91999999999916</v>
      </c>
      <c r="L128" s="20">
        <f>'Raw Financials'!M106</f>
        <v>-85.420000000000982</v>
      </c>
      <c r="M128" s="24">
        <f>0</f>
        <v>0</v>
      </c>
      <c r="N128" s="24">
        <f>0</f>
        <v>0</v>
      </c>
      <c r="O128" s="24">
        <f>0</f>
        <v>0</v>
      </c>
      <c r="P128" s="24">
        <f>0</f>
        <v>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 t="s">
        <v>396</v>
      </c>
      <c r="B129" s="20">
        <f>'Raw Financials'!C107</f>
        <v>988.13</v>
      </c>
      <c r="C129" s="20">
        <f>'Raw Financials'!D107</f>
        <v>1401.4</v>
      </c>
      <c r="D129" s="20">
        <f>'Raw Financials'!E107</f>
        <v>1461.38</v>
      </c>
      <c r="E129" s="20">
        <f>'Raw Financials'!F107</f>
        <v>1343.72</v>
      </c>
      <c r="F129" s="20">
        <f>'Raw Financials'!G107</f>
        <v>1739.45</v>
      </c>
      <c r="G129" s="20">
        <f>'Raw Financials'!H107</f>
        <v>1899.99</v>
      </c>
      <c r="H129" s="20">
        <f>'Raw Financials'!I107</f>
        <v>2419.3000000000002</v>
      </c>
      <c r="I129" s="20">
        <f>'Raw Financials'!J107</f>
        <v>2977.99</v>
      </c>
      <c r="J129" s="20">
        <f>'Raw Financials'!K107</f>
        <v>4670.12</v>
      </c>
      <c r="K129" s="20">
        <f>'Raw Financials'!L107</f>
        <v>6625.15</v>
      </c>
      <c r="L129" s="20">
        <f>'Raw Financials'!M107</f>
        <v>6744.06</v>
      </c>
      <c r="M129" s="24">
        <f>'Annual P&amp;L'!L55</f>
        <v>10749.15</v>
      </c>
      <c r="N129" s="24">
        <f>'Annual P&amp;L'!M55</f>
        <v>14138.685223329685</v>
      </c>
      <c r="O129" s="24">
        <f>'Annual P&amp;L'!N55</f>
        <v>26234.741469805653</v>
      </c>
      <c r="P129" s="24">
        <f>'Annual P&amp;L'!O55</f>
        <v>42898.030438670357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27" t="s">
        <v>32</v>
      </c>
      <c r="B130" s="26">
        <f>'Annual P&amp;L'!B55</f>
        <v>1401.4</v>
      </c>
      <c r="C130" s="26">
        <f>'Annual P&amp;L'!C55</f>
        <v>1461.38</v>
      </c>
      <c r="D130" s="26">
        <f>'Annual P&amp;L'!D55</f>
        <v>1343.72</v>
      </c>
      <c r="E130" s="26">
        <f>'Annual P&amp;L'!E55</f>
        <v>1739.45</v>
      </c>
      <c r="F130" s="26">
        <f>'Annual P&amp;L'!F55</f>
        <v>1899.99</v>
      </c>
      <c r="G130" s="26">
        <f>'Annual P&amp;L'!G55</f>
        <v>2419.3000000000002</v>
      </c>
      <c r="H130" s="26">
        <f>'Annual P&amp;L'!H55</f>
        <v>2977.99</v>
      </c>
      <c r="I130" s="26">
        <f>'Annual P&amp;L'!I55</f>
        <v>4670.12</v>
      </c>
      <c r="J130" s="26">
        <f>'Annual P&amp;L'!J55</f>
        <v>6625.15</v>
      </c>
      <c r="K130" s="26">
        <f>'Annual P&amp;L'!K55</f>
        <v>6744.06</v>
      </c>
      <c r="L130" s="26">
        <f>'Annual P&amp;L'!L55</f>
        <v>10749.15</v>
      </c>
      <c r="M130" s="28">
        <f>M129+M127+M128</f>
        <v>14138.685223329685</v>
      </c>
      <c r="N130" s="28">
        <f>N129+N127+N128</f>
        <v>26234.741469805653</v>
      </c>
      <c r="O130" s="28">
        <f>O129+O127+O128</f>
        <v>42898.030438670357</v>
      </c>
      <c r="P130" s="28">
        <f>P129+P127+P128</f>
        <v>62560.401681812684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 t="s">
        <v>457</v>
      </c>
      <c r="B131" s="20">
        <f>'Annual P&amp;L'!B55</f>
        <v>1401.4</v>
      </c>
      <c r="C131" s="20">
        <f>'Annual P&amp;L'!C55</f>
        <v>1461.38</v>
      </c>
      <c r="D131" s="20">
        <f>'Annual P&amp;L'!D55</f>
        <v>1343.72</v>
      </c>
      <c r="E131" s="20">
        <f>'Annual P&amp;L'!E55</f>
        <v>1739.45</v>
      </c>
      <c r="F131" s="20">
        <f>'Annual P&amp;L'!F55</f>
        <v>1899.99</v>
      </c>
      <c r="G131" s="20">
        <f>'Annual P&amp;L'!G55</f>
        <v>2419.3000000000002</v>
      </c>
      <c r="H131" s="20">
        <f>'Annual P&amp;L'!H55</f>
        <v>2977.99</v>
      </c>
      <c r="I131" s="20">
        <f>'Annual P&amp;L'!I55</f>
        <v>4670.12</v>
      </c>
      <c r="J131" s="20">
        <f>'Annual P&amp;L'!J55</f>
        <v>6625.15</v>
      </c>
      <c r="K131" s="20">
        <f>'Annual P&amp;L'!K55</f>
        <v>6744.06</v>
      </c>
      <c r="L131" s="20">
        <f>'Annual P&amp;L'!L55</f>
        <v>10749.15</v>
      </c>
      <c r="M131" s="24">
        <f>'Annual P&amp;L'!M55</f>
        <v>14138.685223329685</v>
      </c>
      <c r="N131" s="24">
        <f>'Annual P&amp;L'!N55</f>
        <v>26234.741469805653</v>
      </c>
      <c r="O131" s="24">
        <f>'Annual P&amp;L'!O55</f>
        <v>42898.030438670357</v>
      </c>
      <c r="P131" s="24">
        <f>'Annual P&amp;L'!P55</f>
        <v>62560.401681812684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27" t="s">
        <v>458</v>
      </c>
      <c r="B132" s="26">
        <f>B130-B131</f>
        <v>0</v>
      </c>
      <c r="C132" s="26">
        <f>C130-C131</f>
        <v>0</v>
      </c>
      <c r="D132" s="26">
        <f>D130-D131</f>
        <v>0</v>
      </c>
      <c r="E132" s="26">
        <f>E130-E131</f>
        <v>0</v>
      </c>
      <c r="F132" s="26">
        <f>F130-F131</f>
        <v>0</v>
      </c>
      <c r="G132" s="26">
        <f>G130-G131</f>
        <v>0</v>
      </c>
      <c r="H132" s="26">
        <f>H130-H131</f>
        <v>0</v>
      </c>
      <c r="I132" s="26">
        <f>I130-I131</f>
        <v>0</v>
      </c>
      <c r="J132" s="26">
        <f>J130-J131</f>
        <v>0</v>
      </c>
      <c r="K132" s="26">
        <f>K130-K131</f>
        <v>0</v>
      </c>
      <c r="L132" s="26">
        <f>L130-L131</f>
        <v>0</v>
      </c>
      <c r="M132" s="28">
        <f>M130-M131</f>
        <v>0</v>
      </c>
      <c r="N132" s="28">
        <f>N130-N131</f>
        <v>0</v>
      </c>
      <c r="O132" s="28">
        <f>O130-O131</f>
        <v>0</v>
      </c>
      <c r="P132" s="28">
        <f>P130-P131</f>
        <v>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27" t="s">
        <v>31</v>
      </c>
      <c r="B133" s="26">
        <f>B108+B111+B112</f>
        <v>881.25</v>
      </c>
      <c r="C133" s="26">
        <f>C108+C111+C112</f>
        <v>688.36000000000013</v>
      </c>
      <c r="D133" s="26">
        <f>D108+D111+D112</f>
        <v>3557.3700000000003</v>
      </c>
      <c r="E133" s="26">
        <f>E108+E111+E112</f>
        <v>3944.0800000000004</v>
      </c>
      <c r="F133" s="26">
        <f>F108+F111+F112</f>
        <v>2469.79</v>
      </c>
      <c r="G133" s="26">
        <f>G108+G111+G112</f>
        <v>6078.21</v>
      </c>
      <c r="H133" s="26">
        <f>H108+H111+H112</f>
        <v>4595.8900000000012</v>
      </c>
      <c r="I133" s="26">
        <f>I108+I111+I112</f>
        <v>5224.630000000001</v>
      </c>
      <c r="J133" s="26">
        <f>J108+J111+J112</f>
        <v>9440.76</v>
      </c>
      <c r="K133" s="26">
        <f>K108+K111+K112</f>
        <v>9202.25</v>
      </c>
      <c r="L133" s="26">
        <f>L108+L111+L112</f>
        <v>15585.49</v>
      </c>
      <c r="M133" s="28">
        <f>M108+M111+M112</f>
        <v>15231.123274360411</v>
      </c>
      <c r="N133" s="28">
        <f>N108+N111+N112</f>
        <v>27680.848717520043</v>
      </c>
      <c r="O133" s="28">
        <f>O108+O111+O112</f>
        <v>34417.293076103306</v>
      </c>
      <c r="P133" s="28">
        <f>P108+P111+P112</f>
        <v>40781.144084945387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 t="s">
        <v>459</v>
      </c>
      <c r="B134" s="30">
        <f>IFERROR(B133/B94,"")</f>
        <v>0.2963569533328177</v>
      </c>
      <c r="C134" s="30">
        <f>IFERROR(C133/C94,"")</f>
        <v>0.22833828139253318</v>
      </c>
      <c r="D134" s="30">
        <f>IFERROR(D133/D94,"")</f>
        <v>1.1010529638983806</v>
      </c>
      <c r="E134" s="30">
        <f>IFERROR(E133/E94,"")</f>
        <v>1.1215000042652534</v>
      </c>
      <c r="F134" s="30">
        <f>IFERROR(F133/F94,"")</f>
        <v>0.72579190041405983</v>
      </c>
      <c r="G134" s="30">
        <f>IFERROR(G133/G94,"")</f>
        <v>1.3486843127117647</v>
      </c>
      <c r="H134" s="30">
        <f>IFERROR(H133/H94,"")</f>
        <v>0.66569860918384804</v>
      </c>
      <c r="I134" s="30">
        <f>IFERROR(I133/I94,"")</f>
        <v>0.56722068238494927</v>
      </c>
      <c r="J134" s="30">
        <f>IFERROR(J133/J94,"")</f>
        <v>0.86335964356359585</v>
      </c>
      <c r="K134" s="30">
        <f>IFERROR(K133/K94,"")</f>
        <v>0.65722799020969724</v>
      </c>
      <c r="L134" s="30">
        <f>IFERROR(L133/L94,"")</f>
        <v>0.83562934288410395</v>
      </c>
      <c r="M134" s="31">
        <f>IFERROR(M133/M94,"")</f>
        <v>0.67685166950100872</v>
      </c>
      <c r="N134" s="31">
        <f>IFERROR(N133/N94,"")</f>
        <v>0.98097601799858836</v>
      </c>
      <c r="O134" s="31">
        <f>IFERROR(O133/O94,"")</f>
        <v>1.021267862326237</v>
      </c>
      <c r="P134" s="31">
        <f>IFERROR(P133/P94,"")</f>
        <v>1.0263213320030178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6"/>
      <c r="N135" s="16"/>
      <c r="O135" s="16"/>
      <c r="P135" s="16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6"/>
      <c r="N136" s="16"/>
      <c r="O136" s="16"/>
      <c r="P136" s="16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6"/>
      <c r="N137" s="16"/>
      <c r="O137" s="16"/>
      <c r="P137" s="16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6"/>
      <c r="N138" s="16"/>
      <c r="O138" s="16"/>
      <c r="P138" s="16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6"/>
      <c r="N139" s="16"/>
      <c r="O139" s="16"/>
      <c r="P139" s="16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6"/>
      <c r="N140" s="16"/>
      <c r="O140" s="16"/>
      <c r="P140" s="16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6"/>
      <c r="N141" s="16"/>
      <c r="O141" s="16"/>
      <c r="P141" s="16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6"/>
      <c r="N142" s="16"/>
      <c r="O142" s="16"/>
      <c r="P142" s="16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6"/>
      <c r="N143" s="16"/>
      <c r="O143" s="16"/>
      <c r="P143" s="16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6"/>
      <c r="N144" s="16"/>
      <c r="O144" s="16"/>
      <c r="P144" s="16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6"/>
      <c r="N145" s="16"/>
      <c r="O145" s="16"/>
      <c r="P145" s="16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6"/>
      <c r="N146" s="16"/>
      <c r="O146" s="16"/>
      <c r="P146" s="16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6"/>
      <c r="N147" s="16"/>
      <c r="O147" s="16"/>
      <c r="P147" s="16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6"/>
      <c r="N148" s="16"/>
      <c r="O148" s="16"/>
      <c r="P148" s="16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6"/>
      <c r="N149" s="16"/>
      <c r="O149" s="16"/>
      <c r="P149" s="16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6"/>
      <c r="N150" s="16"/>
      <c r="O150" s="16"/>
      <c r="P150" s="16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6"/>
      <c r="N151" s="16"/>
      <c r="O151" s="16"/>
      <c r="P151" s="16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6"/>
      <c r="N152" s="16"/>
      <c r="O152" s="16"/>
      <c r="P152" s="16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6"/>
      <c r="N153" s="16"/>
      <c r="O153" s="16"/>
      <c r="P153" s="16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6"/>
      <c r="N154" s="16"/>
      <c r="O154" s="16"/>
      <c r="P154" s="16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6"/>
      <c r="N155" s="16"/>
      <c r="O155" s="16"/>
      <c r="P155" s="16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6"/>
      <c r="N156" s="16"/>
      <c r="O156" s="16"/>
      <c r="P156" s="16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6"/>
      <c r="N157" s="16"/>
      <c r="O157" s="16"/>
      <c r="P157" s="16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6"/>
      <c r="N158" s="16"/>
      <c r="O158" s="16"/>
      <c r="P158" s="16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6"/>
      <c r="N159" s="16"/>
      <c r="O159" s="16"/>
      <c r="P159" s="16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6"/>
      <c r="N160" s="16"/>
      <c r="O160" s="16"/>
      <c r="P160" s="16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6"/>
      <c r="N161" s="16"/>
      <c r="O161" s="16"/>
      <c r="P161" s="16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6"/>
      <c r="N162" s="16"/>
      <c r="O162" s="16"/>
      <c r="P162" s="16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6"/>
      <c r="N163" s="16"/>
      <c r="O163" s="16"/>
      <c r="P163" s="16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6"/>
      <c r="N164" s="16"/>
      <c r="O164" s="16"/>
      <c r="P164" s="16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6"/>
      <c r="N165" s="16"/>
      <c r="O165" s="16"/>
      <c r="P165" s="16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6"/>
      <c r="N166" s="16"/>
      <c r="O166" s="16"/>
      <c r="P166" s="16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6"/>
      <c r="N167" s="16"/>
      <c r="O167" s="16"/>
      <c r="P167" s="16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6"/>
      <c r="N168" s="16"/>
      <c r="O168" s="16"/>
      <c r="P168" s="16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6"/>
      <c r="N169" s="16"/>
      <c r="O169" s="16"/>
      <c r="P169" s="16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6"/>
      <c r="N170" s="16"/>
      <c r="O170" s="16"/>
      <c r="P170" s="16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6"/>
      <c r="N171" s="16"/>
      <c r="O171" s="16"/>
      <c r="P171" s="16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6"/>
      <c r="N172" s="16"/>
      <c r="O172" s="16"/>
      <c r="P172" s="16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6"/>
      <c r="N173" s="16"/>
      <c r="O173" s="16"/>
      <c r="P173" s="16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6"/>
      <c r="N174" s="16"/>
      <c r="O174" s="16"/>
      <c r="P174" s="16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6"/>
      <c r="N175" s="16"/>
      <c r="O175" s="16"/>
      <c r="P175" s="16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6"/>
      <c r="N176" s="16"/>
      <c r="O176" s="16"/>
      <c r="P176" s="16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6"/>
      <c r="N177" s="16"/>
      <c r="O177" s="16"/>
      <c r="P177" s="16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6"/>
      <c r="N178" s="16"/>
      <c r="O178" s="16"/>
      <c r="P178" s="16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6"/>
      <c r="N179" s="16"/>
      <c r="O179" s="16"/>
      <c r="P179" s="16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6"/>
      <c r="N180" s="16"/>
      <c r="O180" s="16"/>
      <c r="P180" s="16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6"/>
      <c r="N181" s="16"/>
      <c r="O181" s="16"/>
      <c r="P181" s="16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6"/>
      <c r="N182" s="16"/>
      <c r="O182" s="16"/>
      <c r="P182" s="16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6"/>
      <c r="N183" s="16"/>
      <c r="O183" s="16"/>
      <c r="P183" s="16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6"/>
      <c r="N184" s="16"/>
      <c r="O184" s="16"/>
      <c r="P184" s="16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6"/>
      <c r="N185" s="16"/>
      <c r="O185" s="16"/>
      <c r="P185" s="16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6"/>
      <c r="N186" s="16"/>
      <c r="O186" s="16"/>
      <c r="P186" s="16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6"/>
      <c r="N187" s="16"/>
      <c r="O187" s="16"/>
      <c r="P187" s="16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6"/>
      <c r="N188" s="16"/>
      <c r="O188" s="16"/>
      <c r="P188" s="16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6"/>
      <c r="N189" s="16"/>
      <c r="O189" s="16"/>
      <c r="P189" s="16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6"/>
      <c r="N190" s="16"/>
      <c r="O190" s="16"/>
      <c r="P190" s="16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6"/>
      <c r="N191" s="16"/>
      <c r="O191" s="16"/>
      <c r="P191" s="16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6"/>
      <c r="N192" s="16"/>
      <c r="O192" s="16"/>
      <c r="P192" s="16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6"/>
      <c r="N193" s="16"/>
      <c r="O193" s="16"/>
      <c r="P193" s="16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6"/>
      <c r="N194" s="16"/>
      <c r="O194" s="16"/>
      <c r="P194" s="16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6"/>
      <c r="N195" s="16"/>
      <c r="O195" s="16"/>
      <c r="P195" s="16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6"/>
      <c r="N196" s="16"/>
      <c r="O196" s="16"/>
      <c r="P196" s="16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6"/>
      <c r="N197" s="16"/>
      <c r="O197" s="16"/>
      <c r="P197" s="16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6"/>
      <c r="N198" s="16"/>
      <c r="O198" s="16"/>
      <c r="P198" s="16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6"/>
      <c r="N199" s="16"/>
      <c r="O199" s="16"/>
      <c r="P199" s="16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6"/>
      <c r="N200" s="16"/>
      <c r="O200" s="16"/>
      <c r="P200" s="16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6"/>
      <c r="N201" s="16"/>
      <c r="O201" s="16"/>
      <c r="P201" s="16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6"/>
      <c r="N202" s="16"/>
      <c r="O202" s="16"/>
      <c r="P202" s="16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6"/>
      <c r="N203" s="16"/>
      <c r="O203" s="16"/>
      <c r="P203" s="16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6"/>
      <c r="N204" s="16"/>
      <c r="O204" s="16"/>
      <c r="P204" s="16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6"/>
      <c r="N205" s="16"/>
      <c r="O205" s="16"/>
      <c r="P205" s="16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6"/>
      <c r="N206" s="16"/>
      <c r="O206" s="16"/>
      <c r="P206" s="16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6"/>
      <c r="N207" s="16"/>
      <c r="O207" s="16"/>
      <c r="P207" s="16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6"/>
      <c r="N208" s="16"/>
      <c r="O208" s="16"/>
      <c r="P208" s="16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6"/>
      <c r="N209" s="16"/>
      <c r="O209" s="16"/>
      <c r="P209" s="16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6"/>
      <c r="N210" s="16"/>
      <c r="O210" s="16"/>
      <c r="P210" s="16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6"/>
      <c r="N211" s="16"/>
      <c r="O211" s="16"/>
      <c r="P211" s="16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6"/>
      <c r="N212" s="16"/>
      <c r="O212" s="16"/>
      <c r="P212" s="16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6"/>
      <c r="N213" s="16"/>
      <c r="O213" s="16"/>
      <c r="P213" s="16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6"/>
      <c r="N214" s="16"/>
      <c r="O214" s="16"/>
      <c r="P214" s="16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6"/>
      <c r="N215" s="16"/>
      <c r="O215" s="16"/>
      <c r="P215" s="16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6"/>
      <c r="N216" s="16"/>
      <c r="O216" s="16"/>
      <c r="P216" s="16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6"/>
      <c r="N217" s="16"/>
      <c r="O217" s="16"/>
      <c r="P217" s="16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6"/>
      <c r="N218" s="16"/>
      <c r="O218" s="16"/>
      <c r="P218" s="16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6"/>
      <c r="N219" s="16"/>
      <c r="O219" s="16"/>
      <c r="P219" s="16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6"/>
      <c r="N220" s="16"/>
      <c r="O220" s="16"/>
      <c r="P220" s="16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6"/>
      <c r="N221" s="16"/>
      <c r="O221" s="16"/>
      <c r="P221" s="16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6"/>
      <c r="N222" s="16"/>
      <c r="O222" s="16"/>
      <c r="P222" s="16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6"/>
      <c r="N223" s="16"/>
      <c r="O223" s="16"/>
      <c r="P223" s="16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6"/>
      <c r="N224" s="16"/>
      <c r="O224" s="16"/>
      <c r="P224" s="16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6"/>
      <c r="N225" s="16"/>
      <c r="O225" s="16"/>
      <c r="P225" s="16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6"/>
      <c r="N226" s="16"/>
      <c r="O226" s="16"/>
      <c r="P226" s="16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6"/>
      <c r="N227" s="16"/>
      <c r="O227" s="16"/>
      <c r="P227" s="16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6"/>
      <c r="N228" s="16"/>
      <c r="O228" s="16"/>
      <c r="P228" s="16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</sheetData>
  <mergeCells count="3">
    <mergeCell ref="A1:P1"/>
    <mergeCell ref="A35:P35"/>
    <mergeCell ref="A90:P9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260"/>
  <sheetViews>
    <sheetView showGridLines="0" topLeftCell="B5" workbookViewId="0">
      <selection activeCell="M8" sqref="M8"/>
    </sheetView>
  </sheetViews>
  <sheetFormatPr defaultRowHeight="13.8"/>
  <cols>
    <col min="1" max="1" width="43" customWidth="1"/>
    <col min="2" max="16" width="11.5" customWidth="1"/>
  </cols>
  <sheetData>
    <row r="1" spans="1:46" ht="25.95" customHeight="1">
      <c r="A1" s="37" t="s">
        <v>460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9.95" customHeight="1">
      <c r="A2" s="38" t="s">
        <v>461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9.95" customHeight="1">
      <c r="A5" s="3" t="s">
        <v>0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15" t="s">
        <v>13</v>
      </c>
      <c r="N5" s="15" t="s">
        <v>14</v>
      </c>
      <c r="O5" s="15" t="s">
        <v>15</v>
      </c>
      <c r="P5" s="15" t="s">
        <v>16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6"/>
      <c r="N6" s="16"/>
      <c r="O6" s="16"/>
      <c r="P6" s="1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462</v>
      </c>
      <c r="B7" s="19">
        <f>'Raw Operating'!C7</f>
        <v>352</v>
      </c>
      <c r="C7" s="19">
        <f>'Raw Operating'!D7</f>
        <v>429</v>
      </c>
      <c r="D7" s="19">
        <f>'Raw Operating'!E7</f>
        <v>471</v>
      </c>
      <c r="E7" s="19">
        <f>'Raw Operating'!F7</f>
        <v>481</v>
      </c>
      <c r="F7" s="19">
        <f>'Raw Operating'!G7</f>
        <v>502</v>
      </c>
      <c r="G7" s="19">
        <f>'Raw Operating'!H7</f>
        <v>566</v>
      </c>
      <c r="H7" s="19">
        <f>'Raw Operating'!I7</f>
        <v>766</v>
      </c>
      <c r="I7" s="19">
        <f>'Raw Operating'!J7</f>
        <v>1036</v>
      </c>
      <c r="J7" s="19">
        <f>'Raw Operating'!K7</f>
        <v>1186</v>
      </c>
      <c r="K7" s="19">
        <f>'Raw Operating'!L7</f>
        <v>1409.1</v>
      </c>
      <c r="L7" s="19">
        <f>'Raw Operating'!M7</f>
        <v>1654.4</v>
      </c>
      <c r="M7" s="21">
        <f>M24/M26</f>
        <v>1994.7130783907016</v>
      </c>
      <c r="N7" s="21">
        <f t="shared" ref="N7:P7" si="0">N24/N26</f>
        <v>2282.5483012825757</v>
      </c>
      <c r="O7" s="21">
        <f t="shared" si="0"/>
        <v>2575.7387988826026</v>
      </c>
      <c r="P7" s="21">
        <f t="shared" si="0"/>
        <v>2907.1169311825947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19</v>
      </c>
      <c r="B8" s="1"/>
      <c r="C8" s="17">
        <f t="shared" ref="C8:P8" si="1">IFERROR(C7/B7-1,"")</f>
        <v>0.21875</v>
      </c>
      <c r="D8" s="17">
        <f t="shared" si="1"/>
        <v>9.7902097902097918E-2</v>
      </c>
      <c r="E8" s="17">
        <f t="shared" si="1"/>
        <v>2.1231422505307851E-2</v>
      </c>
      <c r="F8" s="17">
        <f t="shared" si="1"/>
        <v>4.3659043659043606E-2</v>
      </c>
      <c r="G8" s="17">
        <f t="shared" si="1"/>
        <v>0.12749003984063756</v>
      </c>
      <c r="H8" s="17">
        <f t="shared" si="1"/>
        <v>0.35335689045936403</v>
      </c>
      <c r="I8" s="17">
        <f t="shared" si="1"/>
        <v>0.35248041775456929</v>
      </c>
      <c r="J8" s="17">
        <f t="shared" si="1"/>
        <v>0.14478764478764483</v>
      </c>
      <c r="K8" s="17">
        <f t="shared" si="1"/>
        <v>0.18811129848229324</v>
      </c>
      <c r="L8" s="17">
        <f t="shared" si="1"/>
        <v>0.17408274785323985</v>
      </c>
      <c r="M8" s="22">
        <f t="shared" si="1"/>
        <v>0.20570181237348972</v>
      </c>
      <c r="N8" s="22">
        <f t="shared" si="1"/>
        <v>0.14429906035613627</v>
      </c>
      <c r="O8" s="22">
        <f t="shared" si="1"/>
        <v>0.12844875941301281</v>
      </c>
      <c r="P8" s="22">
        <f t="shared" si="1"/>
        <v>0.12865362452269968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463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1">
        <f>'Quarterly P&amp;L'!AT5*4</f>
        <v>1809.6</v>
      </c>
      <c r="N9" s="21">
        <f>0</f>
        <v>0</v>
      </c>
      <c r="O9" s="21">
        <f>0</f>
        <v>0</v>
      </c>
      <c r="P9" s="21">
        <f>0</f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712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81">
        <f>'People &amp; AI'!L6*'People &amp; AI'!L8*'People &amp; AI'!L11</f>
        <v>130228.80467</v>
      </c>
      <c r="M10" s="81">
        <f>'People &amp; AI'!M6*'People &amp; AI'!M8*'People &amp; AI'!M11</f>
        <v>180078.26402138278</v>
      </c>
      <c r="N10" s="81">
        <f>'People &amp; AI'!N6*'People &amp; AI'!N8*'People &amp; AI'!N11</f>
        <v>214482.77806315004</v>
      </c>
      <c r="O10" s="81">
        <f>'People &amp; AI'!O6*'People &amp; AI'!O8*'People &amp; AI'!O11</f>
        <v>243539.89352394303</v>
      </c>
      <c r="P10" s="81">
        <f>'People &amp; AI'!P6*'People &amp; AI'!P8*'People &amp; AI'!P11</f>
        <v>277151.28095916467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115</v>
      </c>
      <c r="B11" s="19" t="str">
        <f>IF('Raw Operating'!C13="","",'Raw Operating'!C13)</f>
        <v/>
      </c>
      <c r="C11" s="19" t="str">
        <f>IF('Raw Operating'!D13="","",'Raw Operating'!D13)</f>
        <v/>
      </c>
      <c r="D11" s="19" t="str">
        <f>IF('Raw Operating'!E13="","",'Raw Operating'!E13)</f>
        <v/>
      </c>
      <c r="E11" s="19" t="str">
        <f>IF('Raw Operating'!F13="","",'Raw Operating'!F13)</f>
        <v/>
      </c>
      <c r="F11" s="19" t="str">
        <f>IF('Raw Operating'!G13="","",'Raw Operating'!G13)</f>
        <v/>
      </c>
      <c r="G11" s="19" t="str">
        <f>IF('Raw Operating'!H13="","",'Raw Operating'!H13)</f>
        <v/>
      </c>
      <c r="H11" s="19">
        <f>IF('Raw Operating'!I13="","",'Raw Operating'!I13)</f>
        <v>943.1</v>
      </c>
      <c r="I11" s="19">
        <f>IF('Raw Operating'!J13="","",'Raw Operating'!J13)</f>
        <v>1170.9000000000001</v>
      </c>
      <c r="J11" s="19">
        <f>IF('Raw Operating'!K13="","",'Raw Operating'!K13)</f>
        <v>1296.7</v>
      </c>
      <c r="K11" s="19">
        <f>IF('Raw Operating'!L13="","",'Raw Operating'!L13)</f>
        <v>1464.1</v>
      </c>
      <c r="L11" s="19">
        <f>IF('Raw Operating'!M13="","",'Raw Operating'!M13)</f>
        <v>1780.1</v>
      </c>
      <c r="M11" s="21">
        <f>L11*(1+Assumptions!B7)</f>
        <v>1993.712</v>
      </c>
      <c r="N11" s="21">
        <f>M11*(1+Assumptions!C7)</f>
        <v>2193.0832</v>
      </c>
      <c r="O11" s="21">
        <f>N11*(1+Assumptions!D7)</f>
        <v>2390.4606880000001</v>
      </c>
      <c r="P11" s="21">
        <f>O11*(1+Assumptions!E7)</f>
        <v>2581.6975430400003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114</v>
      </c>
      <c r="B12" s="1"/>
      <c r="C12" s="17" t="str">
        <f t="shared" ref="C12:L12" si="2">IFERROR(C11/B11-1,"")</f>
        <v/>
      </c>
      <c r="D12" s="17" t="str">
        <f t="shared" si="2"/>
        <v/>
      </c>
      <c r="E12" s="17" t="str">
        <f t="shared" si="2"/>
        <v/>
      </c>
      <c r="F12" s="17" t="str">
        <f t="shared" si="2"/>
        <v/>
      </c>
      <c r="G12" s="17" t="str">
        <f t="shared" si="2"/>
        <v/>
      </c>
      <c r="H12" s="17" t="str">
        <f t="shared" si="2"/>
        <v/>
      </c>
      <c r="I12" s="17">
        <f t="shared" si="2"/>
        <v>0.24154384476725688</v>
      </c>
      <c r="J12" s="17">
        <f t="shared" si="2"/>
        <v>0.10743872235032881</v>
      </c>
      <c r="K12" s="17">
        <f t="shared" si="2"/>
        <v>0.12909693838204661</v>
      </c>
      <c r="L12" s="17">
        <f t="shared" si="2"/>
        <v>0.21583225189536237</v>
      </c>
      <c r="M12" s="22">
        <f>Assumptions!B7</f>
        <v>0.12</v>
      </c>
      <c r="N12" s="22">
        <f>Assumptions!C7</f>
        <v>0.1</v>
      </c>
      <c r="O12" s="22">
        <f>Assumptions!D7</f>
        <v>0.09</v>
      </c>
      <c r="P12" s="22">
        <f>Assumptions!E7</f>
        <v>0.08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116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2">
        <f>Assumptions!B8</f>
        <v>0.55000000000000004</v>
      </c>
      <c r="N13" s="22">
        <f>Assumptions!C8</f>
        <v>0.56000000000000005</v>
      </c>
      <c r="O13" s="22">
        <f>Assumptions!D8</f>
        <v>0.56999999999999995</v>
      </c>
      <c r="P13" s="22">
        <f>Assumptions!E8</f>
        <v>0.57999999999999996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464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22">
        <f>Assumptions!B9</f>
        <v>0.1</v>
      </c>
      <c r="N14" s="22">
        <f>Assumptions!C9</f>
        <v>0.16</v>
      </c>
      <c r="O14" s="22">
        <f>Assumptions!D9</f>
        <v>0.16</v>
      </c>
      <c r="P14" s="22">
        <f>Assumptions!E9</f>
        <v>0.16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465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1">
        <f>M11*M13*M14</f>
        <v>109.65416</v>
      </c>
      <c r="N15" s="21">
        <f>N11*N13*N14</f>
        <v>196.50025472000002</v>
      </c>
      <c r="O15" s="21">
        <f>O11*O13*O14</f>
        <v>218.01001474559999</v>
      </c>
      <c r="P15" s="21">
        <f>P11*P13*P14</f>
        <v>239.58153199411203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120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1">
        <f>Assumptions!B10</f>
        <v>650</v>
      </c>
      <c r="N16" s="21">
        <f>Assumptions!C10</f>
        <v>650</v>
      </c>
      <c r="O16" s="21">
        <f>Assumptions!D10</f>
        <v>650</v>
      </c>
      <c r="P16" s="21">
        <f>Assumptions!E10</f>
        <v>650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466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22">
        <f>Assumptions!B11</f>
        <v>0.08</v>
      </c>
      <c r="N17" s="22">
        <f>Assumptions!C11</f>
        <v>0.1</v>
      </c>
      <c r="O17" s="22">
        <f>Assumptions!D11</f>
        <v>0.12</v>
      </c>
      <c r="P17" s="22">
        <f>Assumptions!E11</f>
        <v>0.12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467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1">
        <f>M16*M17</f>
        <v>52</v>
      </c>
      <c r="N18" s="21">
        <f>N16*N17</f>
        <v>65</v>
      </c>
      <c r="O18" s="21">
        <f>O16*O17</f>
        <v>78</v>
      </c>
      <c r="P18" s="21">
        <f>P16*P17</f>
        <v>78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468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1">
        <f>L7*Assumptions!B12</f>
        <v>24.815999999999999</v>
      </c>
      <c r="N19" s="21">
        <f>M7*Assumptions!C12</f>
        <v>29.920696175860524</v>
      </c>
      <c r="O19" s="21">
        <f>N7*Assumptions!D12</f>
        <v>34.238224519238635</v>
      </c>
      <c r="P19" s="21">
        <f>O7*Assumptions!E12</f>
        <v>38.636081983239038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469</v>
      </c>
      <c r="B20" s="1"/>
      <c r="C20" s="1"/>
      <c r="D20" s="1"/>
      <c r="E20" s="1"/>
      <c r="F20" s="1"/>
      <c r="G20" s="1"/>
      <c r="H20" s="1"/>
      <c r="I20" s="1"/>
      <c r="J20" s="1"/>
      <c r="K20" s="1"/>
      <c r="M20" s="81">
        <f>M10*Assumptions!B13</f>
        <v>108046.95841282967</v>
      </c>
      <c r="N20" s="81">
        <f>N10*Assumptions!C13</f>
        <v>124400.01127662702</v>
      </c>
      <c r="O20" s="81">
        <f>O10*Assumptions!D13</f>
        <v>136382.34037340811</v>
      </c>
      <c r="P20" s="81">
        <f>P10*Assumptions!E13</f>
        <v>149661.69171794894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470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">
        <f>-M20*Assumptions!B14</f>
        <v>-1080.4695841282967</v>
      </c>
      <c r="N21" s="21">
        <f>-N20*Assumptions!C14</f>
        <v>-1244.0001127662701</v>
      </c>
      <c r="O21" s="21">
        <f>-O20*Assumptions!D14</f>
        <v>-1091.0587229872649</v>
      </c>
      <c r="P21" s="21">
        <f>-P20*Assumptions!E14</f>
        <v>-897.97015030769364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35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81">
        <f>M23*Assumptions!B15</f>
        <v>2521.0956962993591</v>
      </c>
      <c r="N22" s="81">
        <f>N23*Assumptions!C15</f>
        <v>3603.3106714609207</v>
      </c>
      <c r="O22" s="81">
        <f>O23*Assumptions!D15</f>
        <v>4822.0898917740715</v>
      </c>
      <c r="P22" s="81">
        <f>P23*Assumptions!E15</f>
        <v>5737.0315158547082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471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">
        <f>M10*(1-Assumptions!B13)</f>
        <v>72031.305608553113</v>
      </c>
      <c r="N23" s="21">
        <f>N10*(1-Assumptions!C13)</f>
        <v>90082.766786523018</v>
      </c>
      <c r="O23" s="21">
        <f>O10*(1-Assumptions!D13)</f>
        <v>107157.55315053492</v>
      </c>
      <c r="P23" s="21">
        <f>P10*(1-Assumptions!E13)</f>
        <v>127489.58924121574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 t="s">
        <v>472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">
        <f>SUM(M20,M21,M22,M23)</f>
        <v>181518.89013355385</v>
      </c>
      <c r="N24" s="21">
        <f t="shared" ref="N24:P24" si="3">SUM(N20,N21,N22,N23)</f>
        <v>216842.08862184468</v>
      </c>
      <c r="O24" s="21">
        <f t="shared" si="3"/>
        <v>247270.92469272984</v>
      </c>
      <c r="P24" s="21">
        <f t="shared" si="3"/>
        <v>281990.34232471167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 t="s">
        <v>473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">
        <f>M24-M7</f>
        <v>179524.17705516316</v>
      </c>
      <c r="N25" s="21">
        <f>N24-N7</f>
        <v>214559.54032056211</v>
      </c>
      <c r="O25" s="21">
        <f>O24-O7</f>
        <v>244695.18589384723</v>
      </c>
      <c r="P25" s="21">
        <f>P24-P7</f>
        <v>279083.22539352905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 t="s">
        <v>131</v>
      </c>
      <c r="B26" s="18">
        <f>'Annual P&amp;L'!B8</f>
        <v>65.691221590909095</v>
      </c>
      <c r="C26" s="18">
        <f>'Annual P&amp;L'!C8</f>
        <v>67.096480186480179</v>
      </c>
      <c r="D26" s="18">
        <f>'Annual P&amp;L'!D8</f>
        <v>64.40983014861996</v>
      </c>
      <c r="E26" s="18">
        <f>'Annual P&amp;L'!E8</f>
        <v>69.97798336798337</v>
      </c>
      <c r="F26" s="18">
        <f>'Annual P&amp;L'!F8</f>
        <v>71.032031872509961</v>
      </c>
      <c r="G26" s="18">
        <f>'Annual P&amp;L'!G8</f>
        <v>73.990954063604235</v>
      </c>
      <c r="H26" s="18">
        <f>'Annual P&amp;L'!H8</f>
        <v>74.552819843342036</v>
      </c>
      <c r="I26" s="18">
        <f>'Annual P&amp;L'!I8</f>
        <v>80.604169884169877</v>
      </c>
      <c r="J26" s="18">
        <f>'Annual P&amp;L'!J8</f>
        <v>82.812706576728502</v>
      </c>
      <c r="K26" s="18">
        <f>'Annual P&amp;L'!K8</f>
        <v>84.725832091405863</v>
      </c>
      <c r="L26" s="18">
        <f>'Annual P&amp;L'!L8</f>
        <v>89.146814555125715</v>
      </c>
      <c r="M26" s="23">
        <f>Assumptions!B16</f>
        <v>91</v>
      </c>
      <c r="N26" s="23">
        <f>Assumptions!C16</f>
        <v>95</v>
      </c>
      <c r="O26" s="23">
        <f>Assumptions!D16</f>
        <v>96</v>
      </c>
      <c r="P26" s="23">
        <f>Assumptions!E16</f>
        <v>97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 t="s">
        <v>17</v>
      </c>
      <c r="B27" s="20">
        <f>'Annual P&amp;L'!B5</f>
        <v>23123.31</v>
      </c>
      <c r="C27" s="20">
        <f>'Annual P&amp;L'!C5</f>
        <v>28784.39</v>
      </c>
      <c r="D27" s="20">
        <f>'Annual P&amp;L'!D5</f>
        <v>30337.03</v>
      </c>
      <c r="E27" s="20">
        <f>'Annual P&amp;L'!E5</f>
        <v>33659.410000000003</v>
      </c>
      <c r="F27" s="20">
        <f>'Annual P&amp;L'!F5</f>
        <v>35658.080000000002</v>
      </c>
      <c r="G27" s="20">
        <f>'Annual P&amp;L'!G5</f>
        <v>41878.879999999997</v>
      </c>
      <c r="H27" s="20">
        <f>'Annual P&amp;L'!H5</f>
        <v>57107.46</v>
      </c>
      <c r="I27" s="20">
        <f>'Annual P&amp;L'!I5</f>
        <v>83505.919999999998</v>
      </c>
      <c r="J27" s="20">
        <f>'Annual P&amp;L'!J5</f>
        <v>98215.87</v>
      </c>
      <c r="K27" s="20">
        <f>'Annual P&amp;L'!K5</f>
        <v>119387.17</v>
      </c>
      <c r="L27" s="20">
        <f>'Annual P&amp;L'!L5</f>
        <v>147484.49</v>
      </c>
      <c r="M27" s="24">
        <f>M7*M26</f>
        <v>181518.89013355385</v>
      </c>
      <c r="N27" s="24">
        <f>N7*N26</f>
        <v>216842.08862184468</v>
      </c>
      <c r="O27" s="24">
        <f>O7*O26</f>
        <v>247270.92469272984</v>
      </c>
      <c r="P27" s="24">
        <f>P7*P26</f>
        <v>281990.34232471167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 t="s">
        <v>474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4">
        <f>M27-'Annual P&amp;L'!M5</f>
        <v>0</v>
      </c>
      <c r="N28" s="24">
        <f>N27-'Annual P&amp;L'!N5</f>
        <v>0</v>
      </c>
      <c r="O28" s="24">
        <f>O27-'Annual P&amp;L'!O5</f>
        <v>0</v>
      </c>
      <c r="P28" s="24">
        <f>P27-'Annual P&amp;L'!P5</f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82">
        <v>0.03</v>
      </c>
      <c r="N29" s="83">
        <v>3.5000000000000003E-2</v>
      </c>
      <c r="O29" s="82">
        <v>0.04</v>
      </c>
      <c r="P29" s="82">
        <v>0.04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84">
        <f>M22/M24</f>
        <v>1.388888888888889E-2</v>
      </c>
      <c r="N30" s="16"/>
      <c r="O30" s="16"/>
      <c r="P30" s="16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6"/>
      <c r="N31" s="16"/>
      <c r="O31" s="16"/>
      <c r="P31" s="16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6"/>
      <c r="N32" s="16"/>
      <c r="O32" s="16"/>
      <c r="P32" s="16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6"/>
      <c r="N33" s="16"/>
      <c r="O33" s="16"/>
      <c r="P33" s="16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6"/>
      <c r="N34" s="16"/>
      <c r="O34" s="16"/>
      <c r="P34" s="16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6"/>
      <c r="N35" s="16"/>
      <c r="O35" s="16"/>
      <c r="P35" s="16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6"/>
      <c r="N36" s="16"/>
      <c r="O36" s="16"/>
      <c r="P36" s="16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6"/>
      <c r="N37" s="16"/>
      <c r="O37" s="16"/>
      <c r="P37" s="16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6"/>
      <c r="N38" s="16"/>
      <c r="O38" s="16"/>
      <c r="P38" s="16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6"/>
      <c r="N39" s="16"/>
      <c r="O39" s="16"/>
      <c r="P39" s="16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6"/>
      <c r="N40" s="16"/>
      <c r="O40" s="16"/>
      <c r="P40" s="16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6"/>
      <c r="N41" s="16"/>
      <c r="O41" s="16"/>
      <c r="P41" s="16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6"/>
      <c r="N42" s="16"/>
      <c r="O42" s="16"/>
      <c r="P42" s="1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6"/>
      <c r="N43" s="16"/>
      <c r="O43" s="16"/>
      <c r="P43" s="16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6"/>
      <c r="N44" s="16"/>
      <c r="O44" s="16"/>
      <c r="P44" s="16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6"/>
      <c r="N45" s="16"/>
      <c r="O45" s="16"/>
      <c r="P45" s="16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6"/>
      <c r="N46" s="16"/>
      <c r="O46" s="16"/>
      <c r="P46" s="1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6"/>
      <c r="N47" s="16"/>
      <c r="O47" s="16"/>
      <c r="P47" s="16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6"/>
      <c r="N48" s="16"/>
      <c r="O48" s="16"/>
      <c r="P48" s="16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6"/>
      <c r="N49" s="16"/>
      <c r="O49" s="16"/>
      <c r="P49" s="16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6"/>
      <c r="N50" s="16"/>
      <c r="O50" s="16"/>
      <c r="P50" s="1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6"/>
      <c r="N51" s="16"/>
      <c r="O51" s="16"/>
      <c r="P51" s="16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6"/>
      <c r="N52" s="16"/>
      <c r="O52" s="16"/>
      <c r="P52" s="16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6"/>
      <c r="N53" s="16"/>
      <c r="O53" s="16"/>
      <c r="P53" s="1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6"/>
      <c r="N54" s="16"/>
      <c r="O54" s="16"/>
      <c r="P54" s="16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6"/>
      <c r="N55" s="16"/>
      <c r="O55" s="16"/>
      <c r="P55" s="16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6"/>
      <c r="N56" s="16"/>
      <c r="O56" s="16"/>
      <c r="P56" s="16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6"/>
      <c r="N57" s="16"/>
      <c r="O57" s="16"/>
      <c r="P57" s="1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6"/>
      <c r="N58" s="16"/>
      <c r="O58" s="16"/>
      <c r="P58" s="16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6"/>
      <c r="N59" s="16"/>
      <c r="O59" s="16"/>
      <c r="P59" s="16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6"/>
      <c r="N60" s="16"/>
      <c r="O60" s="16"/>
      <c r="P60" s="16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6"/>
      <c r="N61" s="16"/>
      <c r="O61" s="16"/>
      <c r="P61" s="16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6"/>
      <c r="N62" s="16"/>
      <c r="O62" s="16"/>
      <c r="P62" s="16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6"/>
      <c r="N63" s="16"/>
      <c r="O63" s="16"/>
      <c r="P63" s="16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6"/>
      <c r="N64" s="16"/>
      <c r="O64" s="16"/>
      <c r="P64" s="16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6"/>
      <c r="N65" s="16"/>
      <c r="O65" s="16"/>
      <c r="P65" s="16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6"/>
      <c r="N66" s="16"/>
      <c r="O66" s="16"/>
      <c r="P66" s="16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6"/>
      <c r="N67" s="16"/>
      <c r="O67" s="16"/>
      <c r="P67" s="16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6"/>
      <c r="N68" s="16"/>
      <c r="O68" s="16"/>
      <c r="P68" s="16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6"/>
      <c r="N69" s="16"/>
      <c r="O69" s="16"/>
      <c r="P69" s="16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6"/>
      <c r="N70" s="16"/>
      <c r="O70" s="16"/>
      <c r="P70" s="16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6"/>
      <c r="N71" s="16"/>
      <c r="O71" s="16"/>
      <c r="P71" s="1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6"/>
      <c r="N72" s="16"/>
      <c r="O72" s="16"/>
      <c r="P72" s="16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6"/>
      <c r="N73" s="16"/>
      <c r="O73" s="16"/>
      <c r="P73" s="1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6"/>
      <c r="N74" s="16"/>
      <c r="O74" s="16"/>
      <c r="P74" s="1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6"/>
      <c r="N75" s="16"/>
      <c r="O75" s="16"/>
      <c r="P75" s="16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6"/>
      <c r="N76" s="16"/>
      <c r="O76" s="16"/>
      <c r="P76" s="16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6"/>
      <c r="N77" s="16"/>
      <c r="O77" s="16"/>
      <c r="P77" s="16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6"/>
      <c r="N78" s="16"/>
      <c r="O78" s="16"/>
      <c r="P78" s="16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6"/>
      <c r="N79" s="16"/>
      <c r="O79" s="16"/>
      <c r="P79" s="16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6"/>
      <c r="N80" s="16"/>
      <c r="O80" s="16"/>
      <c r="P80" s="16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6"/>
      <c r="N81" s="16"/>
      <c r="O81" s="16"/>
      <c r="P81" s="16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6"/>
      <c r="N82" s="16"/>
      <c r="O82" s="16"/>
      <c r="P82" s="16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6"/>
      <c r="N83" s="16"/>
      <c r="O83" s="16"/>
      <c r="P83" s="16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6"/>
      <c r="N84" s="16"/>
      <c r="O84" s="16"/>
      <c r="P84" s="16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6"/>
      <c r="N85" s="16"/>
      <c r="O85" s="16"/>
      <c r="P85" s="16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6"/>
      <c r="N86" s="16"/>
      <c r="O86" s="16"/>
      <c r="P86" s="16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6"/>
      <c r="N87" s="16"/>
      <c r="O87" s="16"/>
      <c r="P87" s="16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6"/>
      <c r="N88" s="16"/>
      <c r="O88" s="16"/>
      <c r="P88" s="16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6"/>
      <c r="N89" s="16"/>
      <c r="O89" s="16"/>
      <c r="P89" s="16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6"/>
      <c r="N90" s="16"/>
      <c r="O90" s="16"/>
      <c r="P90" s="16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6"/>
      <c r="N91" s="16"/>
      <c r="O91" s="16"/>
      <c r="P91" s="16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6"/>
      <c r="N92" s="16"/>
      <c r="O92" s="16"/>
      <c r="P92" s="16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6"/>
      <c r="N93" s="16"/>
      <c r="O93" s="16"/>
      <c r="P93" s="16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6"/>
      <c r="N94" s="16"/>
      <c r="O94" s="16"/>
      <c r="P94" s="16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6"/>
      <c r="N95" s="16"/>
      <c r="O95" s="16"/>
      <c r="P95" s="16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6"/>
      <c r="N96" s="16"/>
      <c r="O96" s="16"/>
      <c r="P96" s="16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6"/>
      <c r="N97" s="16"/>
      <c r="O97" s="16"/>
      <c r="P97" s="16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6"/>
      <c r="N98" s="16"/>
      <c r="O98" s="16"/>
      <c r="P98" s="16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6"/>
      <c r="N99" s="16"/>
      <c r="O99" s="16"/>
      <c r="P99" s="16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6"/>
      <c r="N100" s="16"/>
      <c r="O100" s="16"/>
      <c r="P100" s="16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6"/>
      <c r="N101" s="16"/>
      <c r="O101" s="16"/>
      <c r="P101" s="16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6"/>
      <c r="N102" s="16"/>
      <c r="O102" s="16"/>
      <c r="P102" s="16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6"/>
      <c r="N103" s="16"/>
      <c r="O103" s="16"/>
      <c r="P103" s="16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6"/>
      <c r="N104" s="16"/>
      <c r="O104" s="16"/>
      <c r="P104" s="16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6"/>
      <c r="N105" s="16"/>
      <c r="O105" s="16"/>
      <c r="P105" s="16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6"/>
      <c r="N106" s="16"/>
      <c r="O106" s="16"/>
      <c r="P106" s="16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6"/>
      <c r="N107" s="16"/>
      <c r="O107" s="16"/>
      <c r="P107" s="16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6"/>
      <c r="N108" s="16"/>
      <c r="O108" s="16"/>
      <c r="P108" s="16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6"/>
      <c r="N109" s="16"/>
      <c r="O109" s="16"/>
      <c r="P109" s="16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6"/>
      <c r="N110" s="16"/>
      <c r="O110" s="16"/>
      <c r="P110" s="16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6"/>
      <c r="N111" s="16"/>
      <c r="O111" s="16"/>
      <c r="P111" s="16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6"/>
      <c r="N112" s="16"/>
      <c r="O112" s="16"/>
      <c r="P112" s="16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6"/>
      <c r="N113" s="16"/>
      <c r="O113" s="16"/>
      <c r="P113" s="16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6"/>
      <c r="N114" s="16"/>
      <c r="O114" s="16"/>
      <c r="P114" s="16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6"/>
      <c r="N115" s="16"/>
      <c r="O115" s="16"/>
      <c r="P115" s="16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6"/>
      <c r="N116" s="16"/>
      <c r="O116" s="16"/>
      <c r="P116" s="16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6"/>
      <c r="N117" s="16"/>
      <c r="O117" s="16"/>
      <c r="P117" s="16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6"/>
      <c r="N118" s="16"/>
      <c r="O118" s="16"/>
      <c r="P118" s="16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6"/>
      <c r="N119" s="16"/>
      <c r="O119" s="16"/>
      <c r="P119" s="16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6"/>
      <c r="N120" s="16"/>
      <c r="O120" s="16"/>
      <c r="P120" s="16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6"/>
      <c r="N121" s="16"/>
      <c r="O121" s="16"/>
      <c r="P121" s="16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6"/>
      <c r="N122" s="16"/>
      <c r="O122" s="16"/>
      <c r="P122" s="16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6"/>
      <c r="N123" s="16"/>
      <c r="O123" s="16"/>
      <c r="P123" s="16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6"/>
      <c r="N124" s="16"/>
      <c r="O124" s="16"/>
      <c r="P124" s="16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6"/>
      <c r="N125" s="16"/>
      <c r="O125" s="16"/>
      <c r="P125" s="16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6"/>
      <c r="N126" s="16"/>
      <c r="O126" s="16"/>
      <c r="P126" s="16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6"/>
      <c r="N127" s="16"/>
      <c r="O127" s="16"/>
      <c r="P127" s="16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6"/>
      <c r="N128" s="16"/>
      <c r="O128" s="16"/>
      <c r="P128" s="16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6"/>
      <c r="N129" s="16"/>
      <c r="O129" s="16"/>
      <c r="P129" s="16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6"/>
      <c r="N130" s="16"/>
      <c r="O130" s="16"/>
      <c r="P130" s="16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6"/>
      <c r="N131" s="16"/>
      <c r="O131" s="16"/>
      <c r="P131" s="16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6"/>
      <c r="N132" s="16"/>
      <c r="O132" s="16"/>
      <c r="P132" s="16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6"/>
      <c r="N133" s="16"/>
      <c r="O133" s="16"/>
      <c r="P133" s="16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6"/>
      <c r="N134" s="16"/>
      <c r="O134" s="16"/>
      <c r="P134" s="16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6"/>
      <c r="N135" s="16"/>
      <c r="O135" s="16"/>
      <c r="P135" s="16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6"/>
      <c r="N136" s="16"/>
      <c r="O136" s="16"/>
      <c r="P136" s="16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6"/>
      <c r="N137" s="16"/>
      <c r="O137" s="16"/>
      <c r="P137" s="16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6"/>
      <c r="N138" s="16"/>
      <c r="O138" s="16"/>
      <c r="P138" s="16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6"/>
      <c r="N139" s="16"/>
      <c r="O139" s="16"/>
      <c r="P139" s="16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6"/>
      <c r="N140" s="16"/>
      <c r="O140" s="16"/>
      <c r="P140" s="16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6"/>
      <c r="N141" s="16"/>
      <c r="O141" s="16"/>
      <c r="P141" s="16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6"/>
      <c r="N142" s="16"/>
      <c r="O142" s="16"/>
      <c r="P142" s="16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6"/>
      <c r="N143" s="16"/>
      <c r="O143" s="16"/>
      <c r="P143" s="16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6"/>
      <c r="N144" s="16"/>
      <c r="O144" s="16"/>
      <c r="P144" s="16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6"/>
      <c r="N145" s="16"/>
      <c r="O145" s="16"/>
      <c r="P145" s="16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6"/>
      <c r="N146" s="16"/>
      <c r="O146" s="16"/>
      <c r="P146" s="16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6"/>
      <c r="N147" s="16"/>
      <c r="O147" s="16"/>
      <c r="P147" s="16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6"/>
      <c r="N148" s="16"/>
      <c r="O148" s="16"/>
      <c r="P148" s="16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6"/>
      <c r="N149" s="16"/>
      <c r="O149" s="16"/>
      <c r="P149" s="16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6"/>
      <c r="N150" s="16"/>
      <c r="O150" s="16"/>
      <c r="P150" s="16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6"/>
      <c r="N151" s="16"/>
      <c r="O151" s="16"/>
      <c r="P151" s="16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6"/>
      <c r="N152" s="16"/>
      <c r="O152" s="16"/>
      <c r="P152" s="16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6"/>
      <c r="N153" s="16"/>
      <c r="O153" s="16"/>
      <c r="P153" s="16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6"/>
      <c r="N154" s="16"/>
      <c r="O154" s="16"/>
      <c r="P154" s="16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6"/>
      <c r="N155" s="16"/>
      <c r="O155" s="16"/>
      <c r="P155" s="16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6"/>
      <c r="N156" s="16"/>
      <c r="O156" s="16"/>
      <c r="P156" s="16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6"/>
      <c r="N157" s="16"/>
      <c r="O157" s="16"/>
      <c r="P157" s="16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6"/>
      <c r="N158" s="16"/>
      <c r="O158" s="16"/>
      <c r="P158" s="16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6"/>
      <c r="N159" s="16"/>
      <c r="O159" s="16"/>
      <c r="P159" s="16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6"/>
      <c r="N160" s="16"/>
      <c r="O160" s="16"/>
      <c r="P160" s="16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6"/>
      <c r="N161" s="16"/>
      <c r="O161" s="16"/>
      <c r="P161" s="16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6"/>
      <c r="N162" s="16"/>
      <c r="O162" s="16"/>
      <c r="P162" s="16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6"/>
      <c r="N163" s="16"/>
      <c r="O163" s="16"/>
      <c r="P163" s="16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6"/>
      <c r="N164" s="16"/>
      <c r="O164" s="16"/>
      <c r="P164" s="16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6"/>
      <c r="N165" s="16"/>
      <c r="O165" s="16"/>
      <c r="P165" s="16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6"/>
      <c r="N166" s="16"/>
      <c r="O166" s="16"/>
      <c r="P166" s="16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6"/>
      <c r="N167" s="16"/>
      <c r="O167" s="16"/>
      <c r="P167" s="16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6"/>
      <c r="N168" s="16"/>
      <c r="O168" s="16"/>
      <c r="P168" s="16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6"/>
      <c r="N169" s="16"/>
      <c r="O169" s="16"/>
      <c r="P169" s="16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6"/>
      <c r="N170" s="16"/>
      <c r="O170" s="16"/>
      <c r="P170" s="16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6"/>
      <c r="N171" s="16"/>
      <c r="O171" s="16"/>
      <c r="P171" s="16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6"/>
      <c r="N172" s="16"/>
      <c r="O172" s="16"/>
      <c r="P172" s="16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6"/>
      <c r="N173" s="16"/>
      <c r="O173" s="16"/>
      <c r="P173" s="16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6"/>
      <c r="N174" s="16"/>
      <c r="O174" s="16"/>
      <c r="P174" s="16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6"/>
      <c r="N175" s="16"/>
      <c r="O175" s="16"/>
      <c r="P175" s="16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6"/>
      <c r="N176" s="16"/>
      <c r="O176" s="16"/>
      <c r="P176" s="16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6"/>
      <c r="N177" s="16"/>
      <c r="O177" s="16"/>
      <c r="P177" s="16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6"/>
      <c r="N178" s="16"/>
      <c r="O178" s="16"/>
      <c r="P178" s="16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6"/>
      <c r="N179" s="16"/>
      <c r="O179" s="16"/>
      <c r="P179" s="16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6"/>
      <c r="N180" s="16"/>
      <c r="O180" s="16"/>
      <c r="P180" s="16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6"/>
      <c r="N181" s="16"/>
      <c r="O181" s="16"/>
      <c r="P181" s="16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6"/>
      <c r="N182" s="16"/>
      <c r="O182" s="16"/>
      <c r="P182" s="16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6"/>
      <c r="N183" s="16"/>
      <c r="O183" s="16"/>
      <c r="P183" s="16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6"/>
      <c r="N184" s="16"/>
      <c r="O184" s="16"/>
      <c r="P184" s="16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6"/>
      <c r="N185" s="16"/>
      <c r="O185" s="16"/>
      <c r="P185" s="16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6"/>
      <c r="N186" s="16"/>
      <c r="O186" s="16"/>
      <c r="P186" s="16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6"/>
      <c r="N187" s="16"/>
      <c r="O187" s="16"/>
      <c r="P187" s="16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6"/>
      <c r="N188" s="16"/>
      <c r="O188" s="16"/>
      <c r="P188" s="16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6"/>
      <c r="N189" s="16"/>
      <c r="O189" s="16"/>
      <c r="P189" s="16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6"/>
      <c r="N190" s="16"/>
      <c r="O190" s="16"/>
      <c r="P190" s="16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6"/>
      <c r="N191" s="16"/>
      <c r="O191" s="16"/>
      <c r="P191" s="16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6"/>
      <c r="N192" s="16"/>
      <c r="O192" s="16"/>
      <c r="P192" s="16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6"/>
      <c r="N193" s="16"/>
      <c r="O193" s="16"/>
      <c r="P193" s="16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6"/>
      <c r="N194" s="16"/>
      <c r="O194" s="16"/>
      <c r="P194" s="16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6"/>
      <c r="N195" s="16"/>
      <c r="O195" s="16"/>
      <c r="P195" s="16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6"/>
      <c r="N196" s="16"/>
      <c r="O196" s="16"/>
      <c r="P196" s="16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6"/>
      <c r="N197" s="16"/>
      <c r="O197" s="16"/>
      <c r="P197" s="16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6"/>
      <c r="N198" s="16"/>
      <c r="O198" s="16"/>
      <c r="P198" s="16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6"/>
      <c r="N199" s="16"/>
      <c r="O199" s="16"/>
      <c r="P199" s="16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6"/>
      <c r="N200" s="16"/>
      <c r="O200" s="16"/>
      <c r="P200" s="16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6"/>
      <c r="N201" s="16"/>
      <c r="O201" s="16"/>
      <c r="P201" s="16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6"/>
      <c r="N202" s="16"/>
      <c r="O202" s="16"/>
      <c r="P202" s="16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6"/>
      <c r="N203" s="16"/>
      <c r="O203" s="16"/>
      <c r="P203" s="16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6"/>
      <c r="N204" s="16"/>
      <c r="O204" s="16"/>
      <c r="P204" s="16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6"/>
      <c r="N205" s="16"/>
      <c r="O205" s="16"/>
      <c r="P205" s="16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6"/>
      <c r="N206" s="16"/>
      <c r="O206" s="16"/>
      <c r="P206" s="16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6"/>
      <c r="N207" s="16"/>
      <c r="O207" s="16"/>
      <c r="P207" s="16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6"/>
      <c r="N208" s="16"/>
      <c r="O208" s="16"/>
      <c r="P208" s="16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6"/>
      <c r="N209" s="16"/>
      <c r="O209" s="16"/>
      <c r="P209" s="16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6"/>
      <c r="N210" s="16"/>
      <c r="O210" s="16"/>
      <c r="P210" s="16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6"/>
      <c r="N211" s="16"/>
      <c r="O211" s="16"/>
      <c r="P211" s="16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6"/>
      <c r="N212" s="16"/>
      <c r="O212" s="16"/>
      <c r="P212" s="16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6"/>
      <c r="N213" s="16"/>
      <c r="O213" s="16"/>
      <c r="P213" s="16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6"/>
      <c r="N214" s="16"/>
      <c r="O214" s="16"/>
      <c r="P214" s="16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6"/>
      <c r="N215" s="16"/>
      <c r="O215" s="16"/>
      <c r="P215" s="16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6"/>
      <c r="N216" s="16"/>
      <c r="O216" s="16"/>
      <c r="P216" s="16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6"/>
      <c r="N217" s="16"/>
      <c r="O217" s="16"/>
      <c r="P217" s="16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6"/>
      <c r="N218" s="16"/>
      <c r="O218" s="16"/>
      <c r="P218" s="16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6"/>
      <c r="N219" s="16"/>
      <c r="O219" s="16"/>
      <c r="P219" s="16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6"/>
      <c r="N220" s="16"/>
      <c r="O220" s="16"/>
      <c r="P220" s="16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6"/>
      <c r="N221" s="16"/>
      <c r="O221" s="16"/>
      <c r="P221" s="16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6"/>
      <c r="N222" s="16"/>
      <c r="O222" s="16"/>
      <c r="P222" s="16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6"/>
      <c r="N223" s="16"/>
      <c r="O223" s="16"/>
      <c r="P223" s="16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6"/>
      <c r="N224" s="16"/>
      <c r="O224" s="16"/>
      <c r="P224" s="16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6"/>
      <c r="N225" s="16"/>
      <c r="O225" s="16"/>
      <c r="P225" s="16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6"/>
      <c r="N226" s="16"/>
      <c r="O226" s="16"/>
      <c r="P226" s="16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6"/>
      <c r="N227" s="16"/>
      <c r="O227" s="16"/>
      <c r="P227" s="16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6"/>
      <c r="N228" s="16"/>
      <c r="O228" s="16"/>
      <c r="P228" s="16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6"/>
      <c r="N229" s="16"/>
      <c r="O229" s="16"/>
      <c r="P229" s="16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6"/>
      <c r="N230" s="16"/>
      <c r="O230" s="16"/>
      <c r="P230" s="16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</sheetData>
  <mergeCells count="2">
    <mergeCell ref="A1:P1"/>
    <mergeCell ref="A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260"/>
  <sheetViews>
    <sheetView showGridLines="0" workbookViewId="0">
      <selection sqref="A1:Q1"/>
    </sheetView>
  </sheetViews>
  <sheetFormatPr defaultRowHeight="13.8"/>
  <cols>
    <col min="1" max="1" width="43" customWidth="1"/>
    <col min="2" max="2" width="13" customWidth="1"/>
    <col min="3" max="17" width="11.5" customWidth="1"/>
  </cols>
  <sheetData>
    <row r="1" spans="1:47" ht="25.95" customHeight="1">
      <c r="A1" s="37" t="s">
        <v>475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>
      <c r="A2" s="38" t="s">
        <v>476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15" t="s">
        <v>13</v>
      </c>
      <c r="O5" s="15" t="s">
        <v>14</v>
      </c>
      <c r="P5" s="15" t="s">
        <v>15</v>
      </c>
      <c r="Q5" s="15" t="s">
        <v>16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6"/>
      <c r="O6" s="16"/>
      <c r="P6" s="16"/>
      <c r="Q6" s="1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409</v>
      </c>
      <c r="B7" s="1" t="s">
        <v>20</v>
      </c>
      <c r="C7" s="17" t="str">
        <f>IF('Raw Operating'!C18="","",'Raw Operating'!C18)</f>
        <v/>
      </c>
      <c r="D7" s="17" t="str">
        <f>IF('Raw Operating'!D18="","",'Raw Operating'!D18)</f>
        <v/>
      </c>
      <c r="E7" s="17" t="str">
        <f>IF('Raw Operating'!E18="","",'Raw Operating'!E18)</f>
        <v/>
      </c>
      <c r="F7" s="17" t="str">
        <f>IF('Raw Operating'!F18="","",'Raw Operating'!F18)</f>
        <v/>
      </c>
      <c r="G7" s="17" t="str">
        <f>IF('Raw Operating'!G18="","",'Raw Operating'!G18)</f>
        <v/>
      </c>
      <c r="H7" s="17">
        <f>IF('Raw Operating'!H18="","",'Raw Operating'!H18)</f>
        <v>0.308</v>
      </c>
      <c r="I7" s="17">
        <f>IF('Raw Operating'!I18="","",'Raw Operating'!I18)</f>
        <v>0.316</v>
      </c>
      <c r="J7" s="17">
        <f>IF('Raw Operating'!J18="","",'Raw Operating'!J18)</f>
        <v>0.32900000000000001</v>
      </c>
      <c r="K7" s="17">
        <f>IF('Raw Operating'!K18="","",'Raw Operating'!K18)</f>
        <v>0.31900000000000001</v>
      </c>
      <c r="L7" s="17">
        <f>IF('Raw Operating'!L18="","",'Raw Operating'!L18)</f>
        <v>0.316</v>
      </c>
      <c r="M7" s="17">
        <f>IF('Raw Operating'!M18="","",'Raw Operating'!M18)</f>
        <v>0.34599999999999997</v>
      </c>
      <c r="N7" s="22">
        <f>MIN(0.4,M7+0.005)</f>
        <v>0.35099999999999998</v>
      </c>
      <c r="O7" s="22">
        <f>MIN(0.4,N7+0.005)</f>
        <v>0.35599999999999998</v>
      </c>
      <c r="P7" s="22">
        <f>MIN(0.4,O7+0.005)</f>
        <v>0.36099999999999999</v>
      </c>
      <c r="Q7" s="22">
        <f>MIN(0.4,P7+0.005)</f>
        <v>0.36599999999999999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477</v>
      </c>
      <c r="B8" s="1" t="s">
        <v>18</v>
      </c>
      <c r="C8" s="20" t="str">
        <f>IF(C7="","",C7*'Annual P&amp;L'!B5)</f>
        <v/>
      </c>
      <c r="D8" s="20" t="str">
        <f>IF(D7="","",D7*'Annual P&amp;L'!C5)</f>
        <v/>
      </c>
      <c r="E8" s="20" t="str">
        <f>IF(E7="","",E7*'Annual P&amp;L'!D5)</f>
        <v/>
      </c>
      <c r="F8" s="20" t="str">
        <f>IF(F7="","",F7*'Annual P&amp;L'!E5)</f>
        <v/>
      </c>
      <c r="G8" s="20" t="str">
        <f>IF(G7="","",G7*'Annual P&amp;L'!F5)</f>
        <v/>
      </c>
      <c r="H8" s="20">
        <f>IF(H7="","",H7*'Annual P&amp;L'!G5)</f>
        <v>12898.695039999999</v>
      </c>
      <c r="I8" s="20">
        <f>IF(I7="","",I7*'Annual P&amp;L'!H5)</f>
        <v>18045.95736</v>
      </c>
      <c r="J8" s="20">
        <f>IF(J7="","",J7*'Annual P&amp;L'!I5)</f>
        <v>27473.447680000001</v>
      </c>
      <c r="K8" s="20">
        <f>IF(K7="","",K7*'Annual P&amp;L'!J5)</f>
        <v>31330.862529999999</v>
      </c>
      <c r="L8" s="20">
        <f>IF(L7="","",L7*'Annual P&amp;L'!K5)</f>
        <v>37726.345719999998</v>
      </c>
      <c r="M8" s="20">
        <f>IF(M7="","",M7*'Annual P&amp;L'!L5)</f>
        <v>51029.633539999995</v>
      </c>
      <c r="N8" s="24">
        <f>IF(N7="","",N7*'Annual P&amp;L'!M5)</f>
        <v>63713.1304368774</v>
      </c>
      <c r="O8" s="24">
        <f>IF(O7="","",O7*'Annual P&amp;L'!N5)</f>
        <v>77195.783549376705</v>
      </c>
      <c r="P8" s="24">
        <f>IF(P7="","",P7*'Annual P&amp;L'!O5)</f>
        <v>89264.803814075465</v>
      </c>
      <c r="Q8" s="24">
        <f>IF(Q7="","",Q7*'Annual P&amp;L'!P5)</f>
        <v>103208.46529084447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410</v>
      </c>
      <c r="B9" s="1" t="s">
        <v>20</v>
      </c>
      <c r="C9" s="17" t="str">
        <f>IF('Raw Operating'!C19="","",'Raw Operating'!C19)</f>
        <v/>
      </c>
      <c r="D9" s="17" t="str">
        <f>IF('Raw Operating'!D19="","",'Raw Operating'!D19)</f>
        <v/>
      </c>
      <c r="E9" s="17" t="str">
        <f>IF('Raw Operating'!E19="","",'Raw Operating'!E19)</f>
        <v/>
      </c>
      <c r="F9" s="17" t="str">
        <f>IF('Raw Operating'!F19="","",'Raw Operating'!F19)</f>
        <v/>
      </c>
      <c r="G9" s="17" t="str">
        <f>IF('Raw Operating'!G19="","",'Raw Operating'!G19)</f>
        <v/>
      </c>
      <c r="H9" s="17">
        <f>IF('Raw Operating'!H19="","",'Raw Operating'!H19)</f>
        <v>0.193</v>
      </c>
      <c r="I9" s="17">
        <f>IF('Raw Operating'!I19="","",'Raw Operating'!I19)</f>
        <v>0.20799999999999999</v>
      </c>
      <c r="J9" s="17">
        <f>IF('Raw Operating'!J19="","",'Raw Operating'!J19)</f>
        <v>0.19700000000000001</v>
      </c>
      <c r="K9" s="17">
        <f>IF('Raw Operating'!K19="","",'Raw Operating'!K19)</f>
        <v>0.21</v>
      </c>
      <c r="L9" s="17">
        <f>IF('Raw Operating'!L19="","",'Raw Operating'!L19)</f>
        <v>0.27300000000000002</v>
      </c>
      <c r="M9" s="17">
        <f>IF('Raw Operating'!M19="","",'Raw Operating'!M19)</f>
        <v>0.25600000000000001</v>
      </c>
      <c r="N9" s="22">
        <f>MAX(0.23,M9-0.003)</f>
        <v>0.253</v>
      </c>
      <c r="O9" s="22">
        <f>MAX(0.23,N9-0.003)</f>
        <v>0.25</v>
      </c>
      <c r="P9" s="22">
        <f>MAX(0.23,O9-0.003)</f>
        <v>0.247</v>
      </c>
      <c r="Q9" s="22">
        <f>MAX(0.23,P9-0.003)</f>
        <v>0.24399999999999999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478</v>
      </c>
      <c r="B10" s="1" t="s">
        <v>18</v>
      </c>
      <c r="C10" s="20" t="str">
        <f>IF(C9="","",C9*'Annual P&amp;L'!B5)</f>
        <v/>
      </c>
      <c r="D10" s="20" t="str">
        <f>IF(D9="","",D9*'Annual P&amp;L'!C5)</f>
        <v/>
      </c>
      <c r="E10" s="20" t="str">
        <f>IF(E9="","",E9*'Annual P&amp;L'!D5)</f>
        <v/>
      </c>
      <c r="F10" s="20" t="str">
        <f>IF(F9="","",F9*'Annual P&amp;L'!E5)</f>
        <v/>
      </c>
      <c r="G10" s="20" t="str">
        <f>IF(G9="","",G9*'Annual P&amp;L'!F5)</f>
        <v/>
      </c>
      <c r="H10" s="20">
        <f>IF(H9="","",H9*'Annual P&amp;L'!G5)</f>
        <v>8082.6238399999993</v>
      </c>
      <c r="I10" s="20">
        <f>IF(I9="","",I9*'Annual P&amp;L'!H5)</f>
        <v>11878.35168</v>
      </c>
      <c r="J10" s="20">
        <f>IF(J9="","",J9*'Annual P&amp;L'!I5)</f>
        <v>16450.666239999999</v>
      </c>
      <c r="K10" s="20">
        <f>IF(K9="","",K9*'Annual P&amp;L'!J5)</f>
        <v>20625.332699999999</v>
      </c>
      <c r="L10" s="20">
        <f>IF(L9="","",L9*'Annual P&amp;L'!K5)</f>
        <v>32592.697410000001</v>
      </c>
      <c r="M10" s="20">
        <f>IF(M9="","",M9*'Annual P&amp;L'!L5)</f>
        <v>37756.029439999998</v>
      </c>
      <c r="N10" s="24">
        <f>IF(N9="","",N9*'Annual P&amp;L'!M5)</f>
        <v>45924.279203789127</v>
      </c>
      <c r="O10" s="24">
        <f>IF(O9="","",O9*'Annual P&amp;L'!N5)</f>
        <v>54210.522155461171</v>
      </c>
      <c r="P10" s="24">
        <f>IF(P9="","",P9*'Annual P&amp;L'!O5)</f>
        <v>61075.918399104266</v>
      </c>
      <c r="Q10" s="24">
        <f>IF(Q9="","",Q9*'Annual P&amp;L'!P5)</f>
        <v>68805.643527229651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411</v>
      </c>
      <c r="B11" s="1" t="s">
        <v>20</v>
      </c>
      <c r="C11" s="17" t="str">
        <f>IF('Raw Operating'!C20="","",'Raw Operating'!C20)</f>
        <v/>
      </c>
      <c r="D11" s="17" t="str">
        <f>IF('Raw Operating'!D20="","",'Raw Operating'!D20)</f>
        <v/>
      </c>
      <c r="E11" s="17" t="str">
        <f>IF('Raw Operating'!E20="","",'Raw Operating'!E20)</f>
        <v/>
      </c>
      <c r="F11" s="17" t="str">
        <f>IF('Raw Operating'!F20="","",'Raw Operating'!F20)</f>
        <v/>
      </c>
      <c r="G11" s="17" t="str">
        <f>IF('Raw Operating'!G20="","",'Raw Operating'!G20)</f>
        <v/>
      </c>
      <c r="H11" s="17">
        <f>IF('Raw Operating'!H20="","",'Raw Operating'!H20)</f>
        <v>0.499</v>
      </c>
      <c r="I11" s="17">
        <f>IF('Raw Operating'!I20="","",'Raw Operating'!I20)</f>
        <v>0.47599999999999998</v>
      </c>
      <c r="J11" s="17">
        <f>IF('Raw Operating'!J20="","",'Raw Operating'!J20)</f>
        <v>0.47399999999999998</v>
      </c>
      <c r="K11" s="17">
        <f>IF('Raw Operating'!K20="","",'Raw Operating'!K20)</f>
        <v>0.47099999999999997</v>
      </c>
      <c r="L11" s="17">
        <f>IF('Raw Operating'!L20="","",'Raw Operating'!L20)</f>
        <v>0.41099999999999998</v>
      </c>
      <c r="M11" s="17">
        <f>IF('Raw Operating'!M20="","",'Raw Operating'!M20)</f>
        <v>0.39800000000000002</v>
      </c>
      <c r="N11" s="22">
        <f>1-N7-N9</f>
        <v>0.39600000000000002</v>
      </c>
      <c r="O11" s="22">
        <f>1-O7-O9</f>
        <v>0.39400000000000002</v>
      </c>
      <c r="P11" s="22">
        <f>1-P7-P9</f>
        <v>0.39200000000000002</v>
      </c>
      <c r="Q11" s="22">
        <f>1-Q7-Q9</f>
        <v>0.39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479</v>
      </c>
      <c r="B12" s="1" t="s">
        <v>18</v>
      </c>
      <c r="C12" s="20" t="str">
        <f>IF(C11="","",C11*'Annual P&amp;L'!B5)</f>
        <v/>
      </c>
      <c r="D12" s="20" t="str">
        <f>IF(D11="","",D11*'Annual P&amp;L'!C5)</f>
        <v/>
      </c>
      <c r="E12" s="20" t="str">
        <f>IF(E11="","",E11*'Annual P&amp;L'!D5)</f>
        <v/>
      </c>
      <c r="F12" s="20" t="str">
        <f>IF(F11="","",F11*'Annual P&amp;L'!E5)</f>
        <v/>
      </c>
      <c r="G12" s="20" t="str">
        <f>IF(G11="","",G11*'Annual P&amp;L'!F5)</f>
        <v/>
      </c>
      <c r="H12" s="20">
        <f>IF(H11="","",H11*'Annual P&amp;L'!G5)</f>
        <v>20897.561119999998</v>
      </c>
      <c r="I12" s="20">
        <f>IF(I11="","",I11*'Annual P&amp;L'!H5)</f>
        <v>27183.150959999999</v>
      </c>
      <c r="J12" s="20">
        <f>IF(J11="","",J11*'Annual P&amp;L'!I5)</f>
        <v>39581.806079999995</v>
      </c>
      <c r="K12" s="20">
        <f>IF(K11="","",K11*'Annual P&amp;L'!J5)</f>
        <v>46259.674769999998</v>
      </c>
      <c r="L12" s="20">
        <f>IF(L11="","",L11*'Annual P&amp;L'!K5)</f>
        <v>49068.12687</v>
      </c>
      <c r="M12" s="20">
        <f>IF(M11="","",M11*'Annual P&amp;L'!L5)</f>
        <v>58698.827019999997</v>
      </c>
      <c r="N12" s="24">
        <f>IF(N11="","",N11*'Annual P&amp;L'!M5)</f>
        <v>71881.480492887335</v>
      </c>
      <c r="O12" s="24">
        <f>IF(O11="","",O11*'Annual P&amp;L'!N5)</f>
        <v>85435.782917006814</v>
      </c>
      <c r="P12" s="24">
        <f>IF(P11="","",P11*'Annual P&amp;L'!O5)</f>
        <v>96930.202479550106</v>
      </c>
      <c r="Q12" s="24">
        <f>IF(Q11="","",Q11*'Annual P&amp;L'!P5)</f>
        <v>109976.23350663755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480</v>
      </c>
      <c r="B13" s="1" t="s">
        <v>20</v>
      </c>
      <c r="C13" s="17" t="str">
        <f t="shared" ref="C13:Q13" si="0">IF(COUNT(C7,C9,C11)=0,"",SUM(C7,C9,C11))</f>
        <v/>
      </c>
      <c r="D13" s="17" t="str">
        <f t="shared" si="0"/>
        <v/>
      </c>
      <c r="E13" s="17" t="str">
        <f t="shared" si="0"/>
        <v/>
      </c>
      <c r="F13" s="17" t="str">
        <f t="shared" si="0"/>
        <v/>
      </c>
      <c r="G13" s="17" t="str">
        <f t="shared" si="0"/>
        <v/>
      </c>
      <c r="H13" s="17">
        <f t="shared" si="0"/>
        <v>1</v>
      </c>
      <c r="I13" s="17">
        <f t="shared" si="0"/>
        <v>1</v>
      </c>
      <c r="J13" s="17">
        <f t="shared" si="0"/>
        <v>1</v>
      </c>
      <c r="K13" s="17">
        <f t="shared" si="0"/>
        <v>1</v>
      </c>
      <c r="L13" s="17">
        <f t="shared" si="0"/>
        <v>1</v>
      </c>
      <c r="M13" s="17">
        <f t="shared" si="0"/>
        <v>1</v>
      </c>
      <c r="N13" s="22">
        <f t="shared" si="0"/>
        <v>1</v>
      </c>
      <c r="O13" s="22">
        <f t="shared" si="0"/>
        <v>1</v>
      </c>
      <c r="P13" s="22">
        <f t="shared" si="0"/>
        <v>1</v>
      </c>
      <c r="Q13" s="22">
        <f t="shared" si="0"/>
        <v>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6"/>
      <c r="O14" s="16"/>
      <c r="P14" s="16"/>
      <c r="Q14" s="16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6"/>
      <c r="O15" s="16"/>
      <c r="P15" s="16"/>
      <c r="Q15" s="16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6"/>
      <c r="O16" s="16"/>
      <c r="P16" s="16"/>
      <c r="Q16" s="16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6"/>
      <c r="O17" s="16"/>
      <c r="P17" s="16"/>
      <c r="Q17" s="16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6"/>
      <c r="O18" s="16"/>
      <c r="P18" s="16"/>
      <c r="Q18" s="16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6"/>
      <c r="O19" s="16"/>
      <c r="P19" s="16"/>
      <c r="Q19" s="16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6"/>
      <c r="O20" s="16"/>
      <c r="P20" s="16"/>
      <c r="Q20" s="16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6"/>
      <c r="O21" s="16"/>
      <c r="P21" s="16"/>
      <c r="Q21" s="16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6"/>
      <c r="O22" s="16"/>
      <c r="P22" s="16"/>
      <c r="Q22" s="16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6"/>
      <c r="O23" s="16"/>
      <c r="P23" s="16"/>
      <c r="Q23" s="1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6"/>
      <c r="O24" s="16"/>
      <c r="P24" s="16"/>
      <c r="Q24" s="16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6"/>
      <c r="O25" s="16"/>
      <c r="P25" s="16"/>
      <c r="Q25" s="16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6"/>
      <c r="O26" s="16"/>
      <c r="P26" s="16"/>
      <c r="Q26" s="1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6"/>
      <c r="O27" s="16"/>
      <c r="P27" s="16"/>
      <c r="Q27" s="1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6"/>
      <c r="O28" s="16"/>
      <c r="P28" s="16"/>
      <c r="Q28" s="16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6"/>
      <c r="O29" s="16"/>
      <c r="P29" s="16"/>
      <c r="Q29" s="16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6"/>
      <c r="O30" s="16"/>
      <c r="P30" s="16"/>
      <c r="Q30" s="1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6"/>
      <c r="O31" s="16"/>
      <c r="P31" s="16"/>
      <c r="Q31" s="1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6"/>
      <c r="O32" s="16"/>
      <c r="P32" s="16"/>
      <c r="Q32" s="16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6"/>
      <c r="O33" s="16"/>
      <c r="P33" s="16"/>
      <c r="Q33" s="16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6"/>
      <c r="O34" s="16"/>
      <c r="P34" s="16"/>
      <c r="Q34" s="1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6"/>
      <c r="O35" s="16"/>
      <c r="P35" s="16"/>
      <c r="Q35" s="1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6"/>
      <c r="O36" s="16"/>
      <c r="P36" s="16"/>
      <c r="Q36" s="1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6"/>
      <c r="O37" s="16"/>
      <c r="P37" s="16"/>
      <c r="Q37" s="16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6"/>
      <c r="O38" s="16"/>
      <c r="P38" s="16"/>
      <c r="Q38" s="1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6"/>
      <c r="O39" s="16"/>
      <c r="P39" s="16"/>
      <c r="Q39" s="1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6"/>
      <c r="O40" s="16"/>
      <c r="P40" s="16"/>
      <c r="Q40" s="1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6"/>
      <c r="O41" s="16"/>
      <c r="P41" s="16"/>
      <c r="Q41" s="1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6"/>
      <c r="O42" s="16"/>
      <c r="P42" s="16"/>
      <c r="Q42" s="1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6"/>
      <c r="O43" s="16"/>
      <c r="P43" s="16"/>
      <c r="Q43" s="1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6"/>
      <c r="O44" s="16"/>
      <c r="P44" s="16"/>
      <c r="Q44" s="1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6"/>
      <c r="O45" s="16"/>
      <c r="P45" s="16"/>
      <c r="Q45" s="1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6"/>
      <c r="O46" s="16"/>
      <c r="P46" s="16"/>
      <c r="Q46" s="1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"/>
      <c r="O47" s="16"/>
      <c r="P47" s="16"/>
      <c r="Q47" s="1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6"/>
      <c r="O48" s="16"/>
      <c r="P48" s="16"/>
      <c r="Q48" s="1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"/>
      <c r="O49" s="16"/>
      <c r="P49" s="16"/>
      <c r="Q49" s="1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6"/>
      <c r="O50" s="16"/>
      <c r="P50" s="16"/>
      <c r="Q50" s="1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6"/>
      <c r="O51" s="16"/>
      <c r="P51" s="16"/>
      <c r="Q51" s="1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6"/>
      <c r="O52" s="16"/>
      <c r="P52" s="16"/>
      <c r="Q52" s="1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6"/>
      <c r="O53" s="16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6"/>
      <c r="O54" s="16"/>
      <c r="P54" s="16"/>
      <c r="Q54" s="1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6"/>
      <c r="O55" s="16"/>
      <c r="P55" s="16"/>
      <c r="Q55" s="1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6"/>
      <c r="O56" s="16"/>
      <c r="P56" s="16"/>
      <c r="Q56" s="1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6"/>
      <c r="O57" s="16"/>
      <c r="P57" s="16"/>
      <c r="Q57" s="1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6"/>
      <c r="O58" s="16"/>
      <c r="P58" s="16"/>
      <c r="Q58" s="1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6"/>
      <c r="O59" s="16"/>
      <c r="P59" s="16"/>
      <c r="Q59" s="1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6"/>
      <c r="O60" s="16"/>
      <c r="P60" s="16"/>
      <c r="Q60" s="1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6"/>
      <c r="O61" s="16"/>
      <c r="P61" s="16"/>
      <c r="Q61" s="1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6"/>
      <c r="O62" s="16"/>
      <c r="P62" s="16"/>
      <c r="Q62" s="1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6"/>
      <c r="O63" s="16"/>
      <c r="P63" s="16"/>
      <c r="Q63" s="1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6"/>
      <c r="O64" s="16"/>
      <c r="P64" s="16"/>
      <c r="Q64" s="1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6"/>
      <c r="O65" s="16"/>
      <c r="P65" s="16"/>
      <c r="Q65" s="1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6"/>
      <c r="O66" s="16"/>
      <c r="P66" s="16"/>
      <c r="Q66" s="1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6"/>
      <c r="O67" s="16"/>
      <c r="P67" s="16"/>
      <c r="Q67" s="1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6"/>
      <c r="O68" s="16"/>
      <c r="P68" s="16"/>
      <c r="Q68" s="1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6"/>
      <c r="O69" s="16"/>
      <c r="P69" s="16"/>
      <c r="Q69" s="1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6"/>
      <c r="O70" s="16"/>
      <c r="P70" s="16"/>
      <c r="Q70" s="1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6"/>
      <c r="O71" s="16"/>
      <c r="P71" s="16"/>
      <c r="Q71" s="1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6"/>
      <c r="O72" s="16"/>
      <c r="P72" s="16"/>
      <c r="Q72" s="1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6"/>
      <c r="O73" s="16"/>
      <c r="P73" s="16"/>
      <c r="Q73" s="1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6"/>
      <c r="O74" s="16"/>
      <c r="P74" s="16"/>
      <c r="Q74" s="1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6"/>
      <c r="O75" s="16"/>
      <c r="P75" s="16"/>
      <c r="Q75" s="1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6"/>
      <c r="O76" s="16"/>
      <c r="P76" s="16"/>
      <c r="Q76" s="1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6"/>
      <c r="O77" s="16"/>
      <c r="P77" s="16"/>
      <c r="Q77" s="1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6"/>
      <c r="O78" s="16"/>
      <c r="P78" s="16"/>
      <c r="Q78" s="1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6"/>
      <c r="O79" s="16"/>
      <c r="P79" s="16"/>
      <c r="Q79" s="1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6"/>
      <c r="O80" s="16"/>
      <c r="P80" s="16"/>
      <c r="Q80" s="1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6"/>
      <c r="O81" s="16"/>
      <c r="P81" s="16"/>
      <c r="Q81" s="1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6"/>
      <c r="O82" s="16"/>
      <c r="P82" s="16"/>
      <c r="Q82" s="1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6"/>
      <c r="O83" s="16"/>
      <c r="P83" s="16"/>
      <c r="Q83" s="1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6"/>
      <c r="O84" s="16"/>
      <c r="P84" s="16"/>
      <c r="Q84" s="1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6"/>
      <c r="O85" s="16"/>
      <c r="P85" s="16"/>
      <c r="Q85" s="1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6"/>
      <c r="O86" s="16"/>
      <c r="P86" s="16"/>
      <c r="Q86" s="1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6"/>
      <c r="O87" s="16"/>
      <c r="P87" s="16"/>
      <c r="Q87" s="1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6"/>
      <c r="O88" s="16"/>
      <c r="P88" s="16"/>
      <c r="Q88" s="1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6"/>
      <c r="O89" s="16"/>
      <c r="P89" s="16"/>
      <c r="Q89" s="1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6"/>
      <c r="O90" s="16"/>
      <c r="P90" s="16"/>
      <c r="Q90" s="1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6"/>
      <c r="O91" s="16"/>
      <c r="P91" s="16"/>
      <c r="Q91" s="1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6"/>
      <c r="O92" s="16"/>
      <c r="P92" s="16"/>
      <c r="Q92" s="1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6"/>
      <c r="O93" s="16"/>
      <c r="P93" s="16"/>
      <c r="Q93" s="1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6"/>
      <c r="O94" s="16"/>
      <c r="P94" s="16"/>
      <c r="Q94" s="1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6"/>
      <c r="O95" s="16"/>
      <c r="P95" s="16"/>
      <c r="Q95" s="1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6"/>
      <c r="O96" s="16"/>
      <c r="P96" s="16"/>
      <c r="Q96" s="1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6"/>
      <c r="O97" s="16"/>
      <c r="P97" s="16"/>
      <c r="Q97" s="1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6"/>
      <c r="O98" s="16"/>
      <c r="P98" s="16"/>
      <c r="Q98" s="1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6"/>
      <c r="O99" s="16"/>
      <c r="P99" s="16"/>
      <c r="Q99" s="1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6"/>
      <c r="O100" s="16"/>
      <c r="P100" s="16"/>
      <c r="Q100" s="1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6"/>
      <c r="O101" s="16"/>
      <c r="P101" s="16"/>
      <c r="Q101" s="1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6"/>
      <c r="O102" s="16"/>
      <c r="P102" s="16"/>
      <c r="Q102" s="1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6"/>
      <c r="O103" s="16"/>
      <c r="P103" s="16"/>
      <c r="Q103" s="1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6"/>
      <c r="O104" s="16"/>
      <c r="P104" s="16"/>
      <c r="Q104" s="1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6"/>
      <c r="O105" s="16"/>
      <c r="P105" s="16"/>
      <c r="Q105" s="1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6"/>
      <c r="O106" s="16"/>
      <c r="P106" s="16"/>
      <c r="Q106" s="1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6"/>
      <c r="O107" s="16"/>
      <c r="P107" s="16"/>
      <c r="Q107" s="1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6"/>
      <c r="O108" s="16"/>
      <c r="P108" s="16"/>
      <c r="Q108" s="1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6"/>
      <c r="O109" s="16"/>
      <c r="P109" s="16"/>
      <c r="Q109" s="1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6"/>
      <c r="O110" s="16"/>
      <c r="P110" s="16"/>
      <c r="Q110" s="1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6"/>
      <c r="O111" s="16"/>
      <c r="P111" s="16"/>
      <c r="Q111" s="1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6"/>
      <c r="O112" s="16"/>
      <c r="P112" s="16"/>
      <c r="Q112" s="1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6"/>
      <c r="O113" s="16"/>
      <c r="P113" s="16"/>
      <c r="Q113" s="1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6"/>
      <c r="O114" s="16"/>
      <c r="P114" s="16"/>
      <c r="Q114" s="1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6"/>
      <c r="O115" s="16"/>
      <c r="P115" s="16"/>
      <c r="Q115" s="1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6"/>
      <c r="O116" s="16"/>
      <c r="P116" s="16"/>
      <c r="Q116" s="1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6"/>
      <c r="O117" s="16"/>
      <c r="P117" s="16"/>
      <c r="Q117" s="1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6"/>
      <c r="O118" s="16"/>
      <c r="P118" s="16"/>
      <c r="Q118" s="1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6"/>
      <c r="O119" s="16"/>
      <c r="P119" s="16"/>
      <c r="Q119" s="1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6"/>
      <c r="O120" s="16"/>
      <c r="P120" s="16"/>
      <c r="Q120" s="1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6"/>
      <c r="O121" s="16"/>
      <c r="P121" s="16"/>
      <c r="Q121" s="1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6"/>
      <c r="O122" s="16"/>
      <c r="P122" s="16"/>
      <c r="Q122" s="1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6"/>
      <c r="O123" s="16"/>
      <c r="P123" s="16"/>
      <c r="Q123" s="1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6"/>
      <c r="O124" s="16"/>
      <c r="P124" s="16"/>
      <c r="Q124" s="1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6"/>
      <c r="O125" s="16"/>
      <c r="P125" s="16"/>
      <c r="Q125" s="1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6"/>
      <c r="O126" s="16"/>
      <c r="P126" s="16"/>
      <c r="Q126" s="1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6"/>
      <c r="O127" s="16"/>
      <c r="P127" s="16"/>
      <c r="Q127" s="1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6"/>
      <c r="O128" s="16"/>
      <c r="P128" s="16"/>
      <c r="Q128" s="1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6"/>
      <c r="O129" s="16"/>
      <c r="P129" s="16"/>
      <c r="Q129" s="1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6"/>
      <c r="O130" s="16"/>
      <c r="P130" s="16"/>
      <c r="Q130" s="1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6"/>
      <c r="O131" s="16"/>
      <c r="P131" s="16"/>
      <c r="Q131" s="1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6"/>
      <c r="O132" s="16"/>
      <c r="P132" s="16"/>
      <c r="Q132" s="1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6"/>
      <c r="O133" s="16"/>
      <c r="P133" s="16"/>
      <c r="Q133" s="1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6"/>
      <c r="O134" s="16"/>
      <c r="P134" s="16"/>
      <c r="Q134" s="1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6"/>
      <c r="O135" s="16"/>
      <c r="P135" s="16"/>
      <c r="Q135" s="1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6"/>
      <c r="O136" s="16"/>
      <c r="P136" s="16"/>
      <c r="Q136" s="1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6"/>
      <c r="O137" s="16"/>
      <c r="P137" s="16"/>
      <c r="Q137" s="1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6"/>
      <c r="O138" s="16"/>
      <c r="P138" s="16"/>
      <c r="Q138" s="1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6"/>
      <c r="O139" s="16"/>
      <c r="P139" s="16"/>
      <c r="Q139" s="1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6"/>
      <c r="O140" s="16"/>
      <c r="P140" s="16"/>
      <c r="Q140" s="1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6"/>
      <c r="O141" s="16"/>
      <c r="P141" s="16"/>
      <c r="Q141" s="1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6"/>
      <c r="O142" s="16"/>
      <c r="P142" s="16"/>
      <c r="Q142" s="1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6"/>
      <c r="O143" s="16"/>
      <c r="P143" s="16"/>
      <c r="Q143" s="1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6"/>
      <c r="O144" s="16"/>
      <c r="P144" s="16"/>
      <c r="Q144" s="1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6"/>
      <c r="O145" s="16"/>
      <c r="P145" s="16"/>
      <c r="Q145" s="1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6"/>
      <c r="O146" s="16"/>
      <c r="P146" s="16"/>
      <c r="Q146" s="1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6"/>
      <c r="O147" s="16"/>
      <c r="P147" s="16"/>
      <c r="Q147" s="1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6"/>
      <c r="O148" s="16"/>
      <c r="P148" s="16"/>
      <c r="Q148" s="1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6"/>
      <c r="O149" s="16"/>
      <c r="P149" s="16"/>
      <c r="Q149" s="1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6"/>
      <c r="O150" s="16"/>
      <c r="P150" s="16"/>
      <c r="Q150" s="1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6"/>
      <c r="O151" s="16"/>
      <c r="P151" s="16"/>
      <c r="Q151" s="1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6"/>
      <c r="O152" s="16"/>
      <c r="P152" s="16"/>
      <c r="Q152" s="1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6"/>
      <c r="O153" s="16"/>
      <c r="P153" s="16"/>
      <c r="Q153" s="1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6"/>
      <c r="O154" s="16"/>
      <c r="P154" s="16"/>
      <c r="Q154" s="1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6"/>
      <c r="O155" s="16"/>
      <c r="P155" s="16"/>
      <c r="Q155" s="1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6"/>
      <c r="O156" s="16"/>
      <c r="P156" s="16"/>
      <c r="Q156" s="1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6"/>
      <c r="O157" s="16"/>
      <c r="P157" s="16"/>
      <c r="Q157" s="1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6"/>
      <c r="O158" s="16"/>
      <c r="P158" s="16"/>
      <c r="Q158" s="1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6"/>
      <c r="O159" s="16"/>
      <c r="P159" s="16"/>
      <c r="Q159" s="1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6"/>
      <c r="O160" s="16"/>
      <c r="P160" s="16"/>
      <c r="Q160" s="1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6"/>
      <c r="O161" s="16"/>
      <c r="P161" s="16"/>
      <c r="Q161" s="1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6"/>
      <c r="O162" s="16"/>
      <c r="P162" s="16"/>
      <c r="Q162" s="1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6"/>
      <c r="O163" s="16"/>
      <c r="P163" s="16"/>
      <c r="Q163" s="1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6"/>
      <c r="O164" s="16"/>
      <c r="P164" s="16"/>
      <c r="Q164" s="1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6"/>
      <c r="O165" s="16"/>
      <c r="P165" s="16"/>
      <c r="Q165" s="1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6"/>
      <c r="O166" s="16"/>
      <c r="P166" s="16"/>
      <c r="Q166" s="1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6"/>
      <c r="O167" s="16"/>
      <c r="P167" s="16"/>
      <c r="Q167" s="1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6"/>
      <c r="O168" s="16"/>
      <c r="P168" s="16"/>
      <c r="Q168" s="1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6"/>
      <c r="O169" s="16"/>
      <c r="P169" s="16"/>
      <c r="Q169" s="1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6"/>
      <c r="O170" s="16"/>
      <c r="P170" s="16"/>
      <c r="Q170" s="1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6"/>
      <c r="O171" s="16"/>
      <c r="P171" s="16"/>
      <c r="Q171" s="1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6"/>
      <c r="O172" s="16"/>
      <c r="P172" s="16"/>
      <c r="Q172" s="1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6"/>
      <c r="O173" s="16"/>
      <c r="P173" s="16"/>
      <c r="Q173" s="1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6"/>
      <c r="O174" s="16"/>
      <c r="P174" s="16"/>
      <c r="Q174" s="1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6"/>
      <c r="O175" s="16"/>
      <c r="P175" s="16"/>
      <c r="Q175" s="1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6"/>
      <c r="O176" s="16"/>
      <c r="P176" s="16"/>
      <c r="Q176" s="1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6"/>
      <c r="O177" s="16"/>
      <c r="P177" s="16"/>
      <c r="Q177" s="1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6"/>
      <c r="O178" s="16"/>
      <c r="P178" s="16"/>
      <c r="Q178" s="1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6"/>
      <c r="O179" s="16"/>
      <c r="P179" s="16"/>
      <c r="Q179" s="1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6"/>
      <c r="O180" s="16"/>
      <c r="P180" s="16"/>
      <c r="Q180" s="1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6"/>
      <c r="O181" s="16"/>
      <c r="P181" s="16"/>
      <c r="Q181" s="1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6"/>
      <c r="O182" s="16"/>
      <c r="P182" s="16"/>
      <c r="Q182" s="1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6"/>
      <c r="O183" s="16"/>
      <c r="P183" s="16"/>
      <c r="Q183" s="1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6"/>
      <c r="O184" s="16"/>
      <c r="P184" s="16"/>
      <c r="Q184" s="1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6"/>
      <c r="O185" s="16"/>
      <c r="P185" s="16"/>
      <c r="Q185" s="1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6"/>
      <c r="O186" s="16"/>
      <c r="P186" s="16"/>
      <c r="Q186" s="1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6"/>
      <c r="O187" s="16"/>
      <c r="P187" s="16"/>
      <c r="Q187" s="1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6"/>
      <c r="O188" s="16"/>
      <c r="P188" s="16"/>
      <c r="Q188" s="1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6"/>
      <c r="O189" s="16"/>
      <c r="P189" s="16"/>
      <c r="Q189" s="1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6"/>
      <c r="O190" s="16"/>
      <c r="P190" s="16"/>
      <c r="Q190" s="1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6"/>
      <c r="O191" s="16"/>
      <c r="P191" s="16"/>
      <c r="Q191" s="1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6"/>
      <c r="O192" s="16"/>
      <c r="P192" s="16"/>
      <c r="Q192" s="1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6"/>
      <c r="O193" s="16"/>
      <c r="P193" s="16"/>
      <c r="Q193" s="1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6"/>
      <c r="O194" s="16"/>
      <c r="P194" s="16"/>
      <c r="Q194" s="1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6"/>
      <c r="O195" s="16"/>
      <c r="P195" s="16"/>
      <c r="Q195" s="1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6"/>
      <c r="O196" s="16"/>
      <c r="P196" s="16"/>
      <c r="Q196" s="1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6"/>
      <c r="O197" s="16"/>
      <c r="P197" s="16"/>
      <c r="Q197" s="1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6"/>
      <c r="O198" s="16"/>
      <c r="P198" s="16"/>
      <c r="Q198" s="1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6"/>
      <c r="O199" s="16"/>
      <c r="P199" s="16"/>
      <c r="Q199" s="1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6"/>
      <c r="O200" s="16"/>
      <c r="P200" s="16"/>
      <c r="Q200" s="1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6"/>
      <c r="O201" s="16"/>
      <c r="P201" s="16"/>
      <c r="Q201" s="16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6"/>
      <c r="O202" s="16"/>
      <c r="P202" s="16"/>
      <c r="Q202" s="16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6"/>
      <c r="O203" s="16"/>
      <c r="P203" s="16"/>
      <c r="Q203" s="16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6"/>
      <c r="O204" s="16"/>
      <c r="P204" s="16"/>
      <c r="Q204" s="16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6"/>
      <c r="O205" s="16"/>
      <c r="P205" s="16"/>
      <c r="Q205" s="16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6"/>
      <c r="O206" s="16"/>
      <c r="P206" s="16"/>
      <c r="Q206" s="16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6"/>
      <c r="O207" s="16"/>
      <c r="P207" s="16"/>
      <c r="Q207" s="16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6"/>
      <c r="O208" s="16"/>
      <c r="P208" s="16"/>
      <c r="Q208" s="16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6"/>
      <c r="O209" s="16"/>
      <c r="P209" s="16"/>
      <c r="Q209" s="16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6"/>
      <c r="O210" s="16"/>
      <c r="P210" s="16"/>
      <c r="Q210" s="16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6"/>
      <c r="O211" s="16"/>
      <c r="P211" s="16"/>
      <c r="Q211" s="16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6"/>
      <c r="O212" s="16"/>
      <c r="P212" s="16"/>
      <c r="Q212" s="1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6"/>
      <c r="O213" s="16"/>
      <c r="P213" s="16"/>
      <c r="Q213" s="16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6"/>
      <c r="O214" s="16"/>
      <c r="P214" s="16"/>
      <c r="Q214" s="16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6"/>
      <c r="O215" s="16"/>
      <c r="P215" s="16"/>
      <c r="Q215" s="16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6"/>
      <c r="O216" s="16"/>
      <c r="P216" s="16"/>
      <c r="Q216" s="16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6"/>
      <c r="O217" s="16"/>
      <c r="P217" s="16"/>
      <c r="Q217" s="16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6"/>
      <c r="O218" s="16"/>
      <c r="P218" s="16"/>
      <c r="Q218" s="16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6"/>
      <c r="O219" s="16"/>
      <c r="P219" s="16"/>
      <c r="Q219" s="16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6"/>
      <c r="O220" s="16"/>
      <c r="P220" s="16"/>
      <c r="Q220" s="16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6"/>
      <c r="O221" s="16"/>
      <c r="P221" s="16"/>
      <c r="Q221" s="16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6"/>
      <c r="O222" s="16"/>
      <c r="P222" s="16"/>
      <c r="Q222" s="16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6"/>
      <c r="O223" s="16"/>
      <c r="P223" s="16"/>
      <c r="Q223" s="16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6"/>
      <c r="O224" s="16"/>
      <c r="P224" s="16"/>
      <c r="Q224" s="16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6"/>
      <c r="O225" s="16"/>
      <c r="P225" s="16"/>
      <c r="Q225" s="16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6"/>
      <c r="O226" s="16"/>
      <c r="P226" s="16"/>
      <c r="Q226" s="16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6"/>
      <c r="O227" s="16"/>
      <c r="P227" s="16"/>
      <c r="Q227" s="16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6"/>
      <c r="O228" s="16"/>
      <c r="P228" s="16"/>
      <c r="Q228" s="16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6"/>
      <c r="O229" s="16"/>
      <c r="P229" s="16"/>
      <c r="Q229" s="16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6"/>
      <c r="O230" s="16"/>
      <c r="P230" s="16"/>
      <c r="Q230" s="16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260"/>
  <sheetViews>
    <sheetView showGridLines="0" workbookViewId="0"/>
  </sheetViews>
  <sheetFormatPr defaultRowHeight="13.8"/>
  <cols>
    <col min="1" max="1" width="43" customWidth="1"/>
    <col min="2" max="2" width="13" customWidth="1"/>
    <col min="3" max="17" width="11.5" customWidth="1"/>
  </cols>
  <sheetData>
    <row r="1" spans="1:47" ht="25.95" customHeight="1">
      <c r="A1" s="37" t="s">
        <v>481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>
      <c r="A2" s="38" t="s">
        <v>482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15" t="s">
        <v>13</v>
      </c>
      <c r="O5" s="15" t="s">
        <v>14</v>
      </c>
      <c r="P5" s="15" t="s">
        <v>15</v>
      </c>
      <c r="Q5" s="15" t="s">
        <v>16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6"/>
      <c r="O6" s="16"/>
      <c r="P6" s="16"/>
      <c r="Q6" s="1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405</v>
      </c>
      <c r="B7" s="1" t="s">
        <v>20</v>
      </c>
      <c r="C7" s="17">
        <f>IF('Raw Operating'!C14="","",'Raw Operating'!C14)</f>
        <v>0.85499999999999998</v>
      </c>
      <c r="D7" s="17">
        <f>IF('Raw Operating'!D14="","",'Raw Operating'!D14)</f>
        <v>0.86399999999999999</v>
      </c>
      <c r="E7" s="17">
        <f>IF('Raw Operating'!E14="","",'Raw Operating'!E14)</f>
        <v>0.83499999999999996</v>
      </c>
      <c r="F7" s="17">
        <f>IF('Raw Operating'!F14="","",'Raw Operating'!F14)</f>
        <v>0.81699999999999995</v>
      </c>
      <c r="G7" s="17">
        <f>IF('Raw Operating'!G14="","",'Raw Operating'!G14)</f>
        <v>0.81</v>
      </c>
      <c r="H7" s="17">
        <f>IF('Raw Operating'!H14="","",'Raw Operating'!H14)</f>
        <v>0.80800000000000005</v>
      </c>
      <c r="I7" s="17">
        <f>IF('Raw Operating'!I14="","",'Raw Operating'!I14)</f>
        <v>0.78800000000000003</v>
      </c>
      <c r="J7" s="17">
        <f>IF('Raw Operating'!J14="","",'Raw Operating'!J14)</f>
        <v>0.78</v>
      </c>
      <c r="K7" s="17">
        <f>IF('Raw Operating'!K14="","",'Raw Operating'!K14)</f>
        <v>0.79600000000000004</v>
      </c>
      <c r="L7" s="17">
        <f>IF('Raw Operating'!L14="","",'Raw Operating'!L14)</f>
        <v>0.80800000000000005</v>
      </c>
      <c r="M7" s="17">
        <f>IF('Raw Operating'!M14="","",'Raw Operating'!M14)</f>
        <v>0.80600000000000005</v>
      </c>
      <c r="N7" s="22">
        <f>M7-0.005</f>
        <v>0.80100000000000005</v>
      </c>
      <c r="O7" s="22">
        <f>N7-0.005</f>
        <v>0.79600000000000004</v>
      </c>
      <c r="P7" s="22">
        <f>O7-0.005</f>
        <v>0.79100000000000004</v>
      </c>
      <c r="Q7" s="22">
        <f>P7-0.005</f>
        <v>0.78600000000000003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483</v>
      </c>
      <c r="B8" s="1" t="s">
        <v>18</v>
      </c>
      <c r="C8" s="20">
        <f>IF(C7="","",C7*'Annual P&amp;L'!B5)</f>
        <v>19770.430049999999</v>
      </c>
      <c r="D8" s="20">
        <f>IF(D7="","",D7*'Annual P&amp;L'!C5)</f>
        <v>24869.712960000001</v>
      </c>
      <c r="E8" s="20">
        <f>IF(E7="","",E7*'Annual P&amp;L'!D5)</f>
        <v>25331.420049999997</v>
      </c>
      <c r="F8" s="20">
        <f>IF(F7="","",F7*'Annual P&amp;L'!E5)</f>
        <v>27499.737970000002</v>
      </c>
      <c r="G8" s="20">
        <f>IF(G7="","",G7*'Annual P&amp;L'!F5)</f>
        <v>28883.044800000003</v>
      </c>
      <c r="H8" s="20">
        <f>IF(H7="","",H7*'Annual P&amp;L'!G5)</f>
        <v>33838.135040000001</v>
      </c>
      <c r="I8" s="20">
        <f>IF(I7="","",I7*'Annual P&amp;L'!H5)</f>
        <v>45000.678480000002</v>
      </c>
      <c r="J8" s="20">
        <f>IF(J7="","",J7*'Annual P&amp;L'!I5)</f>
        <v>65134.617599999998</v>
      </c>
      <c r="K8" s="20">
        <f>IF(K7="","",K7*'Annual P&amp;L'!J5)</f>
        <v>78179.832519999996</v>
      </c>
      <c r="L8" s="20">
        <f>IF(L7="","",L7*'Annual P&amp;L'!K5)</f>
        <v>96464.833360000004</v>
      </c>
      <c r="M8" s="20">
        <f>IF(M7="","",M7*'Annual P&amp;L'!L5)</f>
        <v>118872.49894</v>
      </c>
      <c r="N8" s="24">
        <f>IF(N7="","",N7*'Annual P&amp;L'!M5)</f>
        <v>145396.63099697666</v>
      </c>
      <c r="O8" s="24">
        <f>IF(O7="","",O7*'Annual P&amp;L'!N5)</f>
        <v>172606.30254298839</v>
      </c>
      <c r="P8" s="24">
        <f>IF(P7="","",P7*'Annual P&amp;L'!O5)</f>
        <v>195591.30143194931</v>
      </c>
      <c r="Q8" s="24">
        <f>IF(Q7="","",Q7*'Annual P&amp;L'!P5)</f>
        <v>221644.40906722337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406</v>
      </c>
      <c r="B9" s="1" t="s">
        <v>20</v>
      </c>
      <c r="C9" s="17">
        <f>IF('Raw Operating'!C15="","",'Raw Operating'!C15)</f>
        <v>6.5000000000000002E-2</v>
      </c>
      <c r="D9" s="17">
        <f>IF('Raw Operating'!D15="","",'Raw Operating'!D15)</f>
        <v>5.5E-2</v>
      </c>
      <c r="E9" s="17">
        <f>IF('Raw Operating'!E15="","",'Raw Operating'!E15)</f>
        <v>7.4999999999999997E-2</v>
      </c>
      <c r="F9" s="17">
        <f>IF('Raw Operating'!F15="","",'Raw Operating'!F15)</f>
        <v>8.7999999999999995E-2</v>
      </c>
      <c r="G9" s="17">
        <f>IF('Raw Operating'!G15="","",'Raw Operating'!G15)</f>
        <v>9.5000000000000001E-2</v>
      </c>
      <c r="H9" s="17">
        <f>IF('Raw Operating'!H15="","",'Raw Operating'!H15)</f>
        <v>9.1999999999999998E-2</v>
      </c>
      <c r="I9" s="17">
        <f>IF('Raw Operating'!I15="","",'Raw Operating'!I15)</f>
        <v>8.6999999999999994E-2</v>
      </c>
      <c r="J9" s="17">
        <f>IF('Raw Operating'!J15="","",'Raw Operating'!J15)</f>
        <v>0.09</v>
      </c>
      <c r="K9" s="17">
        <f>IF('Raw Operating'!K15="","",'Raw Operating'!K15)</f>
        <v>0.09</v>
      </c>
      <c r="L9" s="17">
        <f>IF('Raw Operating'!L15="","",'Raw Operating'!L15)</f>
        <v>8.1000000000000003E-2</v>
      </c>
      <c r="M9" s="17">
        <f>IF('Raw Operating'!M15="","",'Raw Operating'!M15)</f>
        <v>8.6999999999999994E-2</v>
      </c>
      <c r="N9" s="22">
        <f>MIN(0.13,M9+0.005)</f>
        <v>9.1999999999999998E-2</v>
      </c>
      <c r="O9" s="22">
        <f>MIN(0.13,N9+0.005)</f>
        <v>9.7000000000000003E-2</v>
      </c>
      <c r="P9" s="22">
        <f>MIN(0.13,O9+0.005)</f>
        <v>0.10200000000000001</v>
      </c>
      <c r="Q9" s="22">
        <f>MIN(0.13,P9+0.005)</f>
        <v>0.10700000000000001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484</v>
      </c>
      <c r="B10" s="1" t="s">
        <v>18</v>
      </c>
      <c r="C10" s="20">
        <f>IF(C9="","",C9*'Annual P&amp;L'!B5)</f>
        <v>1503.0151500000002</v>
      </c>
      <c r="D10" s="20">
        <f>IF(D9="","",D9*'Annual P&amp;L'!C5)</f>
        <v>1583.1414500000001</v>
      </c>
      <c r="E10" s="20">
        <f>IF(E9="","",E9*'Annual P&amp;L'!D5)</f>
        <v>2275.2772499999996</v>
      </c>
      <c r="F10" s="20">
        <f>IF(F9="","",F9*'Annual P&amp;L'!E5)</f>
        <v>2962.02808</v>
      </c>
      <c r="G10" s="20">
        <f>IF(G9="","",G9*'Annual P&amp;L'!F5)</f>
        <v>3387.5176000000001</v>
      </c>
      <c r="H10" s="20">
        <f>IF(H9="","",H9*'Annual P&amp;L'!G5)</f>
        <v>3852.8569599999996</v>
      </c>
      <c r="I10" s="20">
        <f>IF(I9="","",I9*'Annual P&amp;L'!H5)</f>
        <v>4968.3490199999997</v>
      </c>
      <c r="J10" s="20">
        <f>IF(J9="","",J9*'Annual P&amp;L'!I5)</f>
        <v>7515.5328</v>
      </c>
      <c r="K10" s="20">
        <f>IF(K9="","",K9*'Annual P&amp;L'!J5)</f>
        <v>8839.4282999999996</v>
      </c>
      <c r="L10" s="20">
        <f>IF(L9="","",L9*'Annual P&amp;L'!K5)</f>
        <v>9670.3607699999993</v>
      </c>
      <c r="M10" s="20">
        <f>IF(M9="","",M9*'Annual P&amp;L'!L5)</f>
        <v>12831.150629999998</v>
      </c>
      <c r="N10" s="24">
        <f>IF(N9="","",N9*'Annual P&amp;L'!M5)</f>
        <v>16699.737892286954</v>
      </c>
      <c r="O10" s="24">
        <f>IF(O9="","",O9*'Annual P&amp;L'!N5)</f>
        <v>21033.682596318933</v>
      </c>
      <c r="P10" s="24">
        <f>IF(P9="","",P9*'Annual P&amp;L'!O5)</f>
        <v>25221.634318658445</v>
      </c>
      <c r="Q10" s="24">
        <f>IF(Q9="","",Q9*'Annual P&amp;L'!P5)</f>
        <v>30172.966628744154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407</v>
      </c>
      <c r="B11" s="1" t="s">
        <v>20</v>
      </c>
      <c r="C11" s="17" t="str">
        <f>IF('Raw Operating'!C16="","",'Raw Operating'!C16)</f>
        <v/>
      </c>
      <c r="D11" s="17" t="str">
        <f>IF('Raw Operating'!D16="","",'Raw Operating'!D16)</f>
        <v/>
      </c>
      <c r="E11" s="17" t="str">
        <f>IF('Raw Operating'!E16="","",'Raw Operating'!E16)</f>
        <v/>
      </c>
      <c r="F11" s="17" t="str">
        <f>IF('Raw Operating'!F16="","",'Raw Operating'!F16)</f>
        <v/>
      </c>
      <c r="G11" s="17" t="str">
        <f>IF('Raw Operating'!G16="","",'Raw Operating'!G16)</f>
        <v/>
      </c>
      <c r="H11" s="17" t="str">
        <f>IF('Raw Operating'!H16="","",'Raw Operating'!H16)</f>
        <v/>
      </c>
      <c r="I11" s="17" t="str">
        <f>IF('Raw Operating'!I16="","",'Raw Operating'!I16)</f>
        <v/>
      </c>
      <c r="J11" s="17" t="str">
        <f>IF('Raw Operating'!J16="","",'Raw Operating'!J16)</f>
        <v/>
      </c>
      <c r="K11" s="17" t="str">
        <f>IF('Raw Operating'!K16="","",'Raw Operating'!K16)</f>
        <v/>
      </c>
      <c r="L11" s="17">
        <f>IF('Raw Operating'!L16="","",'Raw Operating'!L16)</f>
        <v>9.4E-2</v>
      </c>
      <c r="M11" s="17">
        <f>IF('Raw Operating'!M16="","",'Raw Operating'!M16)</f>
        <v>8.7999999999999995E-2</v>
      </c>
      <c r="N11" s="22">
        <f>IF(M11="",0.09,M11)</f>
        <v>8.7999999999999995E-2</v>
      </c>
      <c r="O11" s="22">
        <f>IF(N11="",0.09,N11)</f>
        <v>8.7999999999999995E-2</v>
      </c>
      <c r="P11" s="22">
        <f>IF(O11="",0.09,O11)</f>
        <v>8.7999999999999995E-2</v>
      </c>
      <c r="Q11" s="22">
        <f>IF(P11="",0.09,P11)</f>
        <v>8.7999999999999995E-2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485</v>
      </c>
      <c r="B12" s="1" t="s">
        <v>18</v>
      </c>
      <c r="C12" s="20" t="str">
        <f>IF(C11="","",C11*'Annual P&amp;L'!B5)</f>
        <v/>
      </c>
      <c r="D12" s="20" t="str">
        <f>IF(D11="","",D11*'Annual P&amp;L'!C5)</f>
        <v/>
      </c>
      <c r="E12" s="20" t="str">
        <f>IF(E11="","",E11*'Annual P&amp;L'!D5)</f>
        <v/>
      </c>
      <c r="F12" s="20" t="str">
        <f>IF(F11="","",F11*'Annual P&amp;L'!E5)</f>
        <v/>
      </c>
      <c r="G12" s="20" t="str">
        <f>IF(G11="","",G11*'Annual P&amp;L'!F5)</f>
        <v/>
      </c>
      <c r="H12" s="20" t="str">
        <f>IF(H11="","",H11*'Annual P&amp;L'!G5)</f>
        <v/>
      </c>
      <c r="I12" s="20" t="str">
        <f>IF(I11="","",I11*'Annual P&amp;L'!H5)</f>
        <v/>
      </c>
      <c r="J12" s="20" t="str">
        <f>IF(J11="","",J11*'Annual P&amp;L'!I5)</f>
        <v/>
      </c>
      <c r="K12" s="20" t="str">
        <f>IF(K11="","",K11*'Annual P&amp;L'!J5)</f>
        <v/>
      </c>
      <c r="L12" s="20">
        <f>IF(L11="","",L11*'Annual P&amp;L'!K5)</f>
        <v>11222.393980000001</v>
      </c>
      <c r="M12" s="20">
        <f>IF(M11="","",M11*'Annual P&amp;L'!L5)</f>
        <v>12978.635119999999</v>
      </c>
      <c r="N12" s="24">
        <f>IF(N11="","",N11*'Annual P&amp;L'!M5)</f>
        <v>15973.662331752737</v>
      </c>
      <c r="O12" s="24">
        <f>IF(O11="","",O11*'Annual P&amp;L'!N5)</f>
        <v>19082.103798722332</v>
      </c>
      <c r="P12" s="24">
        <f>IF(P11="","",P11*'Annual P&amp;L'!O5)</f>
        <v>21759.841372960225</v>
      </c>
      <c r="Q12" s="24">
        <f>IF(Q11="","",Q11*'Annual P&amp;L'!P5)</f>
        <v>24815.150124574626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408</v>
      </c>
      <c r="B13" s="1" t="s">
        <v>20</v>
      </c>
      <c r="C13" s="17">
        <f>IF('Raw Operating'!C17="","",'Raw Operating'!C17)</f>
        <v>0.08</v>
      </c>
      <c r="D13" s="17">
        <f>IF('Raw Operating'!D17="","",'Raw Operating'!D17)</f>
        <v>8.1000000000000003E-2</v>
      </c>
      <c r="E13" s="17">
        <f>IF('Raw Operating'!E17="","",'Raw Operating'!E17)</f>
        <v>0.09</v>
      </c>
      <c r="F13" s="17">
        <f>IF('Raw Operating'!F17="","",'Raw Operating'!F17)</f>
        <v>9.5000000000000001E-2</v>
      </c>
      <c r="G13" s="17">
        <f>IF('Raw Operating'!G17="","",'Raw Operating'!G17)</f>
        <v>9.5000000000000001E-2</v>
      </c>
      <c r="H13" s="17">
        <f>IF('Raw Operating'!H17="","",'Raw Operating'!H17)</f>
        <v>0.1</v>
      </c>
      <c r="I13" s="17">
        <f>IF('Raw Operating'!I17="","",'Raw Operating'!I17)</f>
        <v>0.125</v>
      </c>
      <c r="J13" s="17">
        <f>IF('Raw Operating'!J17="","",'Raw Operating'!J17)</f>
        <v>0.13</v>
      </c>
      <c r="K13" s="17">
        <f>IF('Raw Operating'!K17="","",'Raw Operating'!K17)</f>
        <v>0.114</v>
      </c>
      <c r="L13" s="17">
        <f>IF('Raw Operating'!L17="","",'Raw Operating'!L17)</f>
        <v>1.7000000000000001E-2</v>
      </c>
      <c r="M13" s="17">
        <f>IF('Raw Operating'!M17="","",'Raw Operating'!M17)</f>
        <v>1.9E-2</v>
      </c>
      <c r="N13" s="22">
        <f>1-SUM(N7,N9,N11)</f>
        <v>1.9000000000000017E-2</v>
      </c>
      <c r="O13" s="22">
        <f>1-SUM(O7,O9,O11)</f>
        <v>1.9000000000000017E-2</v>
      </c>
      <c r="P13" s="22">
        <f>1-SUM(P7,P9,P11)</f>
        <v>1.9000000000000017E-2</v>
      </c>
      <c r="Q13" s="22">
        <f>1-SUM(Q7,Q9,Q11)</f>
        <v>1.9000000000000017E-2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486</v>
      </c>
      <c r="B14" s="1" t="s">
        <v>18</v>
      </c>
      <c r="C14" s="20">
        <f>IF(C13="","",C13*'Annual P&amp;L'!B5)</f>
        <v>1849.8648000000001</v>
      </c>
      <c r="D14" s="20">
        <f>IF(D13="","",D13*'Annual P&amp;L'!C5)</f>
        <v>2331.53559</v>
      </c>
      <c r="E14" s="20">
        <f>IF(E13="","",E13*'Annual P&amp;L'!D5)</f>
        <v>2730.3326999999999</v>
      </c>
      <c r="F14" s="20">
        <f>IF(F13="","",F13*'Annual P&amp;L'!E5)</f>
        <v>3197.6439500000006</v>
      </c>
      <c r="G14" s="20">
        <f>IF(G13="","",G13*'Annual P&amp;L'!F5)</f>
        <v>3387.5176000000001</v>
      </c>
      <c r="H14" s="20">
        <f>IF(H13="","",H13*'Annual P&amp;L'!G5)</f>
        <v>4187.8879999999999</v>
      </c>
      <c r="I14" s="20">
        <f>IF(I13="","",I13*'Annual P&amp;L'!H5)</f>
        <v>7138.4324999999999</v>
      </c>
      <c r="J14" s="20">
        <f>IF(J13="","",J13*'Annual P&amp;L'!I5)</f>
        <v>10855.7696</v>
      </c>
      <c r="K14" s="20">
        <f>IF(K13="","",K13*'Annual P&amp;L'!J5)</f>
        <v>11196.609179999999</v>
      </c>
      <c r="L14" s="20">
        <f>IF(L13="","",L13*'Annual P&amp;L'!K5)</f>
        <v>2029.5818900000002</v>
      </c>
      <c r="M14" s="20">
        <f>IF(M13="","",M13*'Annual P&amp;L'!L5)</f>
        <v>2802.2053099999998</v>
      </c>
      <c r="N14" s="24">
        <f>IF(N13="","",N13*'Annual P&amp;L'!M5)</f>
        <v>3448.8589125375261</v>
      </c>
      <c r="O14" s="24">
        <f>IF(O13="","",O13*'Annual P&amp;L'!N5)</f>
        <v>4119.9996838150528</v>
      </c>
      <c r="P14" s="24">
        <f>IF(P13="","",P13*'Annual P&amp;L'!O5)</f>
        <v>4698.1475691618707</v>
      </c>
      <c r="Q14" s="24">
        <f>IF(Q13="","",Q13*'Annual P&amp;L'!P5)</f>
        <v>5357.8165041695265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480</v>
      </c>
      <c r="B15" s="1" t="s">
        <v>20</v>
      </c>
      <c r="C15" s="17">
        <f t="shared" ref="C15:Q15" si="0">IF(COUNT(C7,C9,C11,C13)=0,"",SUM(C7,C9,C11,C13))</f>
        <v>0.99999999999999989</v>
      </c>
      <c r="D15" s="17">
        <f t="shared" si="0"/>
        <v>1</v>
      </c>
      <c r="E15" s="17">
        <f t="shared" si="0"/>
        <v>0.99999999999999989</v>
      </c>
      <c r="F15" s="17">
        <f t="shared" si="0"/>
        <v>0.99999999999999989</v>
      </c>
      <c r="G15" s="17">
        <f t="shared" si="0"/>
        <v>1</v>
      </c>
      <c r="H15" s="17">
        <f t="shared" si="0"/>
        <v>1</v>
      </c>
      <c r="I15" s="17">
        <f t="shared" si="0"/>
        <v>1</v>
      </c>
      <c r="J15" s="17">
        <f t="shared" si="0"/>
        <v>1</v>
      </c>
      <c r="K15" s="17">
        <f t="shared" si="0"/>
        <v>1</v>
      </c>
      <c r="L15" s="17">
        <f t="shared" si="0"/>
        <v>1</v>
      </c>
      <c r="M15" s="17">
        <f t="shared" si="0"/>
        <v>1</v>
      </c>
      <c r="N15" s="22">
        <f t="shared" si="0"/>
        <v>1</v>
      </c>
      <c r="O15" s="22">
        <f t="shared" si="0"/>
        <v>1</v>
      </c>
      <c r="P15" s="22">
        <f t="shared" si="0"/>
        <v>1</v>
      </c>
      <c r="Q15" s="22">
        <f t="shared" si="0"/>
        <v>1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6"/>
      <c r="O16" s="16"/>
      <c r="P16" s="16"/>
      <c r="Q16" s="16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6"/>
      <c r="O17" s="16"/>
      <c r="P17" s="16"/>
      <c r="Q17" s="16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6"/>
      <c r="O18" s="16"/>
      <c r="P18" s="16"/>
      <c r="Q18" s="16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6"/>
      <c r="O19" s="16"/>
      <c r="P19" s="16"/>
      <c r="Q19" s="16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6"/>
      <c r="O20" s="16"/>
      <c r="P20" s="16"/>
      <c r="Q20" s="16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6"/>
      <c r="O21" s="16"/>
      <c r="P21" s="16"/>
      <c r="Q21" s="16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6"/>
      <c r="O22" s="16"/>
      <c r="P22" s="16"/>
      <c r="Q22" s="16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6"/>
      <c r="O23" s="16"/>
      <c r="P23" s="16"/>
      <c r="Q23" s="1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6"/>
      <c r="O24" s="16"/>
      <c r="P24" s="16"/>
      <c r="Q24" s="16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6"/>
      <c r="O25" s="16"/>
      <c r="P25" s="16"/>
      <c r="Q25" s="16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6"/>
      <c r="O26" s="16"/>
      <c r="P26" s="16"/>
      <c r="Q26" s="1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6"/>
      <c r="O27" s="16"/>
      <c r="P27" s="16"/>
      <c r="Q27" s="1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6"/>
      <c r="O28" s="16"/>
      <c r="P28" s="16"/>
      <c r="Q28" s="16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6"/>
      <c r="O29" s="16"/>
      <c r="P29" s="16"/>
      <c r="Q29" s="16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6"/>
      <c r="O30" s="16"/>
      <c r="P30" s="16"/>
      <c r="Q30" s="1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6"/>
      <c r="O31" s="16"/>
      <c r="P31" s="16"/>
      <c r="Q31" s="1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6"/>
      <c r="O32" s="16"/>
      <c r="P32" s="16"/>
      <c r="Q32" s="16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6"/>
      <c r="O33" s="16"/>
      <c r="P33" s="16"/>
      <c r="Q33" s="16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6"/>
      <c r="O34" s="16"/>
      <c r="P34" s="16"/>
      <c r="Q34" s="1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6"/>
      <c r="O35" s="16"/>
      <c r="P35" s="16"/>
      <c r="Q35" s="1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6"/>
      <c r="O36" s="16"/>
      <c r="P36" s="16"/>
      <c r="Q36" s="1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6"/>
      <c r="O37" s="16"/>
      <c r="P37" s="16"/>
      <c r="Q37" s="16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6"/>
      <c r="O38" s="16"/>
      <c r="P38" s="16"/>
      <c r="Q38" s="1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6"/>
      <c r="O39" s="16"/>
      <c r="P39" s="16"/>
      <c r="Q39" s="1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6"/>
      <c r="O40" s="16"/>
      <c r="P40" s="16"/>
      <c r="Q40" s="1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6"/>
      <c r="O41" s="16"/>
      <c r="P41" s="16"/>
      <c r="Q41" s="1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6"/>
      <c r="O42" s="16"/>
      <c r="P42" s="16"/>
      <c r="Q42" s="1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6"/>
      <c r="O43" s="16"/>
      <c r="P43" s="16"/>
      <c r="Q43" s="1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6"/>
      <c r="O44" s="16"/>
      <c r="P44" s="16"/>
      <c r="Q44" s="1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6"/>
      <c r="O45" s="16"/>
      <c r="P45" s="16"/>
      <c r="Q45" s="1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6"/>
      <c r="O46" s="16"/>
      <c r="P46" s="16"/>
      <c r="Q46" s="1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"/>
      <c r="O47" s="16"/>
      <c r="P47" s="16"/>
      <c r="Q47" s="1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6"/>
      <c r="O48" s="16"/>
      <c r="P48" s="16"/>
      <c r="Q48" s="1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"/>
      <c r="O49" s="16"/>
      <c r="P49" s="16"/>
      <c r="Q49" s="1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6"/>
      <c r="O50" s="16"/>
      <c r="P50" s="16"/>
      <c r="Q50" s="1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6"/>
      <c r="O51" s="16"/>
      <c r="P51" s="16"/>
      <c r="Q51" s="1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6"/>
      <c r="O52" s="16"/>
      <c r="P52" s="16"/>
      <c r="Q52" s="1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6"/>
      <c r="O53" s="16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6"/>
      <c r="O54" s="16"/>
      <c r="P54" s="16"/>
      <c r="Q54" s="1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6"/>
      <c r="O55" s="16"/>
      <c r="P55" s="16"/>
      <c r="Q55" s="1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6"/>
      <c r="O56" s="16"/>
      <c r="P56" s="16"/>
      <c r="Q56" s="1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6"/>
      <c r="O57" s="16"/>
      <c r="P57" s="16"/>
      <c r="Q57" s="1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6"/>
      <c r="O58" s="16"/>
      <c r="P58" s="16"/>
      <c r="Q58" s="1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6"/>
      <c r="O59" s="16"/>
      <c r="P59" s="16"/>
      <c r="Q59" s="1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6"/>
      <c r="O60" s="16"/>
      <c r="P60" s="16"/>
      <c r="Q60" s="1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6"/>
      <c r="O61" s="16"/>
      <c r="P61" s="16"/>
      <c r="Q61" s="1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6"/>
      <c r="O62" s="16"/>
      <c r="P62" s="16"/>
      <c r="Q62" s="1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6"/>
      <c r="O63" s="16"/>
      <c r="P63" s="16"/>
      <c r="Q63" s="1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6"/>
      <c r="O64" s="16"/>
      <c r="P64" s="16"/>
      <c r="Q64" s="1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6"/>
      <c r="O65" s="16"/>
      <c r="P65" s="16"/>
      <c r="Q65" s="1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6"/>
      <c r="O66" s="16"/>
      <c r="P66" s="16"/>
      <c r="Q66" s="1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6"/>
      <c r="O67" s="16"/>
      <c r="P67" s="16"/>
      <c r="Q67" s="1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6"/>
      <c r="O68" s="16"/>
      <c r="P68" s="16"/>
      <c r="Q68" s="1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6"/>
      <c r="O69" s="16"/>
      <c r="P69" s="16"/>
      <c r="Q69" s="1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6"/>
      <c r="O70" s="16"/>
      <c r="P70" s="16"/>
      <c r="Q70" s="1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6"/>
      <c r="O71" s="16"/>
      <c r="P71" s="16"/>
      <c r="Q71" s="1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6"/>
      <c r="O72" s="16"/>
      <c r="P72" s="16"/>
      <c r="Q72" s="1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6"/>
      <c r="O73" s="16"/>
      <c r="P73" s="16"/>
      <c r="Q73" s="1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6"/>
      <c r="O74" s="16"/>
      <c r="P74" s="16"/>
      <c r="Q74" s="1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6"/>
      <c r="O75" s="16"/>
      <c r="P75" s="16"/>
      <c r="Q75" s="1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6"/>
      <c r="O76" s="16"/>
      <c r="P76" s="16"/>
      <c r="Q76" s="1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6"/>
      <c r="O77" s="16"/>
      <c r="P77" s="16"/>
      <c r="Q77" s="1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6"/>
      <c r="O78" s="16"/>
      <c r="P78" s="16"/>
      <c r="Q78" s="1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6"/>
      <c r="O79" s="16"/>
      <c r="P79" s="16"/>
      <c r="Q79" s="1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6"/>
      <c r="O80" s="16"/>
      <c r="P80" s="16"/>
      <c r="Q80" s="1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6"/>
      <c r="O81" s="16"/>
      <c r="P81" s="16"/>
      <c r="Q81" s="1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6"/>
      <c r="O82" s="16"/>
      <c r="P82" s="16"/>
      <c r="Q82" s="1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6"/>
      <c r="O83" s="16"/>
      <c r="P83" s="16"/>
      <c r="Q83" s="1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6"/>
      <c r="O84" s="16"/>
      <c r="P84" s="16"/>
      <c r="Q84" s="1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6"/>
      <c r="O85" s="16"/>
      <c r="P85" s="16"/>
      <c r="Q85" s="1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6"/>
      <c r="O86" s="16"/>
      <c r="P86" s="16"/>
      <c r="Q86" s="1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6"/>
      <c r="O87" s="16"/>
      <c r="P87" s="16"/>
      <c r="Q87" s="1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6"/>
      <c r="O88" s="16"/>
      <c r="P88" s="16"/>
      <c r="Q88" s="1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6"/>
      <c r="O89" s="16"/>
      <c r="P89" s="16"/>
      <c r="Q89" s="1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6"/>
      <c r="O90" s="16"/>
      <c r="P90" s="16"/>
      <c r="Q90" s="1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6"/>
      <c r="O91" s="16"/>
      <c r="P91" s="16"/>
      <c r="Q91" s="1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6"/>
      <c r="O92" s="16"/>
      <c r="P92" s="16"/>
      <c r="Q92" s="1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6"/>
      <c r="O93" s="16"/>
      <c r="P93" s="16"/>
      <c r="Q93" s="1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6"/>
      <c r="O94" s="16"/>
      <c r="P94" s="16"/>
      <c r="Q94" s="1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6"/>
      <c r="O95" s="16"/>
      <c r="P95" s="16"/>
      <c r="Q95" s="1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6"/>
      <c r="O96" s="16"/>
      <c r="P96" s="16"/>
      <c r="Q96" s="1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6"/>
      <c r="O97" s="16"/>
      <c r="P97" s="16"/>
      <c r="Q97" s="1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6"/>
      <c r="O98" s="16"/>
      <c r="P98" s="16"/>
      <c r="Q98" s="1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6"/>
      <c r="O99" s="16"/>
      <c r="P99" s="16"/>
      <c r="Q99" s="1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6"/>
      <c r="O100" s="16"/>
      <c r="P100" s="16"/>
      <c r="Q100" s="1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6"/>
      <c r="O101" s="16"/>
      <c r="P101" s="16"/>
      <c r="Q101" s="1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6"/>
      <c r="O102" s="16"/>
      <c r="P102" s="16"/>
      <c r="Q102" s="1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6"/>
      <c r="O103" s="16"/>
      <c r="P103" s="16"/>
      <c r="Q103" s="1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6"/>
      <c r="O104" s="16"/>
      <c r="P104" s="16"/>
      <c r="Q104" s="1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6"/>
      <c r="O105" s="16"/>
      <c r="P105" s="16"/>
      <c r="Q105" s="1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6"/>
      <c r="O106" s="16"/>
      <c r="P106" s="16"/>
      <c r="Q106" s="1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6"/>
      <c r="O107" s="16"/>
      <c r="P107" s="16"/>
      <c r="Q107" s="1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6"/>
      <c r="O108" s="16"/>
      <c r="P108" s="16"/>
      <c r="Q108" s="1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6"/>
      <c r="O109" s="16"/>
      <c r="P109" s="16"/>
      <c r="Q109" s="1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6"/>
      <c r="O110" s="16"/>
      <c r="P110" s="16"/>
      <c r="Q110" s="1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6"/>
      <c r="O111" s="16"/>
      <c r="P111" s="16"/>
      <c r="Q111" s="1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6"/>
      <c r="O112" s="16"/>
      <c r="P112" s="16"/>
      <c r="Q112" s="1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6"/>
      <c r="O113" s="16"/>
      <c r="P113" s="16"/>
      <c r="Q113" s="1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6"/>
      <c r="O114" s="16"/>
      <c r="P114" s="16"/>
      <c r="Q114" s="1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6"/>
      <c r="O115" s="16"/>
      <c r="P115" s="16"/>
      <c r="Q115" s="1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6"/>
      <c r="O116" s="16"/>
      <c r="P116" s="16"/>
      <c r="Q116" s="1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6"/>
      <c r="O117" s="16"/>
      <c r="P117" s="16"/>
      <c r="Q117" s="1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6"/>
      <c r="O118" s="16"/>
      <c r="P118" s="16"/>
      <c r="Q118" s="1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6"/>
      <c r="O119" s="16"/>
      <c r="P119" s="16"/>
      <c r="Q119" s="1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6"/>
      <c r="O120" s="16"/>
      <c r="P120" s="16"/>
      <c r="Q120" s="1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6"/>
      <c r="O121" s="16"/>
      <c r="P121" s="16"/>
      <c r="Q121" s="1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6"/>
      <c r="O122" s="16"/>
      <c r="P122" s="16"/>
      <c r="Q122" s="1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6"/>
      <c r="O123" s="16"/>
      <c r="P123" s="16"/>
      <c r="Q123" s="1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6"/>
      <c r="O124" s="16"/>
      <c r="P124" s="16"/>
      <c r="Q124" s="1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6"/>
      <c r="O125" s="16"/>
      <c r="P125" s="16"/>
      <c r="Q125" s="1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6"/>
      <c r="O126" s="16"/>
      <c r="P126" s="16"/>
      <c r="Q126" s="1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6"/>
      <c r="O127" s="16"/>
      <c r="P127" s="16"/>
      <c r="Q127" s="1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6"/>
      <c r="O128" s="16"/>
      <c r="P128" s="16"/>
      <c r="Q128" s="1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6"/>
      <c r="O129" s="16"/>
      <c r="P129" s="16"/>
      <c r="Q129" s="1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6"/>
      <c r="O130" s="16"/>
      <c r="P130" s="16"/>
      <c r="Q130" s="1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6"/>
      <c r="O131" s="16"/>
      <c r="P131" s="16"/>
      <c r="Q131" s="1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6"/>
      <c r="O132" s="16"/>
      <c r="P132" s="16"/>
      <c r="Q132" s="1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6"/>
      <c r="O133" s="16"/>
      <c r="P133" s="16"/>
      <c r="Q133" s="1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6"/>
      <c r="O134" s="16"/>
      <c r="P134" s="16"/>
      <c r="Q134" s="1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6"/>
      <c r="O135" s="16"/>
      <c r="P135" s="16"/>
      <c r="Q135" s="1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6"/>
      <c r="O136" s="16"/>
      <c r="P136" s="16"/>
      <c r="Q136" s="1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6"/>
      <c r="O137" s="16"/>
      <c r="P137" s="16"/>
      <c r="Q137" s="1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6"/>
      <c r="O138" s="16"/>
      <c r="P138" s="16"/>
      <c r="Q138" s="1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6"/>
      <c r="O139" s="16"/>
      <c r="P139" s="16"/>
      <c r="Q139" s="1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6"/>
      <c r="O140" s="16"/>
      <c r="P140" s="16"/>
      <c r="Q140" s="1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6"/>
      <c r="O141" s="16"/>
      <c r="P141" s="16"/>
      <c r="Q141" s="1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6"/>
      <c r="O142" s="16"/>
      <c r="P142" s="16"/>
      <c r="Q142" s="1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6"/>
      <c r="O143" s="16"/>
      <c r="P143" s="16"/>
      <c r="Q143" s="1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6"/>
      <c r="O144" s="16"/>
      <c r="P144" s="16"/>
      <c r="Q144" s="1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6"/>
      <c r="O145" s="16"/>
      <c r="P145" s="16"/>
      <c r="Q145" s="1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6"/>
      <c r="O146" s="16"/>
      <c r="P146" s="16"/>
      <c r="Q146" s="1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6"/>
      <c r="O147" s="16"/>
      <c r="P147" s="16"/>
      <c r="Q147" s="1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6"/>
      <c r="O148" s="16"/>
      <c r="P148" s="16"/>
      <c r="Q148" s="1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6"/>
      <c r="O149" s="16"/>
      <c r="P149" s="16"/>
      <c r="Q149" s="1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6"/>
      <c r="O150" s="16"/>
      <c r="P150" s="16"/>
      <c r="Q150" s="1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6"/>
      <c r="O151" s="16"/>
      <c r="P151" s="16"/>
      <c r="Q151" s="1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6"/>
      <c r="O152" s="16"/>
      <c r="P152" s="16"/>
      <c r="Q152" s="1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6"/>
      <c r="O153" s="16"/>
      <c r="P153" s="16"/>
      <c r="Q153" s="1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6"/>
      <c r="O154" s="16"/>
      <c r="P154" s="16"/>
      <c r="Q154" s="1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6"/>
      <c r="O155" s="16"/>
      <c r="P155" s="16"/>
      <c r="Q155" s="1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6"/>
      <c r="O156" s="16"/>
      <c r="P156" s="16"/>
      <c r="Q156" s="1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6"/>
      <c r="O157" s="16"/>
      <c r="P157" s="16"/>
      <c r="Q157" s="1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6"/>
      <c r="O158" s="16"/>
      <c r="P158" s="16"/>
      <c r="Q158" s="1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6"/>
      <c r="O159" s="16"/>
      <c r="P159" s="16"/>
      <c r="Q159" s="1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6"/>
      <c r="O160" s="16"/>
      <c r="P160" s="16"/>
      <c r="Q160" s="1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6"/>
      <c r="O161" s="16"/>
      <c r="P161" s="16"/>
      <c r="Q161" s="1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6"/>
      <c r="O162" s="16"/>
      <c r="P162" s="16"/>
      <c r="Q162" s="1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6"/>
      <c r="O163" s="16"/>
      <c r="P163" s="16"/>
      <c r="Q163" s="1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6"/>
      <c r="O164" s="16"/>
      <c r="P164" s="16"/>
      <c r="Q164" s="1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6"/>
      <c r="O165" s="16"/>
      <c r="P165" s="16"/>
      <c r="Q165" s="1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6"/>
      <c r="O166" s="16"/>
      <c r="P166" s="16"/>
      <c r="Q166" s="1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6"/>
      <c r="O167" s="16"/>
      <c r="P167" s="16"/>
      <c r="Q167" s="1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6"/>
      <c r="O168" s="16"/>
      <c r="P168" s="16"/>
      <c r="Q168" s="1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6"/>
      <c r="O169" s="16"/>
      <c r="P169" s="16"/>
      <c r="Q169" s="1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6"/>
      <c r="O170" s="16"/>
      <c r="P170" s="16"/>
      <c r="Q170" s="1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6"/>
      <c r="O171" s="16"/>
      <c r="P171" s="16"/>
      <c r="Q171" s="1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6"/>
      <c r="O172" s="16"/>
      <c r="P172" s="16"/>
      <c r="Q172" s="1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6"/>
      <c r="O173" s="16"/>
      <c r="P173" s="16"/>
      <c r="Q173" s="1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6"/>
      <c r="O174" s="16"/>
      <c r="P174" s="16"/>
      <c r="Q174" s="1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6"/>
      <c r="O175" s="16"/>
      <c r="P175" s="16"/>
      <c r="Q175" s="1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6"/>
      <c r="O176" s="16"/>
      <c r="P176" s="16"/>
      <c r="Q176" s="1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6"/>
      <c r="O177" s="16"/>
      <c r="P177" s="16"/>
      <c r="Q177" s="1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6"/>
      <c r="O178" s="16"/>
      <c r="P178" s="16"/>
      <c r="Q178" s="1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6"/>
      <c r="O179" s="16"/>
      <c r="P179" s="16"/>
      <c r="Q179" s="1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6"/>
      <c r="O180" s="16"/>
      <c r="P180" s="16"/>
      <c r="Q180" s="1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6"/>
      <c r="O181" s="16"/>
      <c r="P181" s="16"/>
      <c r="Q181" s="1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6"/>
      <c r="O182" s="16"/>
      <c r="P182" s="16"/>
      <c r="Q182" s="1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6"/>
      <c r="O183" s="16"/>
      <c r="P183" s="16"/>
      <c r="Q183" s="1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6"/>
      <c r="O184" s="16"/>
      <c r="P184" s="16"/>
      <c r="Q184" s="1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6"/>
      <c r="O185" s="16"/>
      <c r="P185" s="16"/>
      <c r="Q185" s="1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6"/>
      <c r="O186" s="16"/>
      <c r="P186" s="16"/>
      <c r="Q186" s="1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6"/>
      <c r="O187" s="16"/>
      <c r="P187" s="16"/>
      <c r="Q187" s="1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6"/>
      <c r="O188" s="16"/>
      <c r="P188" s="16"/>
      <c r="Q188" s="1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6"/>
      <c r="O189" s="16"/>
      <c r="P189" s="16"/>
      <c r="Q189" s="1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6"/>
      <c r="O190" s="16"/>
      <c r="P190" s="16"/>
      <c r="Q190" s="1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6"/>
      <c r="O191" s="16"/>
      <c r="P191" s="16"/>
      <c r="Q191" s="1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6"/>
      <c r="O192" s="16"/>
      <c r="P192" s="16"/>
      <c r="Q192" s="1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6"/>
      <c r="O193" s="16"/>
      <c r="P193" s="16"/>
      <c r="Q193" s="1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6"/>
      <c r="O194" s="16"/>
      <c r="P194" s="16"/>
      <c r="Q194" s="1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6"/>
      <c r="O195" s="16"/>
      <c r="P195" s="16"/>
      <c r="Q195" s="1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6"/>
      <c r="O196" s="16"/>
      <c r="P196" s="16"/>
      <c r="Q196" s="1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6"/>
      <c r="O197" s="16"/>
      <c r="P197" s="16"/>
      <c r="Q197" s="1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6"/>
      <c r="O198" s="16"/>
      <c r="P198" s="16"/>
      <c r="Q198" s="1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6"/>
      <c r="O199" s="16"/>
      <c r="P199" s="16"/>
      <c r="Q199" s="1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6"/>
      <c r="O200" s="16"/>
      <c r="P200" s="16"/>
      <c r="Q200" s="1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6"/>
      <c r="O201" s="16"/>
      <c r="P201" s="16"/>
      <c r="Q201" s="16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6"/>
      <c r="O202" s="16"/>
      <c r="P202" s="16"/>
      <c r="Q202" s="16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6"/>
      <c r="O203" s="16"/>
      <c r="P203" s="16"/>
      <c r="Q203" s="16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6"/>
      <c r="O204" s="16"/>
      <c r="P204" s="16"/>
      <c r="Q204" s="16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6"/>
      <c r="O205" s="16"/>
      <c r="P205" s="16"/>
      <c r="Q205" s="16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6"/>
      <c r="O206" s="16"/>
      <c r="P206" s="16"/>
      <c r="Q206" s="16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6"/>
      <c r="O207" s="16"/>
      <c r="P207" s="16"/>
      <c r="Q207" s="16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6"/>
      <c r="O208" s="16"/>
      <c r="P208" s="16"/>
      <c r="Q208" s="16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6"/>
      <c r="O209" s="16"/>
      <c r="P209" s="16"/>
      <c r="Q209" s="16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6"/>
      <c r="O210" s="16"/>
      <c r="P210" s="16"/>
      <c r="Q210" s="16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6"/>
      <c r="O211" s="16"/>
      <c r="P211" s="16"/>
      <c r="Q211" s="16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6"/>
      <c r="O212" s="16"/>
      <c r="P212" s="16"/>
      <c r="Q212" s="1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6"/>
      <c r="O213" s="16"/>
      <c r="P213" s="16"/>
      <c r="Q213" s="16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6"/>
      <c r="O214" s="16"/>
      <c r="P214" s="16"/>
      <c r="Q214" s="16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6"/>
      <c r="O215" s="16"/>
      <c r="P215" s="16"/>
      <c r="Q215" s="16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6"/>
      <c r="O216" s="16"/>
      <c r="P216" s="16"/>
      <c r="Q216" s="16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6"/>
      <c r="O217" s="16"/>
      <c r="P217" s="16"/>
      <c r="Q217" s="16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6"/>
      <c r="O218" s="16"/>
      <c r="P218" s="16"/>
      <c r="Q218" s="16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6"/>
      <c r="O219" s="16"/>
      <c r="P219" s="16"/>
      <c r="Q219" s="16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6"/>
      <c r="O220" s="16"/>
      <c r="P220" s="16"/>
      <c r="Q220" s="16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6"/>
      <c r="O221" s="16"/>
      <c r="P221" s="16"/>
      <c r="Q221" s="16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6"/>
      <c r="O222" s="16"/>
      <c r="P222" s="16"/>
      <c r="Q222" s="16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6"/>
      <c r="O223" s="16"/>
      <c r="P223" s="16"/>
      <c r="Q223" s="16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6"/>
      <c r="O224" s="16"/>
      <c r="P224" s="16"/>
      <c r="Q224" s="16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6"/>
      <c r="O225" s="16"/>
      <c r="P225" s="16"/>
      <c r="Q225" s="16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6"/>
      <c r="O226" s="16"/>
      <c r="P226" s="16"/>
      <c r="Q226" s="16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6"/>
      <c r="O227" s="16"/>
      <c r="P227" s="16"/>
      <c r="Q227" s="16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6"/>
      <c r="O228" s="16"/>
      <c r="P228" s="16"/>
      <c r="Q228" s="16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6"/>
      <c r="O229" s="16"/>
      <c r="P229" s="16"/>
      <c r="Q229" s="16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6"/>
      <c r="O230" s="16"/>
      <c r="P230" s="16"/>
      <c r="Q230" s="16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260"/>
  <sheetViews>
    <sheetView showGridLines="0" workbookViewId="0"/>
  </sheetViews>
  <sheetFormatPr defaultRowHeight="13.8"/>
  <cols>
    <col min="1" max="1" width="43" customWidth="1"/>
    <col min="2" max="2" width="13" customWidth="1"/>
    <col min="3" max="17" width="11.5" customWidth="1"/>
  </cols>
  <sheetData>
    <row r="1" spans="1:47" ht="25.95" customHeight="1">
      <c r="A1" s="37" t="s">
        <v>487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>
      <c r="A2" s="38" t="s">
        <v>488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15" t="s">
        <v>13</v>
      </c>
      <c r="O5" s="15" t="s">
        <v>14</v>
      </c>
      <c r="P5" s="15" t="s">
        <v>15</v>
      </c>
      <c r="Q5" s="15" t="s">
        <v>16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6"/>
      <c r="O6" s="16"/>
      <c r="P6" s="16"/>
      <c r="Q6" s="1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412</v>
      </c>
      <c r="B7" s="1" t="s">
        <v>34</v>
      </c>
      <c r="C7" s="18" t="str">
        <f>IF('Raw Operating'!C22="","",'Raw Operating'!C22)</f>
        <v/>
      </c>
      <c r="D7" s="18" t="str">
        <f>IF('Raw Operating'!D22="","",'Raw Operating'!D22)</f>
        <v/>
      </c>
      <c r="E7" s="18" t="str">
        <f>IF('Raw Operating'!E22="","",'Raw Operating'!E22)</f>
        <v/>
      </c>
      <c r="F7" s="18" t="str">
        <f>IF('Raw Operating'!F22="","",'Raw Operating'!F22)</f>
        <v/>
      </c>
      <c r="G7" s="18" t="str">
        <f>IF('Raw Operating'!G22="","",'Raw Operating'!G22)</f>
        <v/>
      </c>
      <c r="H7" s="18" t="str">
        <f>IF('Raw Operating'!H22="","",'Raw Operating'!H22)</f>
        <v/>
      </c>
      <c r="I7" s="18" t="str">
        <f>IF('Raw Operating'!I22="","",'Raw Operating'!I22)</f>
        <v/>
      </c>
      <c r="J7" s="18" t="str">
        <f>IF('Raw Operating'!J22="","",'Raw Operating'!J22)</f>
        <v/>
      </c>
      <c r="K7" s="18" t="str">
        <f>IF('Raw Operating'!K22="","",'Raw Operating'!K22)</f>
        <v/>
      </c>
      <c r="L7" s="18">
        <f>IF('Raw Operating'!L22="","",'Raw Operating'!L22)</f>
        <v>4</v>
      </c>
      <c r="M7" s="18">
        <f>IF('Raw Operating'!M22="","",'Raw Operating'!M22)</f>
        <v>4</v>
      </c>
      <c r="N7" s="23">
        <f>ROUND(M7*(1+'Annual P&amp;L'!M6*0.35),0)</f>
        <v>4</v>
      </c>
      <c r="O7" s="23">
        <f>ROUND(N7*(1+'Annual P&amp;L'!N6*0.35),0)</f>
        <v>4</v>
      </c>
      <c r="P7" s="23">
        <f>ROUND(O7*(1+'Annual P&amp;L'!O6*0.35),0)</f>
        <v>4</v>
      </c>
      <c r="Q7" s="23">
        <f>ROUND(P7*(1+'Annual P&amp;L'!P6*0.35),0)</f>
        <v>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413</v>
      </c>
      <c r="B8" s="1" t="s">
        <v>34</v>
      </c>
      <c r="C8" s="18" t="str">
        <f>IF('Raw Operating'!C23="","",'Raw Operating'!C23)</f>
        <v/>
      </c>
      <c r="D8" s="18" t="str">
        <f>IF('Raw Operating'!D23="","",'Raw Operating'!D23)</f>
        <v/>
      </c>
      <c r="E8" s="18" t="str">
        <f>IF('Raw Operating'!E23="","",'Raw Operating'!E23)</f>
        <v/>
      </c>
      <c r="F8" s="18" t="str">
        <f>IF('Raw Operating'!F23="","",'Raw Operating'!F23)</f>
        <v/>
      </c>
      <c r="G8" s="18" t="str">
        <f>IF('Raw Operating'!G23="","",'Raw Operating'!G23)</f>
        <v/>
      </c>
      <c r="H8" s="18" t="str">
        <f>IF('Raw Operating'!H23="","",'Raw Operating'!H23)</f>
        <v/>
      </c>
      <c r="I8" s="18" t="str">
        <f>IF('Raw Operating'!I23="","",'Raw Operating'!I23)</f>
        <v/>
      </c>
      <c r="J8" s="18" t="str">
        <f>IF('Raw Operating'!J23="","",'Raw Operating'!J23)</f>
        <v/>
      </c>
      <c r="K8" s="18" t="str">
        <f>IF('Raw Operating'!K23="","",'Raw Operating'!K23)</f>
        <v/>
      </c>
      <c r="L8" s="18">
        <f>IF('Raw Operating'!L23="","",'Raw Operating'!L23)</f>
        <v>6</v>
      </c>
      <c r="M8" s="18">
        <f>IF('Raw Operating'!M23="","",'Raw Operating'!M23)</f>
        <v>8</v>
      </c>
      <c r="N8" s="23">
        <f>ROUND(M8*(1+'Annual P&amp;L'!M6*0.35),0)</f>
        <v>9</v>
      </c>
      <c r="O8" s="23">
        <f>ROUND(N8*(1+'Annual P&amp;L'!N6*0.35),0)</f>
        <v>9</v>
      </c>
      <c r="P8" s="23">
        <f>ROUND(O8*(1+'Annual P&amp;L'!O6*0.35),0)</f>
        <v>9</v>
      </c>
      <c r="Q8" s="23">
        <f>ROUND(P8*(1+'Annual P&amp;L'!P6*0.35),0)</f>
        <v>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414</v>
      </c>
      <c r="B9" s="1" t="s">
        <v>34</v>
      </c>
      <c r="C9" s="18" t="str">
        <f>IF('Raw Operating'!C24="","",'Raw Operating'!C24)</f>
        <v/>
      </c>
      <c r="D9" s="18" t="str">
        <f>IF('Raw Operating'!D24="","",'Raw Operating'!D24)</f>
        <v/>
      </c>
      <c r="E9" s="18" t="str">
        <f>IF('Raw Operating'!E24="","",'Raw Operating'!E24)</f>
        <v/>
      </c>
      <c r="F9" s="18" t="str">
        <f>IF('Raw Operating'!F24="","",'Raw Operating'!F24)</f>
        <v/>
      </c>
      <c r="G9" s="18" t="str">
        <f>IF('Raw Operating'!G24="","",'Raw Operating'!G24)</f>
        <v/>
      </c>
      <c r="H9" s="18" t="str">
        <f>IF('Raw Operating'!H24="","",'Raw Operating'!H24)</f>
        <v/>
      </c>
      <c r="I9" s="18" t="str">
        <f>IF('Raw Operating'!I24="","",'Raw Operating'!I24)</f>
        <v/>
      </c>
      <c r="J9" s="18" t="str">
        <f>IF('Raw Operating'!J24="","",'Raw Operating'!J24)</f>
        <v/>
      </c>
      <c r="K9" s="18" t="str">
        <f>IF('Raw Operating'!K24="","",'Raw Operating'!K24)</f>
        <v/>
      </c>
      <c r="L9" s="18">
        <f>IF('Raw Operating'!L24="","",'Raw Operating'!L24)</f>
        <v>11</v>
      </c>
      <c r="M9" s="18">
        <f>IF('Raw Operating'!M24="","",'Raw Operating'!M24)</f>
        <v>17</v>
      </c>
      <c r="N9" s="23">
        <f>ROUND(M9*(1+'Annual P&amp;L'!M6*0.35),0)</f>
        <v>18</v>
      </c>
      <c r="O9" s="23">
        <f>ROUND(N9*(1+'Annual P&amp;L'!N6*0.35),0)</f>
        <v>19</v>
      </c>
      <c r="P9" s="23">
        <f>ROUND(O9*(1+'Annual P&amp;L'!O6*0.35),0)</f>
        <v>20</v>
      </c>
      <c r="Q9" s="23">
        <f>ROUND(P9*(1+'Annual P&amp;L'!P6*0.35),0)</f>
        <v>21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415</v>
      </c>
      <c r="B10" s="1" t="s">
        <v>34</v>
      </c>
      <c r="C10" s="18" t="str">
        <f>IF('Raw Operating'!C25="","",'Raw Operating'!C25)</f>
        <v/>
      </c>
      <c r="D10" s="18" t="str">
        <f>IF('Raw Operating'!D25="","",'Raw Operating'!D25)</f>
        <v/>
      </c>
      <c r="E10" s="18" t="str">
        <f>IF('Raw Operating'!E25="","",'Raw Operating'!E25)</f>
        <v/>
      </c>
      <c r="F10" s="18" t="str">
        <f>IF('Raw Operating'!F25="","",'Raw Operating'!F25)</f>
        <v/>
      </c>
      <c r="G10" s="18" t="str">
        <f>IF('Raw Operating'!G25="","",'Raw Operating'!G25)</f>
        <v/>
      </c>
      <c r="H10" s="18" t="str">
        <f>IF('Raw Operating'!H25="","",'Raw Operating'!H25)</f>
        <v/>
      </c>
      <c r="I10" s="18" t="str">
        <f>IF('Raw Operating'!I25="","",'Raw Operating'!I25)</f>
        <v/>
      </c>
      <c r="J10" s="18" t="str">
        <f>IF('Raw Operating'!J25="","",'Raw Operating'!J25)</f>
        <v/>
      </c>
      <c r="K10" s="18" t="str">
        <f>IF('Raw Operating'!K25="","",'Raw Operating'!K25)</f>
        <v/>
      </c>
      <c r="L10" s="18">
        <f>IF('Raw Operating'!L25="","",'Raw Operating'!L25)</f>
        <v>34</v>
      </c>
      <c r="M10" s="18">
        <f>IF('Raw Operating'!M25="","",'Raw Operating'!M25)</f>
        <v>33</v>
      </c>
      <c r="N10" s="23">
        <f>ROUND(M10*(1+'Annual P&amp;L'!M6*0.35),0)</f>
        <v>35</v>
      </c>
      <c r="O10" s="23">
        <f>ROUND(N10*(1+'Annual P&amp;L'!N6*0.35),0)</f>
        <v>37</v>
      </c>
      <c r="P10" s="23">
        <f>ROUND(O10*(1+'Annual P&amp;L'!O6*0.35),0)</f>
        <v>39</v>
      </c>
      <c r="Q10" s="23">
        <f>ROUND(P10*(1+'Annual P&amp;L'!P6*0.35),0)</f>
        <v>41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416</v>
      </c>
      <c r="B11" s="1" t="s">
        <v>34</v>
      </c>
      <c r="C11" s="18" t="str">
        <f>IF('Raw Operating'!C26="","",'Raw Operating'!C26)</f>
        <v/>
      </c>
      <c r="D11" s="18" t="str">
        <f>IF('Raw Operating'!D26="","",'Raw Operating'!D26)</f>
        <v/>
      </c>
      <c r="E11" s="18" t="str">
        <f>IF('Raw Operating'!E26="","",'Raw Operating'!E26)</f>
        <v/>
      </c>
      <c r="F11" s="18" t="str">
        <f>IF('Raw Operating'!F26="","",'Raw Operating'!F26)</f>
        <v/>
      </c>
      <c r="G11" s="18" t="str">
        <f>IF('Raw Operating'!G26="","",'Raw Operating'!G26)</f>
        <v/>
      </c>
      <c r="H11" s="18" t="str">
        <f>IF('Raw Operating'!H26="","",'Raw Operating'!H26)</f>
        <v/>
      </c>
      <c r="I11" s="18" t="str">
        <f>IF('Raw Operating'!I26="","",'Raw Operating'!I26)</f>
        <v/>
      </c>
      <c r="J11" s="18" t="str">
        <f>IF('Raw Operating'!J26="","",'Raw Operating'!J26)</f>
        <v/>
      </c>
      <c r="K11" s="18" t="str">
        <f>IF('Raw Operating'!K26="","",'Raw Operating'!K26)</f>
        <v/>
      </c>
      <c r="L11" s="18">
        <f>IF('Raw Operating'!L26="","",'Raw Operating'!L26)</f>
        <v>136</v>
      </c>
      <c r="M11" s="18">
        <f>IF('Raw Operating'!M26="","",'Raw Operating'!M26)</f>
        <v>139</v>
      </c>
      <c r="N11" s="23">
        <f>ROUND(M11*(1+'Annual P&amp;L'!M6*0.35),0)</f>
        <v>149</v>
      </c>
      <c r="O11" s="23">
        <f>ROUND(N11*(1+'Annual P&amp;L'!N6*0.35),0)</f>
        <v>157</v>
      </c>
      <c r="P11" s="23">
        <f>ROUND(O11*(1+'Annual P&amp;L'!O6*0.35),0)</f>
        <v>164</v>
      </c>
      <c r="Q11" s="23">
        <f>ROUND(P11*(1+'Annual P&amp;L'!P6*0.35),0)</f>
        <v>171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489</v>
      </c>
      <c r="B12" s="1" t="s">
        <v>34</v>
      </c>
      <c r="C12" s="18" t="str">
        <f>IF('Raw Operating'!C27="","",'Raw Operating'!C27)</f>
        <v/>
      </c>
      <c r="D12" s="18" t="str">
        <f>IF('Raw Operating'!D27="","",'Raw Operating'!D27)</f>
        <v/>
      </c>
      <c r="E12" s="18" t="str">
        <f>IF('Raw Operating'!E27="","",'Raw Operating'!E27)</f>
        <v/>
      </c>
      <c r="F12" s="18" t="str">
        <f>IF('Raw Operating'!F27="","",'Raw Operating'!F27)</f>
        <v/>
      </c>
      <c r="G12" s="18" t="str">
        <f>IF('Raw Operating'!G27="","",'Raw Operating'!G27)</f>
        <v/>
      </c>
      <c r="H12" s="18" t="str">
        <f>IF('Raw Operating'!H27="","",'Raw Operating'!H27)</f>
        <v/>
      </c>
      <c r="I12" s="18" t="str">
        <f>IF('Raw Operating'!I27="","",'Raw Operating'!I27)</f>
        <v/>
      </c>
      <c r="J12" s="18" t="str">
        <f>IF('Raw Operating'!J27="","",'Raw Operating'!J27)</f>
        <v/>
      </c>
      <c r="K12" s="18" t="str">
        <f>IF('Raw Operating'!K27="","",'Raw Operating'!K27)</f>
        <v/>
      </c>
      <c r="L12" s="18">
        <f>IF('Raw Operating'!L27="","",'Raw Operating'!L27)</f>
        <v>191</v>
      </c>
      <c r="M12" s="18">
        <f>IF('Raw Operating'!M27="","",'Raw Operating'!M27)</f>
        <v>201</v>
      </c>
      <c r="N12" s="23">
        <f>ROUND(M12*(1+'Annual P&amp;L'!M6*0.35),0)</f>
        <v>215</v>
      </c>
      <c r="O12" s="23">
        <f>ROUND(N12*(1+'Annual P&amp;L'!N6*0.35),0)</f>
        <v>226</v>
      </c>
      <c r="P12" s="23">
        <f>ROUND(O12*(1+'Annual P&amp;L'!O6*0.35),0)</f>
        <v>236</v>
      </c>
      <c r="Q12" s="23">
        <f>ROUND(P12*(1+'Annual P&amp;L'!P6*0.35),0)</f>
        <v>247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38</v>
      </c>
      <c r="B13" s="1" t="s">
        <v>20</v>
      </c>
      <c r="C13" s="17">
        <f>IF('Raw Operating'!C21="","",'Raw Operating'!C21)</f>
        <v>0.45500000000000002</v>
      </c>
      <c r="D13" s="17">
        <f>IF('Raw Operating'!D21="","",'Raw Operating'!D21)</f>
        <v>0.53100000000000003</v>
      </c>
      <c r="E13" s="17">
        <f>IF('Raw Operating'!E21="","",'Raw Operating'!E21)</f>
        <v>0.53500000000000003</v>
      </c>
      <c r="F13" s="17">
        <f>IF('Raw Operating'!F21="","",'Raw Operating'!F21)</f>
        <v>0.51800000000000002</v>
      </c>
      <c r="G13" s="17">
        <f>IF('Raw Operating'!G21="","",'Raw Operating'!G21)</f>
        <v>0.51700000000000002</v>
      </c>
      <c r="H13" s="17">
        <f>IF('Raw Operating'!H21="","",'Raw Operating'!H21)</f>
        <v>0.47699999999999998</v>
      </c>
      <c r="I13" s="17">
        <f>IF('Raw Operating'!I21="","",'Raw Operating'!I21)</f>
        <v>0.44600000000000001</v>
      </c>
      <c r="J13" s="17">
        <f>IF('Raw Operating'!J21="","",'Raw Operating'!J21)</f>
        <v>0.36699999999999999</v>
      </c>
      <c r="K13" s="17">
        <f>IF('Raw Operating'!K21="","",'Raw Operating'!K21)</f>
        <v>0.39</v>
      </c>
      <c r="L13" s="17">
        <f>IF('Raw Operating'!L21="","",'Raw Operating'!L21)</f>
        <v>0.40899999999999997</v>
      </c>
      <c r="M13" s="17">
        <f>IF('Raw Operating'!M21="","",'Raw Operating'!M21)</f>
        <v>0.41599999999999998</v>
      </c>
      <c r="N13" s="22">
        <f>M13</f>
        <v>0.41599999999999998</v>
      </c>
      <c r="O13" s="22">
        <f>N13</f>
        <v>0.41599999999999998</v>
      </c>
      <c r="P13" s="22">
        <f>O13</f>
        <v>0.41599999999999998</v>
      </c>
      <c r="Q13" s="22">
        <f>P13</f>
        <v>0.41599999999999998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490</v>
      </c>
      <c r="B14" s="1" t="s">
        <v>21</v>
      </c>
      <c r="C14" s="19" t="str">
        <f>IFERROR('Bookings &amp; Revenue'!B7/C12,"")</f>
        <v/>
      </c>
      <c r="D14" s="19" t="str">
        <f>IFERROR('Bookings &amp; Revenue'!C7/D12,"")</f>
        <v/>
      </c>
      <c r="E14" s="19" t="str">
        <f>IFERROR('Bookings &amp; Revenue'!D7/E12,"")</f>
        <v/>
      </c>
      <c r="F14" s="19" t="str">
        <f>IFERROR('Bookings &amp; Revenue'!E7/F12,"")</f>
        <v/>
      </c>
      <c r="G14" s="19" t="str">
        <f>IFERROR('Bookings &amp; Revenue'!F7/G12,"")</f>
        <v/>
      </c>
      <c r="H14" s="19" t="str">
        <f>IFERROR('Bookings &amp; Revenue'!G7/H12,"")</f>
        <v/>
      </c>
      <c r="I14" s="19" t="str">
        <f>IFERROR('Bookings &amp; Revenue'!H7/I12,"")</f>
        <v/>
      </c>
      <c r="J14" s="19" t="str">
        <f>IFERROR('Bookings &amp; Revenue'!I7/J12,"")</f>
        <v/>
      </c>
      <c r="K14" s="19" t="str">
        <f>IFERROR('Bookings &amp; Revenue'!J7/K12,"")</f>
        <v/>
      </c>
      <c r="L14" s="19">
        <f>IFERROR('Bookings &amp; Revenue'!K7/L12,"")</f>
        <v>7.3774869109947643</v>
      </c>
      <c r="M14" s="19">
        <f>IFERROR('Bookings &amp; Revenue'!L7/M12,"")</f>
        <v>8.2308457711442795</v>
      </c>
      <c r="N14" s="21">
        <f>IFERROR('Bookings &amp; Revenue'!M7/N12,"")</f>
        <v>9.2777352483288453</v>
      </c>
      <c r="O14" s="21">
        <f>IFERROR('Bookings &amp; Revenue'!N7/O12,"")</f>
        <v>10.099771244613168</v>
      </c>
      <c r="P14" s="21">
        <f>IFERROR('Bookings &amp; Revenue'!O7/P12,"")</f>
        <v>10.914147452892385</v>
      </c>
      <c r="Q14" s="21">
        <f>IFERROR('Bookings &amp; Revenue'!P7/Q12,"")</f>
        <v>11.769704174828318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491</v>
      </c>
      <c r="B15" s="1" t="s">
        <v>21</v>
      </c>
      <c r="C15" s="19" t="str">
        <f>IFERROR('Bookings &amp; Revenue'!B7/SUM(C7:C10),"")</f>
        <v/>
      </c>
      <c r="D15" s="19" t="str">
        <f>IFERROR('Bookings &amp; Revenue'!C7/SUM(D7:D10),"")</f>
        <v/>
      </c>
      <c r="E15" s="19" t="str">
        <f>IFERROR('Bookings &amp; Revenue'!D7/SUM(E7:E10),"")</f>
        <v/>
      </c>
      <c r="F15" s="19" t="str">
        <f>IFERROR('Bookings &amp; Revenue'!E7/SUM(F7:F10),"")</f>
        <v/>
      </c>
      <c r="G15" s="19" t="str">
        <f>IFERROR('Bookings &amp; Revenue'!F7/SUM(G7:G10),"")</f>
        <v/>
      </c>
      <c r="H15" s="19" t="str">
        <f>IFERROR('Bookings &amp; Revenue'!G7/SUM(H7:H10),"")</f>
        <v/>
      </c>
      <c r="I15" s="19" t="str">
        <f>IFERROR('Bookings &amp; Revenue'!H7/SUM(I7:I10),"")</f>
        <v/>
      </c>
      <c r="J15" s="19" t="str">
        <f>IFERROR('Bookings &amp; Revenue'!I7/SUM(J7:J10),"")</f>
        <v/>
      </c>
      <c r="K15" s="19" t="str">
        <f>IFERROR('Bookings &amp; Revenue'!J7/SUM(K7:K10),"")</f>
        <v/>
      </c>
      <c r="L15" s="19">
        <f>IFERROR('Bookings &amp; Revenue'!K7/SUM(L7:L10),"")</f>
        <v>25.619999999999997</v>
      </c>
      <c r="M15" s="19">
        <f>IFERROR('Bookings &amp; Revenue'!L7/SUM(M7:M10),"")</f>
        <v>26.683870967741935</v>
      </c>
      <c r="N15" s="21">
        <f>IFERROR('Bookings &amp; Revenue'!M7/SUM(N7:N10),"")</f>
        <v>30.222925430162146</v>
      </c>
      <c r="O15" s="21">
        <f>IFERROR('Bookings &amp; Revenue'!N7/SUM(O7:O10),"")</f>
        <v>33.080410163515587</v>
      </c>
      <c r="P15" s="21">
        <f>IFERROR('Bookings &amp; Revenue'!O7/SUM(P7:P10),"")</f>
        <v>35.774149984480594</v>
      </c>
      <c r="Q15" s="21">
        <f>IFERROR('Bookings &amp; Revenue'!P7/SUM(Q7:Q10),"")</f>
        <v>38.761559082434594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492</v>
      </c>
      <c r="B16" s="1" t="s">
        <v>41</v>
      </c>
      <c r="C16" s="30" t="str">
        <f>IFERROR('Bookings &amp; Revenue'!B11/'Bookings &amp; Revenue'!B7,"")</f>
        <v/>
      </c>
      <c r="D16" s="30" t="str">
        <f>IFERROR('Bookings &amp; Revenue'!C11/'Bookings &amp; Revenue'!C7,"")</f>
        <v/>
      </c>
      <c r="E16" s="30" t="str">
        <f>IFERROR('Bookings &amp; Revenue'!D11/'Bookings &amp; Revenue'!D7,"")</f>
        <v/>
      </c>
      <c r="F16" s="30" t="str">
        <f>IFERROR('Bookings &amp; Revenue'!E11/'Bookings &amp; Revenue'!E7,"")</f>
        <v/>
      </c>
      <c r="G16" s="30" t="str">
        <f>IFERROR('Bookings &amp; Revenue'!F11/'Bookings &amp; Revenue'!F7,"")</f>
        <v/>
      </c>
      <c r="H16" s="30" t="str">
        <f>IFERROR('Bookings &amp; Revenue'!G11/'Bookings &amp; Revenue'!G7,"")</f>
        <v/>
      </c>
      <c r="I16" s="30">
        <f>IFERROR('Bookings &amp; Revenue'!H11/'Bookings &amp; Revenue'!H7,"")</f>
        <v>1.231201044386423</v>
      </c>
      <c r="J16" s="30">
        <f>IFERROR('Bookings &amp; Revenue'!I11/'Bookings &amp; Revenue'!I7,"")</f>
        <v>1.1302123552123553</v>
      </c>
      <c r="K16" s="30">
        <f>IFERROR('Bookings &amp; Revenue'!J11/'Bookings &amp; Revenue'!J7,"")</f>
        <v>1.0933389544688028</v>
      </c>
      <c r="L16" s="30">
        <f>IFERROR('Bookings &amp; Revenue'!K11/'Bookings &amp; Revenue'!K7,"")</f>
        <v>1.039032006245121</v>
      </c>
      <c r="M16" s="30">
        <f>IFERROR('Bookings &amp; Revenue'!L11/'Bookings &amp; Revenue'!L7,"")</f>
        <v>1.0759792069632494</v>
      </c>
      <c r="N16" s="31">
        <f>IFERROR('Bookings &amp; Revenue'!M11/'Bookings &amp; Revenue'!M7,"")</f>
        <v>0.99949813414192412</v>
      </c>
      <c r="O16" s="31">
        <f>IFERROR('Bookings &amp; Revenue'!N11/'Bookings &amp; Revenue'!N7,"")</f>
        <v>0.96080472810485329</v>
      </c>
      <c r="P16" s="31">
        <f>IFERROR('Bookings &amp; Revenue'!O11/'Bookings &amp; Revenue'!O7,"")</f>
        <v>0.9280679737545674</v>
      </c>
      <c r="Q16" s="31">
        <f>IFERROR('Bookings &amp; Revenue'!P11/'Bookings &amp; Revenue'!P7,"")</f>
        <v>0.88806112865566222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493</v>
      </c>
      <c r="B17" s="1" t="s">
        <v>41</v>
      </c>
      <c r="C17" s="30" t="str">
        <f>IF('Raw Operating'!C12="","",'Raw Operating'!C12/'Bookings &amp; Revenue'!B7)</f>
        <v/>
      </c>
      <c r="D17" s="30" t="str">
        <f>IF('Raw Operating'!D12="","",'Raw Operating'!D12/'Bookings &amp; Revenue'!C7)</f>
        <v/>
      </c>
      <c r="E17" s="30" t="str">
        <f>IF('Raw Operating'!E12="","",'Raw Operating'!E12/'Bookings &amp; Revenue'!D7)</f>
        <v/>
      </c>
      <c r="F17" s="30" t="str">
        <f>IF('Raw Operating'!F12="","",'Raw Operating'!F12/'Bookings &amp; Revenue'!E7)</f>
        <v/>
      </c>
      <c r="G17" s="30" t="str">
        <f>IF('Raw Operating'!G12="","",'Raw Operating'!G12/'Bookings &amp; Revenue'!F7)</f>
        <v/>
      </c>
      <c r="H17" s="30" t="str">
        <f>IF('Raw Operating'!H12="","",'Raw Operating'!H12/'Bookings &amp; Revenue'!G7)</f>
        <v/>
      </c>
      <c r="I17" s="30">
        <f>IF('Raw Operating'!I12="","",'Raw Operating'!I12/'Bookings &amp; Revenue'!H7)</f>
        <v>1.596083550913838</v>
      </c>
      <c r="J17" s="30">
        <f>IF('Raw Operating'!J12="","",'Raw Operating'!J12/'Bookings &amp; Revenue'!I7)</f>
        <v>1.567181467181467</v>
      </c>
      <c r="K17" s="30">
        <f>IF('Raw Operating'!K12="","",'Raw Operating'!K12/'Bookings &amp; Revenue'!J7)</f>
        <v>1.5419055649241147</v>
      </c>
      <c r="L17" s="30">
        <f>IF('Raw Operating'!L12="","",'Raw Operating'!L12/'Bookings &amp; Revenue'!K7)</f>
        <v>1.4927258533815913</v>
      </c>
      <c r="M17" s="30">
        <f>IF('Raw Operating'!M12="","",'Raw Operating'!M12/'Bookings &amp; Revenue'!L7)</f>
        <v>1.4538805609284333</v>
      </c>
      <c r="N17" s="31">
        <f>IFERROR('Raw Operating'!N12/'Bookings &amp; Revenue'!M7,"")</f>
        <v>0</v>
      </c>
      <c r="O17" s="31">
        <f>IFERROR('Raw Operating'!O12/'Bookings &amp; Revenue'!N7,"")</f>
        <v>0</v>
      </c>
      <c r="P17" s="31">
        <f>IFERROR('Raw Operating'!P12/'Bookings &amp; Revenue'!O7,"")</f>
        <v>0</v>
      </c>
      <c r="Q17" s="31">
        <f>IFERROR('Raw Operating'!Q12/'Bookings &amp; Revenue'!P7,"")</f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6"/>
      <c r="O18" s="16"/>
      <c r="P18" s="16"/>
      <c r="Q18" s="16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6"/>
      <c r="O19" s="16"/>
      <c r="P19" s="16"/>
      <c r="Q19" s="16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6"/>
      <c r="O20" s="16"/>
      <c r="P20" s="16"/>
      <c r="Q20" s="16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6"/>
      <c r="O21" s="16"/>
      <c r="P21" s="16"/>
      <c r="Q21" s="16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6"/>
      <c r="O22" s="16"/>
      <c r="P22" s="16"/>
      <c r="Q22" s="16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6"/>
      <c r="O23" s="16"/>
      <c r="P23" s="16"/>
      <c r="Q23" s="16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6"/>
      <c r="O24" s="16"/>
      <c r="P24" s="16"/>
      <c r="Q24" s="16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6"/>
      <c r="O25" s="16"/>
      <c r="P25" s="16"/>
      <c r="Q25" s="16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6"/>
      <c r="O26" s="16"/>
      <c r="P26" s="16"/>
      <c r="Q26" s="16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6"/>
      <c r="O27" s="16"/>
      <c r="P27" s="16"/>
      <c r="Q27" s="1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6"/>
      <c r="O28" s="16"/>
      <c r="P28" s="16"/>
      <c r="Q28" s="16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6"/>
      <c r="O29" s="16"/>
      <c r="P29" s="16"/>
      <c r="Q29" s="16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6"/>
      <c r="O30" s="16"/>
      <c r="P30" s="16"/>
      <c r="Q30" s="1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6"/>
      <c r="O31" s="16"/>
      <c r="P31" s="16"/>
      <c r="Q31" s="1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6"/>
      <c r="O32" s="16"/>
      <c r="P32" s="16"/>
      <c r="Q32" s="16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6"/>
      <c r="O33" s="16"/>
      <c r="P33" s="16"/>
      <c r="Q33" s="16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6"/>
      <c r="O34" s="16"/>
      <c r="P34" s="16"/>
      <c r="Q34" s="1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6"/>
      <c r="O35" s="16"/>
      <c r="P35" s="16"/>
      <c r="Q35" s="1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6"/>
      <c r="O36" s="16"/>
      <c r="P36" s="16"/>
      <c r="Q36" s="1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6"/>
      <c r="O37" s="16"/>
      <c r="P37" s="16"/>
      <c r="Q37" s="16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6"/>
      <c r="O38" s="16"/>
      <c r="P38" s="16"/>
      <c r="Q38" s="1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6"/>
      <c r="O39" s="16"/>
      <c r="P39" s="16"/>
      <c r="Q39" s="1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6"/>
      <c r="O40" s="16"/>
      <c r="P40" s="16"/>
      <c r="Q40" s="1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6"/>
      <c r="O41" s="16"/>
      <c r="P41" s="16"/>
      <c r="Q41" s="1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6"/>
      <c r="O42" s="16"/>
      <c r="P42" s="16"/>
      <c r="Q42" s="1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6"/>
      <c r="O43" s="16"/>
      <c r="P43" s="16"/>
      <c r="Q43" s="1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6"/>
      <c r="O44" s="16"/>
      <c r="P44" s="16"/>
      <c r="Q44" s="1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6"/>
      <c r="O45" s="16"/>
      <c r="P45" s="16"/>
      <c r="Q45" s="1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6"/>
      <c r="O46" s="16"/>
      <c r="P46" s="16"/>
      <c r="Q46" s="1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"/>
      <c r="O47" s="16"/>
      <c r="P47" s="16"/>
      <c r="Q47" s="1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6"/>
      <c r="O48" s="16"/>
      <c r="P48" s="16"/>
      <c r="Q48" s="1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"/>
      <c r="O49" s="16"/>
      <c r="P49" s="16"/>
      <c r="Q49" s="1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6"/>
      <c r="O50" s="16"/>
      <c r="P50" s="16"/>
      <c r="Q50" s="1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6"/>
      <c r="O51" s="16"/>
      <c r="P51" s="16"/>
      <c r="Q51" s="1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6"/>
      <c r="O52" s="16"/>
      <c r="P52" s="16"/>
      <c r="Q52" s="1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6"/>
      <c r="O53" s="16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6"/>
      <c r="O54" s="16"/>
      <c r="P54" s="16"/>
      <c r="Q54" s="1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6"/>
      <c r="O55" s="16"/>
      <c r="P55" s="16"/>
      <c r="Q55" s="1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6"/>
      <c r="O56" s="16"/>
      <c r="P56" s="16"/>
      <c r="Q56" s="1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6"/>
      <c r="O57" s="16"/>
      <c r="P57" s="16"/>
      <c r="Q57" s="1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6"/>
      <c r="O58" s="16"/>
      <c r="P58" s="16"/>
      <c r="Q58" s="1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6"/>
      <c r="O59" s="16"/>
      <c r="P59" s="16"/>
      <c r="Q59" s="1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6"/>
      <c r="O60" s="16"/>
      <c r="P60" s="16"/>
      <c r="Q60" s="1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6"/>
      <c r="O61" s="16"/>
      <c r="P61" s="16"/>
      <c r="Q61" s="1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6"/>
      <c r="O62" s="16"/>
      <c r="P62" s="16"/>
      <c r="Q62" s="1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6"/>
      <c r="O63" s="16"/>
      <c r="P63" s="16"/>
      <c r="Q63" s="1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6"/>
      <c r="O64" s="16"/>
      <c r="P64" s="16"/>
      <c r="Q64" s="1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6"/>
      <c r="O65" s="16"/>
      <c r="P65" s="16"/>
      <c r="Q65" s="1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6"/>
      <c r="O66" s="16"/>
      <c r="P66" s="16"/>
      <c r="Q66" s="1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6"/>
      <c r="O67" s="16"/>
      <c r="P67" s="16"/>
      <c r="Q67" s="1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6"/>
      <c r="O68" s="16"/>
      <c r="P68" s="16"/>
      <c r="Q68" s="1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6"/>
      <c r="O69" s="16"/>
      <c r="P69" s="16"/>
      <c r="Q69" s="1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6"/>
      <c r="O70" s="16"/>
      <c r="P70" s="16"/>
      <c r="Q70" s="1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6"/>
      <c r="O71" s="16"/>
      <c r="P71" s="16"/>
      <c r="Q71" s="1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6"/>
      <c r="O72" s="16"/>
      <c r="P72" s="16"/>
      <c r="Q72" s="1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6"/>
      <c r="O73" s="16"/>
      <c r="P73" s="16"/>
      <c r="Q73" s="1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6"/>
      <c r="O74" s="16"/>
      <c r="P74" s="16"/>
      <c r="Q74" s="1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6"/>
      <c r="O75" s="16"/>
      <c r="P75" s="16"/>
      <c r="Q75" s="1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6"/>
      <c r="O76" s="16"/>
      <c r="P76" s="16"/>
      <c r="Q76" s="1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6"/>
      <c r="O77" s="16"/>
      <c r="P77" s="16"/>
      <c r="Q77" s="1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6"/>
      <c r="O78" s="16"/>
      <c r="P78" s="16"/>
      <c r="Q78" s="1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6"/>
      <c r="O79" s="16"/>
      <c r="P79" s="16"/>
      <c r="Q79" s="1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6"/>
      <c r="O80" s="16"/>
      <c r="P80" s="16"/>
      <c r="Q80" s="1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6"/>
      <c r="O81" s="16"/>
      <c r="P81" s="16"/>
      <c r="Q81" s="1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6"/>
      <c r="O82" s="16"/>
      <c r="P82" s="16"/>
      <c r="Q82" s="1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6"/>
      <c r="O83" s="16"/>
      <c r="P83" s="16"/>
      <c r="Q83" s="1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6"/>
      <c r="O84" s="16"/>
      <c r="P84" s="16"/>
      <c r="Q84" s="1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6"/>
      <c r="O85" s="16"/>
      <c r="P85" s="16"/>
      <c r="Q85" s="1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6"/>
      <c r="O86" s="16"/>
      <c r="P86" s="16"/>
      <c r="Q86" s="1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6"/>
      <c r="O87" s="16"/>
      <c r="P87" s="16"/>
      <c r="Q87" s="1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6"/>
      <c r="O88" s="16"/>
      <c r="P88" s="16"/>
      <c r="Q88" s="1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6"/>
      <c r="O89" s="16"/>
      <c r="P89" s="16"/>
      <c r="Q89" s="1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6"/>
      <c r="O90" s="16"/>
      <c r="P90" s="16"/>
      <c r="Q90" s="1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6"/>
      <c r="O91" s="16"/>
      <c r="P91" s="16"/>
      <c r="Q91" s="1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6"/>
      <c r="O92" s="16"/>
      <c r="P92" s="16"/>
      <c r="Q92" s="1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6"/>
      <c r="O93" s="16"/>
      <c r="P93" s="16"/>
      <c r="Q93" s="1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6"/>
      <c r="O94" s="16"/>
      <c r="P94" s="16"/>
      <c r="Q94" s="1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6"/>
      <c r="O95" s="16"/>
      <c r="P95" s="16"/>
      <c r="Q95" s="1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6"/>
      <c r="O96" s="16"/>
      <c r="P96" s="16"/>
      <c r="Q96" s="1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6"/>
      <c r="O97" s="16"/>
      <c r="P97" s="16"/>
      <c r="Q97" s="1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6"/>
      <c r="O98" s="16"/>
      <c r="P98" s="16"/>
      <c r="Q98" s="1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6"/>
      <c r="O99" s="16"/>
      <c r="P99" s="16"/>
      <c r="Q99" s="1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6"/>
      <c r="O100" s="16"/>
      <c r="P100" s="16"/>
      <c r="Q100" s="1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6"/>
      <c r="O101" s="16"/>
      <c r="P101" s="16"/>
      <c r="Q101" s="1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6"/>
      <c r="O102" s="16"/>
      <c r="P102" s="16"/>
      <c r="Q102" s="1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6"/>
      <c r="O103" s="16"/>
      <c r="P103" s="16"/>
      <c r="Q103" s="1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6"/>
      <c r="O104" s="16"/>
      <c r="P104" s="16"/>
      <c r="Q104" s="1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6"/>
      <c r="O105" s="16"/>
      <c r="P105" s="16"/>
      <c r="Q105" s="1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6"/>
      <c r="O106" s="16"/>
      <c r="P106" s="16"/>
      <c r="Q106" s="1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6"/>
      <c r="O107" s="16"/>
      <c r="P107" s="16"/>
      <c r="Q107" s="1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6"/>
      <c r="O108" s="16"/>
      <c r="P108" s="16"/>
      <c r="Q108" s="1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6"/>
      <c r="O109" s="16"/>
      <c r="P109" s="16"/>
      <c r="Q109" s="1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6"/>
      <c r="O110" s="16"/>
      <c r="P110" s="16"/>
      <c r="Q110" s="1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6"/>
      <c r="O111" s="16"/>
      <c r="P111" s="16"/>
      <c r="Q111" s="1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6"/>
      <c r="O112" s="16"/>
      <c r="P112" s="16"/>
      <c r="Q112" s="1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6"/>
      <c r="O113" s="16"/>
      <c r="P113" s="16"/>
      <c r="Q113" s="1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6"/>
      <c r="O114" s="16"/>
      <c r="P114" s="16"/>
      <c r="Q114" s="1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6"/>
      <c r="O115" s="16"/>
      <c r="P115" s="16"/>
      <c r="Q115" s="1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6"/>
      <c r="O116" s="16"/>
      <c r="P116" s="16"/>
      <c r="Q116" s="1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6"/>
      <c r="O117" s="16"/>
      <c r="P117" s="16"/>
      <c r="Q117" s="1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6"/>
      <c r="O118" s="16"/>
      <c r="P118" s="16"/>
      <c r="Q118" s="1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6"/>
      <c r="O119" s="16"/>
      <c r="P119" s="16"/>
      <c r="Q119" s="1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6"/>
      <c r="O120" s="16"/>
      <c r="P120" s="16"/>
      <c r="Q120" s="1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6"/>
      <c r="O121" s="16"/>
      <c r="P121" s="16"/>
      <c r="Q121" s="1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6"/>
      <c r="O122" s="16"/>
      <c r="P122" s="16"/>
      <c r="Q122" s="1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6"/>
      <c r="O123" s="16"/>
      <c r="P123" s="16"/>
      <c r="Q123" s="1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6"/>
      <c r="O124" s="16"/>
      <c r="P124" s="16"/>
      <c r="Q124" s="1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6"/>
      <c r="O125" s="16"/>
      <c r="P125" s="16"/>
      <c r="Q125" s="1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6"/>
      <c r="O126" s="16"/>
      <c r="P126" s="16"/>
      <c r="Q126" s="1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6"/>
      <c r="O127" s="16"/>
      <c r="P127" s="16"/>
      <c r="Q127" s="1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6"/>
      <c r="O128" s="16"/>
      <c r="P128" s="16"/>
      <c r="Q128" s="1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6"/>
      <c r="O129" s="16"/>
      <c r="P129" s="16"/>
      <c r="Q129" s="1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6"/>
      <c r="O130" s="16"/>
      <c r="P130" s="16"/>
      <c r="Q130" s="1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6"/>
      <c r="O131" s="16"/>
      <c r="P131" s="16"/>
      <c r="Q131" s="1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6"/>
      <c r="O132" s="16"/>
      <c r="P132" s="16"/>
      <c r="Q132" s="1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6"/>
      <c r="O133" s="16"/>
      <c r="P133" s="16"/>
      <c r="Q133" s="1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6"/>
      <c r="O134" s="16"/>
      <c r="P134" s="16"/>
      <c r="Q134" s="1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6"/>
      <c r="O135" s="16"/>
      <c r="P135" s="16"/>
      <c r="Q135" s="1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6"/>
      <c r="O136" s="16"/>
      <c r="P136" s="16"/>
      <c r="Q136" s="1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6"/>
      <c r="O137" s="16"/>
      <c r="P137" s="16"/>
      <c r="Q137" s="1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6"/>
      <c r="O138" s="16"/>
      <c r="P138" s="16"/>
      <c r="Q138" s="1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6"/>
      <c r="O139" s="16"/>
      <c r="P139" s="16"/>
      <c r="Q139" s="1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6"/>
      <c r="O140" s="16"/>
      <c r="P140" s="16"/>
      <c r="Q140" s="1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6"/>
      <c r="O141" s="16"/>
      <c r="P141" s="16"/>
      <c r="Q141" s="1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6"/>
      <c r="O142" s="16"/>
      <c r="P142" s="16"/>
      <c r="Q142" s="1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6"/>
      <c r="O143" s="16"/>
      <c r="P143" s="16"/>
      <c r="Q143" s="1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6"/>
      <c r="O144" s="16"/>
      <c r="P144" s="16"/>
      <c r="Q144" s="1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6"/>
      <c r="O145" s="16"/>
      <c r="P145" s="16"/>
      <c r="Q145" s="1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6"/>
      <c r="O146" s="16"/>
      <c r="P146" s="16"/>
      <c r="Q146" s="1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6"/>
      <c r="O147" s="16"/>
      <c r="P147" s="16"/>
      <c r="Q147" s="1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6"/>
      <c r="O148" s="16"/>
      <c r="P148" s="16"/>
      <c r="Q148" s="1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6"/>
      <c r="O149" s="16"/>
      <c r="P149" s="16"/>
      <c r="Q149" s="1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6"/>
      <c r="O150" s="16"/>
      <c r="P150" s="16"/>
      <c r="Q150" s="1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6"/>
      <c r="O151" s="16"/>
      <c r="P151" s="16"/>
      <c r="Q151" s="1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6"/>
      <c r="O152" s="16"/>
      <c r="P152" s="16"/>
      <c r="Q152" s="1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6"/>
      <c r="O153" s="16"/>
      <c r="P153" s="16"/>
      <c r="Q153" s="1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6"/>
      <c r="O154" s="16"/>
      <c r="P154" s="16"/>
      <c r="Q154" s="1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6"/>
      <c r="O155" s="16"/>
      <c r="P155" s="16"/>
      <c r="Q155" s="1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6"/>
      <c r="O156" s="16"/>
      <c r="P156" s="16"/>
      <c r="Q156" s="1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6"/>
      <c r="O157" s="16"/>
      <c r="P157" s="16"/>
      <c r="Q157" s="1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6"/>
      <c r="O158" s="16"/>
      <c r="P158" s="16"/>
      <c r="Q158" s="1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6"/>
      <c r="O159" s="16"/>
      <c r="P159" s="16"/>
      <c r="Q159" s="1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6"/>
      <c r="O160" s="16"/>
      <c r="P160" s="16"/>
      <c r="Q160" s="1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6"/>
      <c r="O161" s="16"/>
      <c r="P161" s="16"/>
      <c r="Q161" s="1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6"/>
      <c r="O162" s="16"/>
      <c r="P162" s="16"/>
      <c r="Q162" s="1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6"/>
      <c r="O163" s="16"/>
      <c r="P163" s="16"/>
      <c r="Q163" s="1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6"/>
      <c r="O164" s="16"/>
      <c r="P164" s="16"/>
      <c r="Q164" s="1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6"/>
      <c r="O165" s="16"/>
      <c r="P165" s="16"/>
      <c r="Q165" s="1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6"/>
      <c r="O166" s="16"/>
      <c r="P166" s="16"/>
      <c r="Q166" s="1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6"/>
      <c r="O167" s="16"/>
      <c r="P167" s="16"/>
      <c r="Q167" s="1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6"/>
      <c r="O168" s="16"/>
      <c r="P168" s="16"/>
      <c r="Q168" s="1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6"/>
      <c r="O169" s="16"/>
      <c r="P169" s="16"/>
      <c r="Q169" s="1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6"/>
      <c r="O170" s="16"/>
      <c r="P170" s="16"/>
      <c r="Q170" s="1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6"/>
      <c r="O171" s="16"/>
      <c r="P171" s="16"/>
      <c r="Q171" s="1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6"/>
      <c r="O172" s="16"/>
      <c r="P172" s="16"/>
      <c r="Q172" s="1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6"/>
      <c r="O173" s="16"/>
      <c r="P173" s="16"/>
      <c r="Q173" s="1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6"/>
      <c r="O174" s="16"/>
      <c r="P174" s="16"/>
      <c r="Q174" s="1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6"/>
      <c r="O175" s="16"/>
      <c r="P175" s="16"/>
      <c r="Q175" s="1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6"/>
      <c r="O176" s="16"/>
      <c r="P176" s="16"/>
      <c r="Q176" s="1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6"/>
      <c r="O177" s="16"/>
      <c r="P177" s="16"/>
      <c r="Q177" s="1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6"/>
      <c r="O178" s="16"/>
      <c r="P178" s="16"/>
      <c r="Q178" s="1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6"/>
      <c r="O179" s="16"/>
      <c r="P179" s="16"/>
      <c r="Q179" s="1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6"/>
      <c r="O180" s="16"/>
      <c r="P180" s="16"/>
      <c r="Q180" s="1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6"/>
      <c r="O181" s="16"/>
      <c r="P181" s="16"/>
      <c r="Q181" s="1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6"/>
      <c r="O182" s="16"/>
      <c r="P182" s="16"/>
      <c r="Q182" s="1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6"/>
      <c r="O183" s="16"/>
      <c r="P183" s="16"/>
      <c r="Q183" s="1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6"/>
      <c r="O184" s="16"/>
      <c r="P184" s="16"/>
      <c r="Q184" s="1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6"/>
      <c r="O185" s="16"/>
      <c r="P185" s="16"/>
      <c r="Q185" s="1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6"/>
      <c r="O186" s="16"/>
      <c r="P186" s="16"/>
      <c r="Q186" s="1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6"/>
      <c r="O187" s="16"/>
      <c r="P187" s="16"/>
      <c r="Q187" s="1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6"/>
      <c r="O188" s="16"/>
      <c r="P188" s="16"/>
      <c r="Q188" s="1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6"/>
      <c r="O189" s="16"/>
      <c r="P189" s="16"/>
      <c r="Q189" s="1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6"/>
      <c r="O190" s="16"/>
      <c r="P190" s="16"/>
      <c r="Q190" s="1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6"/>
      <c r="O191" s="16"/>
      <c r="P191" s="16"/>
      <c r="Q191" s="1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6"/>
      <c r="O192" s="16"/>
      <c r="P192" s="16"/>
      <c r="Q192" s="1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6"/>
      <c r="O193" s="16"/>
      <c r="P193" s="16"/>
      <c r="Q193" s="1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6"/>
      <c r="O194" s="16"/>
      <c r="P194" s="16"/>
      <c r="Q194" s="1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6"/>
      <c r="O195" s="16"/>
      <c r="P195" s="16"/>
      <c r="Q195" s="1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6"/>
      <c r="O196" s="16"/>
      <c r="P196" s="16"/>
      <c r="Q196" s="1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6"/>
      <c r="O197" s="16"/>
      <c r="P197" s="16"/>
      <c r="Q197" s="1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6"/>
      <c r="O198" s="16"/>
      <c r="P198" s="16"/>
      <c r="Q198" s="1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6"/>
      <c r="O199" s="16"/>
      <c r="P199" s="16"/>
      <c r="Q199" s="1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6"/>
      <c r="O200" s="16"/>
      <c r="P200" s="16"/>
      <c r="Q200" s="1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6"/>
      <c r="O201" s="16"/>
      <c r="P201" s="16"/>
      <c r="Q201" s="16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6"/>
      <c r="O202" s="16"/>
      <c r="P202" s="16"/>
      <c r="Q202" s="16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6"/>
      <c r="O203" s="16"/>
      <c r="P203" s="16"/>
      <c r="Q203" s="16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6"/>
      <c r="O204" s="16"/>
      <c r="P204" s="16"/>
      <c r="Q204" s="16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6"/>
      <c r="O205" s="16"/>
      <c r="P205" s="16"/>
      <c r="Q205" s="16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6"/>
      <c r="O206" s="16"/>
      <c r="P206" s="16"/>
      <c r="Q206" s="16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6"/>
      <c r="O207" s="16"/>
      <c r="P207" s="16"/>
      <c r="Q207" s="16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6"/>
      <c r="O208" s="16"/>
      <c r="P208" s="16"/>
      <c r="Q208" s="16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6"/>
      <c r="O209" s="16"/>
      <c r="P209" s="16"/>
      <c r="Q209" s="16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6"/>
      <c r="O210" s="16"/>
      <c r="P210" s="16"/>
      <c r="Q210" s="16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6"/>
      <c r="O211" s="16"/>
      <c r="P211" s="16"/>
      <c r="Q211" s="16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6"/>
      <c r="O212" s="16"/>
      <c r="P212" s="16"/>
      <c r="Q212" s="1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6"/>
      <c r="O213" s="16"/>
      <c r="P213" s="16"/>
      <c r="Q213" s="16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6"/>
      <c r="O214" s="16"/>
      <c r="P214" s="16"/>
      <c r="Q214" s="16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6"/>
      <c r="O215" s="16"/>
      <c r="P215" s="16"/>
      <c r="Q215" s="16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6"/>
      <c r="O216" s="16"/>
      <c r="P216" s="16"/>
      <c r="Q216" s="16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6"/>
      <c r="O217" s="16"/>
      <c r="P217" s="16"/>
      <c r="Q217" s="16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6"/>
      <c r="O218" s="16"/>
      <c r="P218" s="16"/>
      <c r="Q218" s="16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6"/>
      <c r="O219" s="16"/>
      <c r="P219" s="16"/>
      <c r="Q219" s="16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6"/>
      <c r="O220" s="16"/>
      <c r="P220" s="16"/>
      <c r="Q220" s="16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6"/>
      <c r="O221" s="16"/>
      <c r="P221" s="16"/>
      <c r="Q221" s="16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6"/>
      <c r="O222" s="16"/>
      <c r="P222" s="16"/>
      <c r="Q222" s="16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6"/>
      <c r="O223" s="16"/>
      <c r="P223" s="16"/>
      <c r="Q223" s="16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6"/>
      <c r="O224" s="16"/>
      <c r="P224" s="16"/>
      <c r="Q224" s="16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6"/>
      <c r="O225" s="16"/>
      <c r="P225" s="16"/>
      <c r="Q225" s="16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6"/>
      <c r="O226" s="16"/>
      <c r="P226" s="16"/>
      <c r="Q226" s="16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6"/>
      <c r="O227" s="16"/>
      <c r="P227" s="16"/>
      <c r="Q227" s="16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6"/>
      <c r="O228" s="16"/>
      <c r="P228" s="16"/>
      <c r="Q228" s="16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6"/>
      <c r="O229" s="16"/>
      <c r="P229" s="16"/>
      <c r="Q229" s="16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6"/>
      <c r="O230" s="16"/>
      <c r="P230" s="16"/>
      <c r="Q230" s="16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258"/>
  <sheetViews>
    <sheetView showGridLines="0" topLeftCell="A8" workbookViewId="0">
      <selection activeCell="A2" sqref="A2:XFD2"/>
    </sheetView>
  </sheetViews>
  <sheetFormatPr defaultRowHeight="13.8"/>
  <cols>
    <col min="1" max="1" width="43" customWidth="1"/>
    <col min="2" max="16" width="11.5" customWidth="1"/>
  </cols>
  <sheetData>
    <row r="1" spans="1:46" ht="25.95" customHeight="1">
      <c r="A1" s="37" t="s">
        <v>494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4.4">
      <c r="A3" s="1"/>
      <c r="B3" s="1"/>
      <c r="C3" s="1"/>
      <c r="D3" s="1"/>
      <c r="E3" s="1"/>
      <c r="F3" s="1"/>
      <c r="G3" s="1"/>
      <c r="H3" s="1"/>
      <c r="I3" s="1"/>
      <c r="J3" s="1">
        <f>J5/I5-1</f>
        <v>4.1985233081392792E-2</v>
      </c>
      <c r="K3" s="1">
        <f>K5/J5-1</f>
        <v>3.1194968553459157E-2</v>
      </c>
      <c r="L3" s="1">
        <f>L5/K5-1</f>
        <v>0.11824022119216071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9.95" customHeight="1">
      <c r="A4" s="3" t="s">
        <v>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15" t="s">
        <v>13</v>
      </c>
      <c r="N4" s="15" t="s">
        <v>14</v>
      </c>
      <c r="O4" s="15" t="s">
        <v>15</v>
      </c>
      <c r="P4" s="15" t="s">
        <v>16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4.4">
      <c r="A5" s="1" t="s">
        <v>495</v>
      </c>
      <c r="B5" s="18">
        <f>'Raw Operating'!C8</f>
        <v>9264</v>
      </c>
      <c r="C5" s="18">
        <f>'Raw Operating'!D8</f>
        <v>9460</v>
      </c>
      <c r="D5" s="18">
        <f>'Raw Operating'!E8</f>
        <v>8976</v>
      </c>
      <c r="E5" s="18">
        <f>'Raw Operating'!F8</f>
        <v>9962</v>
      </c>
      <c r="F5" s="18">
        <f>'Raw Operating'!G8</f>
        <v>10632</v>
      </c>
      <c r="G5" s="18">
        <f>'Raw Operating'!H8</f>
        <v>13680</v>
      </c>
      <c r="H5" s="18">
        <f>'Raw Operating'!I8</f>
        <v>18599</v>
      </c>
      <c r="I5" s="18">
        <f>'Raw Operating'!J8</f>
        <v>22889</v>
      </c>
      <c r="J5" s="18">
        <f>'Raw Operating'!K8</f>
        <v>23850</v>
      </c>
      <c r="K5" s="18">
        <f>'Raw Operating'!L8</f>
        <v>24594</v>
      </c>
      <c r="L5" s="18">
        <f>'Raw Operating'!M8</f>
        <v>27502</v>
      </c>
      <c r="M5" s="23">
        <f>L5*(1+L3)</f>
        <v>30753.842563226804</v>
      </c>
      <c r="N5" s="23">
        <f>M5*(1.0675)</f>
        <v>32829.72693624461</v>
      </c>
      <c r="O5" s="23">
        <f>N5*1.034</f>
        <v>33945.937652076929</v>
      </c>
      <c r="P5" s="23">
        <f>O5*1.034</f>
        <v>35100.099532247543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4.4">
      <c r="A6" s="1" t="s">
        <v>402</v>
      </c>
      <c r="B6" s="18">
        <f>'Raw Operating'!C9</f>
        <v>0</v>
      </c>
      <c r="C6" s="18">
        <f>'Raw Operating'!D9</f>
        <v>0</v>
      </c>
      <c r="D6" s="18">
        <f>'Raw Operating'!E9</f>
        <v>0</v>
      </c>
      <c r="E6" s="18">
        <f>'Raw Operating'!F9</f>
        <v>0</v>
      </c>
      <c r="F6" s="18">
        <f>'Raw Operating'!G9</f>
        <v>0</v>
      </c>
      <c r="G6" s="18">
        <f>'Raw Operating'!H9</f>
        <v>0</v>
      </c>
      <c r="H6" s="18">
        <f>'Raw Operating'!I9</f>
        <v>0</v>
      </c>
      <c r="I6" s="18">
        <f>'Raw Operating'!J9</f>
        <v>0</v>
      </c>
      <c r="J6" s="18">
        <f>'Raw Operating'!K9</f>
        <v>0</v>
      </c>
      <c r="K6" s="18">
        <f>'Raw Operating'!L9</f>
        <v>23072</v>
      </c>
      <c r="L6" s="18">
        <f>'Raw Operating'!M9</f>
        <v>25849</v>
      </c>
      <c r="M6" s="23">
        <f>M7*M5</f>
        <v>28970.119694559649</v>
      </c>
      <c r="N6" s="23">
        <f t="shared" ref="N6:P6" si="0">N7*N5</f>
        <v>30991.26222781491</v>
      </c>
      <c r="O6" s="23">
        <f>O7*O5</f>
        <v>32112.857018864772</v>
      </c>
      <c r="P6" s="23">
        <f t="shared" si="0"/>
        <v>33204.694157506172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4.4">
      <c r="A7" s="1" t="s">
        <v>496</v>
      </c>
      <c r="B7" s="17">
        <f t="shared" ref="B7:K7" si="1">IFERROR(B6/B5,"")</f>
        <v>0</v>
      </c>
      <c r="C7" s="17">
        <f t="shared" si="1"/>
        <v>0</v>
      </c>
      <c r="D7" s="17">
        <f t="shared" si="1"/>
        <v>0</v>
      </c>
      <c r="E7" s="17">
        <f t="shared" si="1"/>
        <v>0</v>
      </c>
      <c r="F7" s="17">
        <f t="shared" si="1"/>
        <v>0</v>
      </c>
      <c r="G7" s="17">
        <f t="shared" si="1"/>
        <v>0</v>
      </c>
      <c r="H7" s="17">
        <f t="shared" si="1"/>
        <v>0</v>
      </c>
      <c r="I7" s="17">
        <f t="shared" si="1"/>
        <v>0</v>
      </c>
      <c r="J7" s="17">
        <f t="shared" si="1"/>
        <v>0</v>
      </c>
      <c r="K7" s="17">
        <f t="shared" si="1"/>
        <v>0.93811498739529964</v>
      </c>
      <c r="L7" s="17">
        <f>IFERROR(L6/L5,"")</f>
        <v>0.93989528034324776</v>
      </c>
      <c r="M7" s="22">
        <v>0.94199999999999995</v>
      </c>
      <c r="N7" s="22">
        <v>0.94399999999999995</v>
      </c>
      <c r="O7" s="22">
        <v>0.94599999999999995</v>
      </c>
      <c r="P7" s="22">
        <f>O7</f>
        <v>0.94599999999999995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4.4">
      <c r="A8" s="1" t="s">
        <v>404</v>
      </c>
      <c r="B8" s="17">
        <f>'Raw Operating'!C11</f>
        <v>0</v>
      </c>
      <c r="C8" s="17">
        <f>'Raw Operating'!D11</f>
        <v>0</v>
      </c>
      <c r="D8" s="17">
        <f>'Raw Operating'!E11</f>
        <v>0</v>
      </c>
      <c r="E8" s="17">
        <f>'Raw Operating'!F11</f>
        <v>0</v>
      </c>
      <c r="F8" s="17">
        <f>'Raw Operating'!G11</f>
        <v>0</v>
      </c>
      <c r="G8" s="17">
        <f>'Raw Operating'!H11</f>
        <v>0</v>
      </c>
      <c r="H8" s="17">
        <f>'Raw Operating'!I11</f>
        <v>0</v>
      </c>
      <c r="I8" s="17">
        <f>'Raw Operating'!J11</f>
        <v>0</v>
      </c>
      <c r="J8" s="17">
        <f>'Raw Operating'!K11</f>
        <v>0</v>
      </c>
      <c r="K8" s="17">
        <f>'Raw Operating'!L11</f>
        <v>0.85599999999999998</v>
      </c>
      <c r="L8" s="17">
        <f>'Raw Operating'!M11</f>
        <v>0.88300000000000001</v>
      </c>
      <c r="M8" s="22">
        <f>L8+0.5%</f>
        <v>0.88800000000000001</v>
      </c>
      <c r="N8" s="22">
        <f>M8+0.5%</f>
        <v>0.89300000000000002</v>
      </c>
      <c r="O8" s="22">
        <f>N8+0.45%</f>
        <v>0.89749999999999996</v>
      </c>
      <c r="P8" s="22">
        <f>O8</f>
        <v>0.89749999999999996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4.4">
      <c r="A9" s="1" t="s">
        <v>403</v>
      </c>
      <c r="B9" s="17">
        <f>'Raw Operating'!C10</f>
        <v>0.16400000000000001</v>
      </c>
      <c r="C9" s="17">
        <f>'Raw Operating'!D10</f>
        <v>0.157</v>
      </c>
      <c r="D9" s="17">
        <f>'Raw Operating'!E10</f>
        <v>0.14699999999999999</v>
      </c>
      <c r="E9" s="17">
        <f>'Raw Operating'!F10</f>
        <v>0.16700000000000001</v>
      </c>
      <c r="F9" s="17">
        <f>'Raw Operating'!G10</f>
        <v>0.14299999999999999</v>
      </c>
      <c r="G9" s="17">
        <f>'Raw Operating'!H10</f>
        <v>0.11700000000000001</v>
      </c>
      <c r="H9" s="17">
        <f>'Raw Operating'!I10</f>
        <v>0.26600000000000001</v>
      </c>
      <c r="I9" s="17">
        <f>'Raw Operating'!J10</f>
        <v>0.19800000000000001</v>
      </c>
      <c r="J9" s="17">
        <f>'Raw Operating'!K10</f>
        <v>0.115</v>
      </c>
      <c r="K9" s="17">
        <f>'Raw Operating'!L10</f>
        <v>0.129</v>
      </c>
      <c r="L9" s="17">
        <f>'Raw Operating'!M10</f>
        <v>0.13</v>
      </c>
      <c r="M9" s="22">
        <f>MAX(0.1,L9-0.003)</f>
        <v>0.127</v>
      </c>
      <c r="N9" s="22">
        <f>MAX(0.1,M9-0.003)</f>
        <v>0.124</v>
      </c>
      <c r="O9" s="22">
        <f>MAX(0.1,N9-0.003)</f>
        <v>0.121</v>
      </c>
      <c r="P9" s="22">
        <f>MAX(0.1,O9-0.003)</f>
        <v>0.11799999999999999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4.4">
      <c r="A10" s="1" t="s">
        <v>497</v>
      </c>
      <c r="B10" s="18">
        <f>IFERROR('Bookings &amp; Revenue'!B7*1000000/B5,"")</f>
        <v>37996.545768566495</v>
      </c>
      <c r="C10" s="18">
        <f>IFERROR('Bookings &amp; Revenue'!C7*1000000/C5,"")</f>
        <v>45348.837209302328</v>
      </c>
      <c r="D10" s="18">
        <f>IFERROR('Bookings &amp; Revenue'!D7*1000000/D5,"")</f>
        <v>52473.262032085564</v>
      </c>
      <c r="E10" s="18">
        <f>IFERROR('Bookings &amp; Revenue'!E7*1000000/E5,"")</f>
        <v>48283.477213410959</v>
      </c>
      <c r="F10" s="18">
        <f>IFERROR('Bookings &amp; Revenue'!F7*1000000/F5,"")</f>
        <v>47215.951843491348</v>
      </c>
      <c r="G10" s="18">
        <f>IFERROR('Bookings &amp; Revenue'!G7*1000000/G5,"")</f>
        <v>41374.269005847957</v>
      </c>
      <c r="H10" s="18">
        <f>IFERROR('Bookings &amp; Revenue'!H7*1000000/H5,"")</f>
        <v>41185.00994677133</v>
      </c>
      <c r="I10" s="18">
        <f>IFERROR('Bookings &amp; Revenue'!I7*1000000/I5,"")</f>
        <v>45261.916204290268</v>
      </c>
      <c r="J10" s="18">
        <f>IFERROR('Bookings &amp; Revenue'!J7*1000000/J5,"")</f>
        <v>49727.463312368971</v>
      </c>
      <c r="K10" s="18">
        <f>IFERROR('Bookings &amp; Revenue'!K7*1000000/K5,"")</f>
        <v>57294.462063918028</v>
      </c>
      <c r="L10" s="18">
        <f>IFERROR('Bookings &amp; Revenue'!L7*1000000/L5,"")</f>
        <v>60155.625045451241</v>
      </c>
      <c r="M10" s="23">
        <f>IFERROR('Bookings &amp; Revenue'!M7*1000000/M5,"")</f>
        <v>64860.612923076922</v>
      </c>
      <c r="N10" s="23">
        <f>IFERROR('Bookings &amp; Revenue'!N7*1000000/N5,"")</f>
        <v>69526.874400000001</v>
      </c>
      <c r="O10" s="23">
        <f>IFERROR('Bookings &amp; Revenue'!O7*1000000/O5,"")</f>
        <v>75877.674238437481</v>
      </c>
      <c r="P10" s="23">
        <f>IFERROR('Bookings &amp; Revenue'!P7*1000000/P5,"")</f>
        <v>82823.609332268039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4">
      <c r="A11" s="1" t="s">
        <v>498</v>
      </c>
      <c r="B11" s="18" t="str">
        <f>IFERROR('Bookings &amp; Revenue'!B7*1000000/B6,"")</f>
        <v/>
      </c>
      <c r="C11" s="18" t="str">
        <f>IFERROR('Bookings &amp; Revenue'!C7*1000000/C6,"")</f>
        <v/>
      </c>
      <c r="D11" s="18" t="str">
        <f>IFERROR('Bookings &amp; Revenue'!D7*1000000/D6,"")</f>
        <v/>
      </c>
      <c r="E11" s="18" t="str">
        <f>IFERROR('Bookings &amp; Revenue'!E7*1000000/E6,"")</f>
        <v/>
      </c>
      <c r="F11" s="18" t="str">
        <f>IFERROR('Bookings &amp; Revenue'!F7*1000000/F6,"")</f>
        <v/>
      </c>
      <c r="G11" s="18" t="str">
        <f>IFERROR('Bookings &amp; Revenue'!G7*1000000/G6,"")</f>
        <v/>
      </c>
      <c r="H11" s="18" t="str">
        <f>IFERROR('Bookings &amp; Revenue'!H7*1000000/H6,"")</f>
        <v/>
      </c>
      <c r="I11" s="18" t="str">
        <f>IFERROR('Bookings &amp; Revenue'!I7*1000000/I6,"")</f>
        <v/>
      </c>
      <c r="J11" s="18" t="str">
        <f>IFERROR('Bookings &amp; Revenue'!J7*1000000/J6,"")</f>
        <v/>
      </c>
      <c r="K11" s="18">
        <f>'Annual P&amp;L'!K5/'People &amp; AI'!K6</f>
        <v>5.1745479368932035</v>
      </c>
      <c r="L11" s="18">
        <f>'Annual P&amp;L'!L5/'People &amp; AI'!L6</f>
        <v>5.7056168517157335</v>
      </c>
      <c r="M11" s="23">
        <v>7</v>
      </c>
      <c r="N11" s="23">
        <v>7.75</v>
      </c>
      <c r="O11" s="23">
        <v>8.4499999999999993</v>
      </c>
      <c r="P11" s="23">
        <v>9.3000000000000007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4">
      <c r="A12" s="1" t="s">
        <v>499</v>
      </c>
      <c r="B12" s="1"/>
      <c r="C12" s="17">
        <f t="shared" ref="C12:P12" si="2">IFERROR(C5/B5-1,"")</f>
        <v>2.1157167530224452E-2</v>
      </c>
      <c r="D12" s="17">
        <f t="shared" si="2"/>
        <v>-5.1162790697674376E-2</v>
      </c>
      <c r="E12" s="17">
        <f t="shared" si="2"/>
        <v>0.10984848484848486</v>
      </c>
      <c r="F12" s="17">
        <f t="shared" si="2"/>
        <v>6.725557117044767E-2</v>
      </c>
      <c r="G12" s="17">
        <f t="shared" si="2"/>
        <v>0.28668171557562072</v>
      </c>
      <c r="H12" s="17">
        <f t="shared" si="2"/>
        <v>0.35957602339181283</v>
      </c>
      <c r="I12" s="17">
        <f t="shared" si="2"/>
        <v>0.23065756223452882</v>
      </c>
      <c r="J12" s="17">
        <f t="shared" si="2"/>
        <v>4.1985233081392792E-2</v>
      </c>
      <c r="K12" s="17">
        <f t="shared" si="2"/>
        <v>3.1194968553459157E-2</v>
      </c>
      <c r="L12" s="17">
        <f t="shared" si="2"/>
        <v>0.11824022119216071</v>
      </c>
      <c r="M12" s="22">
        <f t="shared" si="2"/>
        <v>0.11824022119216071</v>
      </c>
      <c r="N12" s="22">
        <f t="shared" si="2"/>
        <v>6.7499999999999893E-2</v>
      </c>
      <c r="O12" s="22">
        <f t="shared" si="2"/>
        <v>3.400000000000003E-2</v>
      </c>
      <c r="P12" s="22">
        <f t="shared" si="2"/>
        <v>3.400000000000003E-2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4.4">
      <c r="A13" s="1" t="s">
        <v>19</v>
      </c>
      <c r="B13" s="1"/>
      <c r="C13" s="17">
        <f>'Annual P&amp;L'!C6</f>
        <v>0.24482135126848181</v>
      </c>
      <c r="D13" s="17">
        <f>'Annual P&amp;L'!D6</f>
        <v>5.3940347528643073E-2</v>
      </c>
      <c r="E13" s="17">
        <f>'Annual P&amp;L'!E6</f>
        <v>0.10951566451956585</v>
      </c>
      <c r="F13" s="17">
        <f>'Annual P&amp;L'!F6</f>
        <v>5.9379234514211676E-2</v>
      </c>
      <c r="G13" s="17">
        <f>'Annual P&amp;L'!G6</f>
        <v>0.17445695337494316</v>
      </c>
      <c r="H13" s="17">
        <f>'Annual P&amp;L'!H6</f>
        <v>0.36363388896742221</v>
      </c>
      <c r="I13" s="17">
        <f>'Annual P&amp;L'!I6</f>
        <v>0.46225939658321336</v>
      </c>
      <c r="J13" s="17">
        <f>'Annual P&amp;L'!J6</f>
        <v>0.17615457682521196</v>
      </c>
      <c r="K13" s="17">
        <f>'Annual P&amp;L'!K6</f>
        <v>0.2155588501125123</v>
      </c>
      <c r="L13" s="17">
        <f>'Annual P&amp;L'!L6</f>
        <v>0.23534622690193596</v>
      </c>
      <c r="M13" s="22">
        <f>'Annual P&amp;L'!M6</f>
        <v>0.20570181237348972</v>
      </c>
      <c r="N13" s="22">
        <f>'Annual P&amp;L'!N6</f>
        <v>0.14429906035613627</v>
      </c>
      <c r="O13" s="22">
        <f>'Annual P&amp;L'!O6</f>
        <v>0.12844875941301281</v>
      </c>
      <c r="P13" s="22">
        <f>'Annual P&amp;L'!P6</f>
        <v>0.12865362452269968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4.4">
      <c r="A14" s="1" t="s">
        <v>500</v>
      </c>
      <c r="B14" s="1"/>
      <c r="C14" s="17">
        <f t="shared" ref="C14:P14" si="3">C13-C12</f>
        <v>0.22366418373825736</v>
      </c>
      <c r="D14" s="17">
        <f t="shared" si="3"/>
        <v>0.10510313822631745</v>
      </c>
      <c r="E14" s="17">
        <f t="shared" si="3"/>
        <v>-3.3282032891901459E-4</v>
      </c>
      <c r="F14" s="17">
        <f t="shared" si="3"/>
        <v>-7.8763366562359938E-3</v>
      </c>
      <c r="G14" s="17">
        <f t="shared" si="3"/>
        <v>-0.11222476220067756</v>
      </c>
      <c r="H14" s="17">
        <f t="shared" si="3"/>
        <v>4.0578655756093873E-3</v>
      </c>
      <c r="I14" s="17">
        <f t="shared" si="3"/>
        <v>0.23160183434868453</v>
      </c>
      <c r="J14" s="17">
        <f t="shared" si="3"/>
        <v>0.13416934374381917</v>
      </c>
      <c r="K14" s="17">
        <f t="shared" si="3"/>
        <v>0.18436388155905314</v>
      </c>
      <c r="L14" s="17">
        <f t="shared" si="3"/>
        <v>0.11710600570977525</v>
      </c>
      <c r="M14" s="22">
        <f t="shared" si="3"/>
        <v>8.7461591181329013E-2</v>
      </c>
      <c r="N14" s="22">
        <f t="shared" si="3"/>
        <v>7.6799060356136373E-2</v>
      </c>
      <c r="O14" s="22">
        <f t="shared" si="3"/>
        <v>9.4448759413012784E-2</v>
      </c>
      <c r="P14" s="22">
        <f t="shared" si="3"/>
        <v>9.4653624522699653E-2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4.4">
      <c r="A15" s="1" t="s">
        <v>469</v>
      </c>
      <c r="B15" s="19">
        <f>'Bookings &amp; Revenue'!B20</f>
        <v>0</v>
      </c>
      <c r="C15" s="19">
        <f>'Bookings &amp; Revenue'!C20</f>
        <v>0</v>
      </c>
      <c r="D15" s="19">
        <f>'Bookings &amp; Revenue'!D20</f>
        <v>0</v>
      </c>
      <c r="E15" s="19">
        <f>'Bookings &amp; Revenue'!E20</f>
        <v>0</v>
      </c>
      <c r="F15" s="19">
        <f>'Bookings &amp; Revenue'!F20</f>
        <v>0</v>
      </c>
      <c r="G15" s="19">
        <f>'Bookings &amp; Revenue'!G20</f>
        <v>0</v>
      </c>
      <c r="H15" s="19">
        <f>'Bookings &amp; Revenue'!H20</f>
        <v>0</v>
      </c>
      <c r="I15" s="19">
        <f>'Bookings &amp; Revenue'!I20</f>
        <v>0</v>
      </c>
      <c r="J15" s="19">
        <f>'Bookings &amp; Revenue'!J20</f>
        <v>0</v>
      </c>
      <c r="K15" s="19">
        <f>'Bookings &amp; Revenue'!K20</f>
        <v>0</v>
      </c>
      <c r="L15" s="19">
        <f>'Bookings &amp; Revenue'!L20</f>
        <v>0</v>
      </c>
      <c r="M15" s="21">
        <f>'Bookings &amp; Revenue'!M20</f>
        <v>108046.95841282967</v>
      </c>
      <c r="N15" s="21">
        <f>'Bookings &amp; Revenue'!N20</f>
        <v>124400.01127662702</v>
      </c>
      <c r="O15" s="21">
        <f>'Bookings &amp; Revenue'!O20</f>
        <v>136382.34037340811</v>
      </c>
      <c r="P15" s="21">
        <f>'Bookings &amp; Revenue'!P20</f>
        <v>149661.69171794894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4.4">
      <c r="A16" s="1" t="s">
        <v>36</v>
      </c>
      <c r="B16" s="19">
        <f>'Bookings &amp; Revenue'!B21</f>
        <v>0</v>
      </c>
      <c r="C16" s="19">
        <f>'Bookings &amp; Revenue'!C21</f>
        <v>0</v>
      </c>
      <c r="D16" s="19">
        <f>'Bookings &amp; Revenue'!D21</f>
        <v>0</v>
      </c>
      <c r="E16" s="19">
        <f>'Bookings &amp; Revenue'!E21</f>
        <v>0</v>
      </c>
      <c r="F16" s="19">
        <f>'Bookings &amp; Revenue'!F21</f>
        <v>0</v>
      </c>
      <c r="G16" s="19">
        <f>'Bookings &amp; Revenue'!G21</f>
        <v>0</v>
      </c>
      <c r="H16" s="19">
        <f>'Bookings &amp; Revenue'!H21</f>
        <v>0</v>
      </c>
      <c r="I16" s="19">
        <f>'Bookings &amp; Revenue'!I21</f>
        <v>0</v>
      </c>
      <c r="J16" s="19">
        <f>'Bookings &amp; Revenue'!J21</f>
        <v>0</v>
      </c>
      <c r="K16" s="19">
        <f>'Bookings &amp; Revenue'!K21</f>
        <v>0</v>
      </c>
      <c r="L16" s="19">
        <f>'Bookings &amp; Revenue'!L21</f>
        <v>0</v>
      </c>
      <c r="M16" s="21">
        <f>'Bookings &amp; Revenue'!M21</f>
        <v>-1080.4695841282967</v>
      </c>
      <c r="N16" s="21">
        <f>'Bookings &amp; Revenue'!N21</f>
        <v>-1244.0001127662701</v>
      </c>
      <c r="O16" s="21">
        <f>'Bookings &amp; Revenue'!O21</f>
        <v>-1091.0587229872649</v>
      </c>
      <c r="P16" s="21">
        <f>'Bookings &amp; Revenue'!P21</f>
        <v>-897.97015030769364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4">
      <c r="A17" s="1" t="s">
        <v>35</v>
      </c>
      <c r="B17" s="19">
        <f>'Bookings &amp; Revenue'!B22</f>
        <v>0</v>
      </c>
      <c r="C17" s="19">
        <f>'Bookings &amp; Revenue'!C22</f>
        <v>0</v>
      </c>
      <c r="D17" s="19">
        <f>'Bookings &amp; Revenue'!D22</f>
        <v>0</v>
      </c>
      <c r="E17" s="19">
        <f>'Bookings &amp; Revenue'!E22</f>
        <v>0</v>
      </c>
      <c r="F17" s="19">
        <f>'Bookings &amp; Revenue'!F22</f>
        <v>0</v>
      </c>
      <c r="G17" s="19">
        <f>'Bookings &amp; Revenue'!G22</f>
        <v>0</v>
      </c>
      <c r="H17" s="19">
        <f>'Bookings &amp; Revenue'!H22</f>
        <v>0</v>
      </c>
      <c r="I17" s="19">
        <f>'Bookings &amp; Revenue'!I22</f>
        <v>0</v>
      </c>
      <c r="J17" s="19">
        <f>'Bookings &amp; Revenue'!J22</f>
        <v>0</v>
      </c>
      <c r="K17" s="19">
        <f>'Bookings &amp; Revenue'!K22</f>
        <v>0</v>
      </c>
      <c r="L17" s="19">
        <f>'Bookings &amp; Revenue'!L22</f>
        <v>0</v>
      </c>
      <c r="M17" s="21">
        <f>'Bookings &amp; Revenue'!M22</f>
        <v>2521.0956962993591</v>
      </c>
      <c r="N17" s="21">
        <f>'Bookings &amp; Revenue'!N22</f>
        <v>3603.3106714609207</v>
      </c>
      <c r="O17" s="21">
        <f>'Bookings &amp; Revenue'!O22</f>
        <v>4822.0898917740715</v>
      </c>
      <c r="P17" s="21">
        <f>'Bookings &amp; Revenue'!P22</f>
        <v>5737.0315158547082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4">
      <c r="A18" s="1" t="s">
        <v>501</v>
      </c>
      <c r="B18" s="19">
        <f t="shared" ref="B18:P18" si="4">SUM(B16:B17)</f>
        <v>0</v>
      </c>
      <c r="C18" s="19">
        <f t="shared" si="4"/>
        <v>0</v>
      </c>
      <c r="D18" s="19">
        <f t="shared" si="4"/>
        <v>0</v>
      </c>
      <c r="E18" s="19">
        <f t="shared" si="4"/>
        <v>0</v>
      </c>
      <c r="F18" s="19">
        <f t="shared" si="4"/>
        <v>0</v>
      </c>
      <c r="G18" s="19">
        <f t="shared" si="4"/>
        <v>0</v>
      </c>
      <c r="H18" s="19">
        <f t="shared" si="4"/>
        <v>0</v>
      </c>
      <c r="I18" s="19">
        <f t="shared" si="4"/>
        <v>0</v>
      </c>
      <c r="J18" s="19">
        <f t="shared" si="4"/>
        <v>0</v>
      </c>
      <c r="K18" s="19">
        <f t="shared" si="4"/>
        <v>0</v>
      </c>
      <c r="L18" s="19">
        <f t="shared" si="4"/>
        <v>0</v>
      </c>
      <c r="M18" s="21">
        <f t="shared" si="4"/>
        <v>1440.6261121710625</v>
      </c>
      <c r="N18" s="21">
        <f t="shared" si="4"/>
        <v>2359.3105586946504</v>
      </c>
      <c r="O18" s="21">
        <f t="shared" si="4"/>
        <v>3731.0311687868066</v>
      </c>
      <c r="P18" s="21">
        <f t="shared" si="4"/>
        <v>4839.0613655470142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4">
      <c r="A19" s="1" t="s">
        <v>502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2">
        <v>3241</v>
      </c>
      <c r="N19" s="16"/>
      <c r="O19" s="16"/>
      <c r="P19" s="3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4.4">
      <c r="A20" s="1" t="s">
        <v>503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2">
        <v>318</v>
      </c>
      <c r="N20" s="16"/>
      <c r="O20" s="16"/>
      <c r="P20" s="3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4.4">
      <c r="A21" s="1" t="s">
        <v>504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2">
        <v>24856</v>
      </c>
      <c r="N21" s="16"/>
      <c r="O21" s="16"/>
      <c r="P21" s="3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4.4">
      <c r="A22" s="1" t="s">
        <v>505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2">
        <v>225</v>
      </c>
      <c r="N22" s="16"/>
      <c r="O22" s="16"/>
      <c r="P22" s="3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4.4">
      <c r="A23" s="1" t="s">
        <v>506</v>
      </c>
      <c r="B23" s="40" t="s">
        <v>507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1"/>
      <c r="N23" s="41"/>
      <c r="O23" s="41"/>
      <c r="P23" s="4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6"/>
      <c r="N24" s="16"/>
      <c r="O24" s="16"/>
      <c r="P24" s="16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6"/>
      <c r="N25" s="16"/>
      <c r="O25" s="16"/>
      <c r="P25" s="1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6"/>
      <c r="N26" s="16"/>
      <c r="O26" s="16"/>
      <c r="P26" s="16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6"/>
      <c r="N27" s="16"/>
      <c r="O27" s="16"/>
      <c r="P27" s="16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6"/>
      <c r="N28" s="16"/>
      <c r="O28" s="16"/>
      <c r="P28" s="16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6"/>
      <c r="N29" s="16"/>
      <c r="O29" s="16"/>
      <c r="P29" s="16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6"/>
      <c r="N30" s="16"/>
      <c r="O30" s="16"/>
      <c r="P30" s="16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6"/>
      <c r="N31" s="16"/>
      <c r="O31" s="16"/>
      <c r="P31" s="16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6"/>
      <c r="N32" s="16"/>
      <c r="O32" s="16"/>
      <c r="P32" s="16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6"/>
      <c r="N33" s="16"/>
      <c r="O33" s="16"/>
      <c r="P33" s="16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6"/>
      <c r="N34" s="16"/>
      <c r="O34" s="16"/>
      <c r="P34" s="16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6"/>
      <c r="N35" s="16"/>
      <c r="O35" s="16"/>
      <c r="P35" s="16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6"/>
      <c r="N36" s="16"/>
      <c r="O36" s="16"/>
      <c r="P36" s="16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6"/>
      <c r="N37" s="16"/>
      <c r="O37" s="16"/>
      <c r="P37" s="16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6"/>
      <c r="N38" s="16"/>
      <c r="O38" s="16"/>
      <c r="P38" s="16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6"/>
      <c r="N39" s="16"/>
      <c r="O39" s="16"/>
      <c r="P39" s="16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6"/>
      <c r="N40" s="16"/>
      <c r="O40" s="16"/>
      <c r="P40" s="16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6"/>
      <c r="N41" s="16"/>
      <c r="O41" s="16"/>
      <c r="P41" s="16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6"/>
      <c r="N42" s="16"/>
      <c r="O42" s="16"/>
      <c r="P42" s="1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6"/>
      <c r="N43" s="16"/>
      <c r="O43" s="16"/>
      <c r="P43" s="16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6"/>
      <c r="N44" s="16"/>
      <c r="O44" s="16"/>
      <c r="P44" s="16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6"/>
      <c r="N45" s="16"/>
      <c r="O45" s="16"/>
      <c r="P45" s="16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6"/>
      <c r="N46" s="16"/>
      <c r="O46" s="16"/>
      <c r="P46" s="1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6"/>
      <c r="N47" s="16"/>
      <c r="O47" s="16"/>
      <c r="P47" s="16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6"/>
      <c r="N48" s="16"/>
      <c r="O48" s="16"/>
      <c r="P48" s="16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6"/>
      <c r="N49" s="16"/>
      <c r="O49" s="16"/>
      <c r="P49" s="16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6"/>
      <c r="N50" s="16"/>
      <c r="O50" s="16"/>
      <c r="P50" s="1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6"/>
      <c r="N51" s="16"/>
      <c r="O51" s="16"/>
      <c r="P51" s="16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6"/>
      <c r="N52" s="16"/>
      <c r="O52" s="16"/>
      <c r="P52" s="16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6"/>
      <c r="N53" s="16"/>
      <c r="O53" s="16"/>
      <c r="P53" s="1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6"/>
      <c r="N54" s="16"/>
      <c r="O54" s="16"/>
      <c r="P54" s="16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6"/>
      <c r="N55" s="16"/>
      <c r="O55" s="16"/>
      <c r="P55" s="16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6"/>
      <c r="N56" s="16"/>
      <c r="O56" s="16"/>
      <c r="P56" s="16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6"/>
      <c r="N57" s="16"/>
      <c r="O57" s="16"/>
      <c r="P57" s="1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6"/>
      <c r="N58" s="16"/>
      <c r="O58" s="16"/>
      <c r="P58" s="16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6"/>
      <c r="N59" s="16"/>
      <c r="O59" s="16"/>
      <c r="P59" s="16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6"/>
      <c r="N60" s="16"/>
      <c r="O60" s="16"/>
      <c r="P60" s="16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6"/>
      <c r="N61" s="16"/>
      <c r="O61" s="16"/>
      <c r="P61" s="16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6"/>
      <c r="N62" s="16"/>
      <c r="O62" s="16"/>
      <c r="P62" s="16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6"/>
      <c r="N63" s="16"/>
      <c r="O63" s="16"/>
      <c r="P63" s="16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6"/>
      <c r="N64" s="16"/>
      <c r="O64" s="16"/>
      <c r="P64" s="16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6"/>
      <c r="N65" s="16"/>
      <c r="O65" s="16"/>
      <c r="P65" s="16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6"/>
      <c r="N66" s="16"/>
      <c r="O66" s="16"/>
      <c r="P66" s="16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6"/>
      <c r="N67" s="16"/>
      <c r="O67" s="16"/>
      <c r="P67" s="16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6"/>
      <c r="N68" s="16"/>
      <c r="O68" s="16"/>
      <c r="P68" s="16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6"/>
      <c r="N69" s="16"/>
      <c r="O69" s="16"/>
      <c r="P69" s="16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6"/>
      <c r="N70" s="16"/>
      <c r="O70" s="16"/>
      <c r="P70" s="16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6"/>
      <c r="N71" s="16"/>
      <c r="O71" s="16"/>
      <c r="P71" s="1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6"/>
      <c r="N72" s="16"/>
      <c r="O72" s="16"/>
      <c r="P72" s="16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6"/>
      <c r="N73" s="16"/>
      <c r="O73" s="16"/>
      <c r="P73" s="1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6"/>
      <c r="N74" s="16"/>
      <c r="O74" s="16"/>
      <c r="P74" s="1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6"/>
      <c r="N75" s="16"/>
      <c r="O75" s="16"/>
      <c r="P75" s="16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6"/>
      <c r="N76" s="16"/>
      <c r="O76" s="16"/>
      <c r="P76" s="16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6"/>
      <c r="N77" s="16"/>
      <c r="O77" s="16"/>
      <c r="P77" s="16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6"/>
      <c r="N78" s="16"/>
      <c r="O78" s="16"/>
      <c r="P78" s="16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6"/>
      <c r="N79" s="16"/>
      <c r="O79" s="16"/>
      <c r="P79" s="16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6"/>
      <c r="N80" s="16"/>
      <c r="O80" s="16"/>
      <c r="P80" s="16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6"/>
      <c r="N81" s="16"/>
      <c r="O81" s="16"/>
      <c r="P81" s="16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6"/>
      <c r="N82" s="16"/>
      <c r="O82" s="16"/>
      <c r="P82" s="16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6"/>
      <c r="N83" s="16"/>
      <c r="O83" s="16"/>
      <c r="P83" s="16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6"/>
      <c r="N84" s="16"/>
      <c r="O84" s="16"/>
      <c r="P84" s="16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6"/>
      <c r="N85" s="16"/>
      <c r="O85" s="16"/>
      <c r="P85" s="16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6"/>
      <c r="N86" s="16"/>
      <c r="O86" s="16"/>
      <c r="P86" s="16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6"/>
      <c r="N87" s="16"/>
      <c r="O87" s="16"/>
      <c r="P87" s="16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6"/>
      <c r="N88" s="16"/>
      <c r="O88" s="16"/>
      <c r="P88" s="16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6"/>
      <c r="N89" s="16"/>
      <c r="O89" s="16"/>
      <c r="P89" s="16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6"/>
      <c r="N90" s="16"/>
      <c r="O90" s="16"/>
      <c r="P90" s="16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6"/>
      <c r="N91" s="16"/>
      <c r="O91" s="16"/>
      <c r="P91" s="16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6"/>
      <c r="N92" s="16"/>
      <c r="O92" s="16"/>
      <c r="P92" s="16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6"/>
      <c r="N93" s="16"/>
      <c r="O93" s="16"/>
      <c r="P93" s="16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6"/>
      <c r="N94" s="16"/>
      <c r="O94" s="16"/>
      <c r="P94" s="16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6"/>
      <c r="N95" s="16"/>
      <c r="O95" s="16"/>
      <c r="P95" s="16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6"/>
      <c r="N96" s="16"/>
      <c r="O96" s="16"/>
      <c r="P96" s="16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6"/>
      <c r="N97" s="16"/>
      <c r="O97" s="16"/>
      <c r="P97" s="16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6"/>
      <c r="N98" s="16"/>
      <c r="O98" s="16"/>
      <c r="P98" s="16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6"/>
      <c r="N99" s="16"/>
      <c r="O99" s="16"/>
      <c r="P99" s="16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6"/>
      <c r="N100" s="16"/>
      <c r="O100" s="16"/>
      <c r="P100" s="16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6"/>
      <c r="N101" s="16"/>
      <c r="O101" s="16"/>
      <c r="P101" s="16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6"/>
      <c r="N102" s="16"/>
      <c r="O102" s="16"/>
      <c r="P102" s="16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6"/>
      <c r="N103" s="16"/>
      <c r="O103" s="16"/>
      <c r="P103" s="16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6"/>
      <c r="N104" s="16"/>
      <c r="O104" s="16"/>
      <c r="P104" s="16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6"/>
      <c r="N105" s="16"/>
      <c r="O105" s="16"/>
      <c r="P105" s="16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6"/>
      <c r="N106" s="16"/>
      <c r="O106" s="16"/>
      <c r="P106" s="16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6"/>
      <c r="N107" s="16"/>
      <c r="O107" s="16"/>
      <c r="P107" s="16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6"/>
      <c r="N108" s="16"/>
      <c r="O108" s="16"/>
      <c r="P108" s="16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6"/>
      <c r="N109" s="16"/>
      <c r="O109" s="16"/>
      <c r="P109" s="16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6"/>
      <c r="N110" s="16"/>
      <c r="O110" s="16"/>
      <c r="P110" s="16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6"/>
      <c r="N111" s="16"/>
      <c r="O111" s="16"/>
      <c r="P111" s="16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6"/>
      <c r="N112" s="16"/>
      <c r="O112" s="16"/>
      <c r="P112" s="16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6"/>
      <c r="N113" s="16"/>
      <c r="O113" s="16"/>
      <c r="P113" s="16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6"/>
      <c r="N114" s="16"/>
      <c r="O114" s="16"/>
      <c r="P114" s="16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6"/>
      <c r="N115" s="16"/>
      <c r="O115" s="16"/>
      <c r="P115" s="16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6"/>
      <c r="N116" s="16"/>
      <c r="O116" s="16"/>
      <c r="P116" s="16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6"/>
      <c r="N117" s="16"/>
      <c r="O117" s="16"/>
      <c r="P117" s="16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6"/>
      <c r="N118" s="16"/>
      <c r="O118" s="16"/>
      <c r="P118" s="16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6"/>
      <c r="N119" s="16"/>
      <c r="O119" s="16"/>
      <c r="P119" s="16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6"/>
      <c r="N120" s="16"/>
      <c r="O120" s="16"/>
      <c r="P120" s="16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6"/>
      <c r="N121" s="16"/>
      <c r="O121" s="16"/>
      <c r="P121" s="16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6"/>
      <c r="N122" s="16"/>
      <c r="O122" s="16"/>
      <c r="P122" s="16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6"/>
      <c r="N123" s="16"/>
      <c r="O123" s="16"/>
      <c r="P123" s="16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6"/>
      <c r="N124" s="16"/>
      <c r="O124" s="16"/>
      <c r="P124" s="16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6"/>
      <c r="N125" s="16"/>
      <c r="O125" s="16"/>
      <c r="P125" s="16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6"/>
      <c r="N126" s="16"/>
      <c r="O126" s="16"/>
      <c r="P126" s="16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6"/>
      <c r="N127" s="16"/>
      <c r="O127" s="16"/>
      <c r="P127" s="16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6"/>
      <c r="N128" s="16"/>
      <c r="O128" s="16"/>
      <c r="P128" s="16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6"/>
      <c r="N129" s="16"/>
      <c r="O129" s="16"/>
      <c r="P129" s="16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6"/>
      <c r="N130" s="16"/>
      <c r="O130" s="16"/>
      <c r="P130" s="16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6"/>
      <c r="N131" s="16"/>
      <c r="O131" s="16"/>
      <c r="P131" s="16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6"/>
      <c r="N132" s="16"/>
      <c r="O132" s="16"/>
      <c r="P132" s="16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6"/>
      <c r="N133" s="16"/>
      <c r="O133" s="16"/>
      <c r="P133" s="16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6"/>
      <c r="N134" s="16"/>
      <c r="O134" s="16"/>
      <c r="P134" s="16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6"/>
      <c r="N135" s="16"/>
      <c r="O135" s="16"/>
      <c r="P135" s="16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6"/>
      <c r="N136" s="16"/>
      <c r="O136" s="16"/>
      <c r="P136" s="16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6"/>
      <c r="N137" s="16"/>
      <c r="O137" s="16"/>
      <c r="P137" s="16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6"/>
      <c r="N138" s="16"/>
      <c r="O138" s="16"/>
      <c r="P138" s="16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6"/>
      <c r="N139" s="16"/>
      <c r="O139" s="16"/>
      <c r="P139" s="16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6"/>
      <c r="N140" s="16"/>
      <c r="O140" s="16"/>
      <c r="P140" s="16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6"/>
      <c r="N141" s="16"/>
      <c r="O141" s="16"/>
      <c r="P141" s="16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6"/>
      <c r="N142" s="16"/>
      <c r="O142" s="16"/>
      <c r="P142" s="16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6"/>
      <c r="N143" s="16"/>
      <c r="O143" s="16"/>
      <c r="P143" s="16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6"/>
      <c r="N144" s="16"/>
      <c r="O144" s="16"/>
      <c r="P144" s="16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6"/>
      <c r="N145" s="16"/>
      <c r="O145" s="16"/>
      <c r="P145" s="16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6"/>
      <c r="N146" s="16"/>
      <c r="O146" s="16"/>
      <c r="P146" s="16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6"/>
      <c r="N147" s="16"/>
      <c r="O147" s="16"/>
      <c r="P147" s="16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6"/>
      <c r="N148" s="16"/>
      <c r="O148" s="16"/>
      <c r="P148" s="16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6"/>
      <c r="N149" s="16"/>
      <c r="O149" s="16"/>
      <c r="P149" s="16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6"/>
      <c r="N150" s="16"/>
      <c r="O150" s="16"/>
      <c r="P150" s="16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6"/>
      <c r="N151" s="16"/>
      <c r="O151" s="16"/>
      <c r="P151" s="16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6"/>
      <c r="N152" s="16"/>
      <c r="O152" s="16"/>
      <c r="P152" s="16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6"/>
      <c r="N153" s="16"/>
      <c r="O153" s="16"/>
      <c r="P153" s="16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6"/>
      <c r="N154" s="16"/>
      <c r="O154" s="16"/>
      <c r="P154" s="16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6"/>
      <c r="N155" s="16"/>
      <c r="O155" s="16"/>
      <c r="P155" s="16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6"/>
      <c r="N156" s="16"/>
      <c r="O156" s="16"/>
      <c r="P156" s="16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6"/>
      <c r="N157" s="16"/>
      <c r="O157" s="16"/>
      <c r="P157" s="16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6"/>
      <c r="N158" s="16"/>
      <c r="O158" s="16"/>
      <c r="P158" s="16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6"/>
      <c r="N159" s="16"/>
      <c r="O159" s="16"/>
      <c r="P159" s="16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6"/>
      <c r="N160" s="16"/>
      <c r="O160" s="16"/>
      <c r="P160" s="16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6"/>
      <c r="N161" s="16"/>
      <c r="O161" s="16"/>
      <c r="P161" s="16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6"/>
      <c r="N162" s="16"/>
      <c r="O162" s="16"/>
      <c r="P162" s="16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6"/>
      <c r="N163" s="16"/>
      <c r="O163" s="16"/>
      <c r="P163" s="16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6"/>
      <c r="N164" s="16"/>
      <c r="O164" s="16"/>
      <c r="P164" s="16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6"/>
      <c r="N165" s="16"/>
      <c r="O165" s="16"/>
      <c r="P165" s="16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6"/>
      <c r="N166" s="16"/>
      <c r="O166" s="16"/>
      <c r="P166" s="16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6"/>
      <c r="N167" s="16"/>
      <c r="O167" s="16"/>
      <c r="P167" s="16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6"/>
      <c r="N168" s="16"/>
      <c r="O168" s="16"/>
      <c r="P168" s="16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6"/>
      <c r="N169" s="16"/>
      <c r="O169" s="16"/>
      <c r="P169" s="16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6"/>
      <c r="N170" s="16"/>
      <c r="O170" s="16"/>
      <c r="P170" s="16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6"/>
      <c r="N171" s="16"/>
      <c r="O171" s="16"/>
      <c r="P171" s="16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6"/>
      <c r="N172" s="16"/>
      <c r="O172" s="16"/>
      <c r="P172" s="16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6"/>
      <c r="N173" s="16"/>
      <c r="O173" s="16"/>
      <c r="P173" s="16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6"/>
      <c r="N174" s="16"/>
      <c r="O174" s="16"/>
      <c r="P174" s="16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6"/>
      <c r="N175" s="16"/>
      <c r="O175" s="16"/>
      <c r="P175" s="16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6"/>
      <c r="N176" s="16"/>
      <c r="O176" s="16"/>
      <c r="P176" s="16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6"/>
      <c r="N177" s="16"/>
      <c r="O177" s="16"/>
      <c r="P177" s="16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6"/>
      <c r="N178" s="16"/>
      <c r="O178" s="16"/>
      <c r="P178" s="16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6"/>
      <c r="N179" s="16"/>
      <c r="O179" s="16"/>
      <c r="P179" s="16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6"/>
      <c r="N180" s="16"/>
      <c r="O180" s="16"/>
      <c r="P180" s="16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6"/>
      <c r="N181" s="16"/>
      <c r="O181" s="16"/>
      <c r="P181" s="16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6"/>
      <c r="N182" s="16"/>
      <c r="O182" s="16"/>
      <c r="P182" s="16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6"/>
      <c r="N183" s="16"/>
      <c r="O183" s="16"/>
      <c r="P183" s="16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6"/>
      <c r="N184" s="16"/>
      <c r="O184" s="16"/>
      <c r="P184" s="16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6"/>
      <c r="N185" s="16"/>
      <c r="O185" s="16"/>
      <c r="P185" s="16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6"/>
      <c r="N186" s="16"/>
      <c r="O186" s="16"/>
      <c r="P186" s="16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6"/>
      <c r="N187" s="16"/>
      <c r="O187" s="16"/>
      <c r="P187" s="16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6"/>
      <c r="N188" s="16"/>
      <c r="O188" s="16"/>
      <c r="P188" s="16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6"/>
      <c r="N189" s="16"/>
      <c r="O189" s="16"/>
      <c r="P189" s="16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6"/>
      <c r="N190" s="16"/>
      <c r="O190" s="16"/>
      <c r="P190" s="16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6"/>
      <c r="N191" s="16"/>
      <c r="O191" s="16"/>
      <c r="P191" s="16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6"/>
      <c r="N192" s="16"/>
      <c r="O192" s="16"/>
      <c r="P192" s="16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6"/>
      <c r="N193" s="16"/>
      <c r="O193" s="16"/>
      <c r="P193" s="16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6"/>
      <c r="N194" s="16"/>
      <c r="O194" s="16"/>
      <c r="P194" s="16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6"/>
      <c r="N195" s="16"/>
      <c r="O195" s="16"/>
      <c r="P195" s="16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6"/>
      <c r="N196" s="16"/>
      <c r="O196" s="16"/>
      <c r="P196" s="16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6"/>
      <c r="N197" s="16"/>
      <c r="O197" s="16"/>
      <c r="P197" s="16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6"/>
      <c r="N198" s="16"/>
      <c r="O198" s="16"/>
      <c r="P198" s="16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6"/>
      <c r="N199" s="16"/>
      <c r="O199" s="16"/>
      <c r="P199" s="16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6"/>
      <c r="N200" s="16"/>
      <c r="O200" s="16"/>
      <c r="P200" s="16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6"/>
      <c r="N201" s="16"/>
      <c r="O201" s="16"/>
      <c r="P201" s="16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6"/>
      <c r="N202" s="16"/>
      <c r="O202" s="16"/>
      <c r="P202" s="16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6"/>
      <c r="N203" s="16"/>
      <c r="O203" s="16"/>
      <c r="P203" s="16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6"/>
      <c r="N204" s="16"/>
      <c r="O204" s="16"/>
      <c r="P204" s="16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6"/>
      <c r="N205" s="16"/>
      <c r="O205" s="16"/>
      <c r="P205" s="16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6"/>
      <c r="N206" s="16"/>
      <c r="O206" s="16"/>
      <c r="P206" s="16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6"/>
      <c r="N207" s="16"/>
      <c r="O207" s="16"/>
      <c r="P207" s="16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6"/>
      <c r="N208" s="16"/>
      <c r="O208" s="16"/>
      <c r="P208" s="16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6"/>
      <c r="N209" s="16"/>
      <c r="O209" s="16"/>
      <c r="P209" s="16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6"/>
      <c r="N210" s="16"/>
      <c r="O210" s="16"/>
      <c r="P210" s="16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6"/>
      <c r="N211" s="16"/>
      <c r="O211" s="16"/>
      <c r="P211" s="16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6"/>
      <c r="N212" s="16"/>
      <c r="O212" s="16"/>
      <c r="P212" s="16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6"/>
      <c r="N213" s="16"/>
      <c r="O213" s="16"/>
      <c r="P213" s="16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6"/>
      <c r="N214" s="16"/>
      <c r="O214" s="16"/>
      <c r="P214" s="16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6"/>
      <c r="N215" s="16"/>
      <c r="O215" s="16"/>
      <c r="P215" s="16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6"/>
      <c r="N216" s="16"/>
      <c r="O216" s="16"/>
      <c r="P216" s="16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6"/>
      <c r="N217" s="16"/>
      <c r="O217" s="16"/>
      <c r="P217" s="16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6"/>
      <c r="N218" s="16"/>
      <c r="O218" s="16"/>
      <c r="P218" s="16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6"/>
      <c r="N219" s="16"/>
      <c r="O219" s="16"/>
      <c r="P219" s="16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6"/>
      <c r="N220" s="16"/>
      <c r="O220" s="16"/>
      <c r="P220" s="16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6"/>
      <c r="N221" s="16"/>
      <c r="O221" s="16"/>
      <c r="P221" s="16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6"/>
      <c r="N222" s="16"/>
      <c r="O222" s="16"/>
      <c r="P222" s="16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6"/>
      <c r="N223" s="16"/>
      <c r="O223" s="16"/>
      <c r="P223" s="16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6"/>
      <c r="N224" s="16"/>
      <c r="O224" s="16"/>
      <c r="P224" s="16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6"/>
      <c r="N225" s="16"/>
      <c r="O225" s="16"/>
      <c r="P225" s="16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6"/>
      <c r="N226" s="16"/>
      <c r="O226" s="16"/>
      <c r="P226" s="16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6"/>
      <c r="N227" s="16"/>
      <c r="O227" s="16"/>
      <c r="P227" s="16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6"/>
      <c r="N228" s="16"/>
      <c r="O228" s="16"/>
      <c r="P228" s="16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</sheetData>
  <mergeCells count="2">
    <mergeCell ref="A1:P1"/>
    <mergeCell ref="B23:P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260"/>
  <sheetViews>
    <sheetView showGridLines="0" workbookViewId="0">
      <selection sqref="A1:G1"/>
    </sheetView>
  </sheetViews>
  <sheetFormatPr defaultRowHeight="13.8"/>
  <cols>
    <col min="1" max="1" width="37" customWidth="1"/>
    <col min="2" max="2" width="13" customWidth="1"/>
    <col min="3" max="6" width="14" customWidth="1"/>
    <col min="7" max="7" width="46" customWidth="1"/>
  </cols>
  <sheetData>
    <row r="1" spans="1:47" ht="25.95" customHeight="1">
      <c r="A1" s="37" t="s">
        <v>508</v>
      </c>
      <c r="B1" s="37"/>
      <c r="C1" s="37"/>
      <c r="D1" s="37"/>
      <c r="E1" s="37"/>
      <c r="F1" s="37"/>
      <c r="G1" s="3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>
      <c r="A2" s="38" t="s">
        <v>509</v>
      </c>
      <c r="B2" s="38"/>
      <c r="C2" s="38"/>
      <c r="D2" s="38"/>
      <c r="E2" s="38"/>
      <c r="F2" s="38"/>
      <c r="G2" s="3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0</v>
      </c>
      <c r="B5" s="3" t="s">
        <v>1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510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511</v>
      </c>
      <c r="B7" s="1" t="s">
        <v>204</v>
      </c>
      <c r="C7" s="18">
        <f>Assumptions!B54</f>
        <v>0</v>
      </c>
      <c r="D7" s="18">
        <f>Assumptions!C54</f>
        <v>0</v>
      </c>
      <c r="E7" s="18">
        <f>Assumptions!D54</f>
        <v>0</v>
      </c>
      <c r="F7" s="18">
        <f>Assumptions!E54</f>
        <v>0</v>
      </c>
      <c r="G7" s="1" t="s">
        <v>512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513</v>
      </c>
      <c r="B8" s="1" t="s">
        <v>207</v>
      </c>
      <c r="C8" s="18">
        <f>Assumptions!B55</f>
        <v>0</v>
      </c>
      <c r="D8" s="18">
        <f>Assumptions!C55</f>
        <v>12</v>
      </c>
      <c r="E8" s="18">
        <f>Assumptions!D55</f>
        <v>12</v>
      </c>
      <c r="F8" s="18">
        <f>Assumptions!E55</f>
        <v>12</v>
      </c>
      <c r="G8" s="1" t="s">
        <v>514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515</v>
      </c>
      <c r="B9" s="1" t="s">
        <v>21</v>
      </c>
      <c r="C9" s="19">
        <f>Assumptions!B56</f>
        <v>0</v>
      </c>
      <c r="D9" s="19">
        <f>Assumptions!C56</f>
        <v>0</v>
      </c>
      <c r="E9" s="19">
        <f>Assumptions!D56</f>
        <v>0</v>
      </c>
      <c r="F9" s="19">
        <f>Assumptions!E56</f>
        <v>0</v>
      </c>
      <c r="G9" s="1" t="s">
        <v>516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19</v>
      </c>
      <c r="B10" s="1" t="s">
        <v>20</v>
      </c>
      <c r="C10" s="17">
        <f>Assumptions!B57</f>
        <v>0</v>
      </c>
      <c r="D10" s="17">
        <f>Assumptions!C57</f>
        <v>0</v>
      </c>
      <c r="E10" s="17">
        <f>Assumptions!D57</f>
        <v>0</v>
      </c>
      <c r="F10" s="17">
        <f>Assumptions!E57</f>
        <v>0</v>
      </c>
      <c r="G10" s="1" t="s">
        <v>517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518</v>
      </c>
      <c r="B11" s="1" t="s">
        <v>21</v>
      </c>
      <c r="C11" s="19">
        <f>C7*C9*(1+C10)*C8/12</f>
        <v>0</v>
      </c>
      <c r="D11" s="19">
        <f>D7*D9*(1+D10)*D8/12</f>
        <v>0</v>
      </c>
      <c r="E11" s="19">
        <f>E7*E9*(1+E10)*E8/12</f>
        <v>0</v>
      </c>
      <c r="F11" s="19">
        <f>F7*F9*(1+F10)*F8/12</f>
        <v>0</v>
      </c>
      <c r="G11" s="1" t="s">
        <v>95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519</v>
      </c>
      <c r="B12" s="1" t="s">
        <v>18</v>
      </c>
      <c r="C12" s="20">
        <f>Assumptions!B58</f>
        <v>0</v>
      </c>
      <c r="D12" s="20">
        <f>Assumptions!C58</f>
        <v>0</v>
      </c>
      <c r="E12" s="20">
        <f>Assumptions!D58</f>
        <v>0</v>
      </c>
      <c r="F12" s="20">
        <f>Assumptions!E58</f>
        <v>0</v>
      </c>
      <c r="G12" s="1" t="s">
        <v>517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520</v>
      </c>
      <c r="B13" s="1" t="s">
        <v>18</v>
      </c>
      <c r="C13" s="20">
        <f>Assumptions!B59</f>
        <v>0</v>
      </c>
      <c r="D13" s="20">
        <f>Assumptions!C59</f>
        <v>0</v>
      </c>
      <c r="E13" s="20">
        <f>Assumptions!D59</f>
        <v>0</v>
      </c>
      <c r="F13" s="20">
        <f>Assumptions!E59</f>
        <v>0</v>
      </c>
      <c r="G13" s="1" t="s">
        <v>517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521</v>
      </c>
      <c r="B14" s="1" t="s">
        <v>18</v>
      </c>
      <c r="C14" s="20">
        <f>Assumptions!B60</f>
        <v>0</v>
      </c>
      <c r="D14" s="20">
        <f>Assumptions!C60</f>
        <v>0</v>
      </c>
      <c r="E14" s="20">
        <f>Assumptions!D60</f>
        <v>0</v>
      </c>
      <c r="F14" s="20">
        <f>Assumptions!E60</f>
        <v>0</v>
      </c>
      <c r="G14" s="1" t="s">
        <v>517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522</v>
      </c>
      <c r="B15" s="1" t="s">
        <v>18</v>
      </c>
      <c r="C15" s="20">
        <f>Assumptions!B61</f>
        <v>0</v>
      </c>
      <c r="D15" s="20">
        <f>Assumptions!C61</f>
        <v>0</v>
      </c>
      <c r="E15" s="20">
        <f>Assumptions!D61</f>
        <v>0</v>
      </c>
      <c r="F15" s="20">
        <f>Assumptions!E61</f>
        <v>0</v>
      </c>
      <c r="G15" s="1" t="s">
        <v>517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523</v>
      </c>
      <c r="B16" s="1" t="s">
        <v>18</v>
      </c>
      <c r="C16" s="20">
        <f>MAX(0,C7*(C12+C13-C15))</f>
        <v>0</v>
      </c>
      <c r="D16" s="20">
        <f>MAX(0,D7*(D12+D13-D15))</f>
        <v>0</v>
      </c>
      <c r="E16" s="20">
        <f>MAX(0,E7*(E12+E13-E15))</f>
        <v>0</v>
      </c>
      <c r="F16" s="20">
        <f>MAX(0,F7*(F12+F13-F15))</f>
        <v>0</v>
      </c>
      <c r="G16" s="1" t="s">
        <v>524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525</v>
      </c>
      <c r="B17" s="1" t="s">
        <v>18</v>
      </c>
      <c r="C17" s="20">
        <f>C7*(C14+C13-C12-C13)</f>
        <v>0</v>
      </c>
      <c r="D17" s="20">
        <f>D7*(D14+D13-D12-D13)</f>
        <v>0</v>
      </c>
      <c r="E17" s="20">
        <f>E7*(E14+E13-E12-E13)</f>
        <v>0</v>
      </c>
      <c r="F17" s="20">
        <f>F7*(F14+F13-F12-F13)</f>
        <v>0</v>
      </c>
      <c r="G17" s="1" t="s">
        <v>526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52</v>
      </c>
      <c r="B18" s="1" t="s">
        <v>45</v>
      </c>
      <c r="C18" s="1" t="str">
        <f>IF(C7=0,"EXCLUDED",IF(ABS(C17)&lt;1,"FUNDED","REVIEW FUNDING"))</f>
        <v>EXCLUDED</v>
      </c>
      <c r="D18" s="1" t="str">
        <f>IF(D7=0,"EXCLUDED",IF(ABS(D17)&lt;1,"FUNDED","REVIEW FUNDING"))</f>
        <v>EXCLUDED</v>
      </c>
      <c r="E18" s="1" t="str">
        <f>IF(E7=0,"EXCLUDED",IF(ABS(E17)&lt;1,"FUNDED","REVIEW FUNDING"))</f>
        <v>EXCLUDED</v>
      </c>
      <c r="F18" s="1" t="str">
        <f>IF(F7=0,"EXCLUDED",IF(ABS(F17)&lt;1,"FUNDED","REVIEW FUNDING"))</f>
        <v>EXCLUDED</v>
      </c>
      <c r="G18" s="1" t="s">
        <v>527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G1"/>
    <mergeCell ref="A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U260"/>
  <sheetViews>
    <sheetView showGridLines="0" workbookViewId="0"/>
  </sheetViews>
  <sheetFormatPr defaultRowHeight="13.8"/>
  <cols>
    <col min="1" max="1" width="43" customWidth="1"/>
    <col min="2" max="2" width="13" customWidth="1"/>
    <col min="3" max="17" width="11.5" customWidth="1"/>
  </cols>
  <sheetData>
    <row r="1" spans="1:47" ht="25.95" customHeight="1">
      <c r="A1" s="37" t="s">
        <v>528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>
      <c r="A2" s="38" t="s">
        <v>529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15" t="s">
        <v>13</v>
      </c>
      <c r="O5" s="15" t="s">
        <v>14</v>
      </c>
      <c r="P5" s="15" t="s">
        <v>15</v>
      </c>
      <c r="Q5" s="15" t="s">
        <v>16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6"/>
      <c r="O6" s="16"/>
      <c r="P6" s="16"/>
      <c r="Q6" s="1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39</v>
      </c>
      <c r="B7" s="1" t="s">
        <v>30</v>
      </c>
      <c r="C7" s="11">
        <v>381.07501220703125</v>
      </c>
      <c r="D7" s="11">
        <v>297.85000610351563</v>
      </c>
      <c r="E7" s="11">
        <v>347.02499389648438</v>
      </c>
      <c r="F7" s="11">
        <v>318.39999389648438</v>
      </c>
      <c r="G7" s="11">
        <v>275.47500610351563</v>
      </c>
      <c r="H7" s="11">
        <v>961.0250244140625</v>
      </c>
      <c r="I7" s="11">
        <v>2382.64990234375</v>
      </c>
      <c r="J7" s="11">
        <v>2304.75</v>
      </c>
      <c r="K7" s="11">
        <v>3984.550048828125</v>
      </c>
      <c r="L7" s="11">
        <v>5513.75</v>
      </c>
      <c r="M7" s="11">
        <v>4877.2001953125</v>
      </c>
      <c r="N7" s="29">
        <f>Assumptions!B53</f>
        <v>5594.5</v>
      </c>
      <c r="O7" s="29">
        <f>Assumptions!C53</f>
        <v>5594.5</v>
      </c>
      <c r="P7" s="29">
        <f>Assumptions!D53</f>
        <v>5594.5</v>
      </c>
      <c r="Q7" s="29">
        <f>Assumptions!E53</f>
        <v>5594.5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426</v>
      </c>
      <c r="B8" s="1" t="s">
        <v>425</v>
      </c>
      <c r="C8" s="18">
        <f>'Annual P&amp;L'!B28</f>
        <v>80.000269034167346</v>
      </c>
      <c r="D8" s="18">
        <f>'Annual P&amp;L'!C28</f>
        <v>80.006634819532906</v>
      </c>
      <c r="E8" s="18">
        <f>'Annual P&amp;L'!D28</f>
        <v>79.99207724684328</v>
      </c>
      <c r="F8" s="18">
        <f>'Annual P&amp;L'!E28</f>
        <v>79.945214821550351</v>
      </c>
      <c r="G8" s="18">
        <f>'Annual P&amp;L'!F28</f>
        <v>76.676205497972049</v>
      </c>
      <c r="H8" s="18">
        <f>'Annual P&amp;L'!G28</f>
        <v>76.424792267254546</v>
      </c>
      <c r="I8" s="18">
        <f>'Annual P&amp;L'!H28</f>
        <v>76.420854549479742</v>
      </c>
      <c r="J8" s="18">
        <f>'Annual P&amp;L'!I28</f>
        <v>76.426568204447406</v>
      </c>
      <c r="K8" s="18">
        <f>'Annual P&amp;L'!J28</f>
        <v>153.86112283663994</v>
      </c>
      <c r="L8" s="18">
        <f>'Annual P&amp;L'!K28</f>
        <v>155.15968528368796</v>
      </c>
      <c r="M8" s="18">
        <f>'Annual P&amp;L'!L28</f>
        <v>156.90418103810885</v>
      </c>
      <c r="N8" s="23">
        <f>'Annual P&amp;L'!M28</f>
        <v>156.90418103810885</v>
      </c>
      <c r="O8" s="23">
        <f>'Annual P&amp;L'!N28</f>
        <v>156.90418103810885</v>
      </c>
      <c r="P8" s="23">
        <f>'Annual P&amp;L'!O28</f>
        <v>156.90418103810885</v>
      </c>
      <c r="Q8" s="23">
        <f>'Annual P&amp;L'!P28</f>
        <v>156.90418103810885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530</v>
      </c>
      <c r="B9" s="1" t="s">
        <v>18</v>
      </c>
      <c r="C9" s="20">
        <f t="shared" ref="C9:Q9" si="0">IF(C7="","",C7*C8)</f>
        <v>30486.103498761106</v>
      </c>
      <c r="D9" s="20">
        <f t="shared" si="0"/>
        <v>23829.976669319622</v>
      </c>
      <c r="E9" s="20">
        <f t="shared" si="0"/>
        <v>27759.250118352895</v>
      </c>
      <c r="F9" s="20">
        <f t="shared" si="0"/>
        <v>25454.555911234766</v>
      </c>
      <c r="G9" s="20">
        <f t="shared" si="0"/>
        <v>21122.378177548268</v>
      </c>
      <c r="H9" s="20">
        <f t="shared" si="0"/>
        <v>73446.137854477958</v>
      </c>
      <c r="I9" s="20">
        <f t="shared" si="0"/>
        <v>182084.14162934382</v>
      </c>
      <c r="J9" s="20">
        <f t="shared" si="0"/>
        <v>176144.13306920015</v>
      </c>
      <c r="K9" s="20">
        <f t="shared" si="0"/>
        <v>613067.3445114838</v>
      </c>
      <c r="L9" s="20">
        <f t="shared" si="0"/>
        <v>855511.71473293449</v>
      </c>
      <c r="M9" s="20">
        <f t="shared" si="0"/>
        <v>765253.10240441235</v>
      </c>
      <c r="N9" s="24">
        <f t="shared" si="0"/>
        <v>877800.44081769988</v>
      </c>
      <c r="O9" s="24">
        <f t="shared" si="0"/>
        <v>877800.44081769988</v>
      </c>
      <c r="P9" s="24">
        <f t="shared" si="0"/>
        <v>877800.44081769988</v>
      </c>
      <c r="Q9" s="24">
        <f t="shared" si="0"/>
        <v>877800.44081769988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531</v>
      </c>
      <c r="B10" s="1" t="s">
        <v>18</v>
      </c>
      <c r="C10" s="20">
        <f>SUM('Annual P&amp;L'!B44,'Annual P&amp;L'!B53,'Annual P&amp;L'!B55,'Annual P&amp;L'!B56)</f>
        <v>7607.85</v>
      </c>
      <c r="D10" s="20">
        <f>SUM('Annual P&amp;L'!C44,'Annual P&amp;L'!C53,'Annual P&amp;L'!C55,'Annual P&amp;L'!C56)</f>
        <v>8348.73</v>
      </c>
      <c r="E10" s="20">
        <f>SUM('Annual P&amp;L'!D44,'Annual P&amp;L'!D53,'Annual P&amp;L'!D55,'Annual P&amp;L'!D56)</f>
        <v>11211.32</v>
      </c>
      <c r="F10" s="20">
        <f>SUM('Annual P&amp;L'!E44,'Annual P&amp;L'!E53,'Annual P&amp;L'!E55,'Annual P&amp;L'!E56)</f>
        <v>14365.080000000002</v>
      </c>
      <c r="G10" s="20">
        <f>SUM('Annual P&amp;L'!F44,'Annual P&amp;L'!F53,'Annual P&amp;L'!F55,'Annual P&amp;L'!F56)</f>
        <v>14357.920000000002</v>
      </c>
      <c r="H10" s="20">
        <f>SUM('Annual P&amp;L'!G44,'Annual P&amp;L'!G53,'Annual P&amp;L'!G55,'Annual P&amp;L'!G56)</f>
        <v>19805.22</v>
      </c>
      <c r="I10" s="20">
        <f>SUM('Annual P&amp;L'!H44,'Annual P&amp;L'!H53,'Annual P&amp;L'!H55,'Annual P&amp;L'!H56)</f>
        <v>17369.21</v>
      </c>
      <c r="J10" s="20">
        <f>SUM('Annual P&amp;L'!I44,'Annual P&amp;L'!I53,'Annual P&amp;L'!I55,'Annual P&amp;L'!I56)</f>
        <v>15428.46</v>
      </c>
      <c r="K10" s="20">
        <f>SUM('Annual P&amp;L'!J44,'Annual P&amp;L'!J53,'Annual P&amp;L'!J55,'Annual P&amp;L'!J56)</f>
        <v>18494.54</v>
      </c>
      <c r="L10" s="20">
        <f>SUM('Annual P&amp;L'!K44,'Annual P&amp;L'!K53,'Annual P&amp;L'!K55,'Annual P&amp;L'!K56)</f>
        <v>20057.920000000002</v>
      </c>
      <c r="M10" s="20">
        <f>SUM('Annual P&amp;L'!L44,'Annual P&amp;L'!L53,'Annual P&amp;L'!L55,'Annual P&amp;L'!L56)</f>
        <v>28330.17</v>
      </c>
      <c r="N10" s="24">
        <f>SUM('Annual P&amp;L'!M44,'Annual P&amp;L'!M53,'Annual P&amp;L'!M55,'Annual P&amp;L'!M56)</f>
        <v>32938.793082010685</v>
      </c>
      <c r="O10" s="24">
        <f>SUM('Annual P&amp;L'!N44,'Annual P&amp;L'!N53,'Annual P&amp;L'!N55,'Annual P&amp;L'!N56)</f>
        <v>47330.857230225556</v>
      </c>
      <c r="P10" s="24">
        <f>SUM('Annual P&amp;L'!O44,'Annual P&amp;L'!O53,'Annual P&amp;L'!O55,'Annual P&amp;L'!O56)</f>
        <v>65972.020543697799</v>
      </c>
      <c r="Q10" s="24">
        <f>SUM('Annual P&amp;L'!P44,'Annual P&amp;L'!P53,'Annual P&amp;L'!P55,'Annual P&amp;L'!P56)</f>
        <v>87891.15393291894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532</v>
      </c>
      <c r="B11" s="1" t="s">
        <v>18</v>
      </c>
      <c r="C11" s="20">
        <f>SUM('Annual P&amp;L'!B68,'Annual P&amp;L'!B69,'Annual P&amp;L'!B77,'Annual P&amp;L'!B78)</f>
        <v>25.7</v>
      </c>
      <c r="D11" s="20">
        <f>SUM('Annual P&amp;L'!C68,'Annual P&amp;L'!C69,'Annual P&amp;L'!C77,'Annual P&amp;L'!C78)</f>
        <v>21.71</v>
      </c>
      <c r="E11" s="20">
        <f>SUM('Annual P&amp;L'!D68,'Annual P&amp;L'!D69,'Annual P&amp;L'!D77,'Annual P&amp;L'!D78)</f>
        <v>16.55</v>
      </c>
      <c r="F11" s="20">
        <f>SUM('Annual P&amp;L'!E68,'Annual P&amp;L'!E69,'Annual P&amp;L'!E77,'Annual P&amp;L'!E78)</f>
        <v>11.97</v>
      </c>
      <c r="G11" s="20">
        <f>SUM('Annual P&amp;L'!F68,'Annual P&amp;L'!F69,'Annual P&amp;L'!F77,'Annual P&amp;L'!F78)</f>
        <v>708.6400000000001</v>
      </c>
      <c r="H11" s="20">
        <f>SUM('Annual P&amp;L'!G68,'Annual P&amp;L'!G69,'Annual P&amp;L'!G77,'Annual P&amp;L'!G78)</f>
        <v>984.4</v>
      </c>
      <c r="I11" s="20">
        <f>SUM('Annual P&amp;L'!H68,'Annual P&amp;L'!H69,'Annual P&amp;L'!H77,'Annual P&amp;L'!H78)</f>
        <v>5782.2199999999993</v>
      </c>
      <c r="J11" s="20">
        <f>SUM('Annual P&amp;L'!I68,'Annual P&amp;L'!I69,'Annual P&amp;L'!I77,'Annual P&amp;L'!I78)</f>
        <v>6575.54</v>
      </c>
      <c r="K11" s="20">
        <f>SUM('Annual P&amp;L'!J68,'Annual P&amp;L'!J69,'Annual P&amp;L'!J77,'Annual P&amp;L'!J78)</f>
        <v>4511.29</v>
      </c>
      <c r="L11" s="20">
        <f>SUM('Annual P&amp;L'!K68,'Annual P&amp;L'!K69,'Annual P&amp;L'!K77,'Annual P&amp;L'!K78)</f>
        <v>3108.9700000000003</v>
      </c>
      <c r="M11" s="20">
        <f>SUM('Annual P&amp;L'!L68,'Annual P&amp;L'!L69,'Annual P&amp;L'!L77,'Annual P&amp;L'!L78)</f>
        <v>4774.4799999999996</v>
      </c>
      <c r="N11" s="24">
        <f>SUM('Annual P&amp;L'!M68,'Annual P&amp;L'!M69,'Annual P&amp;L'!M77,'Annual P&amp;L'!M78)</f>
        <v>5157.324901335538</v>
      </c>
      <c r="O11" s="24">
        <f>SUM('Annual P&amp;L'!N68,'Annual P&amp;L'!N69,'Annual P&amp;L'!N77,'Annual P&amp;L'!N78)</f>
        <v>5778.5483171533233</v>
      </c>
      <c r="P11" s="24">
        <f>SUM('Annual P&amp;L'!O68,'Annual P&amp;L'!O69,'Annual P&amp;L'!O77,'Annual P&amp;L'!O78)</f>
        <v>6517.6930689346236</v>
      </c>
      <c r="Q11" s="24">
        <f>SUM('Annual P&amp;L'!P68,'Annual P&amp;L'!P69,'Annual P&amp;L'!P77,'Annual P&amp;L'!P78)</f>
        <v>7382.2885715013526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533</v>
      </c>
      <c r="B12" s="1" t="s">
        <v>18</v>
      </c>
      <c r="C12" s="20">
        <f t="shared" ref="C12:Q12" si="1">IF(C9="","",C9-C10+C11)</f>
        <v>22903.953498761108</v>
      </c>
      <c r="D12" s="20">
        <f t="shared" si="1"/>
        <v>15502.956669319621</v>
      </c>
      <c r="E12" s="20">
        <f t="shared" si="1"/>
        <v>16564.480118352894</v>
      </c>
      <c r="F12" s="20">
        <f t="shared" si="1"/>
        <v>11101.445911234763</v>
      </c>
      <c r="G12" s="20">
        <f t="shared" si="1"/>
        <v>7473.098177548266</v>
      </c>
      <c r="H12" s="20">
        <f t="shared" si="1"/>
        <v>54625.317854477958</v>
      </c>
      <c r="I12" s="20">
        <f t="shared" si="1"/>
        <v>170497.15162934383</v>
      </c>
      <c r="J12" s="20">
        <f t="shared" si="1"/>
        <v>167291.21306920017</v>
      </c>
      <c r="K12" s="20">
        <f t="shared" si="1"/>
        <v>599084.0945114838</v>
      </c>
      <c r="L12" s="20">
        <f t="shared" si="1"/>
        <v>838562.76473293442</v>
      </c>
      <c r="M12" s="20">
        <f t="shared" si="1"/>
        <v>741697.41240441229</v>
      </c>
      <c r="N12" s="24">
        <f t="shared" si="1"/>
        <v>850018.97263702471</v>
      </c>
      <c r="O12" s="24">
        <f t="shared" si="1"/>
        <v>836248.13190462766</v>
      </c>
      <c r="P12" s="24">
        <f t="shared" si="1"/>
        <v>818346.11334293673</v>
      </c>
      <c r="Q12" s="24">
        <f t="shared" si="1"/>
        <v>797291.57545628236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29</v>
      </c>
      <c r="B13" s="1" t="s">
        <v>30</v>
      </c>
      <c r="C13" s="25">
        <f>'Annual P&amp;L'!B30</f>
        <v>37.17</v>
      </c>
      <c r="D13" s="25">
        <f>'Annual P&amp;L'!C30</f>
        <v>37.68</v>
      </c>
      <c r="E13" s="25">
        <f>'Annual P&amp;L'!D30</f>
        <v>40.39</v>
      </c>
      <c r="F13" s="25">
        <f>'Annual P&amp;L'!E30</f>
        <v>43.99</v>
      </c>
      <c r="G13" s="25">
        <f>'Annual P&amp;L'!F30</f>
        <v>44.38</v>
      </c>
      <c r="H13" s="25">
        <f>'Annual P&amp;L'!G30</f>
        <v>58.97</v>
      </c>
      <c r="I13" s="25">
        <f>'Annual P&amp;L'!H30</f>
        <v>90.34</v>
      </c>
      <c r="J13" s="25">
        <f>'Annual P&amp;L'!I30</f>
        <v>120.52</v>
      </c>
      <c r="K13" s="25">
        <f>'Annual P&amp;L'!J30</f>
        <v>71.069999999999993</v>
      </c>
      <c r="L13" s="25">
        <f>'Annual P&amp;L'!K30</f>
        <v>90.24</v>
      </c>
      <c r="M13" s="25">
        <f>'Annual P&amp;L'!L30</f>
        <v>118.87</v>
      </c>
      <c r="N13" s="29">
        <f>'Annual P&amp;L'!M30</f>
        <v>143.41808268570722</v>
      </c>
      <c r="O13" s="29">
        <f>'Annual P&amp;L'!N30</f>
        <v>179.84008332771674</v>
      </c>
      <c r="P13" s="29">
        <f>'Annual P&amp;L'!O30</f>
        <v>214.7842976739222</v>
      </c>
      <c r="Q13" s="29">
        <f>'Annual P&amp;L'!P30</f>
        <v>253.24538118792532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40</v>
      </c>
      <c r="B14" s="1" t="s">
        <v>41</v>
      </c>
      <c r="C14" s="30">
        <f t="shared" ref="C14:Q14" si="2">IFERROR(C7/C13,"")</f>
        <v>10.252219860291397</v>
      </c>
      <c r="D14" s="30">
        <f t="shared" si="2"/>
        <v>7.9047241534903296</v>
      </c>
      <c r="E14" s="30">
        <f t="shared" si="2"/>
        <v>8.5918542682962205</v>
      </c>
      <c r="F14" s="30">
        <f t="shared" si="2"/>
        <v>7.2380084995790943</v>
      </c>
      <c r="G14" s="30">
        <f t="shared" si="2"/>
        <v>6.2071880600161249</v>
      </c>
      <c r="H14" s="30">
        <f t="shared" si="2"/>
        <v>16.296846267832162</v>
      </c>
      <c r="I14" s="30">
        <f t="shared" si="2"/>
        <v>26.374251741684191</v>
      </c>
      <c r="J14" s="30">
        <f t="shared" si="2"/>
        <v>19.123382011284434</v>
      </c>
      <c r="K14" s="30">
        <f t="shared" si="2"/>
        <v>56.065147725174128</v>
      </c>
      <c r="L14" s="30">
        <f t="shared" si="2"/>
        <v>61.100953014184398</v>
      </c>
      <c r="M14" s="30">
        <f t="shared" si="2"/>
        <v>41.029697949966348</v>
      </c>
      <c r="N14" s="31">
        <f t="shared" si="2"/>
        <v>39.008330715590702</v>
      </c>
      <c r="O14" s="31">
        <f t="shared" si="2"/>
        <v>31.108192881590945</v>
      </c>
      <c r="P14" s="31">
        <f t="shared" si="2"/>
        <v>26.047062381130715</v>
      </c>
      <c r="Q14" s="31">
        <f t="shared" si="2"/>
        <v>22.09122225154622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26</v>
      </c>
      <c r="B15" s="1" t="s">
        <v>18</v>
      </c>
      <c r="C15" s="20">
        <f>'Annual P&amp;L'!B13</f>
        <v>4171.0599999999995</v>
      </c>
      <c r="D15" s="20">
        <f>'Annual P&amp;L'!C13</f>
        <v>4539.3500000000004</v>
      </c>
      <c r="E15" s="20">
        <f>'Annual P&amp;L'!D13</f>
        <v>4687.2</v>
      </c>
      <c r="F15" s="20">
        <f>'Annual P&amp;L'!E13</f>
        <v>5805.3600000000006</v>
      </c>
      <c r="G15" s="20">
        <f>'Annual P&amp;L'!F13</f>
        <v>4929.54</v>
      </c>
      <c r="H15" s="20">
        <f>'Annual P&amp;L'!G13</f>
        <v>6830.15</v>
      </c>
      <c r="I15" s="20">
        <f>'Annual P&amp;L'!H13</f>
        <v>9581.7109999999993</v>
      </c>
      <c r="J15" s="20">
        <f>'Annual P&amp;L'!I13</f>
        <v>15191.25</v>
      </c>
      <c r="K15" s="20">
        <f>'Annual P&amp;L'!J13</f>
        <v>17243.02</v>
      </c>
      <c r="L15" s="20">
        <f>'Annual P&amp;L'!K13</f>
        <v>20581.7</v>
      </c>
      <c r="M15" s="20">
        <f>'Annual P&amp;L'!L13</f>
        <v>27064.1</v>
      </c>
      <c r="N15" s="24">
        <f>'Annual P&amp;L'!M13</f>
        <v>34125.551345108121</v>
      </c>
      <c r="O15" s="24">
        <f>'Annual P&amp;L'!N13</f>
        <v>42284.207281259711</v>
      </c>
      <c r="P15" s="24">
        <f>'Annual P&amp;L'!O13</f>
        <v>49701.455863238698</v>
      </c>
      <c r="Q15" s="24">
        <f>'Annual P&amp;L'!P13</f>
        <v>58090.010518890602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42</v>
      </c>
      <c r="B16" s="1" t="s">
        <v>41</v>
      </c>
      <c r="C16" s="30">
        <f t="shared" ref="C16:Q16" si="3">IFERROR(C12/C15,"")</f>
        <v>5.4911589616934569</v>
      </c>
      <c r="D16" s="30">
        <f t="shared" si="3"/>
        <v>3.4152371307168692</v>
      </c>
      <c r="E16" s="30">
        <f t="shared" si="3"/>
        <v>3.5339819334256903</v>
      </c>
      <c r="F16" s="30">
        <f t="shared" si="3"/>
        <v>1.9122751924488339</v>
      </c>
      <c r="G16" s="30">
        <f t="shared" si="3"/>
        <v>1.5159828660581445</v>
      </c>
      <c r="H16" s="30">
        <f t="shared" si="3"/>
        <v>7.9976747003327837</v>
      </c>
      <c r="I16" s="30">
        <f t="shared" si="3"/>
        <v>17.794019421932454</v>
      </c>
      <c r="J16" s="30">
        <f t="shared" si="3"/>
        <v>11.012340200391684</v>
      </c>
      <c r="K16" s="30">
        <f t="shared" si="3"/>
        <v>34.743571283422732</v>
      </c>
      <c r="L16" s="30">
        <f t="shared" si="3"/>
        <v>40.743124461678789</v>
      </c>
      <c r="M16" s="30">
        <f t="shared" si="3"/>
        <v>27.405212528937312</v>
      </c>
      <c r="N16" s="31">
        <f t="shared" si="3"/>
        <v>24.908578444370672</v>
      </c>
      <c r="O16" s="31">
        <f t="shared" si="3"/>
        <v>19.776843073873859</v>
      </c>
      <c r="P16" s="31">
        <f t="shared" si="3"/>
        <v>16.465234249772152</v>
      </c>
      <c r="Q16" s="31">
        <f t="shared" si="3"/>
        <v>13.725106405291609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427</v>
      </c>
      <c r="B17" s="1" t="s">
        <v>30</v>
      </c>
      <c r="C17" s="25">
        <f>'Annual P&amp;L'!B32</f>
        <v>12.993831302692685</v>
      </c>
      <c r="D17" s="25">
        <f>'Annual P&amp;L'!C32</f>
        <v>5.9996274194350923</v>
      </c>
      <c r="E17" s="25">
        <f>'Annual P&amp;L'!D32</f>
        <v>9.9983651822413702</v>
      </c>
      <c r="F17" s="25">
        <f>'Annual P&amp;L'!E32</f>
        <v>10.996780757452107</v>
      </c>
      <c r="G17" s="25">
        <f>'Annual P&amp;L'!F32</f>
        <v>14.950922421823806</v>
      </c>
      <c r="H17" s="25">
        <f>'Annual P&amp;L'!G32</f>
        <v>14.000038053861189</v>
      </c>
      <c r="I17" s="25">
        <f>'Annual P&amp;L'!H32</f>
        <v>26.001410370430456</v>
      </c>
      <c r="J17" s="25">
        <f>'Annual P&amp;L'!I32</f>
        <v>38.999265177349081</v>
      </c>
      <c r="K17" s="25">
        <f>'Annual P&amp;L'!J32</f>
        <v>26.540947607250537</v>
      </c>
      <c r="L17" s="25">
        <f>'Annual P&amp;L'!K32</f>
        <v>29.647263021895338</v>
      </c>
      <c r="M17" s="25">
        <f>'Annual P&amp;L'!L32</f>
        <v>36.904115375954362</v>
      </c>
      <c r="N17" s="29">
        <f>'Annual P&amp;L'!M32</f>
        <v>51.630509766854601</v>
      </c>
      <c r="O17" s="29">
        <f>'Annual P&amp;L'!N32</f>
        <v>66.540830831255192</v>
      </c>
      <c r="P17" s="29">
        <f>'Annual P&amp;L'!O32</f>
        <v>81.61803311609043</v>
      </c>
      <c r="Q17" s="29">
        <f>'Annual P&amp;L'!P32</f>
        <v>98.765698663290863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534</v>
      </c>
      <c r="B18" s="1" t="s">
        <v>20</v>
      </c>
      <c r="C18" s="17">
        <f t="shared" ref="C18:Q18" si="4">IFERROR(C17/C7,"")</f>
        <v>3.4097830837655052E-2</v>
      </c>
      <c r="D18" s="17">
        <f t="shared" si="4"/>
        <v>2.0143116657684288E-2</v>
      </c>
      <c r="E18" s="17">
        <f t="shared" si="4"/>
        <v>2.8811657252629554E-2</v>
      </c>
      <c r="F18" s="17">
        <f t="shared" si="4"/>
        <v>3.4537628669136504E-2</v>
      </c>
      <c r="G18" s="17">
        <f t="shared" si="4"/>
        <v>5.4273244724807004E-2</v>
      </c>
      <c r="H18" s="17">
        <f t="shared" si="4"/>
        <v>1.4567818421166525E-2</v>
      </c>
      <c r="I18" s="17">
        <f t="shared" si="4"/>
        <v>1.0912811968243237E-2</v>
      </c>
      <c r="J18" s="17">
        <f t="shared" si="4"/>
        <v>1.6921256178478828E-2</v>
      </c>
      <c r="K18" s="17">
        <f t="shared" si="4"/>
        <v>6.6609647970305597E-3</v>
      </c>
      <c r="L18" s="17">
        <f t="shared" si="4"/>
        <v>5.3769690359365832E-3</v>
      </c>
      <c r="M18" s="17">
        <f t="shared" si="4"/>
        <v>7.5666599479396147E-3</v>
      </c>
      <c r="N18" s="22">
        <f t="shared" si="4"/>
        <v>9.2287978848609523E-3</v>
      </c>
      <c r="O18" s="22">
        <f t="shared" si="4"/>
        <v>1.189397280029586E-2</v>
      </c>
      <c r="P18" s="22">
        <f t="shared" si="4"/>
        <v>1.45889772305104E-2</v>
      </c>
      <c r="Q18" s="22">
        <f t="shared" si="4"/>
        <v>1.765407072361978E-2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190</v>
      </c>
      <c r="B19" s="1" t="s">
        <v>41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1">
        <f>Assumptions!B46</f>
        <v>46</v>
      </c>
      <c r="O19" s="31">
        <f>Assumptions!C46</f>
        <v>42</v>
      </c>
      <c r="P19" s="31">
        <f>Assumptions!D46</f>
        <v>39</v>
      </c>
      <c r="Q19" s="31">
        <f>Assumptions!E46</f>
        <v>36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535</v>
      </c>
      <c r="B20" s="1" t="s">
        <v>30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9">
        <f>N13*N19</f>
        <v>6597.2318035425324</v>
      </c>
      <c r="O20" s="29">
        <f>O13*O19</f>
        <v>7553.283499764103</v>
      </c>
      <c r="P20" s="29">
        <f>P13*P19</f>
        <v>8376.5876092829658</v>
      </c>
      <c r="Q20" s="29">
        <f>Q13*Q19</f>
        <v>9116.8337227653119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192</v>
      </c>
      <c r="B21" s="1" t="s">
        <v>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1">
        <f>Assumptions!B47</f>
        <v>32</v>
      </c>
      <c r="O21" s="31">
        <f>Assumptions!C47</f>
        <v>29</v>
      </c>
      <c r="P21" s="31">
        <f>Assumptions!D47</f>
        <v>27</v>
      </c>
      <c r="Q21" s="31">
        <f>Assumptions!E47</f>
        <v>25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536</v>
      </c>
      <c r="B22" s="1" t="s">
        <v>30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9">
        <f>(N15*N21+N10-N11)/N8</f>
        <v>7136.834109934638</v>
      </c>
      <c r="O22" s="29">
        <f>(O15*O21+O10-O11)/O8</f>
        <v>8080.0544107979013</v>
      </c>
      <c r="P22" s="29">
        <f>(P15*P21+P10-P11)/P8</f>
        <v>8931.5251289692405</v>
      </c>
      <c r="Q22" s="29">
        <f>(Q15*Q21+Q10-Q11)/Q8</f>
        <v>9768.7589852140809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537</v>
      </c>
      <c r="B23" s="1" t="s">
        <v>18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4">
        <f>'Annual P&amp;L'!M133</f>
        <v>15231.123274360411</v>
      </c>
      <c r="O23" s="24">
        <f>'Annual P&amp;L'!N133</f>
        <v>27680.848717520043</v>
      </c>
      <c r="P23" s="24">
        <f>'Annual P&amp;L'!O133</f>
        <v>34417.293076103306</v>
      </c>
      <c r="Q23" s="24">
        <f>'Annual P&amp;L'!P133</f>
        <v>40781.144084945387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194</v>
      </c>
      <c r="B24" s="1" t="s">
        <v>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2">
        <f>Assumptions!B48</f>
        <v>0.1</v>
      </c>
      <c r="O24" s="22">
        <f>Assumptions!C48</f>
        <v>0.10199999999999999</v>
      </c>
      <c r="P24" s="22">
        <f>Assumptions!D48</f>
        <v>0.10299999999999999</v>
      </c>
      <c r="Q24" s="22">
        <f>Assumptions!E48</f>
        <v>0.104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196</v>
      </c>
      <c r="B25" s="1" t="s">
        <v>20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2">
        <f>Assumptions!B49</f>
        <v>5.5E-2</v>
      </c>
      <c r="O25" s="22">
        <f>Assumptions!C49</f>
        <v>5.5E-2</v>
      </c>
      <c r="P25" s="22">
        <f>Assumptions!D49</f>
        <v>5.5E-2</v>
      </c>
      <c r="Q25" s="22">
        <f>Assumptions!E49</f>
        <v>5.5E-2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538</v>
      </c>
      <c r="B26" s="1" t="s">
        <v>18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4">
        <f>SUMPRODUCT(N23:$Q$23,1/(1+N24)^(COLUMN(N23:$Q$23)-COLUMN(N23)+1))+$Q$23*(1+$Q$25)/($Q$24-$Q$25)/(1+$Q$24)^(COLUMN($Q$23)-COLUMN(N23)+1)</f>
        <v>681506.28368683904</v>
      </c>
      <c r="O26" s="24">
        <f>SUMPRODUCT(O23:$Q$23,1/(1+O24)^(COLUMN(O23:$Q$23)-COLUMN(O23)+1))+$Q$23*(1+$Q$25)/($Q$24-$Q$25)/(1+$Q$24)^(COLUMN($Q$23)-COLUMN(O23)+1)</f>
        <v>736474.73146444</v>
      </c>
      <c r="P26" s="24">
        <f>SUMPRODUCT(P23:$Q$23,1/(1+P24)^(COLUMN(P23:$Q$23)-COLUMN(P23)+1))+$Q$23*(1+$Q$25)/($Q$24-$Q$25)/(1+$Q$24)^(COLUMN($Q$23)-COLUMN(P23)+1)</f>
        <v>785130.21138396556</v>
      </c>
      <c r="Q26" s="24">
        <f>SUMPRODUCT(Q23:$Q$23,1/(1+Q24)^(COLUMN(Q23:$Q$23)-COLUMN(Q23)+1))+$Q$23*(1+$Q$25)/($Q$24-$Q$25)/(1+$Q$24)^(COLUMN($Q$23)-COLUMN(Q23)+1)</f>
        <v>832268.24663153838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539</v>
      </c>
      <c r="B27" s="1" t="s">
        <v>30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9">
        <f>(N26+N10-N11)/N8</f>
        <v>4520.5153054222474</v>
      </c>
      <c r="O27" s="29">
        <f>(O26+O10-O11)/O8</f>
        <v>4958.6125444837271</v>
      </c>
      <c r="P27" s="29">
        <f>(P26+P10-P11)/P8</f>
        <v>5382.8045452376837</v>
      </c>
      <c r="Q27" s="29">
        <f>(Q26+Q10-Q11)/Q8</f>
        <v>5817.4173941946192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198</v>
      </c>
      <c r="B28" s="1" t="s">
        <v>20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2">
        <f>Assumptions!B50</f>
        <v>0.4</v>
      </c>
      <c r="O28" s="22">
        <f>Assumptions!C50</f>
        <v>0.4</v>
      </c>
      <c r="P28" s="22">
        <f>Assumptions!D50</f>
        <v>0.4</v>
      </c>
      <c r="Q28" s="22">
        <f>Assumptions!E50</f>
        <v>0.4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200</v>
      </c>
      <c r="B29" s="1" t="s">
        <v>20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2">
        <f>Assumptions!B51</f>
        <v>0.3</v>
      </c>
      <c r="O29" s="22">
        <f>Assumptions!C51</f>
        <v>0.3</v>
      </c>
      <c r="P29" s="22">
        <f>Assumptions!D51</f>
        <v>0.3</v>
      </c>
      <c r="Q29" s="22">
        <f>Assumptions!E51</f>
        <v>0.3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201</v>
      </c>
      <c r="B30" s="1" t="s">
        <v>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2">
        <f>Assumptions!B52</f>
        <v>0.3</v>
      </c>
      <c r="O30" s="22">
        <f>Assumptions!C52</f>
        <v>0.3</v>
      </c>
      <c r="P30" s="22">
        <f>Assumptions!D52</f>
        <v>0.3</v>
      </c>
      <c r="Q30" s="22">
        <f>Assumptions!E52</f>
        <v>0.3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43</v>
      </c>
      <c r="B31" s="1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9">
        <f>SUMPRODUCT(N20,N28)+SUMPRODUCT(N22,N29)+SUMPRODUCT(N27,N30)</f>
        <v>6136.0975460240779</v>
      </c>
      <c r="O31" s="29">
        <f>SUMPRODUCT(O20,O28)+SUMPRODUCT(O22,O29)+SUMPRODUCT(O27,O30)</f>
        <v>6932.9134864901298</v>
      </c>
      <c r="P31" s="29">
        <f>SUMPRODUCT(P20,P28)+SUMPRODUCT(P22,P29)+SUMPRODUCT(P27,P30)</f>
        <v>7644.9339459752637</v>
      </c>
      <c r="Q31" s="29">
        <f>SUMPRODUCT(Q20,Q28)+SUMPRODUCT(Q22,Q29)+SUMPRODUCT(Q27,Q30)</f>
        <v>8322.586402928735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44</v>
      </c>
      <c r="B32" s="1" t="s">
        <v>20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2">
        <f>IFERROR(N31/N7-1,"")</f>
        <v>9.6808927701149017E-2</v>
      </c>
      <c r="O32" s="22">
        <f>IFERROR(O31/O7-1,"")</f>
        <v>0.23923737357943153</v>
      </c>
      <c r="P32" s="22">
        <f>IFERROR(P31/P7-1,"")</f>
        <v>0.36650888300567774</v>
      </c>
      <c r="Q32" s="22">
        <f>IFERROR(Q31/Q7-1,"")</f>
        <v>0.48763721564549734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540</v>
      </c>
      <c r="B33" s="1" t="s">
        <v>45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2" t="str">
        <f>IF(N7="","ENTER PRICE",IF(N32&gt;=0.15,"OUTPERFORM",IF(N32&gt;=-0.05,"NEUTRAL","UNDERPERFORM")))</f>
        <v>NEUTRAL</v>
      </c>
      <c r="O33" s="22" t="str">
        <f>IF(O7="","ENTER PRICE",IF(O32&gt;=0.15,"OUTPERFORM",IF(O32&gt;=-0.05,"NEUTRAL","UNDERPERFORM")))</f>
        <v>OUTPERFORM</v>
      </c>
      <c r="P33" s="22" t="str">
        <f>IF(P7="","ENTER PRICE",IF(P32&gt;=0.15,"OUTPERFORM",IF(P32&gt;=-0.05,"NEUTRAL","UNDERPERFORM")))</f>
        <v>OUTPERFORM</v>
      </c>
      <c r="Q33" s="22" t="str">
        <f>IF(Q7="","ENTER PRICE",IF(Q32&gt;=0.15,"OUTPERFORM",IF(Q32&gt;=-0.05,"NEUTRAL","UNDERPERFORM")))</f>
        <v>OUTPERFORM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6"/>
      <c r="O34" s="16"/>
      <c r="P34" s="16"/>
      <c r="Q34" s="1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6"/>
      <c r="O35" s="16"/>
      <c r="P35" s="16"/>
      <c r="Q35" s="1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6"/>
      <c r="O36" s="16"/>
      <c r="P36" s="16"/>
      <c r="Q36" s="1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6"/>
      <c r="O37" s="16"/>
      <c r="P37" s="16"/>
      <c r="Q37" s="16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6"/>
      <c r="O38" s="16"/>
      <c r="P38" s="16"/>
      <c r="Q38" s="1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6"/>
      <c r="O39" s="16"/>
      <c r="P39" s="16"/>
      <c r="Q39" s="1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6"/>
      <c r="O40" s="16"/>
      <c r="P40" s="16"/>
      <c r="Q40" s="1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6"/>
      <c r="O41" s="16"/>
      <c r="P41" s="16"/>
      <c r="Q41" s="1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6"/>
      <c r="O42" s="16"/>
      <c r="P42" s="16"/>
      <c r="Q42" s="1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6"/>
      <c r="O43" s="16"/>
      <c r="P43" s="16"/>
      <c r="Q43" s="16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6"/>
      <c r="O44" s="16"/>
      <c r="P44" s="16"/>
      <c r="Q44" s="1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6"/>
      <c r="O45" s="16"/>
      <c r="P45" s="16"/>
      <c r="Q45" s="1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6"/>
      <c r="O46" s="16"/>
      <c r="P46" s="16"/>
      <c r="Q46" s="16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"/>
      <c r="O47" s="16"/>
      <c r="P47" s="16"/>
      <c r="Q47" s="16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6"/>
      <c r="O48" s="16"/>
      <c r="P48" s="16"/>
      <c r="Q48" s="1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"/>
      <c r="O49" s="16"/>
      <c r="P49" s="16"/>
      <c r="Q49" s="1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6"/>
      <c r="O50" s="16"/>
      <c r="P50" s="16"/>
      <c r="Q50" s="1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6"/>
      <c r="O51" s="16"/>
      <c r="P51" s="16"/>
      <c r="Q51" s="1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6"/>
      <c r="O52" s="16"/>
      <c r="P52" s="16"/>
      <c r="Q52" s="1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6"/>
      <c r="O53" s="16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6"/>
      <c r="O54" s="16"/>
      <c r="P54" s="16"/>
      <c r="Q54" s="1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6"/>
      <c r="O55" s="16"/>
      <c r="P55" s="16"/>
      <c r="Q55" s="1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6"/>
      <c r="O56" s="16"/>
      <c r="P56" s="16"/>
      <c r="Q56" s="1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6"/>
      <c r="O57" s="16"/>
      <c r="P57" s="16"/>
      <c r="Q57" s="1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6"/>
      <c r="O58" s="16"/>
      <c r="P58" s="16"/>
      <c r="Q58" s="1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6"/>
      <c r="O59" s="16"/>
      <c r="P59" s="16"/>
      <c r="Q59" s="1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6"/>
      <c r="O60" s="16"/>
      <c r="P60" s="16"/>
      <c r="Q60" s="1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6"/>
      <c r="O61" s="16"/>
      <c r="P61" s="16"/>
      <c r="Q61" s="1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6"/>
      <c r="O62" s="16"/>
      <c r="P62" s="16"/>
      <c r="Q62" s="1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6"/>
      <c r="O63" s="16"/>
      <c r="P63" s="16"/>
      <c r="Q63" s="1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6"/>
      <c r="O64" s="16"/>
      <c r="P64" s="16"/>
      <c r="Q64" s="1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6"/>
      <c r="O65" s="16"/>
      <c r="P65" s="16"/>
      <c r="Q65" s="1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6"/>
      <c r="O66" s="16"/>
      <c r="P66" s="16"/>
      <c r="Q66" s="1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6"/>
      <c r="O67" s="16"/>
      <c r="P67" s="16"/>
      <c r="Q67" s="1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6"/>
      <c r="O68" s="16"/>
      <c r="P68" s="16"/>
      <c r="Q68" s="1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6"/>
      <c r="O69" s="16"/>
      <c r="P69" s="16"/>
      <c r="Q69" s="1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6"/>
      <c r="O70" s="16"/>
      <c r="P70" s="16"/>
      <c r="Q70" s="1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6"/>
      <c r="O71" s="16"/>
      <c r="P71" s="16"/>
      <c r="Q71" s="1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6"/>
      <c r="O72" s="16"/>
      <c r="P72" s="16"/>
      <c r="Q72" s="1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6"/>
      <c r="O73" s="16"/>
      <c r="P73" s="16"/>
      <c r="Q73" s="1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6"/>
      <c r="O74" s="16"/>
      <c r="P74" s="16"/>
      <c r="Q74" s="1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6"/>
      <c r="O75" s="16"/>
      <c r="P75" s="16"/>
      <c r="Q75" s="1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6"/>
      <c r="O76" s="16"/>
      <c r="P76" s="16"/>
      <c r="Q76" s="1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6"/>
      <c r="O77" s="16"/>
      <c r="P77" s="16"/>
      <c r="Q77" s="1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6"/>
      <c r="O78" s="16"/>
      <c r="P78" s="16"/>
      <c r="Q78" s="1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6"/>
      <c r="O79" s="16"/>
      <c r="P79" s="16"/>
      <c r="Q79" s="1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6"/>
      <c r="O80" s="16"/>
      <c r="P80" s="16"/>
      <c r="Q80" s="1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6"/>
      <c r="O81" s="16"/>
      <c r="P81" s="16"/>
      <c r="Q81" s="1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6"/>
      <c r="O82" s="16"/>
      <c r="P82" s="16"/>
      <c r="Q82" s="1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6"/>
      <c r="O83" s="16"/>
      <c r="P83" s="16"/>
      <c r="Q83" s="1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6"/>
      <c r="O84" s="16"/>
      <c r="P84" s="16"/>
      <c r="Q84" s="1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6"/>
      <c r="O85" s="16"/>
      <c r="P85" s="16"/>
      <c r="Q85" s="1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6"/>
      <c r="O86" s="16"/>
      <c r="P86" s="16"/>
      <c r="Q86" s="1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6"/>
      <c r="O87" s="16"/>
      <c r="P87" s="16"/>
      <c r="Q87" s="1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6"/>
      <c r="O88" s="16"/>
      <c r="P88" s="16"/>
      <c r="Q88" s="1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6"/>
      <c r="O89" s="16"/>
      <c r="P89" s="16"/>
      <c r="Q89" s="1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6"/>
      <c r="O90" s="16"/>
      <c r="P90" s="16"/>
      <c r="Q90" s="1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6"/>
      <c r="O91" s="16"/>
      <c r="P91" s="16"/>
      <c r="Q91" s="1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6"/>
      <c r="O92" s="16"/>
      <c r="P92" s="16"/>
      <c r="Q92" s="1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6"/>
      <c r="O93" s="16"/>
      <c r="P93" s="16"/>
      <c r="Q93" s="1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6"/>
      <c r="O94" s="16"/>
      <c r="P94" s="16"/>
      <c r="Q94" s="1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6"/>
      <c r="O95" s="16"/>
      <c r="P95" s="16"/>
      <c r="Q95" s="1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6"/>
      <c r="O96" s="16"/>
      <c r="P96" s="16"/>
      <c r="Q96" s="1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6"/>
      <c r="O97" s="16"/>
      <c r="P97" s="16"/>
      <c r="Q97" s="1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6"/>
      <c r="O98" s="16"/>
      <c r="P98" s="16"/>
      <c r="Q98" s="1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6"/>
      <c r="O99" s="16"/>
      <c r="P99" s="16"/>
      <c r="Q99" s="1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6"/>
      <c r="O100" s="16"/>
      <c r="P100" s="16"/>
      <c r="Q100" s="1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6"/>
      <c r="O101" s="16"/>
      <c r="P101" s="16"/>
      <c r="Q101" s="1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6"/>
      <c r="O102" s="16"/>
      <c r="P102" s="16"/>
      <c r="Q102" s="1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6"/>
      <c r="O103" s="16"/>
      <c r="P103" s="16"/>
      <c r="Q103" s="1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6"/>
      <c r="O104" s="16"/>
      <c r="P104" s="16"/>
      <c r="Q104" s="1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6"/>
      <c r="O105" s="16"/>
      <c r="P105" s="16"/>
      <c r="Q105" s="1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6"/>
      <c r="O106" s="16"/>
      <c r="P106" s="16"/>
      <c r="Q106" s="1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6"/>
      <c r="O107" s="16"/>
      <c r="P107" s="16"/>
      <c r="Q107" s="1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6"/>
      <c r="O108" s="16"/>
      <c r="P108" s="16"/>
      <c r="Q108" s="1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6"/>
      <c r="O109" s="16"/>
      <c r="P109" s="16"/>
      <c r="Q109" s="1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6"/>
      <c r="O110" s="16"/>
      <c r="P110" s="16"/>
      <c r="Q110" s="1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6"/>
      <c r="O111" s="16"/>
      <c r="P111" s="16"/>
      <c r="Q111" s="1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6"/>
      <c r="O112" s="16"/>
      <c r="P112" s="16"/>
      <c r="Q112" s="1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6"/>
      <c r="O113" s="16"/>
      <c r="P113" s="16"/>
      <c r="Q113" s="1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6"/>
      <c r="O114" s="16"/>
      <c r="P114" s="16"/>
      <c r="Q114" s="1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6"/>
      <c r="O115" s="16"/>
      <c r="P115" s="16"/>
      <c r="Q115" s="1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6"/>
      <c r="O116" s="16"/>
      <c r="P116" s="16"/>
      <c r="Q116" s="1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6"/>
      <c r="O117" s="16"/>
      <c r="P117" s="16"/>
      <c r="Q117" s="1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6"/>
      <c r="O118" s="16"/>
      <c r="P118" s="16"/>
      <c r="Q118" s="1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6"/>
      <c r="O119" s="16"/>
      <c r="P119" s="16"/>
      <c r="Q119" s="1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6"/>
      <c r="O120" s="16"/>
      <c r="P120" s="16"/>
      <c r="Q120" s="1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6"/>
      <c r="O121" s="16"/>
      <c r="P121" s="16"/>
      <c r="Q121" s="1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6"/>
      <c r="O122" s="16"/>
      <c r="P122" s="16"/>
      <c r="Q122" s="1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6"/>
      <c r="O123" s="16"/>
      <c r="P123" s="16"/>
      <c r="Q123" s="1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6"/>
      <c r="O124" s="16"/>
      <c r="P124" s="16"/>
      <c r="Q124" s="1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6"/>
      <c r="O125" s="16"/>
      <c r="P125" s="16"/>
      <c r="Q125" s="1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6"/>
      <c r="O126" s="16"/>
      <c r="P126" s="16"/>
      <c r="Q126" s="1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6"/>
      <c r="O127" s="16"/>
      <c r="P127" s="16"/>
      <c r="Q127" s="1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6"/>
      <c r="O128" s="16"/>
      <c r="P128" s="16"/>
      <c r="Q128" s="1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6"/>
      <c r="O129" s="16"/>
      <c r="P129" s="16"/>
      <c r="Q129" s="1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6"/>
      <c r="O130" s="16"/>
      <c r="P130" s="16"/>
      <c r="Q130" s="1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6"/>
      <c r="O131" s="16"/>
      <c r="P131" s="16"/>
      <c r="Q131" s="1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6"/>
      <c r="O132" s="16"/>
      <c r="P132" s="16"/>
      <c r="Q132" s="1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6"/>
      <c r="O133" s="16"/>
      <c r="P133" s="16"/>
      <c r="Q133" s="1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6"/>
      <c r="O134" s="16"/>
      <c r="P134" s="16"/>
      <c r="Q134" s="1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6"/>
      <c r="O135" s="16"/>
      <c r="P135" s="16"/>
      <c r="Q135" s="1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6"/>
      <c r="O136" s="16"/>
      <c r="P136" s="16"/>
      <c r="Q136" s="1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6"/>
      <c r="O137" s="16"/>
      <c r="P137" s="16"/>
      <c r="Q137" s="1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6"/>
      <c r="O138" s="16"/>
      <c r="P138" s="16"/>
      <c r="Q138" s="1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6"/>
      <c r="O139" s="16"/>
      <c r="P139" s="16"/>
      <c r="Q139" s="1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6"/>
      <c r="O140" s="16"/>
      <c r="P140" s="16"/>
      <c r="Q140" s="1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6"/>
      <c r="O141" s="16"/>
      <c r="P141" s="16"/>
      <c r="Q141" s="1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6"/>
      <c r="O142" s="16"/>
      <c r="P142" s="16"/>
      <c r="Q142" s="1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6"/>
      <c r="O143" s="16"/>
      <c r="P143" s="16"/>
      <c r="Q143" s="1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6"/>
      <c r="O144" s="16"/>
      <c r="P144" s="16"/>
      <c r="Q144" s="1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6"/>
      <c r="O145" s="16"/>
      <c r="P145" s="16"/>
      <c r="Q145" s="1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6"/>
      <c r="O146" s="16"/>
      <c r="P146" s="16"/>
      <c r="Q146" s="1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6"/>
      <c r="O147" s="16"/>
      <c r="P147" s="16"/>
      <c r="Q147" s="1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6"/>
      <c r="O148" s="16"/>
      <c r="P148" s="16"/>
      <c r="Q148" s="1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6"/>
      <c r="O149" s="16"/>
      <c r="P149" s="16"/>
      <c r="Q149" s="1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6"/>
      <c r="O150" s="16"/>
      <c r="P150" s="16"/>
      <c r="Q150" s="1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6"/>
      <c r="O151" s="16"/>
      <c r="P151" s="16"/>
      <c r="Q151" s="1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6"/>
      <c r="O152" s="16"/>
      <c r="P152" s="16"/>
      <c r="Q152" s="1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6"/>
      <c r="O153" s="16"/>
      <c r="P153" s="16"/>
      <c r="Q153" s="1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6"/>
      <c r="O154" s="16"/>
      <c r="P154" s="16"/>
      <c r="Q154" s="1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6"/>
      <c r="O155" s="16"/>
      <c r="P155" s="16"/>
      <c r="Q155" s="1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6"/>
      <c r="O156" s="16"/>
      <c r="P156" s="16"/>
      <c r="Q156" s="1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6"/>
      <c r="O157" s="16"/>
      <c r="P157" s="16"/>
      <c r="Q157" s="1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6"/>
      <c r="O158" s="16"/>
      <c r="P158" s="16"/>
      <c r="Q158" s="1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6"/>
      <c r="O159" s="16"/>
      <c r="P159" s="16"/>
      <c r="Q159" s="1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6"/>
      <c r="O160" s="16"/>
      <c r="P160" s="16"/>
      <c r="Q160" s="1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6"/>
      <c r="O161" s="16"/>
      <c r="P161" s="16"/>
      <c r="Q161" s="1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6"/>
      <c r="O162" s="16"/>
      <c r="P162" s="16"/>
      <c r="Q162" s="1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6"/>
      <c r="O163" s="16"/>
      <c r="P163" s="16"/>
      <c r="Q163" s="1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6"/>
      <c r="O164" s="16"/>
      <c r="P164" s="16"/>
      <c r="Q164" s="1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6"/>
      <c r="O165" s="16"/>
      <c r="P165" s="16"/>
      <c r="Q165" s="1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6"/>
      <c r="O166" s="16"/>
      <c r="P166" s="16"/>
      <c r="Q166" s="1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6"/>
      <c r="O167" s="16"/>
      <c r="P167" s="16"/>
      <c r="Q167" s="1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6"/>
      <c r="O168" s="16"/>
      <c r="P168" s="16"/>
      <c r="Q168" s="1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6"/>
      <c r="O169" s="16"/>
      <c r="P169" s="16"/>
      <c r="Q169" s="1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6"/>
      <c r="O170" s="16"/>
      <c r="P170" s="16"/>
      <c r="Q170" s="1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6"/>
      <c r="O171" s="16"/>
      <c r="P171" s="16"/>
      <c r="Q171" s="1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6"/>
      <c r="O172" s="16"/>
      <c r="P172" s="16"/>
      <c r="Q172" s="1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6"/>
      <c r="O173" s="16"/>
      <c r="P173" s="16"/>
      <c r="Q173" s="1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6"/>
      <c r="O174" s="16"/>
      <c r="P174" s="16"/>
      <c r="Q174" s="1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6"/>
      <c r="O175" s="16"/>
      <c r="P175" s="16"/>
      <c r="Q175" s="1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6"/>
      <c r="O176" s="16"/>
      <c r="P176" s="16"/>
      <c r="Q176" s="1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6"/>
      <c r="O177" s="16"/>
      <c r="P177" s="16"/>
      <c r="Q177" s="1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6"/>
      <c r="O178" s="16"/>
      <c r="P178" s="16"/>
      <c r="Q178" s="1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6"/>
      <c r="O179" s="16"/>
      <c r="P179" s="16"/>
      <c r="Q179" s="1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6"/>
      <c r="O180" s="16"/>
      <c r="P180" s="16"/>
      <c r="Q180" s="1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6"/>
      <c r="O181" s="16"/>
      <c r="P181" s="16"/>
      <c r="Q181" s="1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6"/>
      <c r="O182" s="16"/>
      <c r="P182" s="16"/>
      <c r="Q182" s="1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6"/>
      <c r="O183" s="16"/>
      <c r="P183" s="16"/>
      <c r="Q183" s="1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6"/>
      <c r="O184" s="16"/>
      <c r="P184" s="16"/>
      <c r="Q184" s="1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6"/>
      <c r="O185" s="16"/>
      <c r="P185" s="16"/>
      <c r="Q185" s="1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6"/>
      <c r="O186" s="16"/>
      <c r="P186" s="16"/>
      <c r="Q186" s="1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6"/>
      <c r="O187" s="16"/>
      <c r="P187" s="16"/>
      <c r="Q187" s="1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6"/>
      <c r="O188" s="16"/>
      <c r="P188" s="16"/>
      <c r="Q188" s="1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6"/>
      <c r="O189" s="16"/>
      <c r="P189" s="16"/>
      <c r="Q189" s="1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6"/>
      <c r="O190" s="16"/>
      <c r="P190" s="16"/>
      <c r="Q190" s="1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6"/>
      <c r="O191" s="16"/>
      <c r="P191" s="16"/>
      <c r="Q191" s="1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6"/>
      <c r="O192" s="16"/>
      <c r="P192" s="16"/>
      <c r="Q192" s="1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6"/>
      <c r="O193" s="16"/>
      <c r="P193" s="16"/>
      <c r="Q193" s="1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6"/>
      <c r="O194" s="16"/>
      <c r="P194" s="16"/>
      <c r="Q194" s="1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6"/>
      <c r="O195" s="16"/>
      <c r="P195" s="16"/>
      <c r="Q195" s="1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6"/>
      <c r="O196" s="16"/>
      <c r="P196" s="16"/>
      <c r="Q196" s="1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6"/>
      <c r="O197" s="16"/>
      <c r="P197" s="16"/>
      <c r="Q197" s="1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6"/>
      <c r="O198" s="16"/>
      <c r="P198" s="16"/>
      <c r="Q198" s="1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6"/>
      <c r="O199" s="16"/>
      <c r="P199" s="16"/>
      <c r="Q199" s="1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6"/>
      <c r="O200" s="16"/>
      <c r="P200" s="16"/>
      <c r="Q200" s="1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6"/>
      <c r="O201" s="16"/>
      <c r="P201" s="16"/>
      <c r="Q201" s="16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6"/>
      <c r="O202" s="16"/>
      <c r="P202" s="16"/>
      <c r="Q202" s="16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6"/>
      <c r="O203" s="16"/>
      <c r="P203" s="16"/>
      <c r="Q203" s="16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6"/>
      <c r="O204" s="16"/>
      <c r="P204" s="16"/>
      <c r="Q204" s="16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6"/>
      <c r="O205" s="16"/>
      <c r="P205" s="16"/>
      <c r="Q205" s="16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6"/>
      <c r="O206" s="16"/>
      <c r="P206" s="16"/>
      <c r="Q206" s="16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6"/>
      <c r="O207" s="16"/>
      <c r="P207" s="16"/>
      <c r="Q207" s="16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6"/>
      <c r="O208" s="16"/>
      <c r="P208" s="16"/>
      <c r="Q208" s="16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6"/>
      <c r="O209" s="16"/>
      <c r="P209" s="16"/>
      <c r="Q209" s="16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6"/>
      <c r="O210" s="16"/>
      <c r="P210" s="16"/>
      <c r="Q210" s="16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6"/>
      <c r="O211" s="16"/>
      <c r="P211" s="16"/>
      <c r="Q211" s="16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6"/>
      <c r="O212" s="16"/>
      <c r="P212" s="16"/>
      <c r="Q212" s="1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6"/>
      <c r="O213" s="16"/>
      <c r="P213" s="16"/>
      <c r="Q213" s="16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6"/>
      <c r="O214" s="16"/>
      <c r="P214" s="16"/>
      <c r="Q214" s="16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6"/>
      <c r="O215" s="16"/>
      <c r="P215" s="16"/>
      <c r="Q215" s="16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6"/>
      <c r="O216" s="16"/>
      <c r="P216" s="16"/>
      <c r="Q216" s="16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6"/>
      <c r="O217" s="16"/>
      <c r="P217" s="16"/>
      <c r="Q217" s="16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6"/>
      <c r="O218" s="16"/>
      <c r="P218" s="16"/>
      <c r="Q218" s="16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6"/>
      <c r="O219" s="16"/>
      <c r="P219" s="16"/>
      <c r="Q219" s="16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6"/>
      <c r="O220" s="16"/>
      <c r="P220" s="16"/>
      <c r="Q220" s="16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6"/>
      <c r="O221" s="16"/>
      <c r="P221" s="16"/>
      <c r="Q221" s="16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6"/>
      <c r="O222" s="16"/>
      <c r="P222" s="16"/>
      <c r="Q222" s="16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6"/>
      <c r="O223" s="16"/>
      <c r="P223" s="16"/>
      <c r="Q223" s="16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6"/>
      <c r="O224" s="16"/>
      <c r="P224" s="16"/>
      <c r="Q224" s="16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6"/>
      <c r="O225" s="16"/>
      <c r="P225" s="16"/>
      <c r="Q225" s="16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6"/>
      <c r="O226" s="16"/>
      <c r="P226" s="16"/>
      <c r="Q226" s="16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6"/>
      <c r="O227" s="16"/>
      <c r="P227" s="16"/>
      <c r="Q227" s="16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6"/>
      <c r="O228" s="16"/>
      <c r="P228" s="16"/>
      <c r="Q228" s="16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6"/>
      <c r="O229" s="16"/>
      <c r="P229" s="16"/>
      <c r="Q229" s="16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6"/>
      <c r="O230" s="16"/>
      <c r="P230" s="16"/>
      <c r="Q230" s="16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260"/>
  <sheetViews>
    <sheetView showGridLines="0" workbookViewId="0"/>
  </sheetViews>
  <sheetFormatPr defaultRowHeight="13.8"/>
  <cols>
    <col min="1" max="1" width="56" customWidth="1"/>
    <col min="2" max="2" width="12" customWidth="1"/>
    <col min="3" max="5" width="16" customWidth="1"/>
    <col min="6" max="6" width="12" customWidth="1"/>
  </cols>
  <sheetData>
    <row r="1" spans="1:47" ht="25.95" customHeight="1">
      <c r="A1" s="37" t="s">
        <v>573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9.95" customHeight="1">
      <c r="A2" s="38" t="s">
        <v>574</v>
      </c>
      <c r="B2" s="38"/>
      <c r="C2" s="38"/>
      <c r="D2" s="38"/>
      <c r="E2" s="38"/>
      <c r="F2" s="3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3" t="s">
        <v>575</v>
      </c>
      <c r="B5" s="3" t="s">
        <v>52</v>
      </c>
      <c r="C5" s="3" t="s">
        <v>95</v>
      </c>
      <c r="D5" s="3" t="s">
        <v>527</v>
      </c>
      <c r="E5" s="3" t="s">
        <v>576</v>
      </c>
      <c r="F5" s="3" t="s">
        <v>577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8" t="s">
        <v>578</v>
      </c>
      <c r="B6" s="36" t="str">
        <f>IF(COUNTIF(B7:B88,"FAIL")=0,"OK","REVIEW")</f>
        <v>OK</v>
      </c>
      <c r="C6" s="8"/>
      <c r="D6" s="8"/>
      <c r="E6" s="8"/>
      <c r="F6" s="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579</v>
      </c>
      <c r="B7" s="1" t="str">
        <f t="shared" ref="B7:B38" si="0">IF(ABS(E7)&lt;=F7,"OK","FAIL")</f>
        <v>OK</v>
      </c>
      <c r="C7" s="20">
        <f>'Annual P&amp;L'!B62</f>
        <v>21065.43</v>
      </c>
      <c r="D7" s="20">
        <f>'Annual P&amp;L'!B87</f>
        <v>21065.43</v>
      </c>
      <c r="E7" s="20">
        <f t="shared" ref="E7:E38" si="1">C7-D7</f>
        <v>0</v>
      </c>
      <c r="F7" s="1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580</v>
      </c>
      <c r="B8" s="1" t="str">
        <f t="shared" si="0"/>
        <v>OK</v>
      </c>
      <c r="C8" s="20">
        <f>'Annual P&amp;L'!B130</f>
        <v>1401.4</v>
      </c>
      <c r="D8" s="20">
        <f>'Annual P&amp;L'!B131</f>
        <v>1401.4</v>
      </c>
      <c r="E8" s="20">
        <f t="shared" si="1"/>
        <v>0</v>
      </c>
      <c r="F8" s="1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581</v>
      </c>
      <c r="B9" s="1" t="str">
        <f t="shared" si="0"/>
        <v>OK</v>
      </c>
      <c r="C9" s="20">
        <f>'Annual P&amp;L'!C62</f>
        <v>23463.73</v>
      </c>
      <c r="D9" s="20">
        <f>'Annual P&amp;L'!C87</f>
        <v>23463.730000000003</v>
      </c>
      <c r="E9" s="20">
        <f t="shared" si="1"/>
        <v>0</v>
      </c>
      <c r="F9" s="1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582</v>
      </c>
      <c r="B10" s="1" t="str">
        <f t="shared" si="0"/>
        <v>OK</v>
      </c>
      <c r="C10" s="20">
        <f>'Annual P&amp;L'!C130</f>
        <v>1461.38</v>
      </c>
      <c r="D10" s="20">
        <f>'Annual P&amp;L'!C131</f>
        <v>1461.38</v>
      </c>
      <c r="E10" s="20">
        <f t="shared" si="1"/>
        <v>0</v>
      </c>
      <c r="F10" s="1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583</v>
      </c>
      <c r="B11" s="1" t="str">
        <f t="shared" si="0"/>
        <v>OK</v>
      </c>
      <c r="C11" s="20">
        <f>'Annual P&amp;L'!D62</f>
        <v>26588.62</v>
      </c>
      <c r="D11" s="20">
        <f>'Annual P&amp;L'!D87</f>
        <v>26588.620000000003</v>
      </c>
      <c r="E11" s="20">
        <f t="shared" si="1"/>
        <v>0</v>
      </c>
      <c r="F11" s="1">
        <v>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584</v>
      </c>
      <c r="B12" s="1" t="str">
        <f t="shared" si="0"/>
        <v>OK</v>
      </c>
      <c r="C12" s="20">
        <f>'Annual P&amp;L'!D130</f>
        <v>1343.72</v>
      </c>
      <c r="D12" s="20">
        <f>'Annual P&amp;L'!D131</f>
        <v>1343.72</v>
      </c>
      <c r="E12" s="20">
        <f t="shared" si="1"/>
        <v>0</v>
      </c>
      <c r="F12" s="1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585</v>
      </c>
      <c r="B13" s="1" t="str">
        <f t="shared" si="0"/>
        <v>OK</v>
      </c>
      <c r="C13" s="20">
        <f>'Annual P&amp;L'!E62</f>
        <v>28555.99</v>
      </c>
      <c r="D13" s="20">
        <f>'Annual P&amp;L'!E87</f>
        <v>28555.989999999998</v>
      </c>
      <c r="E13" s="20">
        <f t="shared" si="1"/>
        <v>0</v>
      </c>
      <c r="F13" s="1"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586</v>
      </c>
      <c r="B14" s="1" t="str">
        <f t="shared" si="0"/>
        <v>OK</v>
      </c>
      <c r="C14" s="20">
        <f>'Annual P&amp;L'!E130</f>
        <v>1739.45</v>
      </c>
      <c r="D14" s="20">
        <f>'Annual P&amp;L'!E131</f>
        <v>1739.45</v>
      </c>
      <c r="E14" s="20">
        <f t="shared" si="1"/>
        <v>0</v>
      </c>
      <c r="F14" s="1"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587</v>
      </c>
      <c r="B15" s="1" t="str">
        <f t="shared" si="0"/>
        <v>OK</v>
      </c>
      <c r="C15" s="20">
        <f>'Annual P&amp;L'!F62</f>
        <v>30921.69</v>
      </c>
      <c r="D15" s="20">
        <f>'Annual P&amp;L'!F87</f>
        <v>30921.69</v>
      </c>
      <c r="E15" s="20">
        <f t="shared" si="1"/>
        <v>0</v>
      </c>
      <c r="F15" s="1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588</v>
      </c>
      <c r="B16" s="1" t="str">
        <f t="shared" si="0"/>
        <v>OK</v>
      </c>
      <c r="C16" s="20">
        <f>'Annual P&amp;L'!F130</f>
        <v>1899.99</v>
      </c>
      <c r="D16" s="20">
        <f>'Annual P&amp;L'!F131</f>
        <v>1899.99</v>
      </c>
      <c r="E16" s="20">
        <f t="shared" si="1"/>
        <v>0</v>
      </c>
      <c r="F16" s="1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589</v>
      </c>
      <c r="B17" s="1" t="str">
        <f t="shared" si="0"/>
        <v>OK</v>
      </c>
      <c r="C17" s="20">
        <f>'Annual P&amp;L'!G62</f>
        <v>36655.24</v>
      </c>
      <c r="D17" s="20">
        <f>'Annual P&amp;L'!G87</f>
        <v>36655.24</v>
      </c>
      <c r="E17" s="20">
        <f t="shared" si="1"/>
        <v>0</v>
      </c>
      <c r="F17" s="1">
        <v>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590</v>
      </c>
      <c r="B18" s="1" t="str">
        <f t="shared" si="0"/>
        <v>OK</v>
      </c>
      <c r="C18" s="20">
        <f>'Annual P&amp;L'!G130</f>
        <v>2419.3000000000002</v>
      </c>
      <c r="D18" s="20">
        <f>'Annual P&amp;L'!G131</f>
        <v>2419.3000000000002</v>
      </c>
      <c r="E18" s="20">
        <f t="shared" si="1"/>
        <v>0</v>
      </c>
      <c r="F18" s="1">
        <v>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591</v>
      </c>
      <c r="B19" s="1" t="str">
        <f t="shared" si="0"/>
        <v>OK</v>
      </c>
      <c r="C19" s="20">
        <f>'Annual P&amp;L'!H62</f>
        <v>54191.01</v>
      </c>
      <c r="D19" s="20">
        <f>'Annual P&amp;L'!H87</f>
        <v>54191.009999999995</v>
      </c>
      <c r="E19" s="20">
        <f t="shared" si="1"/>
        <v>0</v>
      </c>
      <c r="F19" s="1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592</v>
      </c>
      <c r="B20" s="1" t="str">
        <f t="shared" si="0"/>
        <v>OK</v>
      </c>
      <c r="C20" s="20">
        <f>'Annual P&amp;L'!H130</f>
        <v>2977.99</v>
      </c>
      <c r="D20" s="20">
        <f>'Annual P&amp;L'!H131</f>
        <v>2977.99</v>
      </c>
      <c r="E20" s="20">
        <f t="shared" si="1"/>
        <v>0</v>
      </c>
      <c r="F20" s="1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593</v>
      </c>
      <c r="B21" s="1" t="str">
        <f t="shared" si="0"/>
        <v>OK</v>
      </c>
      <c r="C21" s="20">
        <f>'Annual P&amp;L'!I62</f>
        <v>66730.8</v>
      </c>
      <c r="D21" s="20">
        <f>'Annual P&amp;L'!I87</f>
        <v>66730.8</v>
      </c>
      <c r="E21" s="20">
        <f t="shared" si="1"/>
        <v>0</v>
      </c>
      <c r="F21" s="1">
        <v>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594</v>
      </c>
      <c r="B22" s="1" t="str">
        <f t="shared" si="0"/>
        <v>OK</v>
      </c>
      <c r="C22" s="20">
        <f>'Annual P&amp;L'!I130</f>
        <v>4670.12</v>
      </c>
      <c r="D22" s="20">
        <f>'Annual P&amp;L'!I131</f>
        <v>4670.12</v>
      </c>
      <c r="E22" s="20">
        <f t="shared" si="1"/>
        <v>0</v>
      </c>
      <c r="F22" s="1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595</v>
      </c>
      <c r="B23" s="1" t="str">
        <f t="shared" si="0"/>
        <v>OK</v>
      </c>
      <c r="C23" s="20">
        <f>'Annual P&amp;L'!J62</f>
        <v>74176.34</v>
      </c>
      <c r="D23" s="20">
        <f>'Annual P&amp;L'!J87</f>
        <v>74176.34</v>
      </c>
      <c r="E23" s="20">
        <f t="shared" si="1"/>
        <v>0</v>
      </c>
      <c r="F23" s="1">
        <v>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596</v>
      </c>
      <c r="B24" s="1" t="str">
        <f t="shared" si="0"/>
        <v>OK</v>
      </c>
      <c r="C24" s="20">
        <f>'Annual P&amp;L'!J130</f>
        <v>6625.15</v>
      </c>
      <c r="D24" s="20">
        <f>'Annual P&amp;L'!J131</f>
        <v>6625.15</v>
      </c>
      <c r="E24" s="20">
        <f t="shared" si="1"/>
        <v>0</v>
      </c>
      <c r="F24" s="1">
        <v>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597</v>
      </c>
      <c r="B25" s="1" t="str">
        <f t="shared" si="0"/>
        <v>OK</v>
      </c>
      <c r="C25" s="20">
        <f>'Annual P&amp;L'!K62</f>
        <v>87366.02</v>
      </c>
      <c r="D25" s="20">
        <f>'Annual P&amp;L'!K87</f>
        <v>87366.02</v>
      </c>
      <c r="E25" s="20">
        <f t="shared" si="1"/>
        <v>0</v>
      </c>
      <c r="F25" s="1">
        <v>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598</v>
      </c>
      <c r="B26" s="1" t="str">
        <f t="shared" si="0"/>
        <v>OK</v>
      </c>
      <c r="C26" s="20">
        <f>'Annual P&amp;L'!K130</f>
        <v>6744.06</v>
      </c>
      <c r="D26" s="20">
        <f>'Annual P&amp;L'!K131</f>
        <v>6744.06</v>
      </c>
      <c r="E26" s="20">
        <f t="shared" si="1"/>
        <v>0</v>
      </c>
      <c r="F26" s="1">
        <v>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599</v>
      </c>
      <c r="B27" s="1" t="str">
        <f t="shared" si="0"/>
        <v>OK</v>
      </c>
      <c r="C27" s="20">
        <f>'Annual P&amp;L'!L62</f>
        <v>113765.44</v>
      </c>
      <c r="D27" s="20">
        <f>'Annual P&amp;L'!L87</f>
        <v>113765.44</v>
      </c>
      <c r="E27" s="20">
        <f t="shared" si="1"/>
        <v>0</v>
      </c>
      <c r="F27" s="1">
        <v>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600</v>
      </c>
      <c r="B28" s="1" t="str">
        <f t="shared" si="0"/>
        <v>OK</v>
      </c>
      <c r="C28" s="20">
        <f>'Annual P&amp;L'!L130</f>
        <v>10749.15</v>
      </c>
      <c r="D28" s="20">
        <f>'Annual P&amp;L'!L131</f>
        <v>10749.15</v>
      </c>
      <c r="E28" s="20">
        <f t="shared" si="1"/>
        <v>0</v>
      </c>
      <c r="F28" s="1">
        <v>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601</v>
      </c>
      <c r="B29" s="1" t="str">
        <f t="shared" si="0"/>
        <v>OK</v>
      </c>
      <c r="C29" s="20">
        <f>'Annual P&amp;L'!M62</f>
        <v>138755.11224955987</v>
      </c>
      <c r="D29" s="20">
        <f>'Annual P&amp;L'!M87</f>
        <v>138755.1122495599</v>
      </c>
      <c r="E29" s="20">
        <f t="shared" si="1"/>
        <v>0</v>
      </c>
      <c r="F29" s="1">
        <v>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602</v>
      </c>
      <c r="B30" s="1" t="str">
        <f t="shared" si="0"/>
        <v>OK</v>
      </c>
      <c r="C30" s="20">
        <f>'Annual P&amp;L'!M130</f>
        <v>14138.685223329685</v>
      </c>
      <c r="D30" s="20">
        <f>'Annual P&amp;L'!M131</f>
        <v>14138.685223329685</v>
      </c>
      <c r="E30" s="20">
        <f t="shared" si="1"/>
        <v>0</v>
      </c>
      <c r="F30" s="1">
        <v>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603</v>
      </c>
      <c r="B31" s="1" t="str">
        <f t="shared" si="0"/>
        <v>OK</v>
      </c>
      <c r="C31" s="20">
        <f>'Annual P&amp;L'!N62</f>
        <v>165338.01043292461</v>
      </c>
      <c r="D31" s="20">
        <f>'Annual P&amp;L'!N87</f>
        <v>165338.01043292464</v>
      </c>
      <c r="E31" s="20">
        <f t="shared" si="1"/>
        <v>0</v>
      </c>
      <c r="F31" s="1">
        <v>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604</v>
      </c>
      <c r="B32" s="1" t="str">
        <f t="shared" si="0"/>
        <v>OK</v>
      </c>
      <c r="C32" s="20">
        <f>'Annual P&amp;L'!N130</f>
        <v>26234.741469805653</v>
      </c>
      <c r="D32" s="20">
        <f>'Annual P&amp;L'!N131</f>
        <v>26234.741469805653</v>
      </c>
      <c r="E32" s="20">
        <f t="shared" si="1"/>
        <v>0</v>
      </c>
      <c r="F32" s="1">
        <v>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605</v>
      </c>
      <c r="B33" s="1" t="str">
        <f t="shared" si="0"/>
        <v>OK</v>
      </c>
      <c r="C33" s="20">
        <f>'Annual P&amp;L'!O62</f>
        <v>193744.69586311537</v>
      </c>
      <c r="D33" s="20">
        <f>'Annual P&amp;L'!O87</f>
        <v>193744.69586311537</v>
      </c>
      <c r="E33" s="20">
        <f t="shared" si="1"/>
        <v>0</v>
      </c>
      <c r="F33" s="1">
        <v>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606</v>
      </c>
      <c r="B34" s="1" t="str">
        <f t="shared" si="0"/>
        <v>OK</v>
      </c>
      <c r="C34" s="20">
        <f>'Annual P&amp;L'!O130</f>
        <v>42898.030438670357</v>
      </c>
      <c r="D34" s="20">
        <f>'Annual P&amp;L'!O131</f>
        <v>42898.030438670357</v>
      </c>
      <c r="E34" s="20">
        <f t="shared" si="1"/>
        <v>0</v>
      </c>
      <c r="F34" s="1">
        <v>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607</v>
      </c>
      <c r="B35" s="1" t="str">
        <f t="shared" si="0"/>
        <v>OK</v>
      </c>
      <c r="C35" s="20">
        <f>'Annual P&amp;L'!P62</f>
        <v>226621.5628566074</v>
      </c>
      <c r="D35" s="20">
        <f>'Annual P&amp;L'!P87</f>
        <v>226621.56285660743</v>
      </c>
      <c r="E35" s="20">
        <f t="shared" si="1"/>
        <v>0</v>
      </c>
      <c r="F35" s="1">
        <v>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608</v>
      </c>
      <c r="B36" s="1" t="str">
        <f t="shared" si="0"/>
        <v>OK</v>
      </c>
      <c r="C36" s="20">
        <f>'Annual P&amp;L'!P130</f>
        <v>62560.401681812684</v>
      </c>
      <c r="D36" s="20">
        <f>'Annual P&amp;L'!P131</f>
        <v>62560.401681812684</v>
      </c>
      <c r="E36" s="20">
        <f t="shared" si="1"/>
        <v>0</v>
      </c>
      <c r="F36" s="1">
        <v>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609</v>
      </c>
      <c r="B37" s="1" t="str">
        <f t="shared" si="0"/>
        <v>OK</v>
      </c>
      <c r="C37" s="20">
        <f>SUM('Quarterly P&amp;L'!B7:E7)</f>
        <v>23123.31</v>
      </c>
      <c r="D37" s="20">
        <f>'Annual P&amp;L'!B5</f>
        <v>23123.31</v>
      </c>
      <c r="E37" s="20">
        <f t="shared" si="1"/>
        <v>0</v>
      </c>
      <c r="F37" s="1">
        <v>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610</v>
      </c>
      <c r="B38" s="1" t="str">
        <f t="shared" si="0"/>
        <v>OK</v>
      </c>
      <c r="C38" s="20">
        <f>SUM('Quarterly P&amp;L'!B27:E27)</f>
        <v>2973.61</v>
      </c>
      <c r="D38" s="20">
        <f>'Annual P&amp;L'!B25</f>
        <v>2973.61</v>
      </c>
      <c r="E38" s="20">
        <f t="shared" si="1"/>
        <v>0</v>
      </c>
      <c r="F38" s="1">
        <v>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611</v>
      </c>
      <c r="B39" s="1" t="str">
        <f t="shared" ref="B39:B70" si="2">IF(ABS(E39)&lt;=F39,"OK","FAIL")</f>
        <v>OK</v>
      </c>
      <c r="C39" s="20">
        <f>SUM('Quarterly P&amp;L'!F7:I7)</f>
        <v>28784.39</v>
      </c>
      <c r="D39" s="20">
        <f>'Annual P&amp;L'!C5</f>
        <v>28784.39</v>
      </c>
      <c r="E39" s="20">
        <f t="shared" ref="E39:E70" si="3">C39-D39</f>
        <v>0</v>
      </c>
      <c r="F39" s="1">
        <v>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612</v>
      </c>
      <c r="B40" s="1" t="str">
        <f t="shared" si="2"/>
        <v>OK</v>
      </c>
      <c r="C40" s="20">
        <f>SUM('Quarterly P&amp;L'!F27:I27)</f>
        <v>3014.6499999999996</v>
      </c>
      <c r="D40" s="20">
        <f>'Annual P&amp;L'!C25</f>
        <v>3014.65</v>
      </c>
      <c r="E40" s="20">
        <f t="shared" si="3"/>
        <v>0</v>
      </c>
      <c r="F40" s="1">
        <v>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613</v>
      </c>
      <c r="B41" s="1" t="str">
        <f t="shared" si="2"/>
        <v>OK</v>
      </c>
      <c r="C41" s="20">
        <f>SUM('Quarterly P&amp;L'!J7:M7)</f>
        <v>30337.03</v>
      </c>
      <c r="D41" s="20">
        <f>'Annual P&amp;L'!D5</f>
        <v>30337.03</v>
      </c>
      <c r="E41" s="20">
        <f t="shared" si="3"/>
        <v>0</v>
      </c>
      <c r="F41" s="1">
        <v>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614</v>
      </c>
      <c r="B42" s="1" t="str">
        <f t="shared" si="2"/>
        <v>OK</v>
      </c>
      <c r="C42" s="20">
        <f>SUM('Quarterly P&amp;L'!J27:M27)</f>
        <v>3230.8799999999997</v>
      </c>
      <c r="D42" s="20">
        <f>'Annual P&amp;L'!D25</f>
        <v>3230.88</v>
      </c>
      <c r="E42" s="20">
        <f t="shared" si="3"/>
        <v>0</v>
      </c>
      <c r="F42" s="1">
        <v>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615</v>
      </c>
      <c r="B43" s="1" t="str">
        <f t="shared" si="2"/>
        <v>OK</v>
      </c>
      <c r="C43" s="20">
        <f>SUM('Quarterly P&amp;L'!N7:Q7)</f>
        <v>33659.409999999996</v>
      </c>
      <c r="D43" s="20">
        <f>'Annual P&amp;L'!E5</f>
        <v>33659.410000000003</v>
      </c>
      <c r="E43" s="20">
        <f t="shared" si="3"/>
        <v>0</v>
      </c>
      <c r="F43" s="1">
        <v>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616</v>
      </c>
      <c r="B44" s="1" t="str">
        <f t="shared" si="2"/>
        <v>OK</v>
      </c>
      <c r="C44" s="20">
        <f>SUM('Quarterly P&amp;L'!N27:Q27)</f>
        <v>3516.79</v>
      </c>
      <c r="D44" s="20">
        <f>'Annual P&amp;L'!E25</f>
        <v>3516.79</v>
      </c>
      <c r="E44" s="20">
        <f t="shared" si="3"/>
        <v>0</v>
      </c>
      <c r="F44" s="1">
        <v>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617</v>
      </c>
      <c r="B45" s="1" t="str">
        <f t="shared" si="2"/>
        <v>OK</v>
      </c>
      <c r="C45" s="20">
        <f>SUM('Quarterly P&amp;L'!R7:U7)</f>
        <v>35658.080000000002</v>
      </c>
      <c r="D45" s="20">
        <f>'Annual P&amp;L'!F5</f>
        <v>35658.080000000002</v>
      </c>
      <c r="E45" s="20">
        <f t="shared" si="3"/>
        <v>0</v>
      </c>
      <c r="F45" s="1">
        <v>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618</v>
      </c>
      <c r="B46" s="1" t="str">
        <f t="shared" si="2"/>
        <v>OK</v>
      </c>
      <c r="C46" s="20">
        <f>SUM('Quarterly P&amp;L'!R27:U27)</f>
        <v>3402.8900000000003</v>
      </c>
      <c r="D46" s="20">
        <f>'Annual P&amp;L'!F25</f>
        <v>3402.89</v>
      </c>
      <c r="E46" s="20">
        <f t="shared" si="3"/>
        <v>0</v>
      </c>
      <c r="F46" s="1">
        <v>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619</v>
      </c>
      <c r="B47" s="1" t="str">
        <f t="shared" si="2"/>
        <v>OK</v>
      </c>
      <c r="C47" s="20">
        <f>SUM('Quarterly P&amp;L'!V7:Y7)</f>
        <v>41878.879999999997</v>
      </c>
      <c r="D47" s="20">
        <f>'Annual P&amp;L'!G5</f>
        <v>41878.879999999997</v>
      </c>
      <c r="E47" s="20">
        <f t="shared" si="3"/>
        <v>0</v>
      </c>
      <c r="F47" s="1">
        <v>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620</v>
      </c>
      <c r="B48" s="1" t="str">
        <f t="shared" si="2"/>
        <v>OK</v>
      </c>
      <c r="C48" s="20">
        <f>SUM('Quarterly P&amp;L'!V27:Y27)</f>
        <v>4506.7700000000004</v>
      </c>
      <c r="D48" s="20">
        <f>'Annual P&amp;L'!G25</f>
        <v>4506.7700000000004</v>
      </c>
      <c r="E48" s="20">
        <f t="shared" si="3"/>
        <v>0</v>
      </c>
      <c r="F48" s="1">
        <v>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621</v>
      </c>
      <c r="B49" s="1" t="str">
        <f t="shared" si="2"/>
        <v>OK</v>
      </c>
      <c r="C49" s="20">
        <f>SUM('Quarterly P&amp;L'!Z7:AC7)</f>
        <v>57107.4611</v>
      </c>
      <c r="D49" s="20">
        <f>'Annual P&amp;L'!H5</f>
        <v>57107.46</v>
      </c>
      <c r="E49" s="20">
        <f t="shared" si="3"/>
        <v>1.1000000013154931E-3</v>
      </c>
      <c r="F49" s="1">
        <v>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622</v>
      </c>
      <c r="B50" s="1" t="str">
        <f t="shared" si="2"/>
        <v>OK</v>
      </c>
      <c r="C50" s="20">
        <f>SUM('Quarterly P&amp;L'!Z27:AC27)</f>
        <v>6903.8610000000008</v>
      </c>
      <c r="D50" s="20">
        <f>'Annual P&amp;L'!H25</f>
        <v>6903.86</v>
      </c>
      <c r="E50" s="20">
        <f t="shared" si="3"/>
        <v>1.0000000011132215E-3</v>
      </c>
      <c r="F50" s="1">
        <v>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623</v>
      </c>
      <c r="B51" s="1" t="str">
        <f t="shared" si="2"/>
        <v>OK</v>
      </c>
      <c r="C51" s="20">
        <f>SUM('Quarterly P&amp;L'!AD7:AG7)</f>
        <v>83505.920000000013</v>
      </c>
      <c r="D51" s="20">
        <f>'Annual P&amp;L'!I5</f>
        <v>83505.919999999998</v>
      </c>
      <c r="E51" s="20">
        <f t="shared" si="3"/>
        <v>0</v>
      </c>
      <c r="F51" s="1">
        <v>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624</v>
      </c>
      <c r="B52" s="1" t="str">
        <f t="shared" si="2"/>
        <v>OK</v>
      </c>
      <c r="C52" s="20">
        <f>SUM('Quarterly P&amp;L'!AD27:AG27)</f>
        <v>9210.93</v>
      </c>
      <c r="D52" s="20">
        <f>'Annual P&amp;L'!I25</f>
        <v>9210.93</v>
      </c>
      <c r="E52" s="20">
        <f t="shared" si="3"/>
        <v>0</v>
      </c>
      <c r="F52" s="1">
        <v>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625</v>
      </c>
      <c r="B53" s="1" t="str">
        <f t="shared" si="2"/>
        <v>OK</v>
      </c>
      <c r="C53" s="20">
        <f>SUM('Quarterly P&amp;L'!AH7:AK7)</f>
        <v>98215.87</v>
      </c>
      <c r="D53" s="20">
        <f>'Annual P&amp;L'!J5</f>
        <v>98215.87</v>
      </c>
      <c r="E53" s="20">
        <f t="shared" si="3"/>
        <v>0</v>
      </c>
      <c r="F53" s="1">
        <v>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626</v>
      </c>
      <c r="B54" s="1" t="str">
        <f t="shared" si="2"/>
        <v>OK</v>
      </c>
      <c r="C54" s="20">
        <f>SUM('Quarterly P&amp;L'!AH27:AK27)</f>
        <v>10934.92</v>
      </c>
      <c r="D54" s="20">
        <f>'Annual P&amp;L'!J25</f>
        <v>10934.91</v>
      </c>
      <c r="E54" s="20">
        <f t="shared" si="3"/>
        <v>1.0000000000218279E-2</v>
      </c>
      <c r="F54" s="1">
        <v>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627</v>
      </c>
      <c r="B55" s="1" t="str">
        <f t="shared" si="2"/>
        <v>OK</v>
      </c>
      <c r="C55" s="20">
        <f>SUM('Quarterly P&amp;L'!AL7:AO7)</f>
        <v>119387.1</v>
      </c>
      <c r="D55" s="20">
        <f>'Annual P&amp;L'!K5</f>
        <v>119387.17</v>
      </c>
      <c r="E55" s="20">
        <f t="shared" si="3"/>
        <v>-6.9999999992433004E-2</v>
      </c>
      <c r="F55" s="1">
        <v>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628</v>
      </c>
      <c r="B56" s="1" t="str">
        <f t="shared" si="2"/>
        <v>OK</v>
      </c>
      <c r="C56" s="20">
        <f>SUM('Quarterly P&amp;L'!AL27:AO27)</f>
        <v>14001.7</v>
      </c>
      <c r="D56" s="20">
        <f>'Annual P&amp;L'!K25</f>
        <v>14001.61</v>
      </c>
      <c r="E56" s="20">
        <f t="shared" si="3"/>
        <v>9.0000000000145519E-2</v>
      </c>
      <c r="F56" s="1">
        <v>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629</v>
      </c>
      <c r="B57" s="1" t="str">
        <f t="shared" si="2"/>
        <v>OK</v>
      </c>
      <c r="C57" s="20">
        <f>SUM('Quarterly P&amp;L'!AP7:AS7)</f>
        <v>147484.6</v>
      </c>
      <c r="D57" s="20">
        <f>'Annual P&amp;L'!L5</f>
        <v>147484.49</v>
      </c>
      <c r="E57" s="20">
        <f t="shared" si="3"/>
        <v>0.11000000001513399</v>
      </c>
      <c r="F57" s="1">
        <v>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630</v>
      </c>
      <c r="B58" s="1" t="str">
        <f t="shared" si="2"/>
        <v>OK</v>
      </c>
      <c r="C58" s="20">
        <f>SUM('Quarterly P&amp;L'!AP27:AS27)</f>
        <v>18651.199999999997</v>
      </c>
      <c r="D58" s="20">
        <f>'Annual P&amp;L'!L25</f>
        <v>18651.2</v>
      </c>
      <c r="E58" s="20">
        <f t="shared" si="3"/>
        <v>0</v>
      </c>
      <c r="F58" s="1">
        <v>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631</v>
      </c>
      <c r="B59" s="1" t="str">
        <f t="shared" si="2"/>
        <v>OK</v>
      </c>
      <c r="C59" s="20">
        <f>'Quarterly P&amp;L'!AT7</f>
        <v>43032.3</v>
      </c>
      <c r="D59" s="20">
        <f>43032.3</f>
        <v>43032.3</v>
      </c>
      <c r="E59" s="20">
        <f t="shared" si="3"/>
        <v>0</v>
      </c>
      <c r="F59" s="1">
        <v>0.1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632</v>
      </c>
      <c r="B60" s="1" t="str">
        <f t="shared" si="2"/>
        <v>OK</v>
      </c>
      <c r="C60" s="20">
        <f>'Quarterly P&amp;L'!AT23</f>
        <v>6231</v>
      </c>
      <c r="D60" s="20">
        <f>6231</f>
        <v>6231</v>
      </c>
      <c r="E60" s="20">
        <f t="shared" si="3"/>
        <v>0</v>
      </c>
      <c r="F60" s="1">
        <v>0.1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633</v>
      </c>
      <c r="B61" s="1" t="str">
        <f t="shared" si="2"/>
        <v>OK</v>
      </c>
      <c r="C61" s="20">
        <f>'Quarterly P&amp;L'!AT27</f>
        <v>4830.3999999999996</v>
      </c>
      <c r="D61" s="20">
        <f>4830.4</f>
        <v>4830.3999999999996</v>
      </c>
      <c r="E61" s="20">
        <f t="shared" si="3"/>
        <v>0</v>
      </c>
      <c r="F61" s="1">
        <v>0.1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634</v>
      </c>
      <c r="B62" s="1" t="str">
        <f t="shared" si="2"/>
        <v>OK</v>
      </c>
      <c r="C62" s="20">
        <f>'Bookings &amp; Revenue'!M27</f>
        <v>181518.89013355385</v>
      </c>
      <c r="D62" s="20">
        <f>'Annual P&amp;L'!M5</f>
        <v>181518.89013355385</v>
      </c>
      <c r="E62" s="20">
        <f t="shared" si="3"/>
        <v>0</v>
      </c>
      <c r="F62" s="1">
        <v>0.1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635</v>
      </c>
      <c r="B63" s="1" t="str">
        <f t="shared" si="2"/>
        <v>OK</v>
      </c>
      <c r="C63" s="20">
        <f>'Industry Mix'!N13</f>
        <v>1</v>
      </c>
      <c r="D63" s="20">
        <f>1</f>
        <v>1</v>
      </c>
      <c r="E63" s="20">
        <f t="shared" si="3"/>
        <v>0</v>
      </c>
      <c r="F63" s="1">
        <v>1E-3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 t="s">
        <v>636</v>
      </c>
      <c r="B64" s="1" t="str">
        <f t="shared" si="2"/>
        <v>OK</v>
      </c>
      <c r="C64" s="20">
        <f>Geography!N15</f>
        <v>1</v>
      </c>
      <c r="D64" s="20">
        <f>1</f>
        <v>1</v>
      </c>
      <c r="E64" s="20">
        <f t="shared" si="3"/>
        <v>0</v>
      </c>
      <c r="F64" s="1">
        <v>1E-3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 t="s">
        <v>637</v>
      </c>
      <c r="B65" s="1" t="str">
        <f t="shared" si="2"/>
        <v>OK</v>
      </c>
      <c r="C65" s="20">
        <f>MIN(0,'Annual P&amp;L'!M130)</f>
        <v>0</v>
      </c>
      <c r="D65" s="20">
        <f>0</f>
        <v>0</v>
      </c>
      <c r="E65" s="20">
        <f t="shared" si="3"/>
        <v>0</v>
      </c>
      <c r="F65" s="1">
        <v>0.1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 t="s">
        <v>638</v>
      </c>
      <c r="B66" s="1" t="str">
        <f t="shared" si="2"/>
        <v>OK</v>
      </c>
      <c r="C66" s="20">
        <f>SUM(Valuation!N28:N30)</f>
        <v>1</v>
      </c>
      <c r="D66" s="20">
        <f>1</f>
        <v>1</v>
      </c>
      <c r="E66" s="20">
        <f t="shared" si="3"/>
        <v>0</v>
      </c>
      <c r="F66" s="1">
        <v>1E-3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 t="s">
        <v>639</v>
      </c>
      <c r="B67" s="1" t="str">
        <f t="shared" si="2"/>
        <v>OK</v>
      </c>
      <c r="C67" s="20">
        <f>'Nagarro Scenario'!C17</f>
        <v>0</v>
      </c>
      <c r="D67" s="20">
        <f>0</f>
        <v>0</v>
      </c>
      <c r="E67" s="20">
        <f t="shared" si="3"/>
        <v>0</v>
      </c>
      <c r="F67" s="1">
        <v>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 t="s">
        <v>640</v>
      </c>
      <c r="B68" s="1" t="str">
        <f t="shared" si="2"/>
        <v>OK</v>
      </c>
      <c r="C68" s="20">
        <f>'Bookings &amp; Revenue'!N27</f>
        <v>216842.08862184468</v>
      </c>
      <c r="D68" s="20">
        <f>'Annual P&amp;L'!N5</f>
        <v>216842.08862184468</v>
      </c>
      <c r="E68" s="20">
        <f t="shared" si="3"/>
        <v>0</v>
      </c>
      <c r="F68" s="1">
        <v>0.1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 t="s">
        <v>641</v>
      </c>
      <c r="B69" s="1" t="str">
        <f t="shared" si="2"/>
        <v>OK</v>
      </c>
      <c r="C69" s="20">
        <f>'Industry Mix'!O13</f>
        <v>1</v>
      </c>
      <c r="D69" s="20">
        <f>1</f>
        <v>1</v>
      </c>
      <c r="E69" s="20">
        <f t="shared" si="3"/>
        <v>0</v>
      </c>
      <c r="F69" s="1">
        <v>1E-3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 t="s">
        <v>642</v>
      </c>
      <c r="B70" s="1" t="str">
        <f t="shared" si="2"/>
        <v>OK</v>
      </c>
      <c r="C70" s="20">
        <f>Geography!O15</f>
        <v>1</v>
      </c>
      <c r="D70" s="20">
        <f>1</f>
        <v>1</v>
      </c>
      <c r="E70" s="20">
        <f t="shared" si="3"/>
        <v>0</v>
      </c>
      <c r="F70" s="1">
        <v>1E-3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 t="s">
        <v>643</v>
      </c>
      <c r="B71" s="1" t="str">
        <f t="shared" ref="B71:B85" si="4">IF(ABS(E71)&lt;=F71,"OK","FAIL")</f>
        <v>OK</v>
      </c>
      <c r="C71" s="20">
        <f>MIN(0,'Annual P&amp;L'!N130)</f>
        <v>0</v>
      </c>
      <c r="D71" s="20">
        <f>0</f>
        <v>0</v>
      </c>
      <c r="E71" s="20">
        <f t="shared" ref="E71:E102" si="5">C71-D71</f>
        <v>0</v>
      </c>
      <c r="F71" s="1">
        <v>0.1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 t="s">
        <v>644</v>
      </c>
      <c r="B72" s="1" t="str">
        <f t="shared" si="4"/>
        <v>OK</v>
      </c>
      <c r="C72" s="20">
        <f>SUM(Valuation!O28:O30)</f>
        <v>1</v>
      </c>
      <c r="D72" s="20">
        <f>1</f>
        <v>1</v>
      </c>
      <c r="E72" s="20">
        <f t="shared" si="5"/>
        <v>0</v>
      </c>
      <c r="F72" s="1">
        <v>1E-3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 t="s">
        <v>645</v>
      </c>
      <c r="B73" s="1" t="str">
        <f t="shared" si="4"/>
        <v>OK</v>
      </c>
      <c r="C73" s="20">
        <f>'Nagarro Scenario'!D17</f>
        <v>0</v>
      </c>
      <c r="D73" s="20">
        <f>0</f>
        <v>0</v>
      </c>
      <c r="E73" s="20">
        <f t="shared" si="5"/>
        <v>0</v>
      </c>
      <c r="F73" s="1">
        <v>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 t="s">
        <v>646</v>
      </c>
      <c r="B74" s="1" t="str">
        <f t="shared" si="4"/>
        <v>OK</v>
      </c>
      <c r="C74" s="20">
        <f>'Bookings &amp; Revenue'!O27</f>
        <v>247270.92469272984</v>
      </c>
      <c r="D74" s="20">
        <f>'Annual P&amp;L'!O5</f>
        <v>247270.92469272984</v>
      </c>
      <c r="E74" s="20">
        <f t="shared" si="5"/>
        <v>0</v>
      </c>
      <c r="F74" s="1">
        <v>0.1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 t="s">
        <v>647</v>
      </c>
      <c r="B75" s="1" t="str">
        <f t="shared" si="4"/>
        <v>OK</v>
      </c>
      <c r="C75" s="20">
        <f>'Industry Mix'!P13</f>
        <v>1</v>
      </c>
      <c r="D75" s="20">
        <f>1</f>
        <v>1</v>
      </c>
      <c r="E75" s="20">
        <f t="shared" si="5"/>
        <v>0</v>
      </c>
      <c r="F75" s="1">
        <v>1E-3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 t="s">
        <v>648</v>
      </c>
      <c r="B76" s="1" t="str">
        <f t="shared" si="4"/>
        <v>OK</v>
      </c>
      <c r="C76" s="20">
        <f>Geography!P15</f>
        <v>1</v>
      </c>
      <c r="D76" s="20">
        <f>1</f>
        <v>1</v>
      </c>
      <c r="E76" s="20">
        <f t="shared" si="5"/>
        <v>0</v>
      </c>
      <c r="F76" s="1">
        <v>1E-3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 t="s">
        <v>649</v>
      </c>
      <c r="B77" s="1" t="str">
        <f t="shared" si="4"/>
        <v>OK</v>
      </c>
      <c r="C77" s="20">
        <f>MIN(0,'Annual P&amp;L'!O130)</f>
        <v>0</v>
      </c>
      <c r="D77" s="20">
        <f>0</f>
        <v>0</v>
      </c>
      <c r="E77" s="20">
        <f t="shared" si="5"/>
        <v>0</v>
      </c>
      <c r="F77" s="1">
        <v>0.1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 t="s">
        <v>650</v>
      </c>
      <c r="B78" s="1" t="str">
        <f t="shared" si="4"/>
        <v>OK</v>
      </c>
      <c r="C78" s="20">
        <f>SUM(Valuation!P28:P30)</f>
        <v>1</v>
      </c>
      <c r="D78" s="20">
        <f>1</f>
        <v>1</v>
      </c>
      <c r="E78" s="20">
        <f t="shared" si="5"/>
        <v>0</v>
      </c>
      <c r="F78" s="1">
        <v>1E-3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 t="s">
        <v>651</v>
      </c>
      <c r="B79" s="1" t="str">
        <f t="shared" si="4"/>
        <v>OK</v>
      </c>
      <c r="C79" s="20">
        <f>'Nagarro Scenario'!E17</f>
        <v>0</v>
      </c>
      <c r="D79" s="20">
        <f>0</f>
        <v>0</v>
      </c>
      <c r="E79" s="20">
        <f t="shared" si="5"/>
        <v>0</v>
      </c>
      <c r="F79" s="1">
        <v>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 t="s">
        <v>652</v>
      </c>
      <c r="B80" s="1" t="str">
        <f t="shared" si="4"/>
        <v>OK</v>
      </c>
      <c r="C80" s="20">
        <f>'Bookings &amp; Revenue'!P27</f>
        <v>281990.34232471167</v>
      </c>
      <c r="D80" s="20">
        <f>'Annual P&amp;L'!P5</f>
        <v>281990.34232471167</v>
      </c>
      <c r="E80" s="20">
        <f t="shared" si="5"/>
        <v>0</v>
      </c>
      <c r="F80" s="1">
        <v>0.1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 t="s">
        <v>653</v>
      </c>
      <c r="B81" s="1" t="str">
        <f t="shared" si="4"/>
        <v>OK</v>
      </c>
      <c r="C81" s="20">
        <f>'Industry Mix'!Q13</f>
        <v>1</v>
      </c>
      <c r="D81" s="20">
        <f>1</f>
        <v>1</v>
      </c>
      <c r="E81" s="20">
        <f t="shared" si="5"/>
        <v>0</v>
      </c>
      <c r="F81" s="1">
        <v>1E-3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 t="s">
        <v>654</v>
      </c>
      <c r="B82" s="1" t="str">
        <f t="shared" si="4"/>
        <v>OK</v>
      </c>
      <c r="C82" s="20">
        <f>Geography!Q15</f>
        <v>1</v>
      </c>
      <c r="D82" s="20">
        <f>1</f>
        <v>1</v>
      </c>
      <c r="E82" s="20">
        <f t="shared" si="5"/>
        <v>0</v>
      </c>
      <c r="F82" s="1">
        <v>1E-3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 t="s">
        <v>655</v>
      </c>
      <c r="B83" s="1" t="str">
        <f t="shared" si="4"/>
        <v>OK</v>
      </c>
      <c r="C83" s="20">
        <f>MIN(0,'Annual P&amp;L'!P130)</f>
        <v>0</v>
      </c>
      <c r="D83" s="20">
        <f>0</f>
        <v>0</v>
      </c>
      <c r="E83" s="20">
        <f t="shared" si="5"/>
        <v>0</v>
      </c>
      <c r="F83" s="1">
        <v>0.1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 t="s">
        <v>656</v>
      </c>
      <c r="B84" s="1" t="str">
        <f t="shared" si="4"/>
        <v>OK</v>
      </c>
      <c r="C84" s="20">
        <f>SUM(Valuation!Q28:Q30)</f>
        <v>1</v>
      </c>
      <c r="D84" s="20">
        <f>1</f>
        <v>1</v>
      </c>
      <c r="E84" s="20">
        <f t="shared" si="5"/>
        <v>0</v>
      </c>
      <c r="F84" s="1">
        <v>1E-3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 t="s">
        <v>657</v>
      </c>
      <c r="B85" s="1" t="str">
        <f t="shared" si="4"/>
        <v>OK</v>
      </c>
      <c r="C85" s="20">
        <f>'Nagarro Scenario'!F17</f>
        <v>0</v>
      </c>
      <c r="D85" s="20">
        <f>0</f>
        <v>0</v>
      </c>
      <c r="E85" s="20">
        <f t="shared" si="5"/>
        <v>0</v>
      </c>
      <c r="F85" s="1">
        <v>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 t="s">
        <v>658</v>
      </c>
      <c r="B86" s="1" t="str">
        <f>IF(C86=0,"OK","FAIL")</f>
        <v>OK</v>
      </c>
      <c r="C86" s="13">
        <v>0</v>
      </c>
      <c r="D86" s="13">
        <v>0</v>
      </c>
      <c r="E86" s="18">
        <f t="shared" si="5"/>
        <v>0</v>
      </c>
      <c r="F86" s="13"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 t="s">
        <v>659</v>
      </c>
      <c r="B87" s="1" t="str">
        <f>IF(C87=0,"OK","FAIL")</f>
        <v>OK</v>
      </c>
      <c r="C87" s="13">
        <v>0</v>
      </c>
      <c r="D87" s="13">
        <v>0</v>
      </c>
      <c r="E87" s="18">
        <f t="shared" si="5"/>
        <v>0</v>
      </c>
      <c r="F87" s="13">
        <v>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 t="s">
        <v>660</v>
      </c>
      <c r="B88" s="1" t="str">
        <f>IF(C88=0,"OK","FAIL")</f>
        <v>OK</v>
      </c>
      <c r="C88" s="13">
        <v>0</v>
      </c>
      <c r="D88" s="13">
        <v>0</v>
      </c>
      <c r="E88" s="18">
        <f t="shared" si="5"/>
        <v>0</v>
      </c>
      <c r="F88" s="13">
        <v>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PERSISTENT Prices</vt:lpstr>
      <vt:lpstr>Sources</vt:lpstr>
      <vt:lpstr>Assumptions</vt:lpstr>
      <vt:lpstr>Raw Financials</vt:lpstr>
      <vt:lpstr>Raw Operating</vt:lpstr>
      <vt:lpstr>Quarterly P&amp;L</vt:lpstr>
      <vt:lpstr>Annual P&amp;L</vt:lpstr>
      <vt:lpstr>Bookings &amp; Revenue</vt:lpstr>
      <vt:lpstr>Industry Mix</vt:lpstr>
      <vt:lpstr>Geography</vt:lpstr>
      <vt:lpstr>Client Metrics</vt:lpstr>
      <vt:lpstr>People &amp; AI</vt:lpstr>
      <vt:lpstr>Nagarro Scenario</vt:lpstr>
      <vt:lpstr>Valuation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2026-09-01T05:25:30Z</dcterms:created>
  <dcterms:modified xsi:type="dcterms:W3CDTF">2026-09-01T06:34:34Z</dcterms:modified>
</cp:coreProperties>
</file>