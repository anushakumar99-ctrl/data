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2CBFA91-7352-441D-8857-080935896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D revenue" sheetId="1" r:id="rId1"/>
    <sheet name="Reported revenue" sheetId="2" r:id="rId2"/>
    <sheet name="FX r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  <c r="L7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<sst xmlns="http://schemas.openxmlformats.org/spreadsheetml/2006/main" count="300" uniqueCount="103">
  <si>
    <t>Global services revenue | USD millions</t>
  </si>
  <si>
    <t>Reported annual revenue; FY labels follow each company’s own year end. FY26 full-year results pending for all five.</t>
  </si>
  <si>
    <t>Company</t>
  </si>
  <si>
    <t>FY end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</si>
  <si>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</si>
  <si>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</si>
  <si>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</si>
  <si>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</si>
  <si>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</si>
  <si>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</si>
  <si>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</si>
  <si>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</si>
  <si>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</si>
  <si>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</si>
  <si>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</si>
  <si>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Accenture</t>
  </si>
  <si>
    <t>31 Aug</t>
  </si>
  <si>
    <t>Pending</t>
  </si>
  <si>
    <t>Capgemini</t>
  </si>
  <si>
    <t>31 Dec</t>
  </si>
  <si>
    <t>Cognizant</t>
  </si>
  <si>
    <t>Atos</t>
  </si>
  <si>
    <t>CGI</t>
  </si>
  <si>
    <t>30 Sep</t>
  </si>
  <si>
    <t>Notes</t>
  </si>
  <si>
    <t>Euro reporters use calendar-year average USD per EUR; CGI uses fiscal-year average CAD per USD. USD reporters use published USD revenue.</t>
  </si>
  <si>
    <t>FY26 cells marked “Pending” await a full-year published result; no forecast or annualized interim revenue is included.</t>
  </si>
  <si>
    <t>Accenture FY16–18 reflects originally reported revenue; the FY19 10-K changed revenue presentation and restated prior years.</t>
  </si>
  <si>
    <t>Atos revenue reflects the group perimeter reported for each year; disposals, IFRS changes and later restatements affect year-on-year comparison.</t>
  </si>
  <si>
    <t>USD conversion is for size comparison only; company fiscal periods differ.</t>
  </si>
  <si>
    <t>Reported group revenue | original currency millions</t>
  </si>
  <si>
    <t>Inputs and source links. A blank value means the full fiscal year has not been reported as of 17 Sep 2026.</t>
  </si>
  <si>
    <t>FY</t>
  </si>
  <si>
    <t>Currency</t>
  </si>
  <si>
    <t>Revenue (m)</t>
  </si>
  <si>
    <t>Source / report</t>
  </si>
  <si>
    <t>Source URL</t>
  </si>
  <si>
    <t>USD</t>
  </si>
  <si>
    <t>Accenture FY2018 10-K, selected financial data</t>
  </si>
  <si>
    <t>https://www.sec.gov/Archives/edgar/data/1467373/000146737318000318/acn831201810k.htm</t>
  </si>
  <si>
    <t>Accenture FY2019 10-K</t>
  </si>
  <si>
    <t>https://www.sec.gov/Archives/edgar/data/1467373/000146737319000339/acn831201910k.htm</t>
  </si>
  <si>
    <t>Accenture FY2022 10-K, consolidated income statements</t>
  </si>
  <si>
    <t>https://www.sec.gov/Archives/edgar/data/1467373/000146737322000295/acn-20220831.htm</t>
  </si>
  <si>
    <t>Accenture FY2025 10-K, consolidated income statements</t>
  </si>
  <si>
    <t>https://www.sec.gov/Archives/edgar/data/1467373/000146737325000217/acn-20250831.htm</t>
  </si>
  <si>
    <t>Full-year result pending</t>
  </si>
  <si>
    <t>EUR</t>
  </si>
  <si>
    <t>Capgemini group presentation, Oct 2025, p. 68</t>
  </si>
  <si>
    <t>https://www.capgemini.com/wp-content/uploads/2025/10/Capgemini_an-introduction-to-our-Group_Oct2025.pdf</t>
  </si>
  <si>
    <t>Capgemini FY2025 results</t>
  </si>
  <si>
    <t>https://www.capgemini.com/news/press-releases/full-year-2025-results/</t>
  </si>
  <si>
    <t>Cognizant FY2018 10-K</t>
  </si>
  <si>
    <t>https://www.sec.gov/Archives/edgar/data/1058290/000105829019000009/ctsh20181231-10k.htm</t>
  </si>
  <si>
    <t>Cognizant FY2021 10-K</t>
  </si>
  <si>
    <t>https://www.sec.gov/Archives/edgar/data/1058290/000105829022000023/ctsh-20211231.htm</t>
  </si>
  <si>
    <t>Cognizant FY2022 10-K</t>
  </si>
  <si>
    <t>https://www.sec.gov/Archives/edgar/data/1058290/000105829023000027/ctsh-20221231.htm</t>
  </si>
  <si>
    <t>Cognizant FY2025 10-K</t>
  </si>
  <si>
    <t>https://www.sec.gov/Archives/edgar/data/1058290/000105829026000008/ctsh-20251231.htm</t>
  </si>
  <si>
    <t>Atos FY2016 results</t>
  </si>
  <si>
    <t>https://atos.net/en/2017/press-release/general-press-releases_2017_02_22/2016-record-results</t>
  </si>
  <si>
    <t>Atos FY2017 results</t>
  </si>
  <si>
    <t>https://www.atosgroup.com/en/press/2017-annual-results</t>
  </si>
  <si>
    <t>Atos FY2018 results</t>
  </si>
  <si>
    <t>https://www.atosgroup.com/en/press/2018-annual-results</t>
  </si>
  <si>
    <t>Atos FY2019 results</t>
  </si>
  <si>
    <t>https://www.atosgroup.com/en/press/2019-annual-results</t>
  </si>
  <si>
    <t>Atos FY2020 results</t>
  </si>
  <si>
    <t>https://www.atosgroup.com/en/press/2020-annual-results</t>
  </si>
  <si>
    <t>Atos FY2021 integrated report</t>
  </si>
  <si>
    <t>https://atos.net/content/investors-documents/ir-2021/atos-integrated-report-2021-en.pdf</t>
  </si>
  <si>
    <t>Atos FY2022 results</t>
  </si>
  <si>
    <t>https://www.atosgroup.com/en/press/2022-annual-results-atos-delivering-on-strategic-transformation-plan</t>
  </si>
  <si>
    <t>Atos FY2023 results</t>
  </si>
  <si>
    <t>https://www.atosgroup.com/en/press/atos-reports-full-year-2023-results</t>
  </si>
  <si>
    <t>Atos FY2024 results</t>
  </si>
  <si>
    <t>https://www.atosgroup.com/en/press/atos-reports-full-year-2024-results</t>
  </si>
  <si>
    <t>Atos FY2025 universal registration document</t>
  </si>
  <si>
    <t>https://atosgroup.com/sites/default/files/uploads/2026-03-10/atos-2025-urd-en.pdf</t>
  </si>
  <si>
    <t>CAD</t>
  </si>
  <si>
    <t>CGI FY2016 annual report, selected yearly information</t>
  </si>
  <si>
    <t>https://www.cgi.com/sites/default/files/2022-08/cgi-2016-annual-report.pdf</t>
  </si>
  <si>
    <t>CGI FY2019 annual report, selected yearly information</t>
  </si>
  <si>
    <t>https://www.cgi.com/sites/default/files/2019-12/cgi-2019-annual-report.pdf</t>
  </si>
  <si>
    <t>CGI FY2022 annual report, selected yearly information</t>
  </si>
  <si>
    <t>https://www.cgi.com/sites/default/files/2022-12/cgi-2022-annual-report.pdf</t>
  </si>
  <si>
    <t>CGI FY2025 annual report, selected yearly information</t>
  </si>
  <si>
    <t>https://www.cgi.com/sites/default/files/2025-12/cgi-2025-annual-report.pdf</t>
  </si>
  <si>
    <t>Annual average exchange rates</t>
  </si>
  <si>
    <t>USD per 1 EUR, annual average. Applied to Capgemini and Atos calendar-year revenue.</t>
  </si>
  <si>
    <t>CGI fiscal-year average rate, CAD per USD (year ended 30 Sep). Conversion = reported CAD m ÷ rate.</t>
  </si>
  <si>
    <t>Calendar year</t>
  </si>
  <si>
    <t>USD per EUR</t>
  </si>
  <si>
    <t>Definition</t>
  </si>
  <si>
    <t>CGI FY</t>
  </si>
  <si>
    <t>CAD per USD</t>
  </si>
  <si>
    <t>Annual average of daily observations</t>
  </si>
  <si>
    <t>https://fred.stlouisfed.org/series/AEXUSEU</t>
  </si>
  <si>
    <t>https://www.cgi.com/sites/default/files/2018-07/cgi-2017-annual-report.pdf</t>
  </si>
  <si>
    <t>https://www.cgi.com/sites/default/files/2021-12/cgi-2021-annual-report.pdf</t>
  </si>
  <si>
    <t>https://www.cgi.com/sites/default/files/2023-12/cgi-2023-annual-report.pdf</t>
  </si>
  <si>
    <t>Source: Federal Reserve G.5A annual series, accessed via FRED. Conversion = reported EUR m × USD/EUR.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</si>
</sst>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–"/>
    <numFmt numFmtId="165" formatCode="#,##0.0;\(#,##0.0\);\–"/>
    <numFmt numFmtId="166" formatCode="0.0000"/>
  </numFmts>
  <fonts count="7">
    <font>
      <sz val="11"/>
      <name val="Carlito"/>
    </font>
    <font>
      <sz val="10"/>
      <color rgb="FF17212B"/>
      <name val="Aptos"/>
    </font>
    <font>
      <b/>
      <sz val="15"/>
      <color rgb="FF203A5C"/>
      <name val="Aptos"/>
    </font>
    <font>
      <b/>
      <sz val="10"/>
      <color rgb="FFFFFFFF"/>
      <name val="Aptos"/>
    </font>
    <font>
      <b/>
      <sz val="10"/>
      <color rgb="FF203A5C"/>
      <name val="Aptos"/>
    </font>
    <font>
      <sz val="10"/>
      <color rgb="FF2060A0"/>
      <name val="Aptos"/>
    </font>
    <font>
      <sz val="10"/>
      <color rgb="FF9A6700"/>
      <name val="Aptos"/>
    </font>
  </fonts>
  <fills count="3">
    <fill>
      <patternFill patternType="none"/>
    </fill>
    <fill>
      <patternFill patternType="gray125"/>
    </fill>
    <fill>
      <patternFill patternType="solid">
        <fgColor rgb="FF203A5C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A2BB"/>
      </bottom>
      <diagonal/>
    </border>
    <border>
      <left/>
      <right/>
      <top style="thin">
        <color rgb="FFB7C4D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2" borderId="0" xfId="0" applyFont="1" applyFill="1" applyAlignment="1">
      <alignment vertical="center"/>
    </xf>
    <xf numFmtId="0" fontId="4" fillId="0" borderId="0" xfId="0" applyFont="1"/>
    <xf numFmtId="164" fontId="1" fillId="0" borderId="0" xfId="0" applyNumberFormat="1" applyFont="1"/>
    <xf numFmtId="165" fontId="5" fillId="0" borderId="0" xfId="0" applyNumberFormat="1" applyFont="1"/>
    <xf numFmtId="0" fontId="1" fillId="0" borderId="2" xfId="0" applyFont="1" applyBorder="1"/>
    <xf numFmtId="165" fontId="5" fillId="0" borderId="2" xfId="0" applyNumberFormat="1" applyFont="1" applyBorder="1"/>
    <xf numFmtId="166" fontId="1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showGridLines="0" tabSelected="1" workbookViewId="0">
      <selection activeCell="A12" sqref="A12"/>
    </sheetView>
  </sheetViews>
  <sheetFormatPr defaultRowHeight="13.8"/>
  <cols>
    <col min="1" max="1" width="110" customWidth="1"/>
    <col min="2" max="2" width="12" customWidth="1"/>
    <col min="3" max="13" width="13" customWidth="1"/>
  </cols>
  <sheetData>
    <row r="1" spans="1:14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8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spans="1:14" ht="14.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1"/>
    </row>
    <row r="7" spans="1:14" ht="14.4">
      <c r="A7" s="5" t="s">
        <v>15</v>
      </c>
      <c r="B7" s="1" t="s">
        <v>16</v>
      </c>
      <c r="C7" s="6">
        <f>'Reported revenue'!D7</f>
        <v>34798</v>
      </c>
      <c r="D7" s="6">
        <f>'Reported revenue'!D8</f>
        <v>36765</v>
      </c>
      <c r="E7" s="6">
        <f>'Reported revenue'!D9</f>
        <v>41603</v>
      </c>
      <c r="F7" s="6">
        <f>'Reported revenue'!D10</f>
        <v>43215</v>
      </c>
      <c r="G7" s="6">
        <f>'Reported revenue'!D11</f>
        <v>44327</v>
      </c>
      <c r="H7" s="6">
        <f>'Reported revenue'!D12</f>
        <v>50533</v>
      </c>
      <c r="I7" s="6">
        <f>'Reported revenue'!D13</f>
        <v>61594</v>
      </c>
      <c r="J7" s="6">
        <f>'Reported revenue'!D14</f>
        <v>64112</v>
      </c>
      <c r="K7" s="6">
        <f>'Reported revenue'!D15</f>
        <v>64896</v>
      </c>
      <c r="L7" s="6">
        <f>'Reported revenue'!D16</f>
        <v>69673</v>
      </c>
      <c r="M7" s="11" t="s">
        <v>17</v>
      </c>
      <c r="N7" s="1"/>
    </row>
    <row r="8" spans="1:14" ht="14.4">
      <c r="A8" s="5" t="s">
        <v>18</v>
      </c>
      <c r="B8" s="1" t="s">
        <v>19</v>
      </c>
      <c r="C8" s="6">
        <f>'Reported revenue'!D18*'FX rates'!B7</f>
        <v>13883.1808</v>
      </c>
      <c r="D8" s="6">
        <f>'Reported revenue'!D19*'FX rates'!B8</f>
        <v>14456.239200000002</v>
      </c>
      <c r="E8" s="6">
        <f>'Reported revenue'!D20*'FX rates'!B9</f>
        <v>15594.894899999999</v>
      </c>
      <c r="F8" s="6">
        <f>'Reported revenue'!D21*'FX rates'!B10</f>
        <v>15811.525</v>
      </c>
      <c r="G8" s="6">
        <f>'Reported revenue'!D22*'FX rates'!B11</f>
        <v>18082.567999999999</v>
      </c>
      <c r="H8" s="6">
        <f>'Reported revenue'!D23*'FX rates'!B12</f>
        <v>21483.280000000002</v>
      </c>
      <c r="I8" s="6">
        <f>'Reported revenue'!D24*'FX rates'!B13</f>
        <v>23169.532999999996</v>
      </c>
      <c r="J8" s="6">
        <f>'Reported revenue'!D25*'FX rates'!B14</f>
        <v>24362.047400000003</v>
      </c>
      <c r="K8" s="6">
        <f>'Reported revenue'!D26*'FX rates'!B15</f>
        <v>23907.872000000003</v>
      </c>
      <c r="L8" s="6">
        <f>'Reported revenue'!D27*'FX rates'!B16</f>
        <v>25398.929</v>
      </c>
      <c r="M8" s="11" t="s">
        <v>17</v>
      </c>
      <c r="N8" s="1"/>
    </row>
    <row r="9" spans="1:14" ht="14.4">
      <c r="A9" s="5" t="s">
        <v>20</v>
      </c>
      <c r="B9" s="1" t="s">
        <v>19</v>
      </c>
      <c r="C9" s="6">
        <f>'Reported revenue'!D29</f>
        <v>13487</v>
      </c>
      <c r="D9" s="6">
        <f>'Reported revenue'!D30</f>
        <v>14810</v>
      </c>
      <c r="E9" s="6">
        <f>'Reported revenue'!D31</f>
        <v>16125</v>
      </c>
      <c r="F9" s="6">
        <f>'Reported revenue'!D32</f>
        <v>16783</v>
      </c>
      <c r="G9" s="6">
        <f>'Reported revenue'!D33</f>
        <v>16652</v>
      </c>
      <c r="H9" s="6">
        <f>'Reported revenue'!D34</f>
        <v>18507</v>
      </c>
      <c r="I9" s="6">
        <f>'Reported revenue'!D35</f>
        <v>19428</v>
      </c>
      <c r="J9" s="6">
        <f>'Reported revenue'!D36</f>
        <v>19353</v>
      </c>
      <c r="K9" s="6">
        <f>'Reported revenue'!D37</f>
        <v>19736</v>
      </c>
      <c r="L9" s="6">
        <f>'Reported revenue'!D38</f>
        <v>21108</v>
      </c>
      <c r="M9" s="11" t="s">
        <v>17</v>
      </c>
      <c r="N9" s="1"/>
    </row>
    <row r="10" spans="1:14" ht="14.4">
      <c r="A10" s="5" t="s">
        <v>21</v>
      </c>
      <c r="B10" s="1" t="s">
        <v>19</v>
      </c>
      <c r="C10" s="6">
        <f>'Reported revenue'!D40*'FX rates'!B7</f>
        <v>12973.062399999999</v>
      </c>
      <c r="D10" s="6">
        <f>'Reported revenue'!D41*'FX rates'!B8</f>
        <v>14342.099100000001</v>
      </c>
      <c r="E10" s="6">
        <f>'Reported revenue'!D42*'FX rates'!B9</f>
        <v>14485.2786</v>
      </c>
      <c r="F10" s="6">
        <f>'Reported revenue'!D43*'FX rates'!B10</f>
        <v>12971.607199999999</v>
      </c>
      <c r="G10" s="6">
        <f>'Reported revenue'!D44*'FX rates'!B11</f>
        <v>12757.521000000001</v>
      </c>
      <c r="H10" s="6">
        <f>'Reported revenue'!D45*'FX rates'!B12</f>
        <v>12822.537</v>
      </c>
      <c r="I10" s="6">
        <f>'Reported revenue'!D46*'FX rates'!B13</f>
        <v>11946.609399999999</v>
      </c>
      <c r="J10" s="6">
        <f>'Reported revenue'!D47*'FX rates'!B14</f>
        <v>11566.618100000002</v>
      </c>
      <c r="K10" s="6">
        <f>'Reported revenue'!D48*'FX rates'!B15</f>
        <v>10362.314</v>
      </c>
      <c r="L10" s="6">
        <f>'Reported revenue'!D49*'FX rates'!B16</f>
        <v>9045.9305999999997</v>
      </c>
      <c r="M10" s="11" t="s">
        <v>17</v>
      </c>
      <c r="N10" s="1"/>
    </row>
    <row r="11" spans="1:14" ht="14.4">
      <c r="A11" s="5" t="s">
        <v>22</v>
      </c>
      <c r="B11" s="1" t="s">
        <v>23</v>
      </c>
      <c r="C11" s="6">
        <f>'Reported revenue'!D51/'FX rates'!G7</f>
        <v>8059.8264805733688</v>
      </c>
      <c r="D11" s="6">
        <f>'Reported revenue'!D52/'FX rates'!G8</f>
        <v>8253.5007610350076</v>
      </c>
      <c r="E11" s="6">
        <f>'Reported revenue'!D53/'FX rates'!G9</f>
        <v>8963.0783611154384</v>
      </c>
      <c r="F11" s="6">
        <f>'Reported revenue'!D54/'FX rates'!G10</f>
        <v>9126.7520723436337</v>
      </c>
      <c r="G11" s="6">
        <f>'Reported revenue'!D55/'FX rates'!G11</f>
        <v>9039.236085308763</v>
      </c>
      <c r="H11" s="6">
        <f>'Reported revenue'!D56/'FX rates'!G12</f>
        <v>9591.7108281262354</v>
      </c>
      <c r="I11" s="6">
        <f>'Reported revenue'!D57/'FX rates'!G13</f>
        <v>10070.595601471394</v>
      </c>
      <c r="J11" s="6">
        <f>'Reported revenue'!D58/'FX rates'!G14</f>
        <v>10601.705598813496</v>
      </c>
      <c r="K11" s="6">
        <f>'Reported revenue'!D59/'FX rates'!G15</f>
        <v>10784.186935116468</v>
      </c>
      <c r="L11" s="6">
        <f>'Reported revenue'!D60/'FX rates'!G16</f>
        <v>11379.219107551487</v>
      </c>
      <c r="M11" s="11" t="s">
        <v>17</v>
      </c>
      <c r="N11" s="1"/>
    </row>
    <row r="12" spans="1:14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4">
      <c r="A13" s="5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4">
      <c r="A14" s="1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4">
      <c r="A15" s="1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4">
      <c r="A16" s="1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4">
      <c r="A17" s="1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4">
      <c r="A18" s="1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8" customWidth="1"/>
    <col min="2" max="2" width="9" customWidth="1"/>
    <col min="3" max="3" width="11" customWidth="1"/>
    <col min="4" max="4" width="16" customWidth="1"/>
    <col min="5" max="5" width="56" customWidth="1"/>
    <col min="6" max="6" width="95" customWidth="1"/>
  </cols>
  <sheetData>
    <row r="1" spans="1:14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8">
      <c r="A2" s="2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spans="1:14" ht="14.4">
      <c r="A4" s="1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>
      <c r="A6" s="4" t="s">
        <v>2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1"/>
      <c r="H6" s="1"/>
      <c r="I6" s="1"/>
      <c r="J6" s="1"/>
      <c r="K6" s="1"/>
      <c r="L6" s="1"/>
      <c r="M6" s="1"/>
      <c r="N6" s="1"/>
    </row>
    <row r="7" spans="1:14" ht="14.4">
      <c r="A7" s="8" t="s">
        <v>15</v>
      </c>
      <c r="B7" s="8">
        <v>2016</v>
      </c>
      <c r="C7" s="8" t="s">
        <v>37</v>
      </c>
      <c r="D7" s="9">
        <v>34798</v>
      </c>
      <c r="E7" s="8" t="s">
        <v>38</v>
      </c>
      <c r="F7" s="8" t="s">
        <v>39</v>
      </c>
      <c r="G7" s="1"/>
      <c r="H7" s="1"/>
      <c r="I7" s="1"/>
      <c r="J7" s="1"/>
      <c r="K7" s="1"/>
      <c r="L7" s="1"/>
      <c r="M7" s="1"/>
      <c r="N7" s="1"/>
    </row>
    <row r="8" spans="1:14" ht="14.4">
      <c r="A8" s="1" t="s">
        <v>15</v>
      </c>
      <c r="B8" s="1">
        <v>2017</v>
      </c>
      <c r="C8" s="1" t="s">
        <v>37</v>
      </c>
      <c r="D8" s="7">
        <v>36765</v>
      </c>
      <c r="E8" s="1" t="s">
        <v>38</v>
      </c>
      <c r="F8" s="1" t="s">
        <v>39</v>
      </c>
      <c r="G8" s="1"/>
      <c r="H8" s="1"/>
      <c r="I8" s="1"/>
      <c r="J8" s="1"/>
      <c r="K8" s="1"/>
      <c r="L8" s="1"/>
      <c r="M8" s="1"/>
      <c r="N8" s="1"/>
    </row>
    <row r="9" spans="1:14" ht="14.4">
      <c r="A9" s="1" t="s">
        <v>15</v>
      </c>
      <c r="B9" s="1">
        <v>2018</v>
      </c>
      <c r="C9" s="1" t="s">
        <v>37</v>
      </c>
      <c r="D9" s="7">
        <v>41603</v>
      </c>
      <c r="E9" s="1" t="s">
        <v>38</v>
      </c>
      <c r="F9" s="1" t="s">
        <v>39</v>
      </c>
      <c r="G9" s="1"/>
      <c r="H9" s="1"/>
      <c r="I9" s="1"/>
      <c r="J9" s="1"/>
      <c r="K9" s="1"/>
      <c r="L9" s="1"/>
      <c r="M9" s="1"/>
      <c r="N9" s="1"/>
    </row>
    <row r="10" spans="1:14" ht="14.4">
      <c r="A10" s="1" t="s">
        <v>15</v>
      </c>
      <c r="B10" s="1">
        <v>2019</v>
      </c>
      <c r="C10" s="1" t="s">
        <v>37</v>
      </c>
      <c r="D10" s="7">
        <v>43215</v>
      </c>
      <c r="E10" s="1" t="s">
        <v>40</v>
      </c>
      <c r="F10" s="1" t="s">
        <v>41</v>
      </c>
      <c r="G10" s="1"/>
      <c r="H10" s="1"/>
      <c r="I10" s="1"/>
      <c r="J10" s="1"/>
      <c r="K10" s="1"/>
      <c r="L10" s="1"/>
      <c r="M10" s="1"/>
      <c r="N10" s="1"/>
    </row>
    <row r="11" spans="1:14" ht="14.4">
      <c r="A11" s="1" t="s">
        <v>15</v>
      </c>
      <c r="B11" s="1">
        <v>2020</v>
      </c>
      <c r="C11" s="1" t="s">
        <v>37</v>
      </c>
      <c r="D11" s="7">
        <v>44327</v>
      </c>
      <c r="E11" s="1" t="s">
        <v>42</v>
      </c>
      <c r="F11" s="1" t="s">
        <v>43</v>
      </c>
      <c r="G11" s="1"/>
      <c r="H11" s="1"/>
      <c r="I11" s="1"/>
      <c r="J11" s="1"/>
      <c r="K11" s="1"/>
      <c r="L11" s="1"/>
      <c r="M11" s="1"/>
      <c r="N11" s="1"/>
    </row>
    <row r="12" spans="1:14" ht="14.4">
      <c r="A12" s="1" t="s">
        <v>15</v>
      </c>
      <c r="B12" s="1">
        <v>2021</v>
      </c>
      <c r="C12" s="1" t="s">
        <v>37</v>
      </c>
      <c r="D12" s="7">
        <v>50533</v>
      </c>
      <c r="E12" s="1" t="s">
        <v>42</v>
      </c>
      <c r="F12" s="1" t="s">
        <v>43</v>
      </c>
      <c r="G12" s="1"/>
      <c r="H12" s="1"/>
      <c r="I12" s="1"/>
      <c r="J12" s="1"/>
      <c r="K12" s="1"/>
      <c r="L12" s="1"/>
      <c r="M12" s="1"/>
      <c r="N12" s="1"/>
    </row>
    <row r="13" spans="1:14" ht="14.4">
      <c r="A13" s="1" t="s">
        <v>15</v>
      </c>
      <c r="B13" s="1">
        <v>2022</v>
      </c>
      <c r="C13" s="1" t="s">
        <v>37</v>
      </c>
      <c r="D13" s="7">
        <v>61594</v>
      </c>
      <c r="E13" s="1" t="s">
        <v>42</v>
      </c>
      <c r="F13" s="1" t="s">
        <v>43</v>
      </c>
      <c r="G13" s="1"/>
      <c r="H13" s="1"/>
      <c r="I13" s="1"/>
      <c r="J13" s="1"/>
      <c r="K13" s="1"/>
      <c r="L13" s="1"/>
      <c r="M13" s="1"/>
      <c r="N13" s="1"/>
    </row>
    <row r="14" spans="1:14" ht="14.4">
      <c r="A14" s="1" t="s">
        <v>15</v>
      </c>
      <c r="B14" s="1">
        <v>2023</v>
      </c>
      <c r="C14" s="1" t="s">
        <v>37</v>
      </c>
      <c r="D14" s="7">
        <v>64112</v>
      </c>
      <c r="E14" s="1" t="s">
        <v>44</v>
      </c>
      <c r="F14" s="1" t="s">
        <v>45</v>
      </c>
      <c r="G14" s="1"/>
      <c r="H14" s="1"/>
      <c r="I14" s="1"/>
      <c r="J14" s="1"/>
      <c r="K14" s="1"/>
      <c r="L14" s="1"/>
      <c r="M14" s="1"/>
      <c r="N14" s="1"/>
    </row>
    <row r="15" spans="1:14" ht="14.4">
      <c r="A15" s="1" t="s">
        <v>15</v>
      </c>
      <c r="B15" s="1">
        <v>2024</v>
      </c>
      <c r="C15" s="1" t="s">
        <v>37</v>
      </c>
      <c r="D15" s="7">
        <v>64896</v>
      </c>
      <c r="E15" s="1" t="s">
        <v>44</v>
      </c>
      <c r="F15" s="1" t="s">
        <v>45</v>
      </c>
      <c r="G15" s="1"/>
      <c r="H15" s="1"/>
      <c r="I15" s="1"/>
      <c r="J15" s="1"/>
      <c r="K15" s="1"/>
      <c r="L15" s="1"/>
      <c r="M15" s="1"/>
      <c r="N15" s="1"/>
    </row>
    <row r="16" spans="1:14" ht="14.4">
      <c r="A16" s="1" t="s">
        <v>15</v>
      </c>
      <c r="B16" s="1">
        <v>2025</v>
      </c>
      <c r="C16" s="1" t="s">
        <v>37</v>
      </c>
      <c r="D16" s="7">
        <v>69673</v>
      </c>
      <c r="E16" s="1" t="s">
        <v>44</v>
      </c>
      <c r="F16" s="1" t="s">
        <v>45</v>
      </c>
      <c r="G16" s="1"/>
      <c r="H16" s="1"/>
      <c r="I16" s="1"/>
      <c r="J16" s="1"/>
      <c r="K16" s="1"/>
      <c r="L16" s="1"/>
      <c r="M16" s="1"/>
      <c r="N16" s="1"/>
    </row>
    <row r="17" spans="1:14" ht="14.4">
      <c r="A17" s="1" t="s">
        <v>15</v>
      </c>
      <c r="B17" s="1">
        <v>2026</v>
      </c>
      <c r="C17" s="1" t="s">
        <v>37</v>
      </c>
      <c r="D17" s="7"/>
      <c r="E17" s="1" t="s">
        <v>46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4.4">
      <c r="A18" s="8" t="s">
        <v>18</v>
      </c>
      <c r="B18" s="8">
        <v>2016</v>
      </c>
      <c r="C18" s="8" t="s">
        <v>47</v>
      </c>
      <c r="D18" s="9">
        <v>12539</v>
      </c>
      <c r="E18" s="8" t="s">
        <v>48</v>
      </c>
      <c r="F18" s="8" t="s">
        <v>49</v>
      </c>
      <c r="G18" s="1"/>
      <c r="H18" s="1"/>
      <c r="I18" s="1"/>
      <c r="J18" s="1"/>
      <c r="K18" s="1"/>
      <c r="L18" s="1"/>
      <c r="M18" s="1"/>
      <c r="N18" s="1"/>
    </row>
    <row r="19" spans="1:14" ht="14.4">
      <c r="A19" s="1" t="s">
        <v>18</v>
      </c>
      <c r="B19" s="1">
        <v>2017</v>
      </c>
      <c r="C19" s="1" t="s">
        <v>47</v>
      </c>
      <c r="D19" s="7">
        <v>12792</v>
      </c>
      <c r="E19" s="1" t="s">
        <v>48</v>
      </c>
      <c r="F19" s="1" t="s">
        <v>49</v>
      </c>
      <c r="G19" s="1"/>
      <c r="H19" s="1"/>
      <c r="I19" s="1"/>
      <c r="J19" s="1"/>
      <c r="K19" s="1"/>
      <c r="L19" s="1"/>
      <c r="M19" s="1"/>
      <c r="N19" s="1"/>
    </row>
    <row r="20" spans="1:14" ht="14.4">
      <c r="A20" s="1" t="s">
        <v>18</v>
      </c>
      <c r="B20" s="1">
        <v>2018</v>
      </c>
      <c r="C20" s="1" t="s">
        <v>47</v>
      </c>
      <c r="D20" s="7">
        <v>13197</v>
      </c>
      <c r="E20" s="1" t="s">
        <v>48</v>
      </c>
      <c r="F20" s="1" t="s">
        <v>49</v>
      </c>
      <c r="G20" s="1"/>
      <c r="H20" s="1"/>
      <c r="I20" s="1"/>
      <c r="J20" s="1"/>
      <c r="K20" s="1"/>
      <c r="L20" s="1"/>
      <c r="M20" s="1"/>
      <c r="N20" s="1"/>
    </row>
    <row r="21" spans="1:14" ht="14.4">
      <c r="A21" s="1" t="s">
        <v>18</v>
      </c>
      <c r="B21" s="1">
        <v>2019</v>
      </c>
      <c r="C21" s="1" t="s">
        <v>47</v>
      </c>
      <c r="D21" s="7">
        <v>14125</v>
      </c>
      <c r="E21" s="1" t="s">
        <v>48</v>
      </c>
      <c r="F21" s="1" t="s">
        <v>49</v>
      </c>
      <c r="G21" s="1"/>
      <c r="H21" s="1"/>
      <c r="I21" s="1"/>
      <c r="J21" s="1"/>
      <c r="K21" s="1"/>
      <c r="L21" s="1"/>
      <c r="M21" s="1"/>
      <c r="N21" s="1"/>
    </row>
    <row r="22" spans="1:14" ht="14.4">
      <c r="A22" s="1" t="s">
        <v>18</v>
      </c>
      <c r="B22" s="1">
        <v>2020</v>
      </c>
      <c r="C22" s="1" t="s">
        <v>47</v>
      </c>
      <c r="D22" s="7">
        <v>15848</v>
      </c>
      <c r="E22" s="1" t="s">
        <v>48</v>
      </c>
      <c r="F22" s="1" t="s">
        <v>49</v>
      </c>
      <c r="G22" s="1"/>
      <c r="H22" s="1"/>
      <c r="I22" s="1"/>
      <c r="J22" s="1"/>
      <c r="K22" s="1"/>
      <c r="L22" s="1"/>
      <c r="M22" s="1"/>
      <c r="N22" s="1"/>
    </row>
    <row r="23" spans="1:14" ht="14.4">
      <c r="A23" s="1" t="s">
        <v>18</v>
      </c>
      <c r="B23" s="1">
        <v>2021</v>
      </c>
      <c r="C23" s="1" t="s">
        <v>47</v>
      </c>
      <c r="D23" s="7">
        <v>18160</v>
      </c>
      <c r="E23" s="1" t="s">
        <v>48</v>
      </c>
      <c r="F23" s="1" t="s">
        <v>49</v>
      </c>
      <c r="G23" s="1"/>
      <c r="H23" s="1"/>
      <c r="I23" s="1"/>
      <c r="J23" s="1"/>
      <c r="K23" s="1"/>
      <c r="L23" s="1"/>
      <c r="M23" s="1"/>
      <c r="N23" s="1"/>
    </row>
    <row r="24" spans="1:14" ht="14.4">
      <c r="A24" s="1" t="s">
        <v>18</v>
      </c>
      <c r="B24" s="1">
        <v>2022</v>
      </c>
      <c r="C24" s="1" t="s">
        <v>47</v>
      </c>
      <c r="D24" s="7">
        <v>21995</v>
      </c>
      <c r="E24" s="1" t="s">
        <v>48</v>
      </c>
      <c r="F24" s="1" t="s">
        <v>49</v>
      </c>
      <c r="G24" s="1"/>
      <c r="H24" s="1"/>
      <c r="I24" s="1"/>
      <c r="J24" s="1"/>
      <c r="K24" s="1"/>
      <c r="L24" s="1"/>
      <c r="M24" s="1"/>
      <c r="N24" s="1"/>
    </row>
    <row r="25" spans="1:14" ht="14.4">
      <c r="A25" s="1" t="s">
        <v>18</v>
      </c>
      <c r="B25" s="1">
        <v>2023</v>
      </c>
      <c r="C25" s="1" t="s">
        <v>47</v>
      </c>
      <c r="D25" s="7">
        <v>22522</v>
      </c>
      <c r="E25" s="1" t="s">
        <v>48</v>
      </c>
      <c r="F25" s="1" t="s">
        <v>49</v>
      </c>
      <c r="G25" s="1"/>
      <c r="H25" s="1"/>
      <c r="I25" s="1"/>
      <c r="J25" s="1"/>
      <c r="K25" s="1"/>
      <c r="L25" s="1"/>
      <c r="M25" s="1"/>
      <c r="N25" s="1"/>
    </row>
    <row r="26" spans="1:14" ht="14.4">
      <c r="A26" s="1" t="s">
        <v>18</v>
      </c>
      <c r="B26" s="1">
        <v>2024</v>
      </c>
      <c r="C26" s="1" t="s">
        <v>47</v>
      </c>
      <c r="D26" s="7">
        <v>22096</v>
      </c>
      <c r="E26" s="1" t="s">
        <v>48</v>
      </c>
      <c r="F26" s="1" t="s">
        <v>49</v>
      </c>
      <c r="G26" s="1"/>
      <c r="H26" s="1"/>
      <c r="I26" s="1"/>
      <c r="J26" s="1"/>
      <c r="K26" s="1"/>
      <c r="L26" s="1"/>
      <c r="M26" s="1"/>
      <c r="N26" s="1"/>
    </row>
    <row r="27" spans="1:14" ht="14.4">
      <c r="A27" s="1" t="s">
        <v>18</v>
      </c>
      <c r="B27" s="1">
        <v>2025</v>
      </c>
      <c r="C27" s="1" t="s">
        <v>47</v>
      </c>
      <c r="D27" s="7">
        <v>22465</v>
      </c>
      <c r="E27" s="1" t="s">
        <v>50</v>
      </c>
      <c r="F27" s="1" t="s">
        <v>51</v>
      </c>
      <c r="G27" s="1"/>
      <c r="H27" s="1"/>
      <c r="I27" s="1"/>
      <c r="J27" s="1"/>
      <c r="K27" s="1"/>
      <c r="L27" s="1"/>
      <c r="M27" s="1"/>
      <c r="N27" s="1"/>
    </row>
    <row r="28" spans="1:14" ht="14.4">
      <c r="A28" s="1" t="s">
        <v>18</v>
      </c>
      <c r="B28" s="1">
        <v>2026</v>
      </c>
      <c r="C28" s="1" t="s">
        <v>47</v>
      </c>
      <c r="D28" s="7"/>
      <c r="E28" s="1" t="s">
        <v>46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ht="14.4">
      <c r="A29" s="8" t="s">
        <v>20</v>
      </c>
      <c r="B29" s="8">
        <v>2016</v>
      </c>
      <c r="C29" s="8" t="s">
        <v>37</v>
      </c>
      <c r="D29" s="9">
        <v>13487</v>
      </c>
      <c r="E29" s="8" t="s">
        <v>52</v>
      </c>
      <c r="F29" s="8" t="s">
        <v>53</v>
      </c>
      <c r="G29" s="1"/>
      <c r="H29" s="1"/>
      <c r="I29" s="1"/>
      <c r="J29" s="1"/>
      <c r="K29" s="1"/>
      <c r="L29" s="1"/>
      <c r="M29" s="1"/>
      <c r="N29" s="1"/>
    </row>
    <row r="30" spans="1:14" ht="14.4">
      <c r="A30" s="1" t="s">
        <v>20</v>
      </c>
      <c r="B30" s="1">
        <v>2017</v>
      </c>
      <c r="C30" s="1" t="s">
        <v>37</v>
      </c>
      <c r="D30" s="7">
        <v>14810</v>
      </c>
      <c r="E30" s="1" t="s">
        <v>52</v>
      </c>
      <c r="F30" s="1" t="s">
        <v>53</v>
      </c>
      <c r="G30" s="1"/>
      <c r="H30" s="1"/>
      <c r="I30" s="1"/>
      <c r="J30" s="1"/>
      <c r="K30" s="1"/>
      <c r="L30" s="1"/>
      <c r="M30" s="1"/>
      <c r="N30" s="1"/>
    </row>
    <row r="31" spans="1:14" ht="14.4">
      <c r="A31" s="1" t="s">
        <v>20</v>
      </c>
      <c r="B31" s="1">
        <v>2018</v>
      </c>
      <c r="C31" s="1" t="s">
        <v>37</v>
      </c>
      <c r="D31" s="7">
        <v>16125</v>
      </c>
      <c r="E31" s="1" t="s">
        <v>52</v>
      </c>
      <c r="F31" s="1" t="s">
        <v>53</v>
      </c>
      <c r="G31" s="1"/>
      <c r="H31" s="1"/>
      <c r="I31" s="1"/>
      <c r="J31" s="1"/>
      <c r="K31" s="1"/>
      <c r="L31" s="1"/>
      <c r="M31" s="1"/>
      <c r="N31" s="1"/>
    </row>
    <row r="32" spans="1:14" ht="14.4">
      <c r="A32" s="1" t="s">
        <v>20</v>
      </c>
      <c r="B32" s="1">
        <v>2019</v>
      </c>
      <c r="C32" s="1" t="s">
        <v>37</v>
      </c>
      <c r="D32" s="7">
        <v>16783</v>
      </c>
      <c r="E32" s="1" t="s">
        <v>54</v>
      </c>
      <c r="F32" s="1" t="s">
        <v>55</v>
      </c>
      <c r="G32" s="1"/>
      <c r="H32" s="1"/>
      <c r="I32" s="1"/>
      <c r="J32" s="1"/>
      <c r="K32" s="1"/>
      <c r="L32" s="1"/>
      <c r="M32" s="1"/>
      <c r="N32" s="1"/>
    </row>
    <row r="33" spans="1:14" ht="14.4">
      <c r="A33" s="1" t="s">
        <v>20</v>
      </c>
      <c r="B33" s="1">
        <v>2020</v>
      </c>
      <c r="C33" s="1" t="s">
        <v>37</v>
      </c>
      <c r="D33" s="7">
        <v>16652</v>
      </c>
      <c r="E33" s="1" t="s">
        <v>54</v>
      </c>
      <c r="F33" s="1" t="s">
        <v>55</v>
      </c>
      <c r="G33" s="1"/>
      <c r="H33" s="1"/>
      <c r="I33" s="1"/>
      <c r="J33" s="1"/>
      <c r="K33" s="1"/>
      <c r="L33" s="1"/>
      <c r="M33" s="1"/>
      <c r="N33" s="1"/>
    </row>
    <row r="34" spans="1:14" ht="14.4">
      <c r="A34" s="1" t="s">
        <v>20</v>
      </c>
      <c r="B34" s="1">
        <v>2021</v>
      </c>
      <c r="C34" s="1" t="s">
        <v>37</v>
      </c>
      <c r="D34" s="7">
        <v>18507</v>
      </c>
      <c r="E34" s="1" t="s">
        <v>54</v>
      </c>
      <c r="F34" s="1" t="s">
        <v>55</v>
      </c>
      <c r="G34" s="1"/>
      <c r="H34" s="1"/>
      <c r="I34" s="1"/>
      <c r="J34" s="1"/>
      <c r="K34" s="1"/>
      <c r="L34" s="1"/>
      <c r="M34" s="1"/>
      <c r="N34" s="1"/>
    </row>
    <row r="35" spans="1:14" ht="14.4">
      <c r="A35" s="1" t="s">
        <v>20</v>
      </c>
      <c r="B35" s="1">
        <v>2022</v>
      </c>
      <c r="C35" s="1" t="s">
        <v>37</v>
      </c>
      <c r="D35" s="7">
        <v>19428</v>
      </c>
      <c r="E35" s="1" t="s">
        <v>56</v>
      </c>
      <c r="F35" s="1" t="s">
        <v>57</v>
      </c>
      <c r="G35" s="1"/>
      <c r="H35" s="1"/>
      <c r="I35" s="1"/>
      <c r="J35" s="1"/>
      <c r="K35" s="1"/>
      <c r="L35" s="1"/>
      <c r="M35" s="1"/>
      <c r="N35" s="1"/>
    </row>
    <row r="36" spans="1:14" ht="14.4">
      <c r="A36" s="1" t="s">
        <v>20</v>
      </c>
      <c r="B36" s="1">
        <v>2023</v>
      </c>
      <c r="C36" s="1" t="s">
        <v>37</v>
      </c>
      <c r="D36" s="7">
        <v>19353</v>
      </c>
      <c r="E36" s="1" t="s">
        <v>58</v>
      </c>
      <c r="F36" s="1" t="s">
        <v>59</v>
      </c>
      <c r="G36" s="1"/>
      <c r="H36" s="1"/>
      <c r="I36" s="1"/>
      <c r="J36" s="1"/>
      <c r="K36" s="1"/>
      <c r="L36" s="1"/>
      <c r="M36" s="1"/>
      <c r="N36" s="1"/>
    </row>
    <row r="37" spans="1:14" ht="14.4">
      <c r="A37" s="1" t="s">
        <v>20</v>
      </c>
      <c r="B37" s="1">
        <v>2024</v>
      </c>
      <c r="C37" s="1" t="s">
        <v>37</v>
      </c>
      <c r="D37" s="7">
        <v>19736</v>
      </c>
      <c r="E37" s="1" t="s">
        <v>58</v>
      </c>
      <c r="F37" s="1" t="s">
        <v>59</v>
      </c>
      <c r="G37" s="1"/>
      <c r="H37" s="1"/>
      <c r="I37" s="1"/>
      <c r="J37" s="1"/>
      <c r="K37" s="1"/>
      <c r="L37" s="1"/>
      <c r="M37" s="1"/>
      <c r="N37" s="1"/>
    </row>
    <row r="38" spans="1:14" ht="14.4">
      <c r="A38" s="1" t="s">
        <v>20</v>
      </c>
      <c r="B38" s="1">
        <v>2025</v>
      </c>
      <c r="C38" s="1" t="s">
        <v>37</v>
      </c>
      <c r="D38" s="7">
        <v>21108</v>
      </c>
      <c r="E38" s="1" t="s">
        <v>58</v>
      </c>
      <c r="F38" s="1" t="s">
        <v>59</v>
      </c>
      <c r="G38" s="1"/>
      <c r="H38" s="1"/>
      <c r="I38" s="1"/>
      <c r="J38" s="1"/>
      <c r="K38" s="1"/>
      <c r="L38" s="1"/>
      <c r="M38" s="1"/>
      <c r="N38" s="1"/>
    </row>
    <row r="39" spans="1:14" ht="14.4">
      <c r="A39" s="1" t="s">
        <v>20</v>
      </c>
      <c r="B39" s="1">
        <v>2026</v>
      </c>
      <c r="C39" s="1" t="s">
        <v>37</v>
      </c>
      <c r="D39" s="7"/>
      <c r="E39" s="1" t="s">
        <v>46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ht="14.4">
      <c r="A40" s="8" t="s">
        <v>21</v>
      </c>
      <c r="B40" s="8">
        <v>2016</v>
      </c>
      <c r="C40" s="8" t="s">
        <v>47</v>
      </c>
      <c r="D40" s="9">
        <v>11717</v>
      </c>
      <c r="E40" s="8" t="s">
        <v>60</v>
      </c>
      <c r="F40" s="8" t="s">
        <v>61</v>
      </c>
      <c r="G40" s="1"/>
      <c r="H40" s="1"/>
      <c r="I40" s="1"/>
      <c r="J40" s="1"/>
      <c r="K40" s="1"/>
      <c r="L40" s="1"/>
      <c r="M40" s="1"/>
      <c r="N40" s="1"/>
    </row>
    <row r="41" spans="1:14" ht="14.4">
      <c r="A41" s="1" t="s">
        <v>21</v>
      </c>
      <c r="B41" s="1">
        <v>2017</v>
      </c>
      <c r="C41" s="1" t="s">
        <v>47</v>
      </c>
      <c r="D41" s="7">
        <v>12691</v>
      </c>
      <c r="E41" s="1" t="s">
        <v>62</v>
      </c>
      <c r="F41" s="1" t="s">
        <v>63</v>
      </c>
      <c r="G41" s="1"/>
      <c r="H41" s="1"/>
      <c r="I41" s="1"/>
      <c r="J41" s="1"/>
      <c r="K41" s="1"/>
      <c r="L41" s="1"/>
      <c r="M41" s="1"/>
      <c r="N41" s="1"/>
    </row>
    <row r="42" spans="1:14" ht="14.4">
      <c r="A42" s="1" t="s">
        <v>21</v>
      </c>
      <c r="B42" s="1">
        <v>2018</v>
      </c>
      <c r="C42" s="1" t="s">
        <v>47</v>
      </c>
      <c r="D42" s="7">
        <v>12258</v>
      </c>
      <c r="E42" s="1" t="s">
        <v>64</v>
      </c>
      <c r="F42" s="1" t="s">
        <v>65</v>
      </c>
      <c r="G42" s="1"/>
      <c r="H42" s="1"/>
      <c r="I42" s="1"/>
      <c r="J42" s="1"/>
      <c r="K42" s="1"/>
      <c r="L42" s="1"/>
      <c r="M42" s="1"/>
      <c r="N42" s="1"/>
    </row>
    <row r="43" spans="1:14" ht="14.4">
      <c r="A43" s="1" t="s">
        <v>21</v>
      </c>
      <c r="B43" s="1">
        <v>2019</v>
      </c>
      <c r="C43" s="1" t="s">
        <v>47</v>
      </c>
      <c r="D43" s="7">
        <v>11588</v>
      </c>
      <c r="E43" s="1" t="s">
        <v>66</v>
      </c>
      <c r="F43" s="1" t="s">
        <v>67</v>
      </c>
      <c r="G43" s="1"/>
      <c r="H43" s="1"/>
      <c r="I43" s="1"/>
      <c r="J43" s="1"/>
      <c r="K43" s="1"/>
      <c r="L43" s="1"/>
      <c r="M43" s="1"/>
      <c r="N43" s="1"/>
    </row>
    <row r="44" spans="1:14" ht="14.4">
      <c r="A44" s="1" t="s">
        <v>21</v>
      </c>
      <c r="B44" s="1">
        <v>2020</v>
      </c>
      <c r="C44" s="1" t="s">
        <v>47</v>
      </c>
      <c r="D44" s="7">
        <v>11181</v>
      </c>
      <c r="E44" s="1" t="s">
        <v>68</v>
      </c>
      <c r="F44" s="1" t="s">
        <v>69</v>
      </c>
      <c r="G44" s="1"/>
      <c r="H44" s="1"/>
      <c r="I44" s="1"/>
      <c r="J44" s="1"/>
      <c r="K44" s="1"/>
      <c r="L44" s="1"/>
      <c r="M44" s="1"/>
      <c r="N44" s="1"/>
    </row>
    <row r="45" spans="1:14" ht="14.4">
      <c r="A45" s="1" t="s">
        <v>21</v>
      </c>
      <c r="B45" s="1">
        <v>2021</v>
      </c>
      <c r="C45" s="1" t="s">
        <v>47</v>
      </c>
      <c r="D45" s="7">
        <v>10839</v>
      </c>
      <c r="E45" s="1" t="s">
        <v>70</v>
      </c>
      <c r="F45" s="1" t="s">
        <v>71</v>
      </c>
      <c r="G45" s="1"/>
      <c r="H45" s="1"/>
      <c r="I45" s="1"/>
      <c r="J45" s="1"/>
      <c r="K45" s="1"/>
      <c r="L45" s="1"/>
      <c r="M45" s="1"/>
      <c r="N45" s="1"/>
    </row>
    <row r="46" spans="1:14" ht="14.4">
      <c r="A46" s="1" t="s">
        <v>21</v>
      </c>
      <c r="B46" s="1">
        <v>2022</v>
      </c>
      <c r="C46" s="1" t="s">
        <v>47</v>
      </c>
      <c r="D46" s="7">
        <v>11341</v>
      </c>
      <c r="E46" s="1" t="s">
        <v>72</v>
      </c>
      <c r="F46" s="1" t="s">
        <v>73</v>
      </c>
      <c r="G46" s="1"/>
      <c r="H46" s="1"/>
      <c r="I46" s="1"/>
      <c r="J46" s="1"/>
      <c r="K46" s="1"/>
      <c r="L46" s="1"/>
      <c r="M46" s="1"/>
      <c r="N46" s="1"/>
    </row>
    <row r="47" spans="1:14" ht="14.4">
      <c r="A47" s="1" t="s">
        <v>21</v>
      </c>
      <c r="B47" s="1">
        <v>2023</v>
      </c>
      <c r="C47" s="1" t="s">
        <v>47</v>
      </c>
      <c r="D47" s="7">
        <v>10693</v>
      </c>
      <c r="E47" s="1" t="s">
        <v>74</v>
      </c>
      <c r="F47" s="1" t="s">
        <v>75</v>
      </c>
      <c r="G47" s="1"/>
      <c r="H47" s="1"/>
      <c r="I47" s="1"/>
      <c r="J47" s="1"/>
      <c r="K47" s="1"/>
      <c r="L47" s="1"/>
      <c r="M47" s="1"/>
      <c r="N47" s="1"/>
    </row>
    <row r="48" spans="1:14" ht="14.4">
      <c r="A48" s="1" t="s">
        <v>21</v>
      </c>
      <c r="B48" s="1">
        <v>2024</v>
      </c>
      <c r="C48" s="1" t="s">
        <v>47</v>
      </c>
      <c r="D48" s="7">
        <v>9577</v>
      </c>
      <c r="E48" s="1" t="s">
        <v>76</v>
      </c>
      <c r="F48" s="1" t="s">
        <v>77</v>
      </c>
      <c r="G48" s="1"/>
      <c r="H48" s="1"/>
      <c r="I48" s="1"/>
      <c r="J48" s="1"/>
      <c r="K48" s="1"/>
      <c r="L48" s="1"/>
      <c r="M48" s="1"/>
      <c r="N48" s="1"/>
    </row>
    <row r="49" spans="1:14" ht="14.4">
      <c r="A49" s="1" t="s">
        <v>21</v>
      </c>
      <c r="B49" s="1">
        <v>2025</v>
      </c>
      <c r="C49" s="1" t="s">
        <v>47</v>
      </c>
      <c r="D49" s="7">
        <v>8001</v>
      </c>
      <c r="E49" s="1" t="s">
        <v>78</v>
      </c>
      <c r="F49" s="1" t="s">
        <v>79</v>
      </c>
      <c r="G49" s="1"/>
      <c r="H49" s="1"/>
      <c r="I49" s="1"/>
      <c r="J49" s="1"/>
      <c r="K49" s="1"/>
      <c r="L49" s="1"/>
      <c r="M49" s="1"/>
      <c r="N49" s="1"/>
    </row>
    <row r="50" spans="1:14" ht="14.4">
      <c r="A50" s="1" t="s">
        <v>21</v>
      </c>
      <c r="B50" s="1">
        <v>2026</v>
      </c>
      <c r="C50" s="1" t="s">
        <v>47</v>
      </c>
      <c r="D50" s="7"/>
      <c r="E50" s="1" t="s">
        <v>46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ht="14.4">
      <c r="A51" s="8" t="s">
        <v>22</v>
      </c>
      <c r="B51" s="8">
        <v>2016</v>
      </c>
      <c r="C51" s="8" t="s">
        <v>80</v>
      </c>
      <c r="D51" s="9">
        <v>10683.3</v>
      </c>
      <c r="E51" s="8" t="s">
        <v>81</v>
      </c>
      <c r="F51" s="8" t="s">
        <v>82</v>
      </c>
      <c r="G51" s="1"/>
      <c r="H51" s="1"/>
      <c r="I51" s="1"/>
      <c r="J51" s="1"/>
      <c r="K51" s="1"/>
      <c r="L51" s="1"/>
      <c r="M51" s="1"/>
      <c r="N51" s="1"/>
    </row>
    <row r="52" spans="1:14" ht="14.4">
      <c r="A52" s="1" t="s">
        <v>22</v>
      </c>
      <c r="B52" s="1">
        <v>2017</v>
      </c>
      <c r="C52" s="1" t="s">
        <v>80</v>
      </c>
      <c r="D52" s="7">
        <v>10845.1</v>
      </c>
      <c r="E52" s="1" t="s">
        <v>83</v>
      </c>
      <c r="F52" s="1" t="s">
        <v>84</v>
      </c>
      <c r="G52" s="1"/>
      <c r="H52" s="1"/>
      <c r="I52" s="1"/>
      <c r="J52" s="1"/>
      <c r="K52" s="1"/>
      <c r="L52" s="1"/>
      <c r="M52" s="1"/>
      <c r="N52" s="1"/>
    </row>
    <row r="53" spans="1:14" ht="14.4">
      <c r="A53" s="1" t="s">
        <v>22</v>
      </c>
      <c r="B53" s="1">
        <v>2018</v>
      </c>
      <c r="C53" s="1" t="s">
        <v>80</v>
      </c>
      <c r="D53" s="7">
        <v>11506.8</v>
      </c>
      <c r="E53" s="1" t="s">
        <v>83</v>
      </c>
      <c r="F53" s="1" t="s">
        <v>84</v>
      </c>
      <c r="G53" s="1"/>
      <c r="H53" s="1"/>
      <c r="I53" s="1"/>
      <c r="J53" s="1"/>
      <c r="K53" s="1"/>
      <c r="L53" s="1"/>
      <c r="M53" s="1"/>
      <c r="N53" s="1"/>
    </row>
    <row r="54" spans="1:14" ht="14.4">
      <c r="A54" s="1" t="s">
        <v>22</v>
      </c>
      <c r="B54" s="1">
        <v>2019</v>
      </c>
      <c r="C54" s="1" t="s">
        <v>80</v>
      </c>
      <c r="D54" s="7">
        <v>12111.2</v>
      </c>
      <c r="E54" s="1" t="s">
        <v>83</v>
      </c>
      <c r="F54" s="1" t="s">
        <v>84</v>
      </c>
      <c r="G54" s="1"/>
      <c r="H54" s="1"/>
      <c r="I54" s="1"/>
      <c r="J54" s="1"/>
      <c r="K54" s="1"/>
      <c r="L54" s="1"/>
      <c r="M54" s="1"/>
      <c r="N54" s="1"/>
    </row>
    <row r="55" spans="1:14" ht="14.4">
      <c r="A55" s="1" t="s">
        <v>22</v>
      </c>
      <c r="B55" s="1">
        <v>2020</v>
      </c>
      <c r="C55" s="1" t="s">
        <v>80</v>
      </c>
      <c r="D55" s="7">
        <v>12164.1</v>
      </c>
      <c r="E55" s="1" t="s">
        <v>85</v>
      </c>
      <c r="F55" s="1" t="s">
        <v>86</v>
      </c>
      <c r="G55" s="1"/>
      <c r="H55" s="1"/>
      <c r="I55" s="1"/>
      <c r="J55" s="1"/>
      <c r="K55" s="1"/>
      <c r="L55" s="1"/>
      <c r="M55" s="1"/>
      <c r="N55" s="1"/>
    </row>
    <row r="56" spans="1:14" ht="14.4">
      <c r="A56" s="1" t="s">
        <v>22</v>
      </c>
      <c r="B56" s="1">
        <v>2021</v>
      </c>
      <c r="C56" s="1" t="s">
        <v>80</v>
      </c>
      <c r="D56" s="7">
        <v>12126.8</v>
      </c>
      <c r="E56" s="1" t="s">
        <v>85</v>
      </c>
      <c r="F56" s="1" t="s">
        <v>86</v>
      </c>
      <c r="G56" s="1"/>
      <c r="H56" s="1"/>
      <c r="I56" s="1"/>
      <c r="J56" s="1"/>
      <c r="K56" s="1"/>
      <c r="L56" s="1"/>
      <c r="M56" s="1"/>
      <c r="N56" s="1"/>
    </row>
    <row r="57" spans="1:14" ht="14.4">
      <c r="A57" s="1" t="s">
        <v>22</v>
      </c>
      <c r="B57" s="1">
        <v>2022</v>
      </c>
      <c r="C57" s="1" t="s">
        <v>80</v>
      </c>
      <c r="D57" s="7">
        <v>12867.2</v>
      </c>
      <c r="E57" s="1" t="s">
        <v>85</v>
      </c>
      <c r="F57" s="1" t="s">
        <v>86</v>
      </c>
      <c r="G57" s="1"/>
      <c r="H57" s="1"/>
      <c r="I57" s="1"/>
      <c r="J57" s="1"/>
      <c r="K57" s="1"/>
      <c r="L57" s="1"/>
      <c r="M57" s="1"/>
      <c r="N57" s="1"/>
    </row>
    <row r="58" spans="1:14" ht="14.4">
      <c r="A58" s="1" t="s">
        <v>22</v>
      </c>
      <c r="B58" s="1">
        <v>2023</v>
      </c>
      <c r="C58" s="1" t="s">
        <v>80</v>
      </c>
      <c r="D58" s="7">
        <v>14296.4</v>
      </c>
      <c r="E58" s="1" t="s">
        <v>87</v>
      </c>
      <c r="F58" s="1" t="s">
        <v>88</v>
      </c>
      <c r="G58" s="1"/>
      <c r="H58" s="1"/>
      <c r="I58" s="1"/>
      <c r="J58" s="1"/>
      <c r="K58" s="1"/>
      <c r="L58" s="1"/>
      <c r="M58" s="1"/>
      <c r="N58" s="1"/>
    </row>
    <row r="59" spans="1:14" ht="14.4">
      <c r="A59" s="1" t="s">
        <v>22</v>
      </c>
      <c r="B59" s="1">
        <v>2024</v>
      </c>
      <c r="C59" s="1" t="s">
        <v>80</v>
      </c>
      <c r="D59" s="7">
        <v>14676.2</v>
      </c>
      <c r="E59" s="1" t="s">
        <v>87</v>
      </c>
      <c r="F59" s="1" t="s">
        <v>88</v>
      </c>
      <c r="G59" s="1"/>
      <c r="H59" s="1"/>
      <c r="I59" s="1"/>
      <c r="J59" s="1"/>
      <c r="K59" s="1"/>
      <c r="L59" s="1"/>
      <c r="M59" s="1"/>
      <c r="N59" s="1"/>
    </row>
    <row r="60" spans="1:14" ht="14.4">
      <c r="A60" s="1" t="s">
        <v>22</v>
      </c>
      <c r="B60" s="1">
        <v>2025</v>
      </c>
      <c r="C60" s="1" t="s">
        <v>80</v>
      </c>
      <c r="D60" s="7">
        <v>15912.7</v>
      </c>
      <c r="E60" s="1" t="s">
        <v>87</v>
      </c>
      <c r="F60" s="1" t="s">
        <v>88</v>
      </c>
      <c r="G60" s="1"/>
      <c r="H60" s="1"/>
      <c r="I60" s="1"/>
      <c r="J60" s="1"/>
      <c r="K60" s="1"/>
      <c r="L60" s="1"/>
      <c r="M60" s="1"/>
      <c r="N60" s="1"/>
    </row>
    <row r="61" spans="1:14" ht="14.4">
      <c r="A61" s="1" t="s">
        <v>22</v>
      </c>
      <c r="B61" s="1">
        <v>2026</v>
      </c>
      <c r="C61" s="1" t="s">
        <v>80</v>
      </c>
      <c r="D61" s="7"/>
      <c r="E61" s="1" t="s">
        <v>46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6" customWidth="1"/>
    <col min="2" max="2" width="17" customWidth="1"/>
    <col min="3" max="3" width="46" customWidth="1"/>
    <col min="4" max="4" width="85" customWidth="1"/>
    <col min="6" max="6" width="16" customWidth="1"/>
    <col min="7" max="7" width="17" customWidth="1"/>
    <col min="8" max="8" width="85" customWidth="1"/>
  </cols>
  <sheetData>
    <row r="1" spans="1:14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8">
      <c r="A2" s="2" t="s">
        <v>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spans="1:14" ht="14.4">
      <c r="A4" s="1" t="s">
        <v>90</v>
      </c>
      <c r="B4" s="1"/>
      <c r="C4" s="1"/>
      <c r="D4" s="1"/>
      <c r="E4" s="1"/>
      <c r="F4" s="1" t="s">
        <v>91</v>
      </c>
      <c r="G4" s="1"/>
      <c r="H4" s="1"/>
      <c r="I4" s="1"/>
      <c r="J4" s="1"/>
      <c r="K4" s="1"/>
      <c r="L4" s="1"/>
      <c r="M4" s="1"/>
      <c r="N4" s="1"/>
    </row>
    <row r="5" spans="1:14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2.95" customHeight="1">
      <c r="A6" s="4" t="s">
        <v>92</v>
      </c>
      <c r="B6" s="4" t="s">
        <v>93</v>
      </c>
      <c r="C6" s="4" t="s">
        <v>94</v>
      </c>
      <c r="D6" s="4" t="s">
        <v>36</v>
      </c>
      <c r="E6" s="1"/>
      <c r="F6" s="4" t="s">
        <v>95</v>
      </c>
      <c r="G6" s="4" t="s">
        <v>96</v>
      </c>
      <c r="H6" s="4" t="s">
        <v>36</v>
      </c>
      <c r="I6" s="1"/>
      <c r="J6" s="1"/>
      <c r="K6" s="1"/>
      <c r="L6" s="1"/>
      <c r="M6" s="1"/>
      <c r="N6" s="1"/>
    </row>
    <row r="7" spans="1:14" ht="14.4">
      <c r="A7" s="1">
        <v>2016</v>
      </c>
      <c r="B7" s="10">
        <v>1.1072</v>
      </c>
      <c r="C7" s="1" t="s">
        <v>97</v>
      </c>
      <c r="D7" s="1" t="s">
        <v>98</v>
      </c>
      <c r="E7" s="1"/>
      <c r="F7" s="1">
        <v>2016</v>
      </c>
      <c r="G7" s="10">
        <v>1.3254999999999999</v>
      </c>
      <c r="H7" s="1" t="s">
        <v>99</v>
      </c>
      <c r="I7" s="1"/>
      <c r="J7" s="1"/>
      <c r="K7" s="1"/>
      <c r="L7" s="1"/>
      <c r="M7" s="1"/>
      <c r="N7" s="1"/>
    </row>
    <row r="8" spans="1:14" ht="14.4">
      <c r="A8" s="1">
        <v>2017</v>
      </c>
      <c r="B8" s="10">
        <v>1.1301000000000001</v>
      </c>
      <c r="C8" s="1" t="s">
        <v>97</v>
      </c>
      <c r="D8" s="1" t="s">
        <v>98</v>
      </c>
      <c r="E8" s="1"/>
      <c r="F8" s="1">
        <v>2017</v>
      </c>
      <c r="G8" s="10">
        <v>1.3140000000000001</v>
      </c>
      <c r="H8" s="1" t="s">
        <v>99</v>
      </c>
      <c r="I8" s="1"/>
      <c r="J8" s="1"/>
      <c r="K8" s="1"/>
      <c r="L8" s="1"/>
      <c r="M8" s="1"/>
      <c r="N8" s="1"/>
    </row>
    <row r="9" spans="1:14" ht="14.4">
      <c r="A9" s="1">
        <v>2018</v>
      </c>
      <c r="B9" s="10">
        <v>1.1817</v>
      </c>
      <c r="C9" s="1" t="s">
        <v>97</v>
      </c>
      <c r="D9" s="1" t="s">
        <v>98</v>
      </c>
      <c r="E9" s="1"/>
      <c r="F9" s="1">
        <v>2018</v>
      </c>
      <c r="G9" s="10">
        <v>1.2838000000000001</v>
      </c>
      <c r="H9" s="1" t="s">
        <v>84</v>
      </c>
      <c r="I9" s="1"/>
      <c r="J9" s="1"/>
      <c r="K9" s="1"/>
      <c r="L9" s="1"/>
      <c r="M9" s="1"/>
      <c r="N9" s="1"/>
    </row>
    <row r="10" spans="1:14" ht="14.4">
      <c r="A10" s="1">
        <v>2019</v>
      </c>
      <c r="B10" s="10">
        <v>1.1194</v>
      </c>
      <c r="C10" s="1" t="s">
        <v>97</v>
      </c>
      <c r="D10" s="1" t="s">
        <v>98</v>
      </c>
      <c r="E10" s="1"/>
      <c r="F10" s="1">
        <v>2019</v>
      </c>
      <c r="G10" s="10">
        <v>1.327</v>
      </c>
      <c r="H10" s="1" t="s">
        <v>84</v>
      </c>
      <c r="I10" s="1"/>
      <c r="J10" s="1"/>
      <c r="K10" s="1"/>
      <c r="L10" s="1"/>
      <c r="M10" s="1"/>
      <c r="N10" s="1"/>
    </row>
    <row r="11" spans="1:14" ht="14.4">
      <c r="A11" s="1">
        <v>2020</v>
      </c>
      <c r="B11" s="10">
        <v>1.141</v>
      </c>
      <c r="C11" s="1" t="s">
        <v>97</v>
      </c>
      <c r="D11" s="1" t="s">
        <v>98</v>
      </c>
      <c r="E11" s="1"/>
      <c r="F11" s="1">
        <v>2020</v>
      </c>
      <c r="G11" s="10">
        <v>1.3456999999999999</v>
      </c>
      <c r="H11" s="1" t="s">
        <v>100</v>
      </c>
      <c r="I11" s="1"/>
      <c r="J11" s="1"/>
      <c r="K11" s="1"/>
      <c r="L11" s="1"/>
      <c r="M11" s="1"/>
      <c r="N11" s="1"/>
    </row>
    <row r="12" spans="1:14" ht="14.4">
      <c r="A12" s="1">
        <v>2021</v>
      </c>
      <c r="B12" s="10">
        <v>1.1830000000000001</v>
      </c>
      <c r="C12" s="1" t="s">
        <v>97</v>
      </c>
      <c r="D12" s="1" t="s">
        <v>98</v>
      </c>
      <c r="E12" s="1"/>
      <c r="F12" s="1">
        <v>2021</v>
      </c>
      <c r="G12" s="10">
        <v>1.2643</v>
      </c>
      <c r="H12" s="1" t="s">
        <v>100</v>
      </c>
      <c r="I12" s="1"/>
      <c r="J12" s="1"/>
      <c r="K12" s="1"/>
      <c r="L12" s="1"/>
      <c r="M12" s="1"/>
      <c r="N12" s="1"/>
    </row>
    <row r="13" spans="1:14" ht="14.4">
      <c r="A13" s="1">
        <v>2022</v>
      </c>
      <c r="B13" s="10">
        <v>1.0533999999999999</v>
      </c>
      <c r="C13" s="1" t="s">
        <v>97</v>
      </c>
      <c r="D13" s="1" t="s">
        <v>98</v>
      </c>
      <c r="E13" s="1"/>
      <c r="F13" s="1">
        <v>2022</v>
      </c>
      <c r="G13" s="10">
        <v>1.2777000000000001</v>
      </c>
      <c r="H13" s="1" t="s">
        <v>86</v>
      </c>
      <c r="I13" s="1"/>
      <c r="J13" s="1"/>
      <c r="K13" s="1"/>
      <c r="L13" s="1"/>
      <c r="M13" s="1"/>
      <c r="N13" s="1"/>
    </row>
    <row r="14" spans="1:14" ht="14.4">
      <c r="A14" s="1">
        <v>2023</v>
      </c>
      <c r="B14" s="10">
        <v>1.0817000000000001</v>
      </c>
      <c r="C14" s="1" t="s">
        <v>97</v>
      </c>
      <c r="D14" s="1" t="s">
        <v>98</v>
      </c>
      <c r="E14" s="1"/>
      <c r="F14" s="1">
        <v>2023</v>
      </c>
      <c r="G14" s="10">
        <v>1.3485</v>
      </c>
      <c r="H14" s="1" t="s">
        <v>101</v>
      </c>
      <c r="I14" s="1"/>
      <c r="J14" s="1"/>
      <c r="K14" s="1"/>
      <c r="L14" s="1"/>
      <c r="M14" s="1"/>
      <c r="N14" s="1"/>
    </row>
    <row r="15" spans="1:14" ht="14.4">
      <c r="A15" s="1">
        <v>2024</v>
      </c>
      <c r="B15" s="10">
        <v>1.0820000000000001</v>
      </c>
      <c r="C15" s="1" t="s">
        <v>97</v>
      </c>
      <c r="D15" s="1" t="s">
        <v>98</v>
      </c>
      <c r="E15" s="1"/>
      <c r="F15" s="1">
        <v>2024</v>
      </c>
      <c r="G15" s="10">
        <v>1.3609</v>
      </c>
      <c r="H15" s="1" t="s">
        <v>88</v>
      </c>
      <c r="I15" s="1"/>
      <c r="J15" s="1"/>
      <c r="K15" s="1"/>
      <c r="L15" s="1"/>
      <c r="M15" s="1"/>
      <c r="N15" s="1"/>
    </row>
    <row r="16" spans="1:14" ht="14.4">
      <c r="A16" s="1">
        <v>2025</v>
      </c>
      <c r="B16" s="10">
        <v>1.1306</v>
      </c>
      <c r="C16" s="1" t="s">
        <v>97</v>
      </c>
      <c r="D16" s="1" t="s">
        <v>98</v>
      </c>
      <c r="E16" s="1"/>
      <c r="F16" s="1">
        <v>2025</v>
      </c>
      <c r="G16" s="10">
        <v>1.3984000000000001</v>
      </c>
      <c r="H16" s="1" t="s">
        <v>88</v>
      </c>
      <c r="I16" s="1"/>
      <c r="J16" s="1"/>
      <c r="K16" s="1"/>
      <c r="L16" s="1"/>
      <c r="M16" s="1"/>
      <c r="N16" s="1"/>
    </row>
    <row r="17" spans="1:14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4">
      <c r="A18" s="1" t="s">
        <v>102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USD revenue</vt:lpstr>
      <vt:lpstr>Reported revenue</vt:lpstr>
      <vt:lpstr>FX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2026-09-17T11:52:04Z</dcterms:created>
  <dcterms:modified xsi:type="dcterms:W3CDTF">2026-09-17T11:52:04Z</dcterms:modified>
</cp:coreProperties>
</file>